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330" windowWidth="29040" windowHeight="15840"/>
  </bookViews>
  <sheets>
    <sheet name="loaded" sheetId="6" r:id="rId1"/>
    <sheet name="Sheet2" sheetId="8" r:id="rId2"/>
    <sheet name="Sheet1" sheetId="7" state="hidden" r:id="rId3"/>
  </sheets>
  <definedNames>
    <definedName name="_xlnm._FilterDatabase" localSheetId="0" hidden="1">loaded!$BU$1:$BU$2</definedName>
    <definedName name="_xlnm._FilterDatabase" localSheetId="1" hidden="1">Sheet2!$A$1:$A$31</definedName>
    <definedName name="atsi">#REF!</definedName>
    <definedName name="atsi_codes">#REF!</definedName>
    <definedName name="client">#REF!</definedName>
    <definedName name="client_codes">#REF!</definedName>
    <definedName name="cntry_codes">#REF!</definedName>
    <definedName name="countries">#REF!</definedName>
    <definedName name="drug">#REF!</definedName>
    <definedName name="drug_codes">#REF!</definedName>
    <definedName name="inj">#REF!</definedName>
    <definedName name="inj_codes">#REF!</definedName>
    <definedName name="lang">#REF!</definedName>
    <definedName name="lang_codes">#REF!</definedName>
    <definedName name="liv_ar">#REF!</definedName>
    <definedName name="liv_ar_codes">#REF!</definedName>
    <definedName name="mental">#REF!</definedName>
    <definedName name="mental_codes">#REF!</definedName>
    <definedName name="method">#REF!</definedName>
    <definedName name="method_codes">#REF!</definedName>
    <definedName name="MTT">#REF!</definedName>
    <definedName name="MTT_codes">#REF!</definedName>
    <definedName name="reason">#REF!</definedName>
    <definedName name="reces_codes">#REF!</definedName>
    <definedName name="src_ref">#REF!</definedName>
    <definedName name="src_ref_codes">#REF!</definedName>
    <definedName name="TDS">#REF!</definedName>
    <definedName name="TDS_codes">#REF!</definedName>
    <definedName name="us_acc">#REF!</definedName>
    <definedName name="us_acc_cod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2" i="6" l="1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" i="8"/>
  <c r="B2" i="8"/>
  <c r="BU2" i="6" l="1"/>
</calcChain>
</file>

<file path=xl/sharedStrings.xml><?xml version="1.0" encoding="utf-8"?>
<sst xmlns="http://schemas.openxmlformats.org/spreadsheetml/2006/main" count="179" uniqueCount="106">
  <si>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</si>
  <si>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</si>
  <si>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</si>
  <si>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</si>
  <si>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</si>
  <si>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</si>
  <si>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</si>
  <si>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</si>
  <si>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</si>
  <si>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</si>
  <si>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</si>
  <si>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</si>
  <si>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</si>
  <si>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</si>
  <si>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</si>
  <si>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</si>
  <si>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</si>
  <si>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</si>
  <si>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</si>
  <si>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</si>
  <si>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</si>
  <si>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</si>
  <si>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</si>
  <si>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</si>
  <si>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</si>
  <si>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</si>
  <si>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</si>
  <si>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</si>
  <si>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</si>
  <si>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</si>
  <si>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</si>
  <si>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</si>
  <si>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</si>
  <si>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</si>
  <si>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</si>
  <si>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</si>
  <si>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</si>
  <si>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</si>
  <si>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</si>
  <si>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</si>
  <si>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</si>
  <si>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</si>
  <si>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</si>
  <si>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</si>
  <si>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</si>
  <si>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</si>
  <si>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</si>
  <si>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</si>
  <si>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</si>
  <si>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</si>
  <si>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</si>
  <si>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</si>
  <si>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</si>
  <si>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</si>
  <si>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</si>
  <si>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</si>
  <si>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</si>
  <si>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</si>
  <si>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</si>
  <si>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</si>
  <si>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</si>
  <si>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</si>
  <si>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</si>
  <si>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</si>
  <si>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</si>
  <si>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</si>
  <si>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</si>
  <si>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</si>
  <si>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</si>
  <si>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</si>
  <si>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has error</t>
  </si>
  <si>
    <t>ENROLLING PROVIDER</t>
  </si>
  <si>
    <t>error_ENROLLING PROVIDER</t>
  </si>
  <si>
    <t>error count</t>
  </si>
  <si>
    <t>BP2</t>
  </si>
  <si>
    <t>BN2</t>
  </si>
  <si>
    <t>BL2</t>
  </si>
  <si>
    <t>BJ2</t>
  </si>
  <si>
    <t>BH2</t>
  </si>
  <si>
    <t>BF2</t>
  </si>
  <si>
    <t>BD2</t>
  </si>
  <si>
    <t>BB2</t>
  </si>
  <si>
    <t>AZ2</t>
  </si>
  <si>
    <t>AX2</t>
  </si>
  <si>
    <t>AV2</t>
  </si>
  <si>
    <t>AT2</t>
  </si>
  <si>
    <t>AR2</t>
  </si>
  <si>
    <t>AP2</t>
  </si>
  <si>
    <t>AN2</t>
  </si>
  <si>
    <t>AL2</t>
  </si>
  <si>
    <t>AJ2</t>
  </si>
  <si>
    <t>AH2</t>
  </si>
  <si>
    <t>AF2</t>
  </si>
  <si>
    <t>AD2</t>
  </si>
  <si>
    <t>AB2</t>
  </si>
  <si>
    <t>Z2</t>
  </si>
  <si>
    <t>X2</t>
  </si>
  <si>
    <t>V2</t>
  </si>
  <si>
    <t>T2</t>
  </si>
  <si>
    <t>R2</t>
  </si>
  <si>
    <t>P2</t>
  </si>
  <si>
    <t>N2</t>
  </si>
  <si>
    <t xml:space="preserve"> L2</t>
  </si>
  <si>
    <t>BR2</t>
  </si>
  <si>
    <t>sdf</t>
  </si>
  <si>
    <t>if( L2=""1,0)+if(N2=""1,0)+if(P2=""1,0)+if(R2=""1,0)+if(T2=""1,0)+if(V2=""1,0)+if(X2=""1,0)+if(Z2=""1,0)+if(AB2=""1,0)+if(AD2=""1,0)+if(AF2=""1,0)+if(AH2=""1,0)+if(AJ2=""1,0)+if(AL2=""1,0)+if(AN2=""1,0)+if(AP2=""1,0)+if(AR2=""1,0)+if(AT2=""1,0)+if(AV2=""1,0)+if(AX2=""1,0)+if(AZ2=""1,0)+if(BB2=""1,0)+if(BD2=""1,0)+if(BF2=""1,0)+if(BH2=""1,0)+if(BJ2=""1,0)+if(BL2=""1,0)+if(BN2=""1,0)+if(BP2=""1,0)+if(BR2=""1,0)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</si>
</sst>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/>
    </xf>
    <xf numFmtId="0" fontId="9" fillId="0" borderId="0" xfId="0" applyFont="1" applyFill="1" applyBorder="1" applyAlignment="1">
      <alignment horizontal="left" vertical="center"/>
    </xf>
    <xf numFmtId="0" fontId="12" fillId="2" borderId="1" xfId="0" applyFont="1" applyFill="1" applyBorder="1"/>
    <xf numFmtId="0" fontId="10" fillId="0" borderId="0" xfId="0" applyFont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1" fillId="0" borderId="3" xfId="0" applyNumberFormat="1" applyFont="1" applyFill="1" applyBorder="1"/>
    <xf numFmtId="0" fontId="10" fillId="0" borderId="3" xfId="0" applyNumberFormat="1" applyFont="1" applyFill="1" applyBorder="1"/>
    <xf numFmtId="0" fontId="11" fillId="0" borderId="3" xfId="0" applyNumberFormat="1" applyFont="1" applyFill="1" applyBorder="1"/>
    <xf numFmtId="49" fontId="11" fillId="0" borderId="3" xfId="0" applyNumberFormat="1" applyFont="1" applyFill="1" applyBorder="1"/>
    <xf numFmtId="0" fontId="11" fillId="0" borderId="0" xfId="0" applyFont="1" applyFill="1"/>
  </cellXfs>
  <cellStyles count="1">
    <cellStyle name="Normal" xfId="0" builtinId="0"/>
  </cellStyles>
  <dxfs count="79">
    <dxf>
      <font>
        <color theme="0"/>
      </font>
      <fill>
        <patternFill>
          <bgColor rgb="FFFF7C80"/>
        </patternFill>
      </fill>
    </dxf>
    <dxf>
      <fill>
        <patternFill>
          <bgColor rgb="FFFC6464"/>
        </patternFill>
      </fill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</dxfs>
  <tableStyles count="0" defaultTableStyle="TableStyleMedium2" defaultPivotStyle="PivotStyleLight16"/>
  <colors>
    <mruColors>
      <color rgb="FFFF7C80"/>
      <color rgb="FFFC6464"/>
      <color rgb="FFFFEAD5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V2" totalsRowShown="0">
  <autoFilter ref="A1:BV2"/>
  <tableColumns count="74">
    <tableColumn id="1" name="ENROLLING PROVIDER" dataDxfId="78"/>
    <tableColumn id="2" name="error_ENROLLING PROVIDER" dataDxfId="77"/>
    <tableColumn id="3" name="ID" dataDxfId="76"/>
    <tableColumn id="4" name="error_ID" dataDxfId="75"/>
    <tableColumn id="5" name="First name" dataDxfId="74"/>
    <tableColumn id="6" name="error_First name" dataDxfId="73"/>
    <tableColumn id="7" name="Surname" dataDxfId="72"/>
    <tableColumn id="8" name="error_Surname" dataDxfId="71"/>
    <tableColumn id="9" name="SLK 581" dataDxfId="70"/>
    <tableColumn id="10" name="error_SLK 581" dataDxfId="69"/>
    <tableColumn id="11" name="Sex" dataDxfId="68"/>
    <tableColumn id="12" name="error_Sex" dataDxfId="67"/>
    <tableColumn id="13" name="DOB" dataDxfId="66"/>
    <tableColumn id="14" name="error_DOB" dataDxfId="65"/>
    <tableColumn id="15" name="Date accuracy indicator" dataDxfId="64"/>
    <tableColumn id="16" name="error_Date accuracy indicator" dataDxfId="63"/>
    <tableColumn id="17" name="Country of birth" dataDxfId="62"/>
    <tableColumn id="18" name="error_Country of birth" dataDxfId="61"/>
    <tableColumn id="19" name="Indigenous status" dataDxfId="60"/>
    <tableColumn id="20" name="error_Indigenous status" dataDxfId="59"/>
    <tableColumn id="21" name="Preferred language" dataDxfId="58"/>
    <tableColumn id="22" name="error_Preferred language" dataDxfId="57"/>
    <tableColumn id="23" name="Postcode (Australian)" dataDxfId="56"/>
    <tableColumn id="24" name="error_Postcode (Australian)" dataDxfId="55"/>
    <tableColumn id="25" name="Usual accommodation" dataDxfId="54"/>
    <tableColumn id="26" name="error_Usual accommodation" dataDxfId="53"/>
    <tableColumn id="27" name="Client type" dataDxfId="52"/>
    <tableColumn id="28" name="error_Client type" dataDxfId="51"/>
    <tableColumn id="29" name="Source of referral" dataDxfId="50"/>
    <tableColumn id="30" name="error_Source of referral" dataDxfId="49"/>
    <tableColumn id="31" name="Commencement date" dataDxfId="48"/>
    <tableColumn id="32" name="error_Commencement date" dataDxfId="47"/>
    <tableColumn id="33" name="End date" dataDxfId="46"/>
    <tableColumn id="34" name="error_End date" dataDxfId="45"/>
    <tableColumn id="35" name="Reason for cessation" dataDxfId="44"/>
    <tableColumn id="36" name="error_Reason for cessation" dataDxfId="43"/>
    <tableColumn id="37" name="Treatment delivery setting" dataDxfId="42"/>
    <tableColumn id="38" name="error_Treatment delivery setting" dataDxfId="41"/>
    <tableColumn id="39" name="Method of use for PDC" dataDxfId="40"/>
    <tableColumn id="40" name="error_Method of use for PDC" dataDxfId="39"/>
    <tableColumn id="41" name="Injecting drug use status" dataDxfId="38"/>
    <tableColumn id="42" name="error_Injecting drug use status" dataDxfId="37"/>
    <tableColumn id="43" name="Principle drug of concern" dataDxfId="36"/>
    <tableColumn id="44" name="error_Principle drug of concern" dataDxfId="35"/>
    <tableColumn id="45" name="ODC1" dataDxfId="34"/>
    <tableColumn id="46" name="error_ODC1" dataDxfId="33"/>
    <tableColumn id="47" name="ODC2" dataDxfId="32"/>
    <tableColumn id="48" name="error_ODC2" dataDxfId="31"/>
    <tableColumn id="49" name="ODC3" dataDxfId="30"/>
    <tableColumn id="50" name="error_ODC3" dataDxfId="29"/>
    <tableColumn id="51" name="ODC4" dataDxfId="28"/>
    <tableColumn id="52" name="error_ODC4" dataDxfId="27"/>
    <tableColumn id="53" name="ODC5" dataDxfId="26"/>
    <tableColumn id="54" name="error_ODC5" dataDxfId="25"/>
    <tableColumn id="55" name="Main treatment type" dataDxfId="24"/>
    <tableColumn id="56" name="error_Main treatment type" dataDxfId="23"/>
    <tableColumn id="57" name="OTT1" dataDxfId="22"/>
    <tableColumn id="58" name="error_OTT1" dataDxfId="21"/>
    <tableColumn id="59" name="OTT2" dataDxfId="20"/>
    <tableColumn id="60" name="error_OTT2" dataDxfId="19"/>
    <tableColumn id="61" name="OTT3" dataDxfId="18"/>
    <tableColumn id="62" name="error_OTT3" dataDxfId="17"/>
    <tableColumn id="63" name="OTT4" dataDxfId="16"/>
    <tableColumn id="64" name="error_OTT4" dataDxfId="15"/>
    <tableColumn id="65" name="OTT5" dataDxfId="14"/>
    <tableColumn id="66" name="error_OTT5" dataDxfId="13"/>
    <tableColumn id="67" name="Living arrangements" dataDxfId="12"/>
    <tableColumn id="68" name="error_Living arrangements" dataDxfId="11"/>
    <tableColumn id="69" name="Previous alcohol and other drug treatment received" dataDxfId="10"/>
    <tableColumn id="70" name="error_Previous alcohol and other drug treatment received" dataDxfId="9"/>
    <tableColumn id="71" name="Mental health" dataDxfId="8"/>
    <tableColumn id="72" name="error_Mental health" dataDxfId="7"/>
    <tableColumn id="73" name="has error">
      <calculatedColumnFormula>OR(AND(AI2="",AG2&lt;&gt;""),NOT(AND(BR2="",BP2="",BN2="",BL2="",BJ2="",BH2="",BF2="",BD2="",BB2="",AZ2="",AX2="",AV2="",AT2="",AR2="",AP2="",AN2="",AL2="",AJ2="",AH2="",AF2="",AD2="",AB2="",Z2="",X2="",V2="",T2="",R2="",P2="",N2="", L2="",J2="")))</calculatedColumnFormula>
    </tableColumn>
    <tableColumn id="74" name="error count">
      <calculatedColumnFormula>IF(L2="",0,1)+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2"/>
  <sheetViews>
    <sheetView tabSelected="1" zoomScale="85" zoomScaleNormal="85" workbookViewId="0">
      <pane xSplit="8" ySplit="1" topLeftCell="AR2" activePane="bottomRight" state="frozen"/>
      <selection pane="topRight" activeCell="I1" sqref="I1"/>
      <selection pane="bottomLeft" activeCell="A2" sqref="A2"/>
      <selection pane="bottomRight" activeCell="BQ3" sqref="BQ3"/>
    </sheetView>
  </sheetViews>
  <sheetFormatPr defaultRowHeight="15" x14ac:dyDescent="0.25"/>
  <cols>
    <col min="1" max="1" width="22.140625" customWidth="1"/>
    <col min="2" max="2" width="8.28515625" hidden="1" customWidth="1"/>
    <col min="3" max="3" width="7.42578125" bestFit="1" customWidth="1"/>
    <col min="4" max="4" width="10.140625" hidden="1" customWidth="1"/>
    <col min="5" max="5" width="12.140625" customWidth="1"/>
    <col min="6" max="6" width="17.140625" hidden="1" customWidth="1"/>
    <col min="7" max="7" width="19.28515625" bestFit="1" customWidth="1"/>
    <col min="8" max="8" width="5.85546875" style="16" hidden="1" customWidth="1"/>
    <col min="9" max="9" width="17.7109375" bestFit="1" customWidth="1"/>
    <col min="10" max="10" width="8.5703125" style="16" customWidth="1"/>
    <col min="11" max="11" width="9.42578125" bestFit="1" customWidth="1"/>
    <col min="12" max="12" width="9" style="16" customWidth="1"/>
    <col min="13" max="13" width="11.5703125" style="4" customWidth="1"/>
    <col min="14" max="14" width="11.28515625" style="16" customWidth="1"/>
    <col min="15" max="15" width="23.42578125" customWidth="1"/>
    <col min="16" max="16" width="5.7109375" style="16" customWidth="1"/>
    <col min="17" max="17" width="16.140625" customWidth="1"/>
    <col min="18" max="18" width="8.140625" style="16" customWidth="1"/>
    <col min="19" max="19" width="46.42578125" bestFit="1" customWidth="1"/>
    <col min="20" max="20" width="22.7109375" style="16" customWidth="1"/>
    <col min="21" max="21" width="19" customWidth="1"/>
    <col min="22" max="22" width="7.5703125" style="16" customWidth="1"/>
    <col min="23" max="23" width="15.85546875" style="4" customWidth="1"/>
    <col min="24" max="24" width="8.5703125" style="16" customWidth="1"/>
    <col min="25" max="25" width="37.140625" customWidth="1"/>
    <col min="26" max="26" width="6" style="16" customWidth="1"/>
    <col min="27" max="27" width="30.5703125" bestFit="1" customWidth="1"/>
    <col min="28" max="28" width="5" style="16" customWidth="1"/>
    <col min="29" max="29" width="22" customWidth="1"/>
    <col min="30" max="30" width="22.7109375" style="16" customWidth="1"/>
    <col min="31" max="31" width="21" style="4" customWidth="1"/>
    <col min="32" max="32" width="5.85546875" style="16" customWidth="1"/>
    <col min="33" max="33" width="13.28515625" style="4" bestFit="1" customWidth="1"/>
    <col min="34" max="34" width="6" style="16" customWidth="1"/>
    <col min="35" max="35" width="21.42578125" customWidth="1"/>
    <col min="36" max="36" width="6.7109375" style="16" customWidth="1"/>
    <col min="37" max="37" width="31.5703125" bestFit="1" customWidth="1"/>
    <col min="38" max="38" width="5.28515625" style="16" customWidth="1"/>
    <col min="39" max="39" width="21.85546875" customWidth="1"/>
    <col min="40" max="40" width="8.42578125" style="16" customWidth="1"/>
    <col min="41" max="41" width="29.85546875" customWidth="1"/>
    <col min="42" max="42" width="6.7109375" style="16" customWidth="1"/>
    <col min="43" max="43" width="25.28515625" customWidth="1"/>
    <col min="44" max="44" width="7" style="16" customWidth="1"/>
    <col min="45" max="45" width="14.28515625" customWidth="1"/>
    <col min="46" max="46" width="6.42578125" style="16" customWidth="1"/>
    <col min="47" max="47" width="7.140625" customWidth="1"/>
    <col min="48" max="48" width="4.28515625" style="16" customWidth="1"/>
    <col min="49" max="49" width="3.140625" customWidth="1"/>
    <col min="50" max="50" width="3.5703125" style="16" hidden="1" customWidth="1"/>
    <col min="51" max="51" width="11.7109375" hidden="1" customWidth="1"/>
    <col min="52" max="52" width="3.5703125" style="16" hidden="1" customWidth="1"/>
    <col min="53" max="53" width="13.42578125" hidden="1" customWidth="1"/>
    <col min="54" max="54" width="3.85546875" style="16" hidden="1" customWidth="1"/>
    <col min="55" max="55" width="23.28515625" customWidth="1"/>
    <col min="56" max="56" width="25.5703125" style="16" customWidth="1"/>
    <col min="57" max="57" width="13.42578125" customWidth="1"/>
    <col min="58" max="58" width="12.5703125" style="16" customWidth="1"/>
    <col min="59" max="59" width="10" hidden="1" customWidth="1"/>
    <col min="60" max="60" width="3.85546875" style="16" hidden="1" customWidth="1"/>
    <col min="61" max="61" width="10" hidden="1" customWidth="1"/>
    <col min="62" max="62" width="4.5703125" style="16" hidden="1" customWidth="1"/>
    <col min="63" max="63" width="10" hidden="1" customWidth="1"/>
    <col min="64" max="64" width="4.5703125" style="16" hidden="1" customWidth="1"/>
    <col min="65" max="65" width="10" hidden="1" customWidth="1"/>
    <col min="66" max="66" width="3.85546875" style="16" hidden="1" customWidth="1"/>
    <col min="67" max="67" width="21" customWidth="1"/>
    <col min="68" max="68" width="7.28515625" style="16" customWidth="1"/>
    <col min="69" max="69" width="45.7109375" customWidth="1"/>
    <col min="70" max="70" width="4.85546875" style="16" customWidth="1"/>
    <col min="71" max="71" width="28.7109375" customWidth="1"/>
    <col min="72" max="72" width="6.28515625" style="16" customWidth="1"/>
    <col min="73" max="73" width="10.5703125" customWidth="1"/>
  </cols>
  <sheetData>
    <row r="1" spans="1:74" ht="29.25" customHeight="1" thickBot="1" x14ac:dyDescent="0.3">
      <c r="A1" s="7" t="s">
        <v>71</v>
      </c>
      <c r="B1" s="8" t="s">
        <v>72</v>
      </c>
      <c r="C1" s="9" t="s">
        <v>0</v>
      </c>
      <c r="D1" s="8" t="s">
        <v>1</v>
      </c>
      <c r="E1" s="9" t="s">
        <v>2</v>
      </c>
      <c r="F1" s="8" t="s">
        <v>3</v>
      </c>
      <c r="G1" s="9" t="s">
        <v>4</v>
      </c>
      <c r="H1" s="15" t="s">
        <v>5</v>
      </c>
      <c r="I1" s="9" t="s">
        <v>6</v>
      </c>
      <c r="J1" s="15" t="s">
        <v>7</v>
      </c>
      <c r="K1" s="10" t="s">
        <v>8</v>
      </c>
      <c r="L1" s="15" t="s">
        <v>9</v>
      </c>
      <c r="M1" s="11" t="s">
        <v>10</v>
      </c>
      <c r="N1" s="15" t="s">
        <v>11</v>
      </c>
      <c r="O1" s="9" t="s">
        <v>12</v>
      </c>
      <c r="P1" s="15" t="s">
        <v>13</v>
      </c>
      <c r="Q1" s="9" t="s">
        <v>14</v>
      </c>
      <c r="R1" s="15" t="s">
        <v>15</v>
      </c>
      <c r="S1" s="9" t="s">
        <v>16</v>
      </c>
      <c r="T1" s="15" t="s">
        <v>17</v>
      </c>
      <c r="U1" s="9" t="s">
        <v>18</v>
      </c>
      <c r="V1" s="15" t="s">
        <v>19</v>
      </c>
      <c r="W1" s="12" t="s">
        <v>20</v>
      </c>
      <c r="X1" s="15" t="s">
        <v>21</v>
      </c>
      <c r="Y1" s="9" t="s">
        <v>22</v>
      </c>
      <c r="Z1" s="15" t="s">
        <v>23</v>
      </c>
      <c r="AA1" s="9" t="s">
        <v>24</v>
      </c>
      <c r="AB1" s="15" t="s">
        <v>25</v>
      </c>
      <c r="AC1" s="9" t="s">
        <v>26</v>
      </c>
      <c r="AD1" s="15" t="s">
        <v>27</v>
      </c>
      <c r="AE1" s="12" t="s">
        <v>28</v>
      </c>
      <c r="AF1" s="15" t="s">
        <v>29</v>
      </c>
      <c r="AG1" s="12" t="s">
        <v>30</v>
      </c>
      <c r="AH1" s="15" t="s">
        <v>31</v>
      </c>
      <c r="AI1" s="9" t="s">
        <v>32</v>
      </c>
      <c r="AJ1" s="15" t="s">
        <v>33</v>
      </c>
      <c r="AK1" s="9" t="s">
        <v>34</v>
      </c>
      <c r="AL1" s="15" t="s">
        <v>35</v>
      </c>
      <c r="AM1" s="9" t="s">
        <v>36</v>
      </c>
      <c r="AN1" s="15" t="s">
        <v>37</v>
      </c>
      <c r="AO1" s="9" t="s">
        <v>38</v>
      </c>
      <c r="AP1" s="15" t="s">
        <v>39</v>
      </c>
      <c r="AQ1" s="9" t="s">
        <v>40</v>
      </c>
      <c r="AR1" s="15" t="s">
        <v>41</v>
      </c>
      <c r="AS1" s="9" t="s">
        <v>42</v>
      </c>
      <c r="AT1" s="15" t="s">
        <v>43</v>
      </c>
      <c r="AU1" s="9" t="s">
        <v>44</v>
      </c>
      <c r="AV1" s="15" t="s">
        <v>45</v>
      </c>
      <c r="AW1" s="9" t="s">
        <v>46</v>
      </c>
      <c r="AX1" s="15" t="s">
        <v>47</v>
      </c>
      <c r="AY1" s="9" t="s">
        <v>48</v>
      </c>
      <c r="AZ1" s="15" t="s">
        <v>49</v>
      </c>
      <c r="BA1" s="9" t="s">
        <v>50</v>
      </c>
      <c r="BB1" s="15" t="s">
        <v>51</v>
      </c>
      <c r="BC1" s="9" t="s">
        <v>52</v>
      </c>
      <c r="BD1" s="15" t="s">
        <v>53</v>
      </c>
      <c r="BE1" s="9" t="s">
        <v>54</v>
      </c>
      <c r="BF1" s="15" t="s">
        <v>55</v>
      </c>
      <c r="BG1" s="9" t="s">
        <v>56</v>
      </c>
      <c r="BH1" s="15" t="s">
        <v>57</v>
      </c>
      <c r="BI1" s="9" t="s">
        <v>58</v>
      </c>
      <c r="BJ1" s="15" t="s">
        <v>59</v>
      </c>
      <c r="BK1" s="9" t="s">
        <v>60</v>
      </c>
      <c r="BL1" s="15" t="s">
        <v>61</v>
      </c>
      <c r="BM1" s="9" t="s">
        <v>62</v>
      </c>
      <c r="BN1" s="15" t="s">
        <v>63</v>
      </c>
      <c r="BO1" s="9" t="s">
        <v>64</v>
      </c>
      <c r="BP1" s="15" t="s">
        <v>65</v>
      </c>
      <c r="BQ1" s="9" t="s">
        <v>66</v>
      </c>
      <c r="BR1" s="15" t="s">
        <v>67</v>
      </c>
      <c r="BS1" s="9" t="s">
        <v>68</v>
      </c>
      <c r="BT1" s="15" t="s">
        <v>69</v>
      </c>
      <c r="BU1" s="3" t="s">
        <v>70</v>
      </c>
      <c r="BV1" t="s">
        <v>73</v>
      </c>
    </row>
    <row r="2" spans="1:74" ht="20.25" customHeight="1" thickTop="1" x14ac:dyDescent="0.25">
      <c r="A2" s="17"/>
      <c r="B2" s="18"/>
      <c r="C2" s="18"/>
      <c r="D2" s="19"/>
      <c r="E2" s="18"/>
      <c r="F2" s="19"/>
      <c r="G2" s="18"/>
      <c r="H2" s="20"/>
      <c r="I2" s="21"/>
      <c r="J2" s="20"/>
      <c r="K2" s="21"/>
      <c r="L2" s="20"/>
      <c r="M2" s="22"/>
      <c r="N2" s="20"/>
      <c r="O2" s="23"/>
      <c r="P2" s="20"/>
      <c r="Q2" s="21"/>
      <c r="R2" s="20"/>
      <c r="S2" s="14"/>
      <c r="T2" s="20"/>
      <c r="U2" s="21"/>
      <c r="V2" s="20"/>
      <c r="W2" s="22"/>
      <c r="X2" s="20"/>
      <c r="Y2" s="21"/>
      <c r="Z2" s="20"/>
      <c r="AA2" s="13"/>
      <c r="AB2" s="20"/>
      <c r="AC2" s="21"/>
      <c r="AD2" s="20"/>
      <c r="AE2" s="22"/>
      <c r="AF2" s="20"/>
      <c r="AG2" s="22"/>
      <c r="AH2" s="20"/>
      <c r="AI2" s="21"/>
      <c r="AJ2" s="20"/>
      <c r="AK2" s="21"/>
      <c r="AL2" s="20"/>
      <c r="AM2" s="21"/>
      <c r="AN2" s="20"/>
      <c r="AO2" s="21"/>
      <c r="AP2" s="20"/>
      <c r="AQ2" s="21"/>
      <c r="AR2" s="20"/>
      <c r="AS2" s="21"/>
      <c r="AT2" s="20"/>
      <c r="AU2" s="21"/>
      <c r="AV2" s="20"/>
      <c r="AW2" s="21"/>
      <c r="AX2" s="20"/>
      <c r="AY2" s="21"/>
      <c r="AZ2" s="20"/>
      <c r="BA2" s="21"/>
      <c r="BB2" s="20"/>
      <c r="BC2" s="21"/>
      <c r="BD2" s="20"/>
      <c r="BE2" s="21"/>
      <c r="BF2" s="20"/>
      <c r="BG2" s="21"/>
      <c r="BH2" s="20"/>
      <c r="BI2" s="21"/>
      <c r="BJ2" s="20"/>
      <c r="BK2" s="21"/>
      <c r="BL2" s="20"/>
      <c r="BM2" s="21"/>
      <c r="BN2" s="20"/>
      <c r="BO2" s="21"/>
      <c r="BP2" s="20"/>
      <c r="BQ2" s="21"/>
      <c r="BR2" s="20"/>
      <c r="BS2" s="21"/>
      <c r="BT2" s="20"/>
      <c r="BU2" t="b">
        <f>OR(AND(AI2="",AG2&lt;&gt;""),NOT(AND(BR2="",BP2="",BN2="",BL2="",BJ2="",BH2="",BF2="",BD2="",BB2="",AZ2="",AX2="",AV2="",AT2="",AR2="",AP2="",AN2="",AL2="",AJ2="",AH2="",AF2="",AD2="",AB2="",Z2="",X2="",V2="",T2="",R2="",P2="",N2="", L2="",J2="")))</f>
        <v>0</v>
      </c>
      <c r="BV2">
        <f>IF(L2="",0,1)+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f>
        <v>0</v>
      </c>
    </row>
  </sheetData>
  <phoneticPr fontId="4" type="noConversion"/>
  <conditionalFormatting sqref="M2 K2 G2 E2 Q2 S2 U2 W2 Y2 AS2 AU2 AW2 AY2 BA2 BE2 BG2 BI2 BK2 BM2 AA2 AC2 AK2 AM2 AO2 AQ2 BC2 BO2 BQ2 BS2 I2 AG2 AE2 O2">
    <cfRule type="expression" dxfId="6" priority="1047">
      <formula>F2&lt;&gt;""</formula>
    </cfRule>
  </conditionalFormatting>
  <conditionalFormatting sqref="AI2">
    <cfRule type="expression" dxfId="5" priority="810">
      <formula>AND($AG2&lt;&gt;"",$AI2="")</formula>
    </cfRule>
    <cfRule type="expression" dxfId="4" priority="1020">
      <formula>AJ2&lt;&gt;""</formula>
    </cfRule>
  </conditionalFormatting>
  <conditionalFormatting sqref="AE2 I2 BO2 BC2 AK2 AC2 AA2 Y2 W2 U2 S2 Q2 M2 K2">
    <cfRule type="containsBlanks" dxfId="3" priority="903">
      <formula>LEN(TRIM(I2))=0</formula>
    </cfRule>
  </conditionalFormatting>
  <conditionalFormatting sqref="C2">
    <cfRule type="containsBlanks" dxfId="2" priority="818">
      <formula>LEN(TRIM(C2))=0</formula>
    </cfRule>
  </conditionalFormatting>
  <conditionalFormatting sqref="O2">
    <cfRule type="containsBlanks" dxfId="1" priority="4">
      <formula>LEN(TRIM(O2))=0</formula>
    </cfRule>
  </conditionalFormatting>
  <conditionalFormatting sqref="AM2 AO2 AQ2">
    <cfRule type="expression" dxfId="0" priority="1">
      <formula>AND($AA2="Own alcohol or other drug use",OR($AM2="",$AO2="",$AQ2=""))</formula>
    </cfRule>
  </conditionalFormatting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"/>
  <sheetViews>
    <sheetView workbookViewId="0">
      <selection activeCell="B31" sqref="B31"/>
    </sheetView>
  </sheetViews>
  <sheetFormatPr defaultRowHeight="15" x14ac:dyDescent="0.25"/>
  <sheetData>
    <row r="1" spans="1:2" x14ac:dyDescent="0.25">
      <c r="A1" t="s">
        <v>104</v>
      </c>
    </row>
    <row r="2" spans="1:2" x14ac:dyDescent="0.25">
      <c r="A2" t="s">
        <v>103</v>
      </c>
      <c r="B2" t="str">
        <f>"if("&amp;A2&amp;"="""",0,1)"</f>
        <v>if(BR2="",0,1)</v>
      </c>
    </row>
    <row r="3" spans="1:2" x14ac:dyDescent="0.25">
      <c r="A3" t="s">
        <v>74</v>
      </c>
      <c r="B3" t="str">
        <f>"if("&amp;A3&amp;"="""",0,1)+"&amp;B2</f>
        <v>if(BP2="",0,1)+if(BR2="",0,1)</v>
      </c>
    </row>
    <row r="4" spans="1:2" x14ac:dyDescent="0.25">
      <c r="A4" t="s">
        <v>75</v>
      </c>
      <c r="B4" t="str">
        <f t="shared" ref="B4:B31" si="0">"if("&amp;A4&amp;"="""",0,1)+"&amp;B3</f>
        <v>if(BN2="",0,1)+if(BP2="",0,1)+if(BR2="",0,1)</v>
      </c>
    </row>
    <row r="5" spans="1:2" x14ac:dyDescent="0.25">
      <c r="A5" t="s">
        <v>76</v>
      </c>
      <c r="B5" t="str">
        <f t="shared" si="0"/>
        <v>if(BL2="",0,1)+if(BN2="",0,1)+if(BP2="",0,1)+if(BR2="",0,1)</v>
      </c>
    </row>
    <row r="6" spans="1:2" x14ac:dyDescent="0.25">
      <c r="A6" t="s">
        <v>77</v>
      </c>
      <c r="B6" t="str">
        <f t="shared" si="0"/>
        <v>if(BJ2="",0,1)+if(BL2="",0,1)+if(BN2="",0,1)+if(BP2="",0,1)+if(BR2="",0,1)</v>
      </c>
    </row>
    <row r="7" spans="1:2" x14ac:dyDescent="0.25">
      <c r="A7" t="s">
        <v>78</v>
      </c>
      <c r="B7" t="str">
        <f t="shared" si="0"/>
        <v>if(BH2="",0,1)+if(BJ2="",0,1)+if(BL2="",0,1)+if(BN2="",0,1)+if(BP2="",0,1)+if(BR2="",0,1)</v>
      </c>
    </row>
    <row r="8" spans="1:2" x14ac:dyDescent="0.25">
      <c r="A8" t="s">
        <v>79</v>
      </c>
      <c r="B8" t="str">
        <f t="shared" si="0"/>
        <v>if(BF2="",0,1)+if(BH2="",0,1)+if(BJ2="",0,1)+if(BL2="",0,1)+if(BN2="",0,1)+if(BP2="",0,1)+if(BR2="",0,1)</v>
      </c>
    </row>
    <row r="9" spans="1:2" x14ac:dyDescent="0.25">
      <c r="A9" t="s">
        <v>80</v>
      </c>
      <c r="B9" t="str">
        <f t="shared" si="0"/>
        <v>if(BD2="",0,1)+if(BF2="",0,1)+if(BH2="",0,1)+if(BJ2="",0,1)+if(BL2="",0,1)+if(BN2="",0,1)+if(BP2="",0,1)+if(BR2="",0,1)</v>
      </c>
    </row>
    <row r="10" spans="1:2" x14ac:dyDescent="0.25">
      <c r="A10" t="s">
        <v>81</v>
      </c>
      <c r="B10" t="str">
        <f t="shared" si="0"/>
        <v>if(BB2="",0,1)+if(BD2="",0,1)+if(BF2="",0,1)+if(BH2="",0,1)+if(BJ2="",0,1)+if(BL2="",0,1)+if(BN2="",0,1)+if(BP2="",0,1)+if(BR2="",0,1)</v>
      </c>
    </row>
    <row r="11" spans="1:2" x14ac:dyDescent="0.25">
      <c r="A11" t="s">
        <v>82</v>
      </c>
      <c r="B11" t="str">
        <f t="shared" si="0"/>
        <v>if(AZ2="",0,1)+if(BB2="",0,1)+if(BD2="",0,1)+if(BF2="",0,1)+if(BH2="",0,1)+if(BJ2="",0,1)+if(BL2="",0,1)+if(BN2="",0,1)+if(BP2="",0,1)+if(BR2="",0,1)</v>
      </c>
    </row>
    <row r="12" spans="1:2" x14ac:dyDescent="0.25">
      <c r="A12" t="s">
        <v>83</v>
      </c>
      <c r="B12" t="str">
        <f t="shared" si="0"/>
        <v>if(AX2="",0,1)+if(AZ2="",0,1)+if(BB2="",0,1)+if(BD2="",0,1)+if(BF2="",0,1)+if(BH2="",0,1)+if(BJ2="",0,1)+if(BL2="",0,1)+if(BN2="",0,1)+if(BP2="",0,1)+if(BR2="",0,1)</v>
      </c>
    </row>
    <row r="13" spans="1:2" x14ac:dyDescent="0.25">
      <c r="A13" t="s">
        <v>84</v>
      </c>
      <c r="B13" t="str">
        <f t="shared" si="0"/>
        <v>if(AV2="",0,1)+if(AX2="",0,1)+if(AZ2="",0,1)+if(BB2="",0,1)+if(BD2="",0,1)+if(BF2="",0,1)+if(BH2="",0,1)+if(BJ2="",0,1)+if(BL2="",0,1)+if(BN2="",0,1)+if(BP2="",0,1)+if(BR2="",0,1)</v>
      </c>
    </row>
    <row r="14" spans="1:2" x14ac:dyDescent="0.25">
      <c r="A14" t="s">
        <v>85</v>
      </c>
      <c r="B14" t="str">
        <f t="shared" si="0"/>
        <v>if(AT2="",0,1)+if(AV2="",0,1)+if(AX2="",0,1)+if(AZ2="",0,1)+if(BB2="",0,1)+if(BD2="",0,1)+if(BF2="",0,1)+if(BH2="",0,1)+if(BJ2="",0,1)+if(BL2="",0,1)+if(BN2="",0,1)+if(BP2="",0,1)+if(BR2="",0,1)</v>
      </c>
    </row>
    <row r="15" spans="1:2" x14ac:dyDescent="0.25">
      <c r="A15" t="s">
        <v>86</v>
      </c>
      <c r="B15" t="str">
        <f t="shared" si="0"/>
        <v>if(AR2="",0,1)+if(AT2="",0,1)+if(AV2="",0,1)+if(AX2="",0,1)+if(AZ2="",0,1)+if(BB2="",0,1)+if(BD2="",0,1)+if(BF2="",0,1)+if(BH2="",0,1)+if(BJ2="",0,1)+if(BL2="",0,1)+if(BN2="",0,1)+if(BP2="",0,1)+if(BR2="",0,1)</v>
      </c>
    </row>
    <row r="16" spans="1:2" x14ac:dyDescent="0.25">
      <c r="A16" t="s">
        <v>87</v>
      </c>
      <c r="B16" t="str">
        <f t="shared" si="0"/>
        <v>if(AP2="",0,1)+if(AR2="",0,1)+if(AT2="",0,1)+if(AV2="",0,1)+if(AX2="",0,1)+if(AZ2="",0,1)+if(BB2="",0,1)+if(BD2="",0,1)+if(BF2="",0,1)+if(BH2="",0,1)+if(BJ2="",0,1)+if(BL2="",0,1)+if(BN2="",0,1)+if(BP2="",0,1)+if(BR2="",0,1)</v>
      </c>
    </row>
    <row r="17" spans="1:2" x14ac:dyDescent="0.25">
      <c r="A17" t="s">
        <v>88</v>
      </c>
      <c r="B17" t="str">
        <f t="shared" si="0"/>
        <v>if(AN2="",0,1)+if(AP2="",0,1)+if(AR2="",0,1)+if(AT2="",0,1)+if(AV2="",0,1)+if(AX2="",0,1)+if(AZ2="",0,1)+if(BB2="",0,1)+if(BD2="",0,1)+if(BF2="",0,1)+if(BH2="",0,1)+if(BJ2="",0,1)+if(BL2="",0,1)+if(BN2="",0,1)+if(BP2="",0,1)+if(BR2="",0,1)</v>
      </c>
    </row>
    <row r="18" spans="1:2" x14ac:dyDescent="0.25">
      <c r="A18" t="s">
        <v>89</v>
      </c>
      <c r="B18" t="str">
        <f t="shared" si="0"/>
        <v>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19" spans="1:2" x14ac:dyDescent="0.25">
      <c r="A19" t="s">
        <v>90</v>
      </c>
      <c r="B19" t="str">
        <f t="shared" si="0"/>
        <v>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0" spans="1:2" x14ac:dyDescent="0.25">
      <c r="A20" t="s">
        <v>91</v>
      </c>
      <c r="B20" t="str">
        <f t="shared" si="0"/>
        <v>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1" spans="1:2" x14ac:dyDescent="0.25">
      <c r="A21" t="s">
        <v>92</v>
      </c>
      <c r="B21" t="str">
        <f t="shared" si="0"/>
        <v>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2" spans="1:2" x14ac:dyDescent="0.25">
      <c r="A22" t="s">
        <v>93</v>
      </c>
      <c r="B22" t="str">
        <f t="shared" si="0"/>
        <v>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3" spans="1:2" x14ac:dyDescent="0.25">
      <c r="A23" t="s">
        <v>94</v>
      </c>
      <c r="B23" t="str">
        <f t="shared" si="0"/>
        <v>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4" spans="1:2" x14ac:dyDescent="0.25">
      <c r="A24" t="s">
        <v>95</v>
      </c>
      <c r="B24" t="str">
        <f t="shared" si="0"/>
        <v>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5" spans="1:2" x14ac:dyDescent="0.25">
      <c r="A25" t="s">
        <v>96</v>
      </c>
      <c r="B25" t="str">
        <f t="shared" si="0"/>
        <v>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6" spans="1:2" x14ac:dyDescent="0.25">
      <c r="A26" t="s">
        <v>97</v>
      </c>
      <c r="B26" t="str">
        <f t="shared" si="0"/>
        <v>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7" spans="1:2" x14ac:dyDescent="0.25">
      <c r="A27" t="s">
        <v>98</v>
      </c>
      <c r="B27" t="str">
        <f t="shared" si="0"/>
        <v>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8" spans="1:2" x14ac:dyDescent="0.25">
      <c r="A28" t="s">
        <v>99</v>
      </c>
      <c r="B28" t="str">
        <f t="shared" si="0"/>
        <v>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29" spans="1:2" x14ac:dyDescent="0.25">
      <c r="A29" t="s">
        <v>100</v>
      </c>
      <c r="B29" t="str">
        <f t="shared" si="0"/>
        <v>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30" spans="1:2" x14ac:dyDescent="0.25">
      <c r="A30" t="s">
        <v>101</v>
      </c>
      <c r="B30" t="str">
        <f t="shared" si="0"/>
        <v>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31" spans="1:2" x14ac:dyDescent="0.25">
      <c r="A31" t="s">
        <v>102</v>
      </c>
      <c r="B31" t="str">
        <f t="shared" si="0"/>
        <v>if( L2="",0,1)+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v>
      </c>
    </row>
    <row r="34" spans="1:1" x14ac:dyDescent="0.25">
      <c r="A34" t="s">
        <v>105</v>
      </c>
    </row>
  </sheetData>
  <autoFilter ref="A1:A3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71</v>
      </c>
      <c r="B1" s="1" t="s">
        <v>72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5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6" t="s">
        <v>28</v>
      </c>
      <c r="AF1" s="1" t="s">
        <v>29</v>
      </c>
      <c r="AG1" s="6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loaded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2019-12-09T06:06:35Z</dcterms:modified>
</cp:coreProperties>
</file>