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ftab.jalal\dev\MDSValidator\"/>
    </mc:Choice>
  </mc:AlternateContent>
  <bookViews>
    <workbookView xWindow="-120" yWindow="-120" windowWidth="29040" windowHeight="15840" activeTab="3"/>
  </bookViews>
  <sheets>
    <sheet name="loaded" sheetId="6" r:id="rId1"/>
    <sheet name="Sheet1" sheetId="7" state="hidden" r:id="rId2"/>
    <sheet name="coded" sheetId="2" r:id="rId3"/>
    <sheet name="code_mappings" sheetId="3" r:id="rId4"/>
  </sheets>
  <definedNames>
    <definedName name="_xlnm._FilterDatabase" localSheetId="3" hidden="1">code_mappings!$B$1:$B$259</definedName>
    <definedName name="_xlnm._FilterDatabase" localSheetId="0" hidden="1">loaded!$BU$1:$BU$10</definedName>
    <definedName name="atsi">code_mappings!$K$1:$K$6</definedName>
    <definedName name="atsi_codes">code_mappings!$J$1:$J$6</definedName>
    <definedName name="client">code_mappings!$U$11:$U$12</definedName>
    <definedName name="client_codes">code_mappings!$T$11:$T$12</definedName>
    <definedName name="cntry_codes">code_mappings!$A$1:$A$259</definedName>
    <definedName name="countries">code_mappings!$B$1:$B$259</definedName>
    <definedName name="drug">code_mappings!$H$2:$H$185</definedName>
    <definedName name="drug_codes">code_mappings!$G$2:$G$185</definedName>
    <definedName name="inj">code_mappings!$R$26:$R$30</definedName>
    <definedName name="inj_codes">code_mappings!$Q$26:$Q$30</definedName>
    <definedName name="lang">code_mappings!$E$2:$E$221</definedName>
    <definedName name="lang_codes">code_mappings!$D$2:$D$221</definedName>
    <definedName name="liv_ar">code_mappings!$K$10:$K$20</definedName>
    <definedName name="liv_ar_codes">code_mappings!$J$10:$J$20</definedName>
    <definedName name="mental">code_mappings!$U$2:$U$7</definedName>
    <definedName name="mental_codes">code_mappings!$T$2:$T$7</definedName>
    <definedName name="method">code_mappings!$N$2:$N$8</definedName>
    <definedName name="method_codes">code_mappings!$M$2:$M$8</definedName>
    <definedName name="MTT">code_mappings!$N$25:$N$33</definedName>
    <definedName name="MTT_codes">code_mappings!$M$25:$M$33</definedName>
    <definedName name="reason">code_mappings!$R$2:$R$16</definedName>
    <definedName name="reces_codes">code_mappings!$Q$2:$Q$16</definedName>
    <definedName name="src_ref">code_mappings!$N$11:$N$22</definedName>
    <definedName name="src_ref_codes">code_mappings!$M$11:$M$22</definedName>
    <definedName name="TDS">code_mappings!$R$19:$R$23</definedName>
    <definedName name="TDS_codes">code_mappings!$Q$19:$Q$23</definedName>
    <definedName name="us_acc">code_mappings!$K$23:$K$40</definedName>
    <definedName name="us_acc_codes">code_mappings!$J$23:$J$40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1" i="2" l="1"/>
  <c r="B101" i="2"/>
  <c r="C101" i="2"/>
  <c r="D101" i="2"/>
  <c r="E101" i="2"/>
  <c r="F101" i="2"/>
  <c r="G101" i="2"/>
  <c r="H101" i="2"/>
  <c r="I101" i="2"/>
  <c r="J101" i="2"/>
  <c r="K101" i="2"/>
  <c r="Q101" i="2" s="1"/>
  <c r="L101" i="2"/>
  <c r="M101" i="2"/>
  <c r="N101" i="2"/>
  <c r="O101" i="2"/>
  <c r="P101" i="2"/>
  <c r="S101" i="2"/>
  <c r="T101" i="2"/>
  <c r="V101" i="2"/>
  <c r="W101" i="2"/>
  <c r="Y101" i="2"/>
  <c r="Z101" i="2"/>
  <c r="AA101" i="2"/>
  <c r="AB101" i="2"/>
  <c r="AC101" i="2"/>
  <c r="AD101" i="2"/>
  <c r="AE101" i="2"/>
  <c r="AF101" i="2"/>
  <c r="AG101" i="2"/>
  <c r="A102" i="2"/>
  <c r="B102" i="2"/>
  <c r="C102" i="2"/>
  <c r="D102" i="2"/>
  <c r="E102" i="2"/>
  <c r="F102" i="2"/>
  <c r="G102" i="2"/>
  <c r="H102" i="2"/>
  <c r="I102" i="2"/>
  <c r="J102" i="2"/>
  <c r="K102" i="2"/>
  <c r="X102" i="2" s="1"/>
  <c r="L102" i="2"/>
  <c r="M102" i="2"/>
  <c r="N102" i="2"/>
  <c r="O102" i="2"/>
  <c r="P102" i="2"/>
  <c r="R102" i="2"/>
  <c r="S102" i="2"/>
  <c r="U102" i="2"/>
  <c r="V102" i="2"/>
  <c r="Y102" i="2"/>
  <c r="Z102" i="2"/>
  <c r="AA102" i="2"/>
  <c r="AB102" i="2"/>
  <c r="AC102" i="2"/>
  <c r="AD102" i="2"/>
  <c r="AE102" i="2"/>
  <c r="AF102" i="2"/>
  <c r="AG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104" i="2"/>
  <c r="B104" i="2"/>
  <c r="C104" i="2"/>
  <c r="D104" i="2"/>
  <c r="E104" i="2"/>
  <c r="F104" i="2"/>
  <c r="G104" i="2"/>
  <c r="H104" i="2"/>
  <c r="I104" i="2"/>
  <c r="J104" i="2"/>
  <c r="K104" i="2"/>
  <c r="V104" i="2" s="1"/>
  <c r="L104" i="2"/>
  <c r="M104" i="2"/>
  <c r="N104" i="2"/>
  <c r="O104" i="2"/>
  <c r="P104" i="2"/>
  <c r="S104" i="2"/>
  <c r="T104" i="2"/>
  <c r="U104" i="2"/>
  <c r="W104" i="2"/>
  <c r="X104" i="2"/>
  <c r="Y104" i="2"/>
  <c r="Z104" i="2"/>
  <c r="AA104" i="2"/>
  <c r="AB104" i="2"/>
  <c r="AC104" i="2"/>
  <c r="AD104" i="2"/>
  <c r="AE104" i="2"/>
  <c r="AF104" i="2"/>
  <c r="AG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S105" i="2"/>
  <c r="Y105" i="2"/>
  <c r="Z105" i="2"/>
  <c r="AA105" i="2"/>
  <c r="AB105" i="2"/>
  <c r="AC105" i="2"/>
  <c r="AD105" i="2"/>
  <c r="AE105" i="2"/>
  <c r="AF105" i="2"/>
  <c r="AG105" i="2"/>
  <c r="A106" i="2"/>
  <c r="B106" i="2"/>
  <c r="C106" i="2"/>
  <c r="D106" i="2"/>
  <c r="E106" i="2"/>
  <c r="F106" i="2"/>
  <c r="G106" i="2"/>
  <c r="H106" i="2"/>
  <c r="I106" i="2"/>
  <c r="J106" i="2"/>
  <c r="K106" i="2"/>
  <c r="T106" i="2" s="1"/>
  <c r="L106" i="2"/>
  <c r="M106" i="2"/>
  <c r="N106" i="2"/>
  <c r="O106" i="2"/>
  <c r="P106" i="2"/>
  <c r="R106" i="2"/>
  <c r="S106" i="2"/>
  <c r="U106" i="2"/>
  <c r="V106" i="2"/>
  <c r="W106" i="2"/>
  <c r="Y106" i="2"/>
  <c r="Z106" i="2"/>
  <c r="AA106" i="2"/>
  <c r="AB106" i="2"/>
  <c r="AC106" i="2"/>
  <c r="AD106" i="2"/>
  <c r="AE106" i="2"/>
  <c r="AF106" i="2"/>
  <c r="AG106" i="2"/>
  <c r="A107" i="2"/>
  <c r="B107" i="2"/>
  <c r="C107" i="2"/>
  <c r="D107" i="2"/>
  <c r="E107" i="2"/>
  <c r="F107" i="2"/>
  <c r="G107" i="2"/>
  <c r="H107" i="2"/>
  <c r="I107" i="2"/>
  <c r="J107" i="2"/>
  <c r="K107" i="2"/>
  <c r="W107" i="2" s="1"/>
  <c r="L107" i="2"/>
  <c r="M107" i="2"/>
  <c r="N107" i="2"/>
  <c r="O107" i="2"/>
  <c r="P107" i="2"/>
  <c r="Q107" i="2"/>
  <c r="R107" i="2"/>
  <c r="S107" i="2"/>
  <c r="T107" i="2"/>
  <c r="U107" i="2"/>
  <c r="V107" i="2"/>
  <c r="X107" i="2"/>
  <c r="Y107" i="2"/>
  <c r="Z107" i="2"/>
  <c r="AA107" i="2"/>
  <c r="AB107" i="2"/>
  <c r="AC107" i="2"/>
  <c r="AD107" i="2"/>
  <c r="AE107" i="2"/>
  <c r="AF107" i="2"/>
  <c r="AG107" i="2"/>
  <c r="A108" i="2"/>
  <c r="B108" i="2"/>
  <c r="C108" i="2"/>
  <c r="D108" i="2"/>
  <c r="E108" i="2"/>
  <c r="F108" i="2"/>
  <c r="G108" i="2"/>
  <c r="H108" i="2"/>
  <c r="I108" i="2"/>
  <c r="J108" i="2"/>
  <c r="K108" i="2"/>
  <c r="R108" i="2" s="1"/>
  <c r="L108" i="2"/>
  <c r="M108" i="2"/>
  <c r="N108" i="2"/>
  <c r="O108" i="2"/>
  <c r="P108" i="2"/>
  <c r="S108" i="2"/>
  <c r="T108" i="2"/>
  <c r="U108" i="2"/>
  <c r="W108" i="2"/>
  <c r="X108" i="2"/>
  <c r="Y108" i="2"/>
  <c r="Z108" i="2"/>
  <c r="AA108" i="2"/>
  <c r="AB108" i="2"/>
  <c r="AC108" i="2"/>
  <c r="AD108" i="2"/>
  <c r="AE108" i="2"/>
  <c r="AF108" i="2"/>
  <c r="AG108" i="2"/>
  <c r="A109" i="2"/>
  <c r="B109" i="2"/>
  <c r="C109" i="2"/>
  <c r="D109" i="2"/>
  <c r="E109" i="2"/>
  <c r="F109" i="2"/>
  <c r="G109" i="2"/>
  <c r="H109" i="2"/>
  <c r="I109" i="2"/>
  <c r="J109" i="2"/>
  <c r="K109" i="2"/>
  <c r="Q109" i="2" s="1"/>
  <c r="L109" i="2"/>
  <c r="M109" i="2"/>
  <c r="N109" i="2"/>
  <c r="O109" i="2"/>
  <c r="P109" i="2"/>
  <c r="S109" i="2"/>
  <c r="T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110" i="2"/>
  <c r="B110" i="2"/>
  <c r="C110" i="2"/>
  <c r="D110" i="2"/>
  <c r="E110" i="2"/>
  <c r="F110" i="2"/>
  <c r="G110" i="2"/>
  <c r="H110" i="2"/>
  <c r="I110" i="2"/>
  <c r="J110" i="2"/>
  <c r="K110" i="2"/>
  <c r="X110" i="2" s="1"/>
  <c r="L110" i="2"/>
  <c r="M110" i="2"/>
  <c r="N110" i="2"/>
  <c r="O110" i="2"/>
  <c r="P110" i="2"/>
  <c r="R110" i="2"/>
  <c r="S110" i="2"/>
  <c r="U110" i="2"/>
  <c r="V110" i="2"/>
  <c r="W110" i="2"/>
  <c r="Y110" i="2"/>
  <c r="Z110" i="2"/>
  <c r="AA110" i="2"/>
  <c r="AB110" i="2"/>
  <c r="AC110" i="2"/>
  <c r="AD110" i="2"/>
  <c r="AE110" i="2"/>
  <c r="AF110" i="2"/>
  <c r="AG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112" i="2"/>
  <c r="B112" i="2"/>
  <c r="C112" i="2"/>
  <c r="D112" i="2"/>
  <c r="E112" i="2"/>
  <c r="F112" i="2"/>
  <c r="G112" i="2"/>
  <c r="H112" i="2"/>
  <c r="I112" i="2"/>
  <c r="J112" i="2"/>
  <c r="K112" i="2"/>
  <c r="V112" i="2" s="1"/>
  <c r="L112" i="2"/>
  <c r="M112" i="2"/>
  <c r="N112" i="2"/>
  <c r="O112" i="2"/>
  <c r="P112" i="2"/>
  <c r="S112" i="2"/>
  <c r="T112" i="2"/>
  <c r="U112" i="2"/>
  <c r="X112" i="2"/>
  <c r="Y112" i="2"/>
  <c r="Z112" i="2"/>
  <c r="AA112" i="2"/>
  <c r="AB112" i="2"/>
  <c r="AC112" i="2"/>
  <c r="AD112" i="2"/>
  <c r="AE112" i="2"/>
  <c r="AF112" i="2"/>
  <c r="AG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S113" i="2"/>
  <c r="Y113" i="2"/>
  <c r="Z113" i="2"/>
  <c r="AA113" i="2"/>
  <c r="AB113" i="2"/>
  <c r="AC113" i="2"/>
  <c r="AD113" i="2"/>
  <c r="AE113" i="2"/>
  <c r="AF113" i="2"/>
  <c r="AG113" i="2"/>
  <c r="A114" i="2"/>
  <c r="B114" i="2"/>
  <c r="C114" i="2"/>
  <c r="D114" i="2"/>
  <c r="E114" i="2"/>
  <c r="F114" i="2"/>
  <c r="G114" i="2"/>
  <c r="H114" i="2"/>
  <c r="I114" i="2"/>
  <c r="J114" i="2"/>
  <c r="K114" i="2"/>
  <c r="T114" i="2" s="1"/>
  <c r="L114" i="2"/>
  <c r="M114" i="2"/>
  <c r="N114" i="2"/>
  <c r="O114" i="2"/>
  <c r="P114" i="2"/>
  <c r="R114" i="2"/>
  <c r="S114" i="2"/>
  <c r="V114" i="2"/>
  <c r="W114" i="2"/>
  <c r="Y114" i="2"/>
  <c r="Z114" i="2"/>
  <c r="AA114" i="2"/>
  <c r="AB114" i="2"/>
  <c r="AC114" i="2"/>
  <c r="AD114" i="2"/>
  <c r="AE114" i="2"/>
  <c r="AF114" i="2"/>
  <c r="AG114" i="2"/>
  <c r="A115" i="2"/>
  <c r="B115" i="2"/>
  <c r="C115" i="2"/>
  <c r="D115" i="2"/>
  <c r="E115" i="2"/>
  <c r="F115" i="2"/>
  <c r="G115" i="2"/>
  <c r="H115" i="2"/>
  <c r="I115" i="2"/>
  <c r="J115" i="2"/>
  <c r="K115" i="2"/>
  <c r="W115" i="2" s="1"/>
  <c r="L115" i="2"/>
  <c r="M115" i="2"/>
  <c r="N115" i="2"/>
  <c r="O115" i="2"/>
  <c r="P115" i="2"/>
  <c r="Q115" i="2"/>
  <c r="R115" i="2"/>
  <c r="S115" i="2"/>
  <c r="T115" i="2"/>
  <c r="U115" i="2"/>
  <c r="V115" i="2"/>
  <c r="X115" i="2"/>
  <c r="Y115" i="2"/>
  <c r="Z115" i="2"/>
  <c r="AA115" i="2"/>
  <c r="AB115" i="2"/>
  <c r="AC115" i="2"/>
  <c r="AD115" i="2"/>
  <c r="AE115" i="2"/>
  <c r="AF115" i="2"/>
  <c r="AG115" i="2"/>
  <c r="A116" i="2"/>
  <c r="B116" i="2"/>
  <c r="C116" i="2"/>
  <c r="D116" i="2"/>
  <c r="E116" i="2"/>
  <c r="F116" i="2"/>
  <c r="G116" i="2"/>
  <c r="H116" i="2"/>
  <c r="I116" i="2"/>
  <c r="J116" i="2"/>
  <c r="K116" i="2"/>
  <c r="R116" i="2" s="1"/>
  <c r="L116" i="2"/>
  <c r="M116" i="2"/>
  <c r="N116" i="2"/>
  <c r="O116" i="2"/>
  <c r="P116" i="2"/>
  <c r="Q116" i="2"/>
  <c r="S116" i="2"/>
  <c r="T116" i="2"/>
  <c r="U116" i="2"/>
  <c r="W116" i="2"/>
  <c r="X116" i="2"/>
  <c r="Y116" i="2"/>
  <c r="Z116" i="2"/>
  <c r="AA116" i="2"/>
  <c r="AB116" i="2"/>
  <c r="AC116" i="2"/>
  <c r="AD116" i="2"/>
  <c r="AE116" i="2"/>
  <c r="AF116" i="2"/>
  <c r="AG116" i="2"/>
  <c r="A117" i="2"/>
  <c r="B117" i="2"/>
  <c r="C117" i="2"/>
  <c r="D117" i="2"/>
  <c r="E117" i="2"/>
  <c r="F117" i="2"/>
  <c r="G117" i="2"/>
  <c r="H117" i="2"/>
  <c r="I117" i="2"/>
  <c r="J117" i="2"/>
  <c r="K117" i="2"/>
  <c r="Q117" i="2" s="1"/>
  <c r="L117" i="2"/>
  <c r="M117" i="2"/>
  <c r="N117" i="2"/>
  <c r="O117" i="2"/>
  <c r="P117" i="2"/>
  <c r="S117" i="2"/>
  <c r="T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118" i="2"/>
  <c r="B118" i="2"/>
  <c r="C118" i="2"/>
  <c r="D118" i="2"/>
  <c r="E118" i="2"/>
  <c r="F118" i="2"/>
  <c r="G118" i="2"/>
  <c r="H118" i="2"/>
  <c r="I118" i="2"/>
  <c r="J118" i="2"/>
  <c r="K118" i="2"/>
  <c r="X118" i="2" s="1"/>
  <c r="L118" i="2"/>
  <c r="M118" i="2"/>
  <c r="N118" i="2"/>
  <c r="O118" i="2"/>
  <c r="P118" i="2"/>
  <c r="S118" i="2"/>
  <c r="U118" i="2"/>
  <c r="V118" i="2"/>
  <c r="W118" i="2"/>
  <c r="Y118" i="2"/>
  <c r="Z118" i="2"/>
  <c r="AA118" i="2"/>
  <c r="AB118" i="2"/>
  <c r="AC118" i="2"/>
  <c r="AD118" i="2"/>
  <c r="AE118" i="2"/>
  <c r="AF118" i="2"/>
  <c r="AG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120" i="2"/>
  <c r="B120" i="2"/>
  <c r="C120" i="2"/>
  <c r="D120" i="2"/>
  <c r="E120" i="2"/>
  <c r="F120" i="2"/>
  <c r="G120" i="2"/>
  <c r="H120" i="2"/>
  <c r="I120" i="2"/>
  <c r="J120" i="2"/>
  <c r="K120" i="2"/>
  <c r="V120" i="2" s="1"/>
  <c r="L120" i="2"/>
  <c r="M120" i="2"/>
  <c r="N120" i="2"/>
  <c r="O120" i="2"/>
  <c r="P120" i="2"/>
  <c r="S120" i="2"/>
  <c r="T120" i="2"/>
  <c r="U120" i="2"/>
  <c r="X120" i="2"/>
  <c r="Y120" i="2"/>
  <c r="Z120" i="2"/>
  <c r="AA120" i="2"/>
  <c r="AB120" i="2"/>
  <c r="AC120" i="2"/>
  <c r="AD120" i="2"/>
  <c r="AE120" i="2"/>
  <c r="AF120" i="2"/>
  <c r="AG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Y121" i="2"/>
  <c r="Z121" i="2"/>
  <c r="AA121" i="2"/>
  <c r="AB121" i="2"/>
  <c r="AC121" i="2"/>
  <c r="AD121" i="2"/>
  <c r="AE121" i="2"/>
  <c r="AF121" i="2"/>
  <c r="AG121" i="2"/>
  <c r="A122" i="2"/>
  <c r="B122" i="2"/>
  <c r="C122" i="2"/>
  <c r="D122" i="2"/>
  <c r="E122" i="2"/>
  <c r="F122" i="2"/>
  <c r="G122" i="2"/>
  <c r="H122" i="2"/>
  <c r="I122" i="2"/>
  <c r="J122" i="2"/>
  <c r="K122" i="2"/>
  <c r="T122" i="2" s="1"/>
  <c r="L122" i="2"/>
  <c r="M122" i="2"/>
  <c r="N122" i="2"/>
  <c r="O122" i="2"/>
  <c r="P122" i="2"/>
  <c r="R122" i="2"/>
  <c r="S122" i="2"/>
  <c r="V122" i="2"/>
  <c r="W122" i="2"/>
  <c r="Y122" i="2"/>
  <c r="Z122" i="2"/>
  <c r="AA122" i="2"/>
  <c r="AB122" i="2"/>
  <c r="AC122" i="2"/>
  <c r="AD122" i="2"/>
  <c r="AE122" i="2"/>
  <c r="AF122" i="2"/>
  <c r="AG122" i="2"/>
  <c r="A123" i="2"/>
  <c r="B123" i="2"/>
  <c r="C123" i="2"/>
  <c r="D123" i="2"/>
  <c r="E123" i="2"/>
  <c r="F123" i="2"/>
  <c r="G123" i="2"/>
  <c r="H123" i="2"/>
  <c r="I123" i="2"/>
  <c r="J123" i="2"/>
  <c r="K123" i="2"/>
  <c r="W123" i="2" s="1"/>
  <c r="L123" i="2"/>
  <c r="M123" i="2"/>
  <c r="N123" i="2"/>
  <c r="O123" i="2"/>
  <c r="P123" i="2"/>
  <c r="Q123" i="2"/>
  <c r="R123" i="2"/>
  <c r="S123" i="2"/>
  <c r="T123" i="2"/>
  <c r="U123" i="2"/>
  <c r="V123" i="2"/>
  <c r="X123" i="2"/>
  <c r="Y123" i="2"/>
  <c r="Z123" i="2"/>
  <c r="AA123" i="2"/>
  <c r="AB123" i="2"/>
  <c r="AC123" i="2"/>
  <c r="AD123" i="2"/>
  <c r="AE123" i="2"/>
  <c r="AF123" i="2"/>
  <c r="AG123" i="2"/>
  <c r="A124" i="2"/>
  <c r="B124" i="2"/>
  <c r="C124" i="2"/>
  <c r="D124" i="2"/>
  <c r="E124" i="2"/>
  <c r="F124" i="2"/>
  <c r="G124" i="2"/>
  <c r="H124" i="2"/>
  <c r="I124" i="2"/>
  <c r="J124" i="2"/>
  <c r="K124" i="2"/>
  <c r="R124" i="2" s="1"/>
  <c r="L124" i="2"/>
  <c r="M124" i="2"/>
  <c r="N124" i="2"/>
  <c r="O124" i="2"/>
  <c r="P124" i="2"/>
  <c r="Q124" i="2"/>
  <c r="S124" i="2"/>
  <c r="T124" i="2"/>
  <c r="U124" i="2"/>
  <c r="W124" i="2"/>
  <c r="X124" i="2"/>
  <c r="Y124" i="2"/>
  <c r="Z124" i="2"/>
  <c r="AA124" i="2"/>
  <c r="AB124" i="2"/>
  <c r="AC124" i="2"/>
  <c r="AD124" i="2"/>
  <c r="AE124" i="2"/>
  <c r="AF124" i="2"/>
  <c r="AG124" i="2"/>
  <c r="A125" i="2"/>
  <c r="B125" i="2"/>
  <c r="C125" i="2"/>
  <c r="D125" i="2"/>
  <c r="E125" i="2"/>
  <c r="F125" i="2"/>
  <c r="G125" i="2"/>
  <c r="H125" i="2"/>
  <c r="I125" i="2"/>
  <c r="J125" i="2"/>
  <c r="K125" i="2"/>
  <c r="Q125" i="2" s="1"/>
  <c r="L125" i="2"/>
  <c r="M125" i="2"/>
  <c r="N125" i="2"/>
  <c r="O125" i="2"/>
  <c r="P125" i="2"/>
  <c r="S125" i="2"/>
  <c r="T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126" i="2"/>
  <c r="B126" i="2"/>
  <c r="C126" i="2"/>
  <c r="D126" i="2"/>
  <c r="E126" i="2"/>
  <c r="F126" i="2"/>
  <c r="G126" i="2"/>
  <c r="H126" i="2"/>
  <c r="I126" i="2"/>
  <c r="J126" i="2"/>
  <c r="K126" i="2"/>
  <c r="X126" i="2" s="1"/>
  <c r="L126" i="2"/>
  <c r="M126" i="2"/>
  <c r="N126" i="2"/>
  <c r="O126" i="2"/>
  <c r="P126" i="2"/>
  <c r="S126" i="2"/>
  <c r="U126" i="2"/>
  <c r="V126" i="2"/>
  <c r="W126" i="2"/>
  <c r="Y126" i="2"/>
  <c r="Z126" i="2"/>
  <c r="AA126" i="2"/>
  <c r="AB126" i="2"/>
  <c r="AC126" i="2"/>
  <c r="AD126" i="2"/>
  <c r="AE126" i="2"/>
  <c r="AF126" i="2"/>
  <c r="AG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128" i="2"/>
  <c r="B128" i="2"/>
  <c r="C128" i="2"/>
  <c r="D128" i="2"/>
  <c r="E128" i="2"/>
  <c r="F128" i="2"/>
  <c r="G128" i="2"/>
  <c r="H128" i="2"/>
  <c r="I128" i="2"/>
  <c r="J128" i="2"/>
  <c r="K128" i="2"/>
  <c r="V128" i="2" s="1"/>
  <c r="L128" i="2"/>
  <c r="M128" i="2"/>
  <c r="N128" i="2"/>
  <c r="O128" i="2"/>
  <c r="P128" i="2"/>
  <c r="S128" i="2"/>
  <c r="T128" i="2"/>
  <c r="U128" i="2"/>
  <c r="Y128" i="2"/>
  <c r="Z128" i="2"/>
  <c r="AA128" i="2"/>
  <c r="AB128" i="2"/>
  <c r="AC128" i="2"/>
  <c r="AD128" i="2"/>
  <c r="AE128" i="2"/>
  <c r="AF128" i="2"/>
  <c r="AG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S129" i="2"/>
  <c r="Y129" i="2"/>
  <c r="Z129" i="2"/>
  <c r="AA129" i="2"/>
  <c r="AB129" i="2"/>
  <c r="AC129" i="2"/>
  <c r="AD129" i="2"/>
  <c r="AE129" i="2"/>
  <c r="AF129" i="2"/>
  <c r="AG129" i="2"/>
  <c r="A130" i="2"/>
  <c r="B130" i="2"/>
  <c r="C130" i="2"/>
  <c r="D130" i="2"/>
  <c r="E130" i="2"/>
  <c r="F130" i="2"/>
  <c r="G130" i="2"/>
  <c r="H130" i="2"/>
  <c r="I130" i="2"/>
  <c r="J130" i="2"/>
  <c r="K130" i="2"/>
  <c r="T130" i="2" s="1"/>
  <c r="L130" i="2"/>
  <c r="M130" i="2"/>
  <c r="N130" i="2"/>
  <c r="O130" i="2"/>
  <c r="P130" i="2"/>
  <c r="R130" i="2"/>
  <c r="S130" i="2"/>
  <c r="W130" i="2"/>
  <c r="Y130" i="2"/>
  <c r="Z130" i="2"/>
  <c r="AA130" i="2"/>
  <c r="AB130" i="2"/>
  <c r="AC130" i="2"/>
  <c r="AD130" i="2"/>
  <c r="AE130" i="2"/>
  <c r="AF130" i="2"/>
  <c r="AG130" i="2"/>
  <c r="A131" i="2"/>
  <c r="B131" i="2"/>
  <c r="C131" i="2"/>
  <c r="D131" i="2"/>
  <c r="E131" i="2"/>
  <c r="F131" i="2"/>
  <c r="G131" i="2"/>
  <c r="H131" i="2"/>
  <c r="I131" i="2"/>
  <c r="J131" i="2"/>
  <c r="K131" i="2"/>
  <c r="W131" i="2" s="1"/>
  <c r="L131" i="2"/>
  <c r="M131" i="2"/>
  <c r="N131" i="2"/>
  <c r="O131" i="2"/>
  <c r="P131" i="2"/>
  <c r="Q131" i="2"/>
  <c r="R131" i="2"/>
  <c r="S131" i="2"/>
  <c r="T131" i="2"/>
  <c r="U131" i="2"/>
  <c r="V131" i="2"/>
  <c r="X131" i="2"/>
  <c r="Y131" i="2"/>
  <c r="Z131" i="2"/>
  <c r="AA131" i="2"/>
  <c r="AB131" i="2"/>
  <c r="AC131" i="2"/>
  <c r="AD131" i="2"/>
  <c r="AE131" i="2"/>
  <c r="AF131" i="2"/>
  <c r="AG131" i="2"/>
  <c r="A132" i="2"/>
  <c r="B132" i="2"/>
  <c r="C132" i="2"/>
  <c r="D132" i="2"/>
  <c r="E132" i="2"/>
  <c r="F132" i="2"/>
  <c r="G132" i="2"/>
  <c r="H132" i="2"/>
  <c r="I132" i="2"/>
  <c r="J132" i="2"/>
  <c r="K132" i="2"/>
  <c r="R132" i="2" s="1"/>
  <c r="L132" i="2"/>
  <c r="M132" i="2"/>
  <c r="N132" i="2"/>
  <c r="O132" i="2"/>
  <c r="P132" i="2"/>
  <c r="Q132" i="2"/>
  <c r="S132" i="2"/>
  <c r="T132" i="2"/>
  <c r="U132" i="2"/>
  <c r="W132" i="2"/>
  <c r="X132" i="2"/>
  <c r="Y132" i="2"/>
  <c r="Z132" i="2"/>
  <c r="AA132" i="2"/>
  <c r="AB132" i="2"/>
  <c r="AC132" i="2"/>
  <c r="AD132" i="2"/>
  <c r="AE132" i="2"/>
  <c r="AF132" i="2"/>
  <c r="AG132" i="2"/>
  <c r="A133" i="2"/>
  <c r="B133" i="2"/>
  <c r="C133" i="2"/>
  <c r="D133" i="2"/>
  <c r="E133" i="2"/>
  <c r="F133" i="2"/>
  <c r="G133" i="2"/>
  <c r="H133" i="2"/>
  <c r="I133" i="2"/>
  <c r="J133" i="2"/>
  <c r="K133" i="2"/>
  <c r="Q133" i="2" s="1"/>
  <c r="L133" i="2"/>
  <c r="M133" i="2"/>
  <c r="N133" i="2"/>
  <c r="O133" i="2"/>
  <c r="P133" i="2"/>
  <c r="S133" i="2"/>
  <c r="T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134" i="2"/>
  <c r="B134" i="2"/>
  <c r="C134" i="2"/>
  <c r="D134" i="2"/>
  <c r="E134" i="2"/>
  <c r="F134" i="2"/>
  <c r="G134" i="2"/>
  <c r="H134" i="2"/>
  <c r="I134" i="2"/>
  <c r="J134" i="2"/>
  <c r="K134" i="2"/>
  <c r="X134" i="2" s="1"/>
  <c r="L134" i="2"/>
  <c r="M134" i="2"/>
  <c r="N134" i="2"/>
  <c r="O134" i="2"/>
  <c r="P134" i="2"/>
  <c r="S134" i="2"/>
  <c r="U134" i="2"/>
  <c r="V134" i="2"/>
  <c r="W134" i="2"/>
  <c r="Y134" i="2"/>
  <c r="Z134" i="2"/>
  <c r="AA134" i="2"/>
  <c r="AB134" i="2"/>
  <c r="AC134" i="2"/>
  <c r="AD134" i="2"/>
  <c r="AE134" i="2"/>
  <c r="AF134" i="2"/>
  <c r="AG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136" i="2"/>
  <c r="B136" i="2"/>
  <c r="C136" i="2"/>
  <c r="D136" i="2"/>
  <c r="E136" i="2"/>
  <c r="F136" i="2"/>
  <c r="G136" i="2"/>
  <c r="H136" i="2"/>
  <c r="I136" i="2"/>
  <c r="J136" i="2"/>
  <c r="K136" i="2"/>
  <c r="V136" i="2" s="1"/>
  <c r="L136" i="2"/>
  <c r="M136" i="2"/>
  <c r="N136" i="2"/>
  <c r="O136" i="2"/>
  <c r="P136" i="2"/>
  <c r="S136" i="2"/>
  <c r="T136" i="2"/>
  <c r="U136" i="2"/>
  <c r="Y136" i="2"/>
  <c r="Z136" i="2"/>
  <c r="AA136" i="2"/>
  <c r="AB136" i="2"/>
  <c r="AC136" i="2"/>
  <c r="AD136" i="2"/>
  <c r="AE136" i="2"/>
  <c r="AF136" i="2"/>
  <c r="AG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Y137" i="2"/>
  <c r="Z137" i="2"/>
  <c r="AA137" i="2"/>
  <c r="AB137" i="2"/>
  <c r="AC137" i="2"/>
  <c r="AD137" i="2"/>
  <c r="AE137" i="2"/>
  <c r="AF137" i="2"/>
  <c r="AG137" i="2"/>
  <c r="A138" i="2"/>
  <c r="B138" i="2"/>
  <c r="C138" i="2"/>
  <c r="D138" i="2"/>
  <c r="E138" i="2"/>
  <c r="F138" i="2"/>
  <c r="G138" i="2"/>
  <c r="H138" i="2"/>
  <c r="I138" i="2"/>
  <c r="J138" i="2"/>
  <c r="K138" i="2"/>
  <c r="T138" i="2" s="1"/>
  <c r="L138" i="2"/>
  <c r="M138" i="2"/>
  <c r="N138" i="2"/>
  <c r="O138" i="2"/>
  <c r="P138" i="2"/>
  <c r="R138" i="2"/>
  <c r="S138" i="2"/>
  <c r="Y138" i="2"/>
  <c r="Z138" i="2"/>
  <c r="AA138" i="2"/>
  <c r="AB138" i="2"/>
  <c r="AC138" i="2"/>
  <c r="AD138" i="2"/>
  <c r="AE138" i="2"/>
  <c r="AF138" i="2"/>
  <c r="AG138" i="2"/>
  <c r="A139" i="2"/>
  <c r="B139" i="2"/>
  <c r="C139" i="2"/>
  <c r="D139" i="2"/>
  <c r="E139" i="2"/>
  <c r="F139" i="2"/>
  <c r="G139" i="2"/>
  <c r="H139" i="2"/>
  <c r="I139" i="2"/>
  <c r="J139" i="2"/>
  <c r="K139" i="2"/>
  <c r="W139" i="2" s="1"/>
  <c r="L139" i="2"/>
  <c r="M139" i="2"/>
  <c r="N139" i="2"/>
  <c r="O139" i="2"/>
  <c r="P139" i="2"/>
  <c r="Q139" i="2"/>
  <c r="R139" i="2"/>
  <c r="S139" i="2"/>
  <c r="T139" i="2"/>
  <c r="U139" i="2"/>
  <c r="V139" i="2"/>
  <c r="X139" i="2"/>
  <c r="Y139" i="2"/>
  <c r="Z139" i="2"/>
  <c r="AA139" i="2"/>
  <c r="AB139" i="2"/>
  <c r="AC139" i="2"/>
  <c r="AD139" i="2"/>
  <c r="AE139" i="2"/>
  <c r="AF139" i="2"/>
  <c r="AG139" i="2"/>
  <c r="A140" i="2"/>
  <c r="B140" i="2"/>
  <c r="C140" i="2"/>
  <c r="D140" i="2"/>
  <c r="E140" i="2"/>
  <c r="F140" i="2"/>
  <c r="G140" i="2"/>
  <c r="H140" i="2"/>
  <c r="I140" i="2"/>
  <c r="J140" i="2"/>
  <c r="K140" i="2"/>
  <c r="R140" i="2" s="1"/>
  <c r="L140" i="2"/>
  <c r="M140" i="2"/>
  <c r="N140" i="2"/>
  <c r="O140" i="2"/>
  <c r="P140" i="2"/>
  <c r="Q140" i="2"/>
  <c r="S140" i="2"/>
  <c r="T140" i="2"/>
  <c r="U140" i="2"/>
  <c r="W140" i="2"/>
  <c r="X140" i="2"/>
  <c r="Y140" i="2"/>
  <c r="Z140" i="2"/>
  <c r="AA140" i="2"/>
  <c r="AB140" i="2"/>
  <c r="AC140" i="2"/>
  <c r="AD140" i="2"/>
  <c r="AE140" i="2"/>
  <c r="AF140" i="2"/>
  <c r="AG140" i="2"/>
  <c r="A141" i="2"/>
  <c r="B141" i="2"/>
  <c r="C141" i="2"/>
  <c r="D141" i="2"/>
  <c r="E141" i="2"/>
  <c r="F141" i="2"/>
  <c r="G141" i="2"/>
  <c r="H141" i="2"/>
  <c r="I141" i="2"/>
  <c r="J141" i="2"/>
  <c r="K141" i="2"/>
  <c r="Q141" i="2" s="1"/>
  <c r="L141" i="2"/>
  <c r="M141" i="2"/>
  <c r="N141" i="2"/>
  <c r="O141" i="2"/>
  <c r="P141" i="2"/>
  <c r="S141" i="2"/>
  <c r="T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142" i="2"/>
  <c r="B142" i="2"/>
  <c r="C142" i="2"/>
  <c r="D142" i="2"/>
  <c r="E142" i="2"/>
  <c r="F142" i="2"/>
  <c r="G142" i="2"/>
  <c r="H142" i="2"/>
  <c r="I142" i="2"/>
  <c r="J142" i="2"/>
  <c r="K142" i="2"/>
  <c r="X142" i="2" s="1"/>
  <c r="L142" i="2"/>
  <c r="M142" i="2"/>
  <c r="N142" i="2"/>
  <c r="O142" i="2"/>
  <c r="P142" i="2"/>
  <c r="S142" i="2"/>
  <c r="U142" i="2"/>
  <c r="V142" i="2"/>
  <c r="W142" i="2"/>
  <c r="Y142" i="2"/>
  <c r="Z142" i="2"/>
  <c r="AA142" i="2"/>
  <c r="AB142" i="2"/>
  <c r="AC142" i="2"/>
  <c r="AD142" i="2"/>
  <c r="AE142" i="2"/>
  <c r="AF142" i="2"/>
  <c r="AG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144" i="2"/>
  <c r="B144" i="2"/>
  <c r="C144" i="2"/>
  <c r="D144" i="2"/>
  <c r="E144" i="2"/>
  <c r="F144" i="2"/>
  <c r="G144" i="2"/>
  <c r="H144" i="2"/>
  <c r="I144" i="2"/>
  <c r="J144" i="2"/>
  <c r="K144" i="2"/>
  <c r="V144" i="2" s="1"/>
  <c r="L144" i="2"/>
  <c r="M144" i="2"/>
  <c r="N144" i="2"/>
  <c r="O144" i="2"/>
  <c r="P144" i="2"/>
  <c r="S144" i="2"/>
  <c r="T144" i="2"/>
  <c r="U144" i="2"/>
  <c r="Y144" i="2"/>
  <c r="Z144" i="2"/>
  <c r="AA144" i="2"/>
  <c r="AB144" i="2"/>
  <c r="AC144" i="2"/>
  <c r="AD144" i="2"/>
  <c r="AE144" i="2"/>
  <c r="AF144" i="2"/>
  <c r="AG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S145" i="2"/>
  <c r="Y145" i="2"/>
  <c r="Z145" i="2"/>
  <c r="AA145" i="2"/>
  <c r="AB145" i="2"/>
  <c r="AC145" i="2"/>
  <c r="AD145" i="2"/>
  <c r="AE145" i="2"/>
  <c r="AF145" i="2"/>
  <c r="AG145" i="2"/>
  <c r="A146" i="2"/>
  <c r="B146" i="2"/>
  <c r="C146" i="2"/>
  <c r="D146" i="2"/>
  <c r="E146" i="2"/>
  <c r="F146" i="2"/>
  <c r="G146" i="2"/>
  <c r="H146" i="2"/>
  <c r="I146" i="2"/>
  <c r="J146" i="2"/>
  <c r="K146" i="2"/>
  <c r="T146" i="2" s="1"/>
  <c r="L146" i="2"/>
  <c r="M146" i="2"/>
  <c r="N146" i="2"/>
  <c r="O146" i="2"/>
  <c r="P146" i="2"/>
  <c r="R146" i="2"/>
  <c r="S146" i="2"/>
  <c r="Y146" i="2"/>
  <c r="Z146" i="2"/>
  <c r="AA146" i="2"/>
  <c r="AB146" i="2"/>
  <c r="AC146" i="2"/>
  <c r="AD146" i="2"/>
  <c r="AE146" i="2"/>
  <c r="AF146" i="2"/>
  <c r="AG146" i="2"/>
  <c r="A147" i="2"/>
  <c r="B147" i="2"/>
  <c r="C147" i="2"/>
  <c r="D147" i="2"/>
  <c r="E147" i="2"/>
  <c r="F147" i="2"/>
  <c r="G147" i="2"/>
  <c r="H147" i="2"/>
  <c r="I147" i="2"/>
  <c r="J147" i="2"/>
  <c r="K147" i="2"/>
  <c r="W147" i="2" s="1"/>
  <c r="L147" i="2"/>
  <c r="M147" i="2"/>
  <c r="N147" i="2"/>
  <c r="O147" i="2"/>
  <c r="P147" i="2"/>
  <c r="Q147" i="2"/>
  <c r="R147" i="2"/>
  <c r="S147" i="2"/>
  <c r="T147" i="2"/>
  <c r="U147" i="2"/>
  <c r="V147" i="2"/>
  <c r="X147" i="2"/>
  <c r="Y147" i="2"/>
  <c r="Z147" i="2"/>
  <c r="AA147" i="2"/>
  <c r="AB147" i="2"/>
  <c r="AC147" i="2"/>
  <c r="AD147" i="2"/>
  <c r="AE147" i="2"/>
  <c r="AF147" i="2"/>
  <c r="AG147" i="2"/>
  <c r="A148" i="2"/>
  <c r="B148" i="2"/>
  <c r="C148" i="2"/>
  <c r="D148" i="2"/>
  <c r="E148" i="2"/>
  <c r="F148" i="2"/>
  <c r="G148" i="2"/>
  <c r="H148" i="2"/>
  <c r="I148" i="2"/>
  <c r="J148" i="2"/>
  <c r="K148" i="2"/>
  <c r="R148" i="2" s="1"/>
  <c r="L148" i="2"/>
  <c r="M148" i="2"/>
  <c r="N148" i="2"/>
  <c r="O148" i="2"/>
  <c r="P148" i="2"/>
  <c r="Q148" i="2"/>
  <c r="S148" i="2"/>
  <c r="T148" i="2"/>
  <c r="U148" i="2"/>
  <c r="W148" i="2"/>
  <c r="X148" i="2"/>
  <c r="Y148" i="2"/>
  <c r="Z148" i="2"/>
  <c r="AA148" i="2"/>
  <c r="AB148" i="2"/>
  <c r="AC148" i="2"/>
  <c r="AD148" i="2"/>
  <c r="AE148" i="2"/>
  <c r="AF148" i="2"/>
  <c r="AG148" i="2"/>
  <c r="A149" i="2"/>
  <c r="B149" i="2"/>
  <c r="C149" i="2"/>
  <c r="D149" i="2"/>
  <c r="E149" i="2"/>
  <c r="F149" i="2"/>
  <c r="G149" i="2"/>
  <c r="H149" i="2"/>
  <c r="I149" i="2"/>
  <c r="J149" i="2"/>
  <c r="K149" i="2"/>
  <c r="Q149" i="2" s="1"/>
  <c r="L149" i="2"/>
  <c r="M149" i="2"/>
  <c r="N149" i="2"/>
  <c r="O149" i="2"/>
  <c r="P149" i="2"/>
  <c r="S149" i="2"/>
  <c r="T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150" i="2"/>
  <c r="B150" i="2"/>
  <c r="C150" i="2"/>
  <c r="D150" i="2"/>
  <c r="E150" i="2"/>
  <c r="F150" i="2"/>
  <c r="G150" i="2"/>
  <c r="H150" i="2"/>
  <c r="I150" i="2"/>
  <c r="J150" i="2"/>
  <c r="K150" i="2"/>
  <c r="X150" i="2" s="1"/>
  <c r="L150" i="2"/>
  <c r="M150" i="2"/>
  <c r="N150" i="2"/>
  <c r="O150" i="2"/>
  <c r="P150" i="2"/>
  <c r="S150" i="2"/>
  <c r="U150" i="2"/>
  <c r="V150" i="2"/>
  <c r="W150" i="2"/>
  <c r="Y150" i="2"/>
  <c r="Z150" i="2"/>
  <c r="AA150" i="2"/>
  <c r="AB150" i="2"/>
  <c r="AC150" i="2"/>
  <c r="AD150" i="2"/>
  <c r="AE150" i="2"/>
  <c r="AF150" i="2"/>
  <c r="AG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G151" i="2"/>
  <c r="A152" i="2"/>
  <c r="B152" i="2"/>
  <c r="C152" i="2"/>
  <c r="D152" i="2"/>
  <c r="E152" i="2"/>
  <c r="F152" i="2"/>
  <c r="G152" i="2"/>
  <c r="H152" i="2"/>
  <c r="I152" i="2"/>
  <c r="J152" i="2"/>
  <c r="K152" i="2"/>
  <c r="V152" i="2" s="1"/>
  <c r="L152" i="2"/>
  <c r="M152" i="2"/>
  <c r="N152" i="2"/>
  <c r="O152" i="2"/>
  <c r="P152" i="2"/>
  <c r="S152" i="2"/>
  <c r="T152" i="2"/>
  <c r="U152" i="2"/>
  <c r="Y152" i="2"/>
  <c r="Z152" i="2"/>
  <c r="AA152" i="2"/>
  <c r="AB152" i="2"/>
  <c r="AC152" i="2"/>
  <c r="AD152" i="2"/>
  <c r="AE152" i="2"/>
  <c r="AF152" i="2"/>
  <c r="AG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Y153" i="2"/>
  <c r="Z153" i="2"/>
  <c r="AA153" i="2"/>
  <c r="AB153" i="2"/>
  <c r="AC153" i="2"/>
  <c r="AD153" i="2"/>
  <c r="AE153" i="2"/>
  <c r="AF153" i="2"/>
  <c r="AG153" i="2"/>
  <c r="A154" i="2"/>
  <c r="B154" i="2"/>
  <c r="C154" i="2"/>
  <c r="D154" i="2"/>
  <c r="E154" i="2"/>
  <c r="F154" i="2"/>
  <c r="G154" i="2"/>
  <c r="H154" i="2"/>
  <c r="I154" i="2"/>
  <c r="J154" i="2"/>
  <c r="K154" i="2"/>
  <c r="T154" i="2" s="1"/>
  <c r="L154" i="2"/>
  <c r="M154" i="2"/>
  <c r="N154" i="2"/>
  <c r="O154" i="2"/>
  <c r="P154" i="2"/>
  <c r="R154" i="2"/>
  <c r="S154" i="2"/>
  <c r="Y154" i="2"/>
  <c r="Z154" i="2"/>
  <c r="AA154" i="2"/>
  <c r="AB154" i="2"/>
  <c r="AC154" i="2"/>
  <c r="AD154" i="2"/>
  <c r="AE154" i="2"/>
  <c r="AF154" i="2"/>
  <c r="AG154" i="2"/>
  <c r="A155" i="2"/>
  <c r="B155" i="2"/>
  <c r="C155" i="2"/>
  <c r="D155" i="2"/>
  <c r="E155" i="2"/>
  <c r="F155" i="2"/>
  <c r="G155" i="2"/>
  <c r="H155" i="2"/>
  <c r="I155" i="2"/>
  <c r="J155" i="2"/>
  <c r="K155" i="2"/>
  <c r="W155" i="2" s="1"/>
  <c r="L155" i="2"/>
  <c r="M155" i="2"/>
  <c r="N155" i="2"/>
  <c r="O155" i="2"/>
  <c r="P155" i="2"/>
  <c r="Q155" i="2"/>
  <c r="R155" i="2"/>
  <c r="S155" i="2"/>
  <c r="T155" i="2"/>
  <c r="U155" i="2"/>
  <c r="V155" i="2"/>
  <c r="X155" i="2"/>
  <c r="Y155" i="2"/>
  <c r="Z155" i="2"/>
  <c r="AA155" i="2"/>
  <c r="AB155" i="2"/>
  <c r="AC155" i="2"/>
  <c r="AD155" i="2"/>
  <c r="AE155" i="2"/>
  <c r="AF155" i="2"/>
  <c r="AG155" i="2"/>
  <c r="A156" i="2"/>
  <c r="B156" i="2"/>
  <c r="C156" i="2"/>
  <c r="D156" i="2"/>
  <c r="E156" i="2"/>
  <c r="F156" i="2"/>
  <c r="G156" i="2"/>
  <c r="H156" i="2"/>
  <c r="I156" i="2"/>
  <c r="J156" i="2"/>
  <c r="K156" i="2"/>
  <c r="R156" i="2" s="1"/>
  <c r="L156" i="2"/>
  <c r="M156" i="2"/>
  <c r="N156" i="2"/>
  <c r="O156" i="2"/>
  <c r="P156" i="2"/>
  <c r="Q156" i="2"/>
  <c r="S156" i="2"/>
  <c r="T156" i="2"/>
  <c r="U156" i="2"/>
  <c r="W156" i="2"/>
  <c r="X156" i="2"/>
  <c r="Y156" i="2"/>
  <c r="Z156" i="2"/>
  <c r="AA156" i="2"/>
  <c r="AB156" i="2"/>
  <c r="AC156" i="2"/>
  <c r="AD156" i="2"/>
  <c r="AE156" i="2"/>
  <c r="AF156" i="2"/>
  <c r="AG156" i="2"/>
  <c r="A157" i="2"/>
  <c r="B157" i="2"/>
  <c r="C157" i="2"/>
  <c r="D157" i="2"/>
  <c r="E157" i="2"/>
  <c r="F157" i="2"/>
  <c r="G157" i="2"/>
  <c r="H157" i="2"/>
  <c r="I157" i="2"/>
  <c r="J157" i="2"/>
  <c r="K157" i="2"/>
  <c r="Q157" i="2" s="1"/>
  <c r="L157" i="2"/>
  <c r="M157" i="2"/>
  <c r="N157" i="2"/>
  <c r="O157" i="2"/>
  <c r="P157" i="2"/>
  <c r="S157" i="2"/>
  <c r="T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158" i="2"/>
  <c r="B158" i="2"/>
  <c r="C158" i="2"/>
  <c r="D158" i="2"/>
  <c r="E158" i="2"/>
  <c r="F158" i="2"/>
  <c r="G158" i="2"/>
  <c r="H158" i="2"/>
  <c r="I158" i="2"/>
  <c r="J158" i="2"/>
  <c r="K158" i="2"/>
  <c r="X158" i="2" s="1"/>
  <c r="L158" i="2"/>
  <c r="M158" i="2"/>
  <c r="N158" i="2"/>
  <c r="O158" i="2"/>
  <c r="P158" i="2"/>
  <c r="S158" i="2"/>
  <c r="U158" i="2"/>
  <c r="V158" i="2"/>
  <c r="W158" i="2"/>
  <c r="Y158" i="2"/>
  <c r="Z158" i="2"/>
  <c r="AA158" i="2"/>
  <c r="AB158" i="2"/>
  <c r="AC158" i="2"/>
  <c r="AD158" i="2"/>
  <c r="AE158" i="2"/>
  <c r="AF158" i="2"/>
  <c r="AG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160" i="2"/>
  <c r="B160" i="2"/>
  <c r="C160" i="2"/>
  <c r="D160" i="2"/>
  <c r="E160" i="2"/>
  <c r="F160" i="2"/>
  <c r="G160" i="2"/>
  <c r="H160" i="2"/>
  <c r="I160" i="2"/>
  <c r="J160" i="2"/>
  <c r="K160" i="2"/>
  <c r="V160" i="2" s="1"/>
  <c r="L160" i="2"/>
  <c r="M160" i="2"/>
  <c r="N160" i="2"/>
  <c r="O160" i="2"/>
  <c r="P160" i="2"/>
  <c r="S160" i="2"/>
  <c r="T160" i="2"/>
  <c r="U160" i="2"/>
  <c r="Y160" i="2"/>
  <c r="Z160" i="2"/>
  <c r="AA160" i="2"/>
  <c r="AB160" i="2"/>
  <c r="AC160" i="2"/>
  <c r="AD160" i="2"/>
  <c r="AE160" i="2"/>
  <c r="AF160" i="2"/>
  <c r="AG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S161" i="2"/>
  <c r="Y161" i="2"/>
  <c r="Z161" i="2"/>
  <c r="AA161" i="2"/>
  <c r="AB161" i="2"/>
  <c r="AC161" i="2"/>
  <c r="AD161" i="2"/>
  <c r="AE161" i="2"/>
  <c r="AF161" i="2"/>
  <c r="AG161" i="2"/>
  <c r="A162" i="2"/>
  <c r="B162" i="2"/>
  <c r="C162" i="2"/>
  <c r="D162" i="2"/>
  <c r="E162" i="2"/>
  <c r="F162" i="2"/>
  <c r="G162" i="2"/>
  <c r="H162" i="2"/>
  <c r="I162" i="2"/>
  <c r="J162" i="2"/>
  <c r="K162" i="2"/>
  <c r="T162" i="2" s="1"/>
  <c r="L162" i="2"/>
  <c r="M162" i="2"/>
  <c r="N162" i="2"/>
  <c r="O162" i="2"/>
  <c r="P162" i="2"/>
  <c r="R162" i="2"/>
  <c r="S162" i="2"/>
  <c r="Y162" i="2"/>
  <c r="Z162" i="2"/>
  <c r="AA162" i="2"/>
  <c r="AB162" i="2"/>
  <c r="AC162" i="2"/>
  <c r="AD162" i="2"/>
  <c r="AE162" i="2"/>
  <c r="AF162" i="2"/>
  <c r="AG162" i="2"/>
  <c r="A163" i="2"/>
  <c r="B163" i="2"/>
  <c r="C163" i="2"/>
  <c r="D163" i="2"/>
  <c r="E163" i="2"/>
  <c r="F163" i="2"/>
  <c r="G163" i="2"/>
  <c r="H163" i="2"/>
  <c r="I163" i="2"/>
  <c r="J163" i="2"/>
  <c r="K163" i="2"/>
  <c r="W163" i="2" s="1"/>
  <c r="L163" i="2"/>
  <c r="M163" i="2"/>
  <c r="N163" i="2"/>
  <c r="O163" i="2"/>
  <c r="P163" i="2"/>
  <c r="Q163" i="2"/>
  <c r="R163" i="2"/>
  <c r="S163" i="2"/>
  <c r="T163" i="2"/>
  <c r="U163" i="2"/>
  <c r="V163" i="2"/>
  <c r="X163" i="2"/>
  <c r="Y163" i="2"/>
  <c r="Z163" i="2"/>
  <c r="AA163" i="2"/>
  <c r="AB163" i="2"/>
  <c r="AC163" i="2"/>
  <c r="AD163" i="2"/>
  <c r="AE163" i="2"/>
  <c r="AF163" i="2"/>
  <c r="AG163" i="2"/>
  <c r="A164" i="2"/>
  <c r="B164" i="2"/>
  <c r="C164" i="2"/>
  <c r="D164" i="2"/>
  <c r="E164" i="2"/>
  <c r="F164" i="2"/>
  <c r="G164" i="2"/>
  <c r="H164" i="2"/>
  <c r="I164" i="2"/>
  <c r="J164" i="2"/>
  <c r="K164" i="2"/>
  <c r="R164" i="2" s="1"/>
  <c r="L164" i="2"/>
  <c r="M164" i="2"/>
  <c r="N164" i="2"/>
  <c r="O164" i="2"/>
  <c r="P164" i="2"/>
  <c r="Q164" i="2"/>
  <c r="S164" i="2"/>
  <c r="T164" i="2"/>
  <c r="U164" i="2"/>
  <c r="W164" i="2"/>
  <c r="X164" i="2"/>
  <c r="Y164" i="2"/>
  <c r="Z164" i="2"/>
  <c r="AA164" i="2"/>
  <c r="AB164" i="2"/>
  <c r="AC164" i="2"/>
  <c r="AD164" i="2"/>
  <c r="AE164" i="2"/>
  <c r="AF164" i="2"/>
  <c r="AG164" i="2"/>
  <c r="A165" i="2"/>
  <c r="B165" i="2"/>
  <c r="C165" i="2"/>
  <c r="D165" i="2"/>
  <c r="E165" i="2"/>
  <c r="F165" i="2"/>
  <c r="G165" i="2"/>
  <c r="H165" i="2"/>
  <c r="I165" i="2"/>
  <c r="J165" i="2"/>
  <c r="K165" i="2"/>
  <c r="Q165" i="2" s="1"/>
  <c r="L165" i="2"/>
  <c r="M165" i="2"/>
  <c r="N165" i="2"/>
  <c r="O165" i="2"/>
  <c r="P165" i="2"/>
  <c r="S165" i="2"/>
  <c r="T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166" i="2"/>
  <c r="B166" i="2"/>
  <c r="C166" i="2"/>
  <c r="D166" i="2"/>
  <c r="E166" i="2"/>
  <c r="F166" i="2"/>
  <c r="G166" i="2"/>
  <c r="H166" i="2"/>
  <c r="I166" i="2"/>
  <c r="J166" i="2"/>
  <c r="K166" i="2"/>
  <c r="X166" i="2" s="1"/>
  <c r="L166" i="2"/>
  <c r="M166" i="2"/>
  <c r="N166" i="2"/>
  <c r="O166" i="2"/>
  <c r="P166" i="2"/>
  <c r="S166" i="2"/>
  <c r="U166" i="2"/>
  <c r="V166" i="2"/>
  <c r="W166" i="2"/>
  <c r="Y166" i="2"/>
  <c r="Z166" i="2"/>
  <c r="AA166" i="2"/>
  <c r="AB166" i="2"/>
  <c r="AC166" i="2"/>
  <c r="AD166" i="2"/>
  <c r="AE166" i="2"/>
  <c r="AF166" i="2"/>
  <c r="AG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168" i="2"/>
  <c r="B168" i="2"/>
  <c r="C168" i="2"/>
  <c r="D168" i="2"/>
  <c r="E168" i="2"/>
  <c r="F168" i="2"/>
  <c r="G168" i="2"/>
  <c r="H168" i="2"/>
  <c r="I168" i="2"/>
  <c r="J168" i="2"/>
  <c r="K168" i="2"/>
  <c r="V168" i="2" s="1"/>
  <c r="L168" i="2"/>
  <c r="M168" i="2"/>
  <c r="N168" i="2"/>
  <c r="O168" i="2"/>
  <c r="P168" i="2"/>
  <c r="S168" i="2"/>
  <c r="T168" i="2"/>
  <c r="U168" i="2"/>
  <c r="Y168" i="2"/>
  <c r="Z168" i="2"/>
  <c r="AA168" i="2"/>
  <c r="AB168" i="2"/>
  <c r="AC168" i="2"/>
  <c r="AD168" i="2"/>
  <c r="AE168" i="2"/>
  <c r="AF168" i="2"/>
  <c r="AG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Y169" i="2"/>
  <c r="Z169" i="2"/>
  <c r="AA169" i="2"/>
  <c r="AB169" i="2"/>
  <c r="AC169" i="2"/>
  <c r="AD169" i="2"/>
  <c r="AE169" i="2"/>
  <c r="AF169" i="2"/>
  <c r="AG169" i="2"/>
  <c r="A170" i="2"/>
  <c r="B170" i="2"/>
  <c r="C170" i="2"/>
  <c r="D170" i="2"/>
  <c r="E170" i="2"/>
  <c r="F170" i="2"/>
  <c r="G170" i="2"/>
  <c r="H170" i="2"/>
  <c r="I170" i="2"/>
  <c r="J170" i="2"/>
  <c r="K170" i="2"/>
  <c r="T170" i="2" s="1"/>
  <c r="L170" i="2"/>
  <c r="M170" i="2"/>
  <c r="N170" i="2"/>
  <c r="O170" i="2"/>
  <c r="P170" i="2"/>
  <c r="R170" i="2"/>
  <c r="S170" i="2"/>
  <c r="Y170" i="2"/>
  <c r="Z170" i="2"/>
  <c r="AA170" i="2"/>
  <c r="AB170" i="2"/>
  <c r="AC170" i="2"/>
  <c r="AD170" i="2"/>
  <c r="AE170" i="2"/>
  <c r="AF170" i="2"/>
  <c r="AG170" i="2"/>
  <c r="A171" i="2"/>
  <c r="B171" i="2"/>
  <c r="C171" i="2"/>
  <c r="D171" i="2"/>
  <c r="E171" i="2"/>
  <c r="F171" i="2"/>
  <c r="G171" i="2"/>
  <c r="H171" i="2"/>
  <c r="I171" i="2"/>
  <c r="J171" i="2"/>
  <c r="K171" i="2"/>
  <c r="W171" i="2" s="1"/>
  <c r="L171" i="2"/>
  <c r="M171" i="2"/>
  <c r="N171" i="2"/>
  <c r="O171" i="2"/>
  <c r="P171" i="2"/>
  <c r="Q171" i="2"/>
  <c r="R171" i="2"/>
  <c r="S171" i="2"/>
  <c r="T171" i="2"/>
  <c r="U171" i="2"/>
  <c r="V171" i="2"/>
  <c r="X171" i="2"/>
  <c r="Y171" i="2"/>
  <c r="Z171" i="2"/>
  <c r="AA171" i="2"/>
  <c r="AB171" i="2"/>
  <c r="AC171" i="2"/>
  <c r="AD171" i="2"/>
  <c r="AE171" i="2"/>
  <c r="AF171" i="2"/>
  <c r="AG171" i="2"/>
  <c r="A172" i="2"/>
  <c r="B172" i="2"/>
  <c r="C172" i="2"/>
  <c r="D172" i="2"/>
  <c r="E172" i="2"/>
  <c r="F172" i="2"/>
  <c r="G172" i="2"/>
  <c r="H172" i="2"/>
  <c r="I172" i="2"/>
  <c r="J172" i="2"/>
  <c r="K172" i="2"/>
  <c r="R172" i="2" s="1"/>
  <c r="L172" i="2"/>
  <c r="M172" i="2"/>
  <c r="N172" i="2"/>
  <c r="O172" i="2"/>
  <c r="P172" i="2"/>
  <c r="Q172" i="2"/>
  <c r="S172" i="2"/>
  <c r="T172" i="2"/>
  <c r="U172" i="2"/>
  <c r="W172" i="2"/>
  <c r="X172" i="2"/>
  <c r="Y172" i="2"/>
  <c r="Z172" i="2"/>
  <c r="AA172" i="2"/>
  <c r="AB172" i="2"/>
  <c r="AC172" i="2"/>
  <c r="AD172" i="2"/>
  <c r="AE172" i="2"/>
  <c r="AF172" i="2"/>
  <c r="AG172" i="2"/>
  <c r="A173" i="2"/>
  <c r="B173" i="2"/>
  <c r="C173" i="2"/>
  <c r="D173" i="2"/>
  <c r="E173" i="2"/>
  <c r="F173" i="2"/>
  <c r="G173" i="2"/>
  <c r="H173" i="2"/>
  <c r="I173" i="2"/>
  <c r="J173" i="2"/>
  <c r="K173" i="2"/>
  <c r="Q173" i="2" s="1"/>
  <c r="L173" i="2"/>
  <c r="M173" i="2"/>
  <c r="N173" i="2"/>
  <c r="O173" i="2"/>
  <c r="P173" i="2"/>
  <c r="S173" i="2"/>
  <c r="T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174" i="2"/>
  <c r="B174" i="2"/>
  <c r="C174" i="2"/>
  <c r="D174" i="2"/>
  <c r="E174" i="2"/>
  <c r="F174" i="2"/>
  <c r="G174" i="2"/>
  <c r="H174" i="2"/>
  <c r="I174" i="2"/>
  <c r="J174" i="2"/>
  <c r="K174" i="2"/>
  <c r="X174" i="2" s="1"/>
  <c r="L174" i="2"/>
  <c r="M174" i="2"/>
  <c r="N174" i="2"/>
  <c r="O174" i="2"/>
  <c r="P174" i="2"/>
  <c r="S174" i="2"/>
  <c r="U174" i="2"/>
  <c r="V174" i="2"/>
  <c r="W174" i="2"/>
  <c r="Y174" i="2"/>
  <c r="Z174" i="2"/>
  <c r="AA174" i="2"/>
  <c r="AB174" i="2"/>
  <c r="AC174" i="2"/>
  <c r="AD174" i="2"/>
  <c r="AE174" i="2"/>
  <c r="AF174" i="2"/>
  <c r="AG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176" i="2"/>
  <c r="B176" i="2"/>
  <c r="C176" i="2"/>
  <c r="D176" i="2"/>
  <c r="E176" i="2"/>
  <c r="F176" i="2"/>
  <c r="G176" i="2"/>
  <c r="H176" i="2"/>
  <c r="I176" i="2"/>
  <c r="J176" i="2"/>
  <c r="K176" i="2"/>
  <c r="V176" i="2" s="1"/>
  <c r="L176" i="2"/>
  <c r="M176" i="2"/>
  <c r="N176" i="2"/>
  <c r="O176" i="2"/>
  <c r="P176" i="2"/>
  <c r="S176" i="2"/>
  <c r="T176" i="2"/>
  <c r="U176" i="2"/>
  <c r="Y176" i="2"/>
  <c r="Z176" i="2"/>
  <c r="AA176" i="2"/>
  <c r="AB176" i="2"/>
  <c r="AC176" i="2"/>
  <c r="AD176" i="2"/>
  <c r="AE176" i="2"/>
  <c r="AF176" i="2"/>
  <c r="AG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S177" i="2"/>
  <c r="Y177" i="2"/>
  <c r="Z177" i="2"/>
  <c r="AA177" i="2"/>
  <c r="AB177" i="2"/>
  <c r="AC177" i="2"/>
  <c r="AD177" i="2"/>
  <c r="AE177" i="2"/>
  <c r="AF177" i="2"/>
  <c r="AG177" i="2"/>
  <c r="A178" i="2"/>
  <c r="B178" i="2"/>
  <c r="C178" i="2"/>
  <c r="D178" i="2"/>
  <c r="E178" i="2"/>
  <c r="F178" i="2"/>
  <c r="G178" i="2"/>
  <c r="H178" i="2"/>
  <c r="I178" i="2"/>
  <c r="J178" i="2"/>
  <c r="K178" i="2"/>
  <c r="T178" i="2" s="1"/>
  <c r="L178" i="2"/>
  <c r="M178" i="2"/>
  <c r="N178" i="2"/>
  <c r="O178" i="2"/>
  <c r="P178" i="2"/>
  <c r="R178" i="2"/>
  <c r="S178" i="2"/>
  <c r="Y178" i="2"/>
  <c r="Z178" i="2"/>
  <c r="AA178" i="2"/>
  <c r="AB178" i="2"/>
  <c r="AC178" i="2"/>
  <c r="AD178" i="2"/>
  <c r="AE178" i="2"/>
  <c r="AF178" i="2"/>
  <c r="AG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180" i="2"/>
  <c r="B180" i="2"/>
  <c r="C180" i="2"/>
  <c r="D180" i="2"/>
  <c r="E180" i="2"/>
  <c r="F180" i="2"/>
  <c r="G180" i="2"/>
  <c r="H180" i="2"/>
  <c r="I180" i="2"/>
  <c r="J180" i="2"/>
  <c r="K180" i="2"/>
  <c r="R180" i="2" s="1"/>
  <c r="L180" i="2"/>
  <c r="M180" i="2"/>
  <c r="N180" i="2"/>
  <c r="O180" i="2"/>
  <c r="P180" i="2"/>
  <c r="Q180" i="2"/>
  <c r="S180" i="2"/>
  <c r="T180" i="2"/>
  <c r="U180" i="2"/>
  <c r="W180" i="2"/>
  <c r="X180" i="2"/>
  <c r="Y180" i="2"/>
  <c r="Z180" i="2"/>
  <c r="AA180" i="2"/>
  <c r="AB180" i="2"/>
  <c r="AC180" i="2"/>
  <c r="AD180" i="2"/>
  <c r="AE180" i="2"/>
  <c r="AF180" i="2"/>
  <c r="AG180" i="2"/>
  <c r="A181" i="2"/>
  <c r="B181" i="2"/>
  <c r="C181" i="2"/>
  <c r="D181" i="2"/>
  <c r="E181" i="2"/>
  <c r="F181" i="2"/>
  <c r="G181" i="2"/>
  <c r="H181" i="2"/>
  <c r="I181" i="2"/>
  <c r="J181" i="2"/>
  <c r="K181" i="2"/>
  <c r="Q181" i="2" s="1"/>
  <c r="L181" i="2"/>
  <c r="M181" i="2"/>
  <c r="N181" i="2"/>
  <c r="O181" i="2"/>
  <c r="P181" i="2"/>
  <c r="S181" i="2"/>
  <c r="T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182" i="2"/>
  <c r="B182" i="2"/>
  <c r="C182" i="2"/>
  <c r="D182" i="2"/>
  <c r="E182" i="2"/>
  <c r="F182" i="2"/>
  <c r="G182" i="2"/>
  <c r="H182" i="2"/>
  <c r="I182" i="2"/>
  <c r="J182" i="2"/>
  <c r="K182" i="2"/>
  <c r="X182" i="2" s="1"/>
  <c r="L182" i="2"/>
  <c r="M182" i="2"/>
  <c r="N182" i="2"/>
  <c r="O182" i="2"/>
  <c r="P182" i="2"/>
  <c r="S182" i="2"/>
  <c r="U182" i="2"/>
  <c r="V182" i="2"/>
  <c r="W182" i="2"/>
  <c r="Y182" i="2"/>
  <c r="Z182" i="2"/>
  <c r="AA182" i="2"/>
  <c r="AB182" i="2"/>
  <c r="AC182" i="2"/>
  <c r="AD182" i="2"/>
  <c r="AE182" i="2"/>
  <c r="AF182" i="2"/>
  <c r="AG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184" i="2"/>
  <c r="B184" i="2"/>
  <c r="C184" i="2"/>
  <c r="D184" i="2"/>
  <c r="E184" i="2"/>
  <c r="F184" i="2"/>
  <c r="G184" i="2"/>
  <c r="H184" i="2"/>
  <c r="I184" i="2"/>
  <c r="J184" i="2"/>
  <c r="K184" i="2"/>
  <c r="V184" i="2" s="1"/>
  <c r="L184" i="2"/>
  <c r="M184" i="2"/>
  <c r="N184" i="2"/>
  <c r="O184" i="2"/>
  <c r="P184" i="2"/>
  <c r="S184" i="2"/>
  <c r="T184" i="2"/>
  <c r="U184" i="2"/>
  <c r="Y184" i="2"/>
  <c r="Z184" i="2"/>
  <c r="AA184" i="2"/>
  <c r="AB184" i="2"/>
  <c r="AC184" i="2"/>
  <c r="AD184" i="2"/>
  <c r="AE184" i="2"/>
  <c r="AF184" i="2"/>
  <c r="AG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Y185" i="2"/>
  <c r="Z185" i="2"/>
  <c r="AA185" i="2"/>
  <c r="AB185" i="2"/>
  <c r="AC185" i="2"/>
  <c r="AD185" i="2"/>
  <c r="AE185" i="2"/>
  <c r="AF185" i="2"/>
  <c r="AG185" i="2"/>
  <c r="A186" i="2"/>
  <c r="B186" i="2"/>
  <c r="C186" i="2"/>
  <c r="D186" i="2"/>
  <c r="E186" i="2"/>
  <c r="F186" i="2"/>
  <c r="G186" i="2"/>
  <c r="H186" i="2"/>
  <c r="I186" i="2"/>
  <c r="J186" i="2"/>
  <c r="K186" i="2"/>
  <c r="T186" i="2" s="1"/>
  <c r="L186" i="2"/>
  <c r="M186" i="2"/>
  <c r="N186" i="2"/>
  <c r="O186" i="2"/>
  <c r="P186" i="2"/>
  <c r="R186" i="2"/>
  <c r="S186" i="2"/>
  <c r="Y186" i="2"/>
  <c r="Z186" i="2"/>
  <c r="AA186" i="2"/>
  <c r="AB186" i="2"/>
  <c r="AC186" i="2"/>
  <c r="AD186" i="2"/>
  <c r="AE186" i="2"/>
  <c r="AF186" i="2"/>
  <c r="AG186" i="2"/>
  <c r="A187" i="2"/>
  <c r="B187" i="2"/>
  <c r="C187" i="2"/>
  <c r="D187" i="2"/>
  <c r="E187" i="2"/>
  <c r="F187" i="2"/>
  <c r="G187" i="2"/>
  <c r="H187" i="2"/>
  <c r="I187" i="2"/>
  <c r="J187" i="2"/>
  <c r="K187" i="2"/>
  <c r="W187" i="2" s="1"/>
  <c r="L187" i="2"/>
  <c r="M187" i="2"/>
  <c r="N187" i="2"/>
  <c r="O187" i="2"/>
  <c r="P187" i="2"/>
  <c r="Q187" i="2"/>
  <c r="R187" i="2"/>
  <c r="S187" i="2"/>
  <c r="T187" i="2"/>
  <c r="U187" i="2"/>
  <c r="V187" i="2"/>
  <c r="X187" i="2"/>
  <c r="Y187" i="2"/>
  <c r="Z187" i="2"/>
  <c r="AA187" i="2"/>
  <c r="AB187" i="2"/>
  <c r="AC187" i="2"/>
  <c r="AD187" i="2"/>
  <c r="AE187" i="2"/>
  <c r="AF187" i="2"/>
  <c r="AG187" i="2"/>
  <c r="A188" i="2"/>
  <c r="B188" i="2"/>
  <c r="C188" i="2"/>
  <c r="D188" i="2"/>
  <c r="E188" i="2"/>
  <c r="F188" i="2"/>
  <c r="G188" i="2"/>
  <c r="H188" i="2"/>
  <c r="I188" i="2"/>
  <c r="J188" i="2"/>
  <c r="K188" i="2"/>
  <c r="R188" i="2" s="1"/>
  <c r="L188" i="2"/>
  <c r="M188" i="2"/>
  <c r="N188" i="2"/>
  <c r="O188" i="2"/>
  <c r="P188" i="2"/>
  <c r="Q188" i="2"/>
  <c r="S188" i="2"/>
  <c r="T188" i="2"/>
  <c r="U188" i="2"/>
  <c r="W188" i="2"/>
  <c r="X188" i="2"/>
  <c r="Y188" i="2"/>
  <c r="Z188" i="2"/>
  <c r="AA188" i="2"/>
  <c r="AB188" i="2"/>
  <c r="AC188" i="2"/>
  <c r="AD188" i="2"/>
  <c r="AE188" i="2"/>
  <c r="AF188" i="2"/>
  <c r="AG188" i="2"/>
  <c r="A189" i="2"/>
  <c r="B189" i="2"/>
  <c r="C189" i="2"/>
  <c r="D189" i="2"/>
  <c r="E189" i="2"/>
  <c r="F189" i="2"/>
  <c r="G189" i="2"/>
  <c r="H189" i="2"/>
  <c r="I189" i="2"/>
  <c r="J189" i="2"/>
  <c r="K189" i="2"/>
  <c r="Q189" i="2" s="1"/>
  <c r="L189" i="2"/>
  <c r="M189" i="2"/>
  <c r="N189" i="2"/>
  <c r="O189" i="2"/>
  <c r="P189" i="2"/>
  <c r="S189" i="2"/>
  <c r="T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S190" i="2"/>
  <c r="U190" i="2"/>
  <c r="V190" i="2"/>
  <c r="W190" i="2"/>
  <c r="Y190" i="2"/>
  <c r="Z190" i="2"/>
  <c r="AA190" i="2"/>
  <c r="AB190" i="2"/>
  <c r="AC190" i="2"/>
  <c r="AD190" i="2"/>
  <c r="AE190" i="2"/>
  <c r="AF190" i="2"/>
  <c r="AG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T192" i="2"/>
  <c r="U192" i="2"/>
  <c r="Y192" i="2"/>
  <c r="Z192" i="2"/>
  <c r="AA192" i="2"/>
  <c r="AB192" i="2"/>
  <c r="AC192" i="2"/>
  <c r="AD192" i="2"/>
  <c r="AE192" i="2"/>
  <c r="AF192" i="2"/>
  <c r="AG192" i="2"/>
  <c r="A193" i="2"/>
  <c r="B193" i="2"/>
  <c r="C193" i="2"/>
  <c r="D193" i="2"/>
  <c r="E193" i="2"/>
  <c r="F193" i="2"/>
  <c r="G193" i="2"/>
  <c r="H193" i="2"/>
  <c r="I193" i="2"/>
  <c r="J193" i="2"/>
  <c r="K193" i="2"/>
  <c r="X193" i="2" s="1"/>
  <c r="L193" i="2"/>
  <c r="M193" i="2"/>
  <c r="N193" i="2"/>
  <c r="O193" i="2"/>
  <c r="P193" i="2"/>
  <c r="S193" i="2"/>
  <c r="T193" i="2"/>
  <c r="Y193" i="2"/>
  <c r="Z193" i="2"/>
  <c r="AA193" i="2"/>
  <c r="AB193" i="2"/>
  <c r="AC193" i="2"/>
  <c r="AD193" i="2"/>
  <c r="AE193" i="2"/>
  <c r="AF193" i="2"/>
  <c r="AG193" i="2"/>
  <c r="A194" i="2"/>
  <c r="B194" i="2"/>
  <c r="C194" i="2"/>
  <c r="D194" i="2"/>
  <c r="E194" i="2"/>
  <c r="F194" i="2"/>
  <c r="G194" i="2"/>
  <c r="H194" i="2"/>
  <c r="I194" i="2"/>
  <c r="J194" i="2"/>
  <c r="K194" i="2"/>
  <c r="V194" i="2" s="1"/>
  <c r="L194" i="2"/>
  <c r="M194" i="2"/>
  <c r="N194" i="2"/>
  <c r="O194" i="2"/>
  <c r="P194" i="2"/>
  <c r="Q194" i="2"/>
  <c r="R194" i="2"/>
  <c r="S194" i="2"/>
  <c r="W194" i="2"/>
  <c r="Y194" i="2"/>
  <c r="Z194" i="2"/>
  <c r="AA194" i="2"/>
  <c r="AB194" i="2"/>
  <c r="AC194" i="2"/>
  <c r="AD194" i="2"/>
  <c r="AE194" i="2"/>
  <c r="AF194" i="2"/>
  <c r="AG194" i="2"/>
  <c r="A195" i="2"/>
  <c r="B195" i="2"/>
  <c r="C195" i="2"/>
  <c r="D195" i="2"/>
  <c r="E195" i="2"/>
  <c r="F195" i="2"/>
  <c r="G195" i="2"/>
  <c r="H195" i="2"/>
  <c r="I195" i="2"/>
  <c r="J195" i="2"/>
  <c r="K195" i="2"/>
  <c r="W195" i="2" s="1"/>
  <c r="L195" i="2"/>
  <c r="M195" i="2"/>
  <c r="N195" i="2"/>
  <c r="O195" i="2"/>
  <c r="P195" i="2"/>
  <c r="Q195" i="2"/>
  <c r="R195" i="2"/>
  <c r="S195" i="2"/>
  <c r="T195" i="2"/>
  <c r="U195" i="2"/>
  <c r="V195" i="2"/>
  <c r="X195" i="2"/>
  <c r="Y195" i="2"/>
  <c r="Z195" i="2"/>
  <c r="AA195" i="2"/>
  <c r="AB195" i="2"/>
  <c r="AC195" i="2"/>
  <c r="AD195" i="2"/>
  <c r="AE195" i="2"/>
  <c r="AF195" i="2"/>
  <c r="AG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T196" i="2"/>
  <c r="U196" i="2"/>
  <c r="Y196" i="2"/>
  <c r="Z196" i="2"/>
  <c r="AA196" i="2"/>
  <c r="AB196" i="2"/>
  <c r="AC196" i="2"/>
  <c r="AD196" i="2"/>
  <c r="AE196" i="2"/>
  <c r="AF196" i="2"/>
  <c r="AG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R197" i="2"/>
  <c r="T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198" i="2"/>
  <c r="B198" i="2"/>
  <c r="C198" i="2"/>
  <c r="D198" i="2"/>
  <c r="E198" i="2"/>
  <c r="F198" i="2"/>
  <c r="G198" i="2"/>
  <c r="H198" i="2"/>
  <c r="I198" i="2"/>
  <c r="J198" i="2"/>
  <c r="K198" i="2"/>
  <c r="T198" i="2" s="1"/>
  <c r="L198" i="2"/>
  <c r="M198" i="2"/>
  <c r="N198" i="2"/>
  <c r="O198" i="2"/>
  <c r="P198" i="2"/>
  <c r="Q198" i="2"/>
  <c r="R198" i="2"/>
  <c r="S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201" i="2"/>
  <c r="B201" i="2"/>
  <c r="C201" i="2"/>
  <c r="D201" i="2"/>
  <c r="E201" i="2"/>
  <c r="F201" i="2"/>
  <c r="G201" i="2"/>
  <c r="H201" i="2"/>
  <c r="I201" i="2"/>
  <c r="J201" i="2"/>
  <c r="K201" i="2"/>
  <c r="U201" i="2" s="1"/>
  <c r="L201" i="2"/>
  <c r="M201" i="2"/>
  <c r="N201" i="2"/>
  <c r="O201" i="2"/>
  <c r="P201" i="2"/>
  <c r="S201" i="2"/>
  <c r="T201" i="2"/>
  <c r="Y201" i="2"/>
  <c r="Z201" i="2"/>
  <c r="AA201" i="2"/>
  <c r="AB201" i="2"/>
  <c r="AC201" i="2"/>
  <c r="AD201" i="2"/>
  <c r="AE201" i="2"/>
  <c r="AF201" i="2"/>
  <c r="AG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Y202" i="2"/>
  <c r="Z202" i="2"/>
  <c r="AA202" i="2"/>
  <c r="AB202" i="2"/>
  <c r="AC202" i="2"/>
  <c r="AD202" i="2"/>
  <c r="AE202" i="2"/>
  <c r="AF202" i="2"/>
  <c r="AG202" i="2"/>
  <c r="A203" i="2"/>
  <c r="B203" i="2"/>
  <c r="C203" i="2"/>
  <c r="D203" i="2"/>
  <c r="E203" i="2"/>
  <c r="F203" i="2"/>
  <c r="G203" i="2"/>
  <c r="H203" i="2"/>
  <c r="I203" i="2"/>
  <c r="J203" i="2"/>
  <c r="K203" i="2"/>
  <c r="T203" i="2" s="1"/>
  <c r="L203" i="2"/>
  <c r="M203" i="2"/>
  <c r="N203" i="2"/>
  <c r="O203" i="2"/>
  <c r="P203" i="2"/>
  <c r="Q203" i="2"/>
  <c r="R203" i="2"/>
  <c r="S203" i="2"/>
  <c r="U203" i="2"/>
  <c r="V203" i="2"/>
  <c r="Y203" i="2"/>
  <c r="Z203" i="2"/>
  <c r="AA203" i="2"/>
  <c r="AB203" i="2"/>
  <c r="AC203" i="2"/>
  <c r="AD203" i="2"/>
  <c r="AE203" i="2"/>
  <c r="AF203" i="2"/>
  <c r="AG203" i="2"/>
  <c r="A204" i="2"/>
  <c r="B204" i="2"/>
  <c r="C204" i="2"/>
  <c r="D204" i="2"/>
  <c r="E204" i="2"/>
  <c r="F204" i="2"/>
  <c r="G204" i="2"/>
  <c r="H204" i="2"/>
  <c r="I204" i="2"/>
  <c r="J204" i="2"/>
  <c r="K204" i="2"/>
  <c r="V204" i="2" s="1"/>
  <c r="L204" i="2"/>
  <c r="M204" i="2"/>
  <c r="N204" i="2"/>
  <c r="O204" i="2"/>
  <c r="P204" i="2"/>
  <c r="Q204" i="2"/>
  <c r="R204" i="2"/>
  <c r="S204" i="2"/>
  <c r="T204" i="2"/>
  <c r="U204" i="2"/>
  <c r="X204" i="2"/>
  <c r="Y204" i="2"/>
  <c r="Z204" i="2"/>
  <c r="AA204" i="2"/>
  <c r="AB204" i="2"/>
  <c r="AC204" i="2"/>
  <c r="AD204" i="2"/>
  <c r="AE204" i="2"/>
  <c r="AF204" i="2"/>
  <c r="AG204" i="2"/>
  <c r="A205" i="2"/>
  <c r="B205" i="2"/>
  <c r="C205" i="2"/>
  <c r="D205" i="2"/>
  <c r="E205" i="2"/>
  <c r="F205" i="2"/>
  <c r="G205" i="2"/>
  <c r="H205" i="2"/>
  <c r="I205" i="2"/>
  <c r="J205" i="2"/>
  <c r="K205" i="2"/>
  <c r="Q205" i="2" s="1"/>
  <c r="L205" i="2"/>
  <c r="M205" i="2"/>
  <c r="N205" i="2"/>
  <c r="O205" i="2"/>
  <c r="P205" i="2"/>
  <c r="S205" i="2"/>
  <c r="W205" i="2"/>
  <c r="X205" i="2"/>
  <c r="Y205" i="2"/>
  <c r="Z205" i="2"/>
  <c r="AA205" i="2"/>
  <c r="AB205" i="2"/>
  <c r="AC205" i="2"/>
  <c r="AD205" i="2"/>
  <c r="AE205" i="2"/>
  <c r="AF205" i="2"/>
  <c r="AG205" i="2"/>
  <c r="A206" i="2"/>
  <c r="B206" i="2"/>
  <c r="C206" i="2"/>
  <c r="D206" i="2"/>
  <c r="E206" i="2"/>
  <c r="F206" i="2"/>
  <c r="G206" i="2"/>
  <c r="H206" i="2"/>
  <c r="I206" i="2"/>
  <c r="J206" i="2"/>
  <c r="K206" i="2"/>
  <c r="X206" i="2" s="1"/>
  <c r="L206" i="2"/>
  <c r="M206" i="2"/>
  <c r="N206" i="2"/>
  <c r="O206" i="2"/>
  <c r="P206" i="2"/>
  <c r="R206" i="2"/>
  <c r="S206" i="2"/>
  <c r="V206" i="2"/>
  <c r="W206" i="2"/>
  <c r="Y206" i="2"/>
  <c r="Z206" i="2"/>
  <c r="AA206" i="2"/>
  <c r="AB206" i="2"/>
  <c r="AC206" i="2"/>
  <c r="AD206" i="2"/>
  <c r="AE206" i="2"/>
  <c r="AF206" i="2"/>
  <c r="AG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208" i="2"/>
  <c r="B208" i="2"/>
  <c r="C208" i="2"/>
  <c r="D208" i="2"/>
  <c r="E208" i="2"/>
  <c r="F208" i="2"/>
  <c r="G208" i="2"/>
  <c r="H208" i="2"/>
  <c r="I208" i="2"/>
  <c r="J208" i="2"/>
  <c r="K208" i="2"/>
  <c r="R208" i="2" s="1"/>
  <c r="L208" i="2"/>
  <c r="M208" i="2"/>
  <c r="N208" i="2"/>
  <c r="O208" i="2"/>
  <c r="P208" i="2"/>
  <c r="Q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209" i="2"/>
  <c r="B209" i="2"/>
  <c r="C209" i="2"/>
  <c r="D209" i="2"/>
  <c r="E209" i="2"/>
  <c r="F209" i="2"/>
  <c r="G209" i="2"/>
  <c r="H209" i="2"/>
  <c r="I209" i="2"/>
  <c r="J209" i="2"/>
  <c r="K209" i="2"/>
  <c r="U209" i="2" s="1"/>
  <c r="L209" i="2"/>
  <c r="M209" i="2"/>
  <c r="N209" i="2"/>
  <c r="O209" i="2"/>
  <c r="P209" i="2"/>
  <c r="S209" i="2"/>
  <c r="T209" i="2"/>
  <c r="Y209" i="2"/>
  <c r="Z209" i="2"/>
  <c r="AA209" i="2"/>
  <c r="AB209" i="2"/>
  <c r="AC209" i="2"/>
  <c r="AD209" i="2"/>
  <c r="AE209" i="2"/>
  <c r="AF209" i="2"/>
  <c r="AG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S210" i="2"/>
  <c r="Y210" i="2"/>
  <c r="Z210" i="2"/>
  <c r="AA210" i="2"/>
  <c r="AB210" i="2"/>
  <c r="AC210" i="2"/>
  <c r="AD210" i="2"/>
  <c r="AE210" i="2"/>
  <c r="AF210" i="2"/>
  <c r="AG210" i="2"/>
  <c r="A211" i="2"/>
  <c r="B211" i="2"/>
  <c r="C211" i="2"/>
  <c r="D211" i="2"/>
  <c r="E211" i="2"/>
  <c r="F211" i="2"/>
  <c r="G211" i="2"/>
  <c r="H211" i="2"/>
  <c r="I211" i="2"/>
  <c r="J211" i="2"/>
  <c r="K211" i="2"/>
  <c r="T211" i="2" s="1"/>
  <c r="L211" i="2"/>
  <c r="M211" i="2"/>
  <c r="N211" i="2"/>
  <c r="O211" i="2"/>
  <c r="P211" i="2"/>
  <c r="Q211" i="2"/>
  <c r="R211" i="2"/>
  <c r="S211" i="2"/>
  <c r="U211" i="2"/>
  <c r="V211" i="2"/>
  <c r="Y211" i="2"/>
  <c r="Z211" i="2"/>
  <c r="AA211" i="2"/>
  <c r="AB211" i="2"/>
  <c r="AC211" i="2"/>
  <c r="AD211" i="2"/>
  <c r="AE211" i="2"/>
  <c r="AF211" i="2"/>
  <c r="AG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213" i="2"/>
  <c r="B213" i="2"/>
  <c r="C213" i="2"/>
  <c r="D213" i="2"/>
  <c r="E213" i="2"/>
  <c r="F213" i="2"/>
  <c r="G213" i="2"/>
  <c r="H213" i="2"/>
  <c r="I213" i="2"/>
  <c r="J213" i="2"/>
  <c r="K213" i="2"/>
  <c r="Q213" i="2" s="1"/>
  <c r="L213" i="2"/>
  <c r="M213" i="2"/>
  <c r="N213" i="2"/>
  <c r="O213" i="2"/>
  <c r="P213" i="2"/>
  <c r="S213" i="2"/>
  <c r="W213" i="2"/>
  <c r="X213" i="2"/>
  <c r="Y213" i="2"/>
  <c r="Z213" i="2"/>
  <c r="AA213" i="2"/>
  <c r="AB213" i="2"/>
  <c r="AC213" i="2"/>
  <c r="AD213" i="2"/>
  <c r="AE213" i="2"/>
  <c r="AF213" i="2"/>
  <c r="AG213" i="2"/>
  <c r="A214" i="2"/>
  <c r="B214" i="2"/>
  <c r="C214" i="2"/>
  <c r="D214" i="2"/>
  <c r="E214" i="2"/>
  <c r="F214" i="2"/>
  <c r="G214" i="2"/>
  <c r="H214" i="2"/>
  <c r="I214" i="2"/>
  <c r="J214" i="2"/>
  <c r="K214" i="2"/>
  <c r="X214" i="2" s="1"/>
  <c r="L214" i="2"/>
  <c r="M214" i="2"/>
  <c r="N214" i="2"/>
  <c r="O214" i="2"/>
  <c r="P214" i="2"/>
  <c r="R214" i="2"/>
  <c r="S214" i="2"/>
  <c r="V214" i="2"/>
  <c r="W214" i="2"/>
  <c r="Y214" i="2"/>
  <c r="Z214" i="2"/>
  <c r="AA214" i="2"/>
  <c r="AB214" i="2"/>
  <c r="AC214" i="2"/>
  <c r="AD214" i="2"/>
  <c r="AE214" i="2"/>
  <c r="AF214" i="2"/>
  <c r="AG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216" i="2"/>
  <c r="B216" i="2"/>
  <c r="C216" i="2"/>
  <c r="D216" i="2"/>
  <c r="E216" i="2"/>
  <c r="F216" i="2"/>
  <c r="G216" i="2"/>
  <c r="H216" i="2"/>
  <c r="I216" i="2"/>
  <c r="J216" i="2"/>
  <c r="K216" i="2"/>
  <c r="R216" i="2" s="1"/>
  <c r="L216" i="2"/>
  <c r="M216" i="2"/>
  <c r="N216" i="2"/>
  <c r="O216" i="2"/>
  <c r="P216" i="2"/>
  <c r="Q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217" i="2"/>
  <c r="B217" i="2"/>
  <c r="C217" i="2"/>
  <c r="D217" i="2"/>
  <c r="E217" i="2"/>
  <c r="F217" i="2"/>
  <c r="G217" i="2"/>
  <c r="H217" i="2"/>
  <c r="I217" i="2"/>
  <c r="J217" i="2"/>
  <c r="K217" i="2"/>
  <c r="U217" i="2" s="1"/>
  <c r="L217" i="2"/>
  <c r="M217" i="2"/>
  <c r="N217" i="2"/>
  <c r="O217" i="2"/>
  <c r="P217" i="2"/>
  <c r="S217" i="2"/>
  <c r="T217" i="2"/>
  <c r="Y217" i="2"/>
  <c r="Z217" i="2"/>
  <c r="AA217" i="2"/>
  <c r="AB217" i="2"/>
  <c r="AC217" i="2"/>
  <c r="AD217" i="2"/>
  <c r="AE217" i="2"/>
  <c r="AF217" i="2"/>
  <c r="AG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Y218" i="2"/>
  <c r="Z218" i="2"/>
  <c r="AA218" i="2"/>
  <c r="AB218" i="2"/>
  <c r="AC218" i="2"/>
  <c r="AD218" i="2"/>
  <c r="AE218" i="2"/>
  <c r="AF218" i="2"/>
  <c r="AG218" i="2"/>
  <c r="A219" i="2"/>
  <c r="B219" i="2"/>
  <c r="C219" i="2"/>
  <c r="D219" i="2"/>
  <c r="E219" i="2"/>
  <c r="F219" i="2"/>
  <c r="G219" i="2"/>
  <c r="H219" i="2"/>
  <c r="I219" i="2"/>
  <c r="J219" i="2"/>
  <c r="K219" i="2"/>
  <c r="T219" i="2" s="1"/>
  <c r="L219" i="2"/>
  <c r="M219" i="2"/>
  <c r="N219" i="2"/>
  <c r="O219" i="2"/>
  <c r="P219" i="2"/>
  <c r="Q219" i="2"/>
  <c r="R219" i="2"/>
  <c r="S219" i="2"/>
  <c r="U219" i="2"/>
  <c r="V219" i="2"/>
  <c r="Y219" i="2"/>
  <c r="Z219" i="2"/>
  <c r="AA219" i="2"/>
  <c r="AB219" i="2"/>
  <c r="AC219" i="2"/>
  <c r="AD219" i="2"/>
  <c r="AE219" i="2"/>
  <c r="AF219" i="2"/>
  <c r="AG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221" i="2"/>
  <c r="B221" i="2"/>
  <c r="C221" i="2"/>
  <c r="D221" i="2"/>
  <c r="E221" i="2"/>
  <c r="F221" i="2"/>
  <c r="G221" i="2"/>
  <c r="H221" i="2"/>
  <c r="I221" i="2"/>
  <c r="J221" i="2"/>
  <c r="K221" i="2"/>
  <c r="Q221" i="2" s="1"/>
  <c r="L221" i="2"/>
  <c r="M221" i="2"/>
  <c r="N221" i="2"/>
  <c r="O221" i="2"/>
  <c r="P221" i="2"/>
  <c r="S221" i="2"/>
  <c r="T221" i="2"/>
  <c r="W221" i="2"/>
  <c r="X221" i="2"/>
  <c r="Y221" i="2"/>
  <c r="Z221" i="2"/>
  <c r="AA221" i="2"/>
  <c r="AB221" i="2"/>
  <c r="AC221" i="2"/>
  <c r="AD221" i="2"/>
  <c r="AE221" i="2"/>
  <c r="AF221" i="2"/>
  <c r="AG221" i="2"/>
  <c r="A222" i="2"/>
  <c r="B222" i="2"/>
  <c r="C222" i="2"/>
  <c r="D222" i="2"/>
  <c r="E222" i="2"/>
  <c r="F222" i="2"/>
  <c r="G222" i="2"/>
  <c r="H222" i="2"/>
  <c r="I222" i="2"/>
  <c r="J222" i="2"/>
  <c r="K222" i="2"/>
  <c r="X222" i="2" s="1"/>
  <c r="L222" i="2"/>
  <c r="M222" i="2"/>
  <c r="N222" i="2"/>
  <c r="O222" i="2"/>
  <c r="P222" i="2"/>
  <c r="S222" i="2"/>
  <c r="V222" i="2"/>
  <c r="W222" i="2"/>
  <c r="Y222" i="2"/>
  <c r="Z222" i="2"/>
  <c r="AA222" i="2"/>
  <c r="AB222" i="2"/>
  <c r="AC222" i="2"/>
  <c r="AD222" i="2"/>
  <c r="AE222" i="2"/>
  <c r="AF222" i="2"/>
  <c r="AG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224" i="2"/>
  <c r="B224" i="2"/>
  <c r="C224" i="2"/>
  <c r="D224" i="2"/>
  <c r="E224" i="2"/>
  <c r="F224" i="2"/>
  <c r="G224" i="2"/>
  <c r="H224" i="2"/>
  <c r="I224" i="2"/>
  <c r="J224" i="2"/>
  <c r="K224" i="2"/>
  <c r="W224" i="2" s="1"/>
  <c r="L224" i="2"/>
  <c r="M224" i="2"/>
  <c r="N224" i="2"/>
  <c r="O224" i="2"/>
  <c r="P224" i="2"/>
  <c r="Q224" i="2"/>
  <c r="S224" i="2"/>
  <c r="T224" i="2"/>
  <c r="U224" i="2"/>
  <c r="V224" i="2"/>
  <c r="X224" i="2"/>
  <c r="Y224" i="2"/>
  <c r="Z224" i="2"/>
  <c r="AA224" i="2"/>
  <c r="AB224" i="2"/>
  <c r="AC224" i="2"/>
  <c r="AD224" i="2"/>
  <c r="AE224" i="2"/>
  <c r="AF224" i="2"/>
  <c r="AG224" i="2"/>
  <c r="A225" i="2"/>
  <c r="B225" i="2"/>
  <c r="C225" i="2"/>
  <c r="D225" i="2"/>
  <c r="E225" i="2"/>
  <c r="F225" i="2"/>
  <c r="G225" i="2"/>
  <c r="H225" i="2"/>
  <c r="I225" i="2"/>
  <c r="J225" i="2"/>
  <c r="K225" i="2"/>
  <c r="U225" i="2" s="1"/>
  <c r="L225" i="2"/>
  <c r="M225" i="2"/>
  <c r="N225" i="2"/>
  <c r="O225" i="2"/>
  <c r="P225" i="2"/>
  <c r="S225" i="2"/>
  <c r="T225" i="2"/>
  <c r="Y225" i="2"/>
  <c r="Z225" i="2"/>
  <c r="AA225" i="2"/>
  <c r="AB225" i="2"/>
  <c r="AC225" i="2"/>
  <c r="AD225" i="2"/>
  <c r="AE225" i="2"/>
  <c r="AF225" i="2"/>
  <c r="AG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S226" i="2"/>
  <c r="Y226" i="2"/>
  <c r="Z226" i="2"/>
  <c r="AA226" i="2"/>
  <c r="AB226" i="2"/>
  <c r="AC226" i="2"/>
  <c r="AD226" i="2"/>
  <c r="AE226" i="2"/>
  <c r="AF226" i="2"/>
  <c r="AG226" i="2"/>
  <c r="A227" i="2"/>
  <c r="B227" i="2"/>
  <c r="C227" i="2"/>
  <c r="D227" i="2"/>
  <c r="E227" i="2"/>
  <c r="F227" i="2"/>
  <c r="G227" i="2"/>
  <c r="H227" i="2"/>
  <c r="I227" i="2"/>
  <c r="J227" i="2"/>
  <c r="K227" i="2"/>
  <c r="T227" i="2" s="1"/>
  <c r="L227" i="2"/>
  <c r="M227" i="2"/>
  <c r="N227" i="2"/>
  <c r="O227" i="2"/>
  <c r="P227" i="2"/>
  <c r="Q227" i="2"/>
  <c r="R227" i="2"/>
  <c r="S227" i="2"/>
  <c r="U227" i="2"/>
  <c r="V227" i="2"/>
  <c r="X227" i="2"/>
  <c r="Y227" i="2"/>
  <c r="Z227" i="2"/>
  <c r="AA227" i="2"/>
  <c r="AB227" i="2"/>
  <c r="AC227" i="2"/>
  <c r="AD227" i="2"/>
  <c r="AE227" i="2"/>
  <c r="AF227" i="2"/>
  <c r="AG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229" i="2"/>
  <c r="B229" i="2"/>
  <c r="C229" i="2"/>
  <c r="D229" i="2"/>
  <c r="E229" i="2"/>
  <c r="F229" i="2"/>
  <c r="G229" i="2"/>
  <c r="H229" i="2"/>
  <c r="I229" i="2"/>
  <c r="J229" i="2"/>
  <c r="K229" i="2"/>
  <c r="Q229" i="2" s="1"/>
  <c r="L229" i="2"/>
  <c r="M229" i="2"/>
  <c r="N229" i="2"/>
  <c r="O229" i="2"/>
  <c r="P229" i="2"/>
  <c r="S229" i="2"/>
  <c r="T229" i="2"/>
  <c r="W229" i="2"/>
  <c r="X229" i="2"/>
  <c r="Y229" i="2"/>
  <c r="Z229" i="2"/>
  <c r="AA229" i="2"/>
  <c r="AB229" i="2"/>
  <c r="AC229" i="2"/>
  <c r="AD229" i="2"/>
  <c r="AE229" i="2"/>
  <c r="AF229" i="2"/>
  <c r="AG229" i="2"/>
  <c r="A230" i="2"/>
  <c r="B230" i="2"/>
  <c r="C230" i="2"/>
  <c r="D230" i="2"/>
  <c r="E230" i="2"/>
  <c r="F230" i="2"/>
  <c r="G230" i="2"/>
  <c r="H230" i="2"/>
  <c r="I230" i="2"/>
  <c r="J230" i="2"/>
  <c r="K230" i="2"/>
  <c r="X230" i="2" s="1"/>
  <c r="L230" i="2"/>
  <c r="M230" i="2"/>
  <c r="N230" i="2"/>
  <c r="O230" i="2"/>
  <c r="P230" i="2"/>
  <c r="S230" i="2"/>
  <c r="V230" i="2"/>
  <c r="W230" i="2"/>
  <c r="Y230" i="2"/>
  <c r="Z230" i="2"/>
  <c r="AA230" i="2"/>
  <c r="AB230" i="2"/>
  <c r="AC230" i="2"/>
  <c r="AD230" i="2"/>
  <c r="AE230" i="2"/>
  <c r="AF230" i="2"/>
  <c r="AG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232" i="2"/>
  <c r="B232" i="2"/>
  <c r="C232" i="2"/>
  <c r="D232" i="2"/>
  <c r="E232" i="2"/>
  <c r="F232" i="2"/>
  <c r="G232" i="2"/>
  <c r="H232" i="2"/>
  <c r="I232" i="2"/>
  <c r="J232" i="2"/>
  <c r="K232" i="2"/>
  <c r="W232" i="2" s="1"/>
  <c r="L232" i="2"/>
  <c r="M232" i="2"/>
  <c r="N232" i="2"/>
  <c r="O232" i="2"/>
  <c r="P232" i="2"/>
  <c r="Q232" i="2"/>
  <c r="S232" i="2"/>
  <c r="T232" i="2"/>
  <c r="U232" i="2"/>
  <c r="V232" i="2"/>
  <c r="X232" i="2"/>
  <c r="Y232" i="2"/>
  <c r="Z232" i="2"/>
  <c r="AA232" i="2"/>
  <c r="AB232" i="2"/>
  <c r="AC232" i="2"/>
  <c r="AD232" i="2"/>
  <c r="AE232" i="2"/>
  <c r="AF232" i="2"/>
  <c r="AG232" i="2"/>
  <c r="A233" i="2"/>
  <c r="B233" i="2"/>
  <c r="C233" i="2"/>
  <c r="D233" i="2"/>
  <c r="E233" i="2"/>
  <c r="F233" i="2"/>
  <c r="G233" i="2"/>
  <c r="H233" i="2"/>
  <c r="I233" i="2"/>
  <c r="J233" i="2"/>
  <c r="K233" i="2"/>
  <c r="U233" i="2" s="1"/>
  <c r="L233" i="2"/>
  <c r="M233" i="2"/>
  <c r="N233" i="2"/>
  <c r="O233" i="2"/>
  <c r="P233" i="2"/>
  <c r="S233" i="2"/>
  <c r="T233" i="2"/>
  <c r="X233" i="2"/>
  <c r="Y233" i="2"/>
  <c r="Z233" i="2"/>
  <c r="AA233" i="2"/>
  <c r="AB233" i="2"/>
  <c r="AC233" i="2"/>
  <c r="AD233" i="2"/>
  <c r="AE233" i="2"/>
  <c r="AF233" i="2"/>
  <c r="AG233" i="2"/>
  <c r="A234" i="2"/>
  <c r="B234" i="2"/>
  <c r="C234" i="2"/>
  <c r="D234" i="2"/>
  <c r="E234" i="2"/>
  <c r="F234" i="2"/>
  <c r="G234" i="2"/>
  <c r="H234" i="2"/>
  <c r="I234" i="2"/>
  <c r="J234" i="2"/>
  <c r="K234" i="2"/>
  <c r="S234" i="2" s="1"/>
  <c r="L234" i="2"/>
  <c r="M234" i="2"/>
  <c r="N234" i="2"/>
  <c r="O234" i="2"/>
  <c r="P234" i="2"/>
  <c r="Y234" i="2"/>
  <c r="Z234" i="2"/>
  <c r="AA234" i="2"/>
  <c r="AB234" i="2"/>
  <c r="AC234" i="2"/>
  <c r="AD234" i="2"/>
  <c r="AE234" i="2"/>
  <c r="AF234" i="2"/>
  <c r="AG234" i="2"/>
  <c r="A235" i="2"/>
  <c r="B235" i="2"/>
  <c r="C235" i="2"/>
  <c r="D235" i="2"/>
  <c r="E235" i="2"/>
  <c r="F235" i="2"/>
  <c r="G235" i="2"/>
  <c r="H235" i="2"/>
  <c r="I235" i="2"/>
  <c r="J235" i="2"/>
  <c r="K235" i="2"/>
  <c r="T235" i="2" s="1"/>
  <c r="L235" i="2"/>
  <c r="M235" i="2"/>
  <c r="N235" i="2"/>
  <c r="O235" i="2"/>
  <c r="P235" i="2"/>
  <c r="Q235" i="2"/>
  <c r="R235" i="2"/>
  <c r="S235" i="2"/>
  <c r="U235" i="2"/>
  <c r="V235" i="2"/>
  <c r="X235" i="2"/>
  <c r="Y235" i="2"/>
  <c r="Z235" i="2"/>
  <c r="AA235" i="2"/>
  <c r="AB235" i="2"/>
  <c r="AC235" i="2"/>
  <c r="AD235" i="2"/>
  <c r="AE235" i="2"/>
  <c r="AF235" i="2"/>
  <c r="AG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237" i="2"/>
  <c r="B237" i="2"/>
  <c r="C237" i="2"/>
  <c r="D237" i="2"/>
  <c r="E237" i="2"/>
  <c r="F237" i="2"/>
  <c r="G237" i="2"/>
  <c r="H237" i="2"/>
  <c r="I237" i="2"/>
  <c r="J237" i="2"/>
  <c r="K237" i="2"/>
  <c r="Q237" i="2" s="1"/>
  <c r="L237" i="2"/>
  <c r="M237" i="2"/>
  <c r="N237" i="2"/>
  <c r="O237" i="2"/>
  <c r="P237" i="2"/>
  <c r="S237" i="2"/>
  <c r="T237" i="2"/>
  <c r="W237" i="2"/>
  <c r="X237" i="2"/>
  <c r="Y237" i="2"/>
  <c r="Z237" i="2"/>
  <c r="AA237" i="2"/>
  <c r="AB237" i="2"/>
  <c r="AC237" i="2"/>
  <c r="AD237" i="2"/>
  <c r="AE237" i="2"/>
  <c r="AF237" i="2"/>
  <c r="AG237" i="2"/>
  <c r="A238" i="2"/>
  <c r="B238" i="2"/>
  <c r="C238" i="2"/>
  <c r="D238" i="2"/>
  <c r="E238" i="2"/>
  <c r="F238" i="2"/>
  <c r="G238" i="2"/>
  <c r="H238" i="2"/>
  <c r="I238" i="2"/>
  <c r="J238" i="2"/>
  <c r="K238" i="2"/>
  <c r="X238" i="2" s="1"/>
  <c r="L238" i="2"/>
  <c r="M238" i="2"/>
  <c r="N238" i="2"/>
  <c r="O238" i="2"/>
  <c r="P238" i="2"/>
  <c r="S238" i="2"/>
  <c r="V238" i="2"/>
  <c r="W238" i="2"/>
  <c r="Y238" i="2"/>
  <c r="Z238" i="2"/>
  <c r="AA238" i="2"/>
  <c r="AB238" i="2"/>
  <c r="AC238" i="2"/>
  <c r="AD238" i="2"/>
  <c r="AE238" i="2"/>
  <c r="AF238" i="2"/>
  <c r="AG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240" i="2"/>
  <c r="B240" i="2"/>
  <c r="C240" i="2"/>
  <c r="D240" i="2"/>
  <c r="E240" i="2"/>
  <c r="F240" i="2"/>
  <c r="G240" i="2"/>
  <c r="H240" i="2"/>
  <c r="I240" i="2"/>
  <c r="J240" i="2"/>
  <c r="K240" i="2"/>
  <c r="V240" i="2" s="1"/>
  <c r="L240" i="2"/>
  <c r="M240" i="2"/>
  <c r="N240" i="2"/>
  <c r="O240" i="2"/>
  <c r="P240" i="2"/>
  <c r="Q240" i="2"/>
  <c r="S240" i="2"/>
  <c r="T240" i="2"/>
  <c r="U240" i="2"/>
  <c r="X240" i="2"/>
  <c r="Y240" i="2"/>
  <c r="Z240" i="2"/>
  <c r="AA240" i="2"/>
  <c r="AB240" i="2"/>
  <c r="AC240" i="2"/>
  <c r="AD240" i="2"/>
  <c r="AE240" i="2"/>
  <c r="AF240" i="2"/>
  <c r="AG240" i="2"/>
  <c r="A241" i="2"/>
  <c r="B241" i="2"/>
  <c r="C241" i="2"/>
  <c r="D241" i="2"/>
  <c r="E241" i="2"/>
  <c r="F241" i="2"/>
  <c r="G241" i="2"/>
  <c r="H241" i="2"/>
  <c r="I241" i="2"/>
  <c r="J241" i="2"/>
  <c r="K241" i="2"/>
  <c r="U241" i="2" s="1"/>
  <c r="L241" i="2"/>
  <c r="M241" i="2"/>
  <c r="N241" i="2"/>
  <c r="O241" i="2"/>
  <c r="P241" i="2"/>
  <c r="S241" i="2"/>
  <c r="T241" i="2"/>
  <c r="X241" i="2"/>
  <c r="Y241" i="2"/>
  <c r="Z241" i="2"/>
  <c r="AA241" i="2"/>
  <c r="AB241" i="2"/>
  <c r="AC241" i="2"/>
  <c r="AD241" i="2"/>
  <c r="AE241" i="2"/>
  <c r="AF241" i="2"/>
  <c r="AG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S242" i="2"/>
  <c r="Y242" i="2"/>
  <c r="Z242" i="2"/>
  <c r="AA242" i="2"/>
  <c r="AB242" i="2"/>
  <c r="AC242" i="2"/>
  <c r="AD242" i="2"/>
  <c r="AE242" i="2"/>
  <c r="AF242" i="2"/>
  <c r="AG242" i="2"/>
  <c r="A243" i="2"/>
  <c r="B243" i="2"/>
  <c r="C243" i="2"/>
  <c r="D243" i="2"/>
  <c r="E243" i="2"/>
  <c r="F243" i="2"/>
  <c r="G243" i="2"/>
  <c r="H243" i="2"/>
  <c r="I243" i="2"/>
  <c r="J243" i="2"/>
  <c r="K243" i="2"/>
  <c r="T243" i="2" s="1"/>
  <c r="L243" i="2"/>
  <c r="M243" i="2"/>
  <c r="N243" i="2"/>
  <c r="O243" i="2"/>
  <c r="P243" i="2"/>
  <c r="Q243" i="2"/>
  <c r="R243" i="2"/>
  <c r="S243" i="2"/>
  <c r="U243" i="2"/>
  <c r="V243" i="2"/>
  <c r="X243" i="2"/>
  <c r="Y243" i="2"/>
  <c r="Z243" i="2"/>
  <c r="AA243" i="2"/>
  <c r="AB243" i="2"/>
  <c r="AC243" i="2"/>
  <c r="AD243" i="2"/>
  <c r="AE243" i="2"/>
  <c r="AF243" i="2"/>
  <c r="AG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245" i="2"/>
  <c r="B245" i="2"/>
  <c r="C245" i="2"/>
  <c r="D245" i="2"/>
  <c r="E245" i="2"/>
  <c r="F245" i="2"/>
  <c r="G245" i="2"/>
  <c r="H245" i="2"/>
  <c r="I245" i="2"/>
  <c r="J245" i="2"/>
  <c r="K245" i="2"/>
  <c r="Q245" i="2" s="1"/>
  <c r="L245" i="2"/>
  <c r="M245" i="2"/>
  <c r="N245" i="2"/>
  <c r="O245" i="2"/>
  <c r="P245" i="2"/>
  <c r="S245" i="2"/>
  <c r="T245" i="2"/>
  <c r="W245" i="2"/>
  <c r="X245" i="2"/>
  <c r="Y245" i="2"/>
  <c r="Z245" i="2"/>
  <c r="AA245" i="2"/>
  <c r="AB245" i="2"/>
  <c r="AC245" i="2"/>
  <c r="AD245" i="2"/>
  <c r="AE245" i="2"/>
  <c r="AF245" i="2"/>
  <c r="AG245" i="2"/>
  <c r="A246" i="2"/>
  <c r="B246" i="2"/>
  <c r="C246" i="2"/>
  <c r="D246" i="2"/>
  <c r="E246" i="2"/>
  <c r="F246" i="2"/>
  <c r="G246" i="2"/>
  <c r="H246" i="2"/>
  <c r="I246" i="2"/>
  <c r="J246" i="2"/>
  <c r="K246" i="2"/>
  <c r="X246" i="2" s="1"/>
  <c r="L246" i="2"/>
  <c r="M246" i="2"/>
  <c r="N246" i="2"/>
  <c r="O246" i="2"/>
  <c r="P246" i="2"/>
  <c r="S246" i="2"/>
  <c r="W246" i="2"/>
  <c r="Y246" i="2"/>
  <c r="Z246" i="2"/>
  <c r="AA246" i="2"/>
  <c r="AB246" i="2"/>
  <c r="AC246" i="2"/>
  <c r="AD246" i="2"/>
  <c r="AE246" i="2"/>
  <c r="AF246" i="2"/>
  <c r="AG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248" i="2"/>
  <c r="B248" i="2"/>
  <c r="C248" i="2"/>
  <c r="D248" i="2"/>
  <c r="E248" i="2"/>
  <c r="F248" i="2"/>
  <c r="G248" i="2"/>
  <c r="H248" i="2"/>
  <c r="I248" i="2"/>
  <c r="J248" i="2"/>
  <c r="K248" i="2"/>
  <c r="V248" i="2" s="1"/>
  <c r="L248" i="2"/>
  <c r="M248" i="2"/>
  <c r="N248" i="2"/>
  <c r="O248" i="2"/>
  <c r="P248" i="2"/>
  <c r="Q248" i="2"/>
  <c r="S248" i="2"/>
  <c r="T248" i="2"/>
  <c r="U248" i="2"/>
  <c r="X248" i="2"/>
  <c r="Y248" i="2"/>
  <c r="Z248" i="2"/>
  <c r="AA248" i="2"/>
  <c r="AB248" i="2"/>
  <c r="AC248" i="2"/>
  <c r="AD248" i="2"/>
  <c r="AE248" i="2"/>
  <c r="AF248" i="2"/>
  <c r="AG248" i="2"/>
  <c r="A249" i="2"/>
  <c r="B249" i="2"/>
  <c r="C249" i="2"/>
  <c r="D249" i="2"/>
  <c r="E249" i="2"/>
  <c r="F249" i="2"/>
  <c r="G249" i="2"/>
  <c r="H249" i="2"/>
  <c r="I249" i="2"/>
  <c r="J249" i="2"/>
  <c r="K249" i="2"/>
  <c r="U249" i="2" s="1"/>
  <c r="L249" i="2"/>
  <c r="M249" i="2"/>
  <c r="N249" i="2"/>
  <c r="O249" i="2"/>
  <c r="P249" i="2"/>
  <c r="S249" i="2"/>
  <c r="T249" i="2"/>
  <c r="X249" i="2"/>
  <c r="Y249" i="2"/>
  <c r="Z249" i="2"/>
  <c r="AA249" i="2"/>
  <c r="AB249" i="2"/>
  <c r="AC249" i="2"/>
  <c r="AD249" i="2"/>
  <c r="AE249" i="2"/>
  <c r="AF249" i="2"/>
  <c r="AG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Y250" i="2"/>
  <c r="Z250" i="2"/>
  <c r="AA250" i="2"/>
  <c r="AB250" i="2"/>
  <c r="AC250" i="2"/>
  <c r="AD250" i="2"/>
  <c r="AE250" i="2"/>
  <c r="AF250" i="2"/>
  <c r="AG250" i="2"/>
  <c r="A251" i="2"/>
  <c r="B251" i="2"/>
  <c r="C251" i="2"/>
  <c r="D251" i="2"/>
  <c r="E251" i="2"/>
  <c r="F251" i="2"/>
  <c r="G251" i="2"/>
  <c r="H251" i="2"/>
  <c r="I251" i="2"/>
  <c r="J251" i="2"/>
  <c r="K251" i="2"/>
  <c r="T251" i="2" s="1"/>
  <c r="L251" i="2"/>
  <c r="M251" i="2"/>
  <c r="N251" i="2"/>
  <c r="O251" i="2"/>
  <c r="P251" i="2"/>
  <c r="Q251" i="2"/>
  <c r="R251" i="2"/>
  <c r="S251" i="2"/>
  <c r="U251" i="2"/>
  <c r="V251" i="2"/>
  <c r="X251" i="2"/>
  <c r="Y251" i="2"/>
  <c r="Z251" i="2"/>
  <c r="AA251" i="2"/>
  <c r="AB251" i="2"/>
  <c r="AC251" i="2"/>
  <c r="AD251" i="2"/>
  <c r="AE251" i="2"/>
  <c r="AF251" i="2"/>
  <c r="AG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253" i="2"/>
  <c r="B253" i="2"/>
  <c r="C253" i="2"/>
  <c r="D253" i="2"/>
  <c r="E253" i="2"/>
  <c r="F253" i="2"/>
  <c r="G253" i="2"/>
  <c r="H253" i="2"/>
  <c r="I253" i="2"/>
  <c r="J253" i="2"/>
  <c r="K253" i="2"/>
  <c r="Q253" i="2" s="1"/>
  <c r="L253" i="2"/>
  <c r="M253" i="2"/>
  <c r="N253" i="2"/>
  <c r="O253" i="2"/>
  <c r="P253" i="2"/>
  <c r="S253" i="2"/>
  <c r="T253" i="2"/>
  <c r="W253" i="2"/>
  <c r="X253" i="2"/>
  <c r="Y253" i="2"/>
  <c r="Z253" i="2"/>
  <c r="AA253" i="2"/>
  <c r="AB253" i="2"/>
  <c r="AC253" i="2"/>
  <c r="AD253" i="2"/>
  <c r="AE253" i="2"/>
  <c r="AF253" i="2"/>
  <c r="AG253" i="2"/>
  <c r="A254" i="2"/>
  <c r="B254" i="2"/>
  <c r="C254" i="2"/>
  <c r="D254" i="2"/>
  <c r="E254" i="2"/>
  <c r="F254" i="2"/>
  <c r="G254" i="2"/>
  <c r="H254" i="2"/>
  <c r="I254" i="2"/>
  <c r="J254" i="2"/>
  <c r="K254" i="2"/>
  <c r="X254" i="2" s="1"/>
  <c r="L254" i="2"/>
  <c r="M254" i="2"/>
  <c r="N254" i="2"/>
  <c r="O254" i="2"/>
  <c r="P254" i="2"/>
  <c r="S254" i="2"/>
  <c r="W254" i="2"/>
  <c r="Y254" i="2"/>
  <c r="Z254" i="2"/>
  <c r="AA254" i="2"/>
  <c r="AB254" i="2"/>
  <c r="AC254" i="2"/>
  <c r="AD254" i="2"/>
  <c r="AE254" i="2"/>
  <c r="AF254" i="2"/>
  <c r="AG254" i="2"/>
  <c r="A255" i="2"/>
  <c r="B255" i="2"/>
  <c r="C255" i="2"/>
  <c r="D255" i="2"/>
  <c r="E255" i="2"/>
  <c r="F255" i="2"/>
  <c r="G255" i="2"/>
  <c r="H255" i="2"/>
  <c r="I255" i="2"/>
  <c r="J255" i="2"/>
  <c r="K255" i="2"/>
  <c r="X255" i="2" s="1"/>
  <c r="L255" i="2"/>
  <c r="M255" i="2"/>
  <c r="N255" i="2"/>
  <c r="O255" i="2"/>
  <c r="P255" i="2"/>
  <c r="Q255" i="2"/>
  <c r="R255" i="2"/>
  <c r="S255" i="2"/>
  <c r="T255" i="2"/>
  <c r="U255" i="2"/>
  <c r="V255" i="2"/>
  <c r="W255" i="2"/>
  <c r="Y255" i="2"/>
  <c r="Z255" i="2"/>
  <c r="AA255" i="2"/>
  <c r="AB255" i="2"/>
  <c r="AC255" i="2"/>
  <c r="AD255" i="2"/>
  <c r="AE255" i="2"/>
  <c r="AF255" i="2"/>
  <c r="AG255" i="2"/>
  <c r="A256" i="2"/>
  <c r="B256" i="2"/>
  <c r="C256" i="2"/>
  <c r="D256" i="2"/>
  <c r="E256" i="2"/>
  <c r="F256" i="2"/>
  <c r="G256" i="2"/>
  <c r="H256" i="2"/>
  <c r="I256" i="2"/>
  <c r="J256" i="2"/>
  <c r="K256" i="2"/>
  <c r="V256" i="2" s="1"/>
  <c r="L256" i="2"/>
  <c r="M256" i="2"/>
  <c r="N256" i="2"/>
  <c r="O256" i="2"/>
  <c r="P256" i="2"/>
  <c r="Q256" i="2"/>
  <c r="S256" i="2"/>
  <c r="T256" i="2"/>
  <c r="U256" i="2"/>
  <c r="X256" i="2"/>
  <c r="Y256" i="2"/>
  <c r="Z256" i="2"/>
  <c r="AA256" i="2"/>
  <c r="AB256" i="2"/>
  <c r="AC256" i="2"/>
  <c r="AD256" i="2"/>
  <c r="AE256" i="2"/>
  <c r="AF256" i="2"/>
  <c r="AG256" i="2"/>
  <c r="A257" i="2"/>
  <c r="B257" i="2"/>
  <c r="C257" i="2"/>
  <c r="D257" i="2"/>
  <c r="E257" i="2"/>
  <c r="F257" i="2"/>
  <c r="G257" i="2"/>
  <c r="H257" i="2"/>
  <c r="I257" i="2"/>
  <c r="J257" i="2"/>
  <c r="K257" i="2"/>
  <c r="U257" i="2" s="1"/>
  <c r="L257" i="2"/>
  <c r="M257" i="2"/>
  <c r="N257" i="2"/>
  <c r="O257" i="2"/>
  <c r="P257" i="2"/>
  <c r="S257" i="2"/>
  <c r="T257" i="2"/>
  <c r="X257" i="2"/>
  <c r="Y257" i="2"/>
  <c r="Z257" i="2"/>
  <c r="AA257" i="2"/>
  <c r="AB257" i="2"/>
  <c r="AC257" i="2"/>
  <c r="AD257" i="2"/>
  <c r="AE257" i="2"/>
  <c r="AF257" i="2"/>
  <c r="AG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Y258" i="2"/>
  <c r="Z258" i="2"/>
  <c r="AA258" i="2"/>
  <c r="AB258" i="2"/>
  <c r="AC258" i="2"/>
  <c r="AD258" i="2"/>
  <c r="AE258" i="2"/>
  <c r="AF258" i="2"/>
  <c r="AG258" i="2"/>
  <c r="A259" i="2"/>
  <c r="B259" i="2"/>
  <c r="C259" i="2"/>
  <c r="D259" i="2"/>
  <c r="E259" i="2"/>
  <c r="F259" i="2"/>
  <c r="G259" i="2"/>
  <c r="H259" i="2"/>
  <c r="I259" i="2"/>
  <c r="J259" i="2"/>
  <c r="K259" i="2"/>
  <c r="T259" i="2" s="1"/>
  <c r="L259" i="2"/>
  <c r="M259" i="2"/>
  <c r="N259" i="2"/>
  <c r="O259" i="2"/>
  <c r="P259" i="2"/>
  <c r="Q259" i="2"/>
  <c r="R259" i="2"/>
  <c r="S259" i="2"/>
  <c r="U259" i="2"/>
  <c r="V259" i="2"/>
  <c r="W259" i="2"/>
  <c r="X259" i="2"/>
  <c r="Y259" i="2"/>
  <c r="Z259" i="2"/>
  <c r="AA259" i="2"/>
  <c r="AB259" i="2"/>
  <c r="AC259" i="2"/>
  <c r="AD259" i="2"/>
  <c r="AE259" i="2"/>
  <c r="AF259" i="2"/>
  <c r="AG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G260" i="2"/>
  <c r="A261" i="2"/>
  <c r="B261" i="2"/>
  <c r="C261" i="2"/>
  <c r="D261" i="2"/>
  <c r="E261" i="2"/>
  <c r="F261" i="2"/>
  <c r="G261" i="2"/>
  <c r="H261" i="2"/>
  <c r="I261" i="2"/>
  <c r="J261" i="2"/>
  <c r="K261" i="2"/>
  <c r="Q261" i="2" s="1"/>
  <c r="L261" i="2"/>
  <c r="M261" i="2"/>
  <c r="N261" i="2"/>
  <c r="O261" i="2"/>
  <c r="P261" i="2"/>
  <c r="S261" i="2"/>
  <c r="T261" i="2"/>
  <c r="W261" i="2"/>
  <c r="X261" i="2"/>
  <c r="Y261" i="2"/>
  <c r="Z261" i="2"/>
  <c r="AA261" i="2"/>
  <c r="AB261" i="2"/>
  <c r="AC261" i="2"/>
  <c r="AD261" i="2"/>
  <c r="AE261" i="2"/>
  <c r="AF261" i="2"/>
  <c r="AG261" i="2"/>
  <c r="A262" i="2"/>
  <c r="B262" i="2"/>
  <c r="C262" i="2"/>
  <c r="D262" i="2"/>
  <c r="E262" i="2"/>
  <c r="F262" i="2"/>
  <c r="G262" i="2"/>
  <c r="H262" i="2"/>
  <c r="I262" i="2"/>
  <c r="J262" i="2"/>
  <c r="K262" i="2"/>
  <c r="X262" i="2" s="1"/>
  <c r="L262" i="2"/>
  <c r="M262" i="2"/>
  <c r="N262" i="2"/>
  <c r="O262" i="2"/>
  <c r="P262" i="2"/>
  <c r="S262" i="2"/>
  <c r="W262" i="2"/>
  <c r="Y262" i="2"/>
  <c r="Z262" i="2"/>
  <c r="AA262" i="2"/>
  <c r="AB262" i="2"/>
  <c r="AC262" i="2"/>
  <c r="AD262" i="2"/>
  <c r="AE262" i="2"/>
  <c r="AF262" i="2"/>
  <c r="AG262" i="2"/>
  <c r="A263" i="2"/>
  <c r="B263" i="2"/>
  <c r="C263" i="2"/>
  <c r="D263" i="2"/>
  <c r="E263" i="2"/>
  <c r="F263" i="2"/>
  <c r="G263" i="2"/>
  <c r="H263" i="2"/>
  <c r="I263" i="2"/>
  <c r="J263" i="2"/>
  <c r="K263" i="2"/>
  <c r="X263" i="2" s="1"/>
  <c r="L263" i="2"/>
  <c r="M263" i="2"/>
  <c r="N263" i="2"/>
  <c r="O263" i="2"/>
  <c r="P263" i="2"/>
  <c r="Q263" i="2"/>
  <c r="R263" i="2"/>
  <c r="S263" i="2"/>
  <c r="T263" i="2"/>
  <c r="U263" i="2"/>
  <c r="V263" i="2"/>
  <c r="W263" i="2"/>
  <c r="Y263" i="2"/>
  <c r="Z263" i="2"/>
  <c r="AA263" i="2"/>
  <c r="AB263" i="2"/>
  <c r="AC263" i="2"/>
  <c r="AD263" i="2"/>
  <c r="AE263" i="2"/>
  <c r="AF263" i="2"/>
  <c r="AG263" i="2"/>
  <c r="A264" i="2"/>
  <c r="B264" i="2"/>
  <c r="C264" i="2"/>
  <c r="D264" i="2"/>
  <c r="E264" i="2"/>
  <c r="F264" i="2"/>
  <c r="G264" i="2"/>
  <c r="H264" i="2"/>
  <c r="I264" i="2"/>
  <c r="J264" i="2"/>
  <c r="K264" i="2"/>
  <c r="V264" i="2" s="1"/>
  <c r="L264" i="2"/>
  <c r="M264" i="2"/>
  <c r="N264" i="2"/>
  <c r="O264" i="2"/>
  <c r="P264" i="2"/>
  <c r="Q264" i="2"/>
  <c r="S264" i="2"/>
  <c r="T264" i="2"/>
  <c r="U264" i="2"/>
  <c r="X264" i="2"/>
  <c r="Y264" i="2"/>
  <c r="Z264" i="2"/>
  <c r="AA264" i="2"/>
  <c r="AB264" i="2"/>
  <c r="AC264" i="2"/>
  <c r="AD264" i="2"/>
  <c r="AE264" i="2"/>
  <c r="AF264" i="2"/>
  <c r="AG264" i="2"/>
  <c r="A265" i="2"/>
  <c r="B265" i="2"/>
  <c r="C265" i="2"/>
  <c r="D265" i="2"/>
  <c r="E265" i="2"/>
  <c r="F265" i="2"/>
  <c r="G265" i="2"/>
  <c r="H265" i="2"/>
  <c r="I265" i="2"/>
  <c r="J265" i="2"/>
  <c r="K265" i="2"/>
  <c r="U265" i="2" s="1"/>
  <c r="L265" i="2"/>
  <c r="M265" i="2"/>
  <c r="N265" i="2"/>
  <c r="O265" i="2"/>
  <c r="P265" i="2"/>
  <c r="S265" i="2"/>
  <c r="T265" i="2"/>
  <c r="X265" i="2"/>
  <c r="Y265" i="2"/>
  <c r="Z265" i="2"/>
  <c r="AA265" i="2"/>
  <c r="AB265" i="2"/>
  <c r="AC265" i="2"/>
  <c r="AD265" i="2"/>
  <c r="AE265" i="2"/>
  <c r="AF265" i="2"/>
  <c r="AG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S266" i="2"/>
  <c r="Y266" i="2"/>
  <c r="Z266" i="2"/>
  <c r="AA266" i="2"/>
  <c r="AB266" i="2"/>
  <c r="AC266" i="2"/>
  <c r="AD266" i="2"/>
  <c r="AE266" i="2"/>
  <c r="AF266" i="2"/>
  <c r="AG266" i="2"/>
  <c r="A267" i="2"/>
  <c r="B267" i="2"/>
  <c r="C267" i="2"/>
  <c r="D267" i="2"/>
  <c r="E267" i="2"/>
  <c r="F267" i="2"/>
  <c r="G267" i="2"/>
  <c r="H267" i="2"/>
  <c r="I267" i="2"/>
  <c r="J267" i="2"/>
  <c r="K267" i="2"/>
  <c r="T267" i="2" s="1"/>
  <c r="L267" i="2"/>
  <c r="M267" i="2"/>
  <c r="N267" i="2"/>
  <c r="O267" i="2"/>
  <c r="P267" i="2"/>
  <c r="Q267" i="2"/>
  <c r="R267" i="2"/>
  <c r="S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269" i="2"/>
  <c r="B269" i="2"/>
  <c r="C269" i="2"/>
  <c r="D269" i="2"/>
  <c r="E269" i="2"/>
  <c r="F269" i="2"/>
  <c r="G269" i="2"/>
  <c r="H269" i="2"/>
  <c r="I269" i="2"/>
  <c r="J269" i="2"/>
  <c r="K269" i="2"/>
  <c r="Q269" i="2" s="1"/>
  <c r="L269" i="2"/>
  <c r="M269" i="2"/>
  <c r="N269" i="2"/>
  <c r="O269" i="2"/>
  <c r="P269" i="2"/>
  <c r="S269" i="2"/>
  <c r="T269" i="2"/>
  <c r="W269" i="2"/>
  <c r="X269" i="2"/>
  <c r="Y269" i="2"/>
  <c r="Z269" i="2"/>
  <c r="AA269" i="2"/>
  <c r="AB269" i="2"/>
  <c r="AC269" i="2"/>
  <c r="AD269" i="2"/>
  <c r="AE269" i="2"/>
  <c r="AF269" i="2"/>
  <c r="AG269" i="2"/>
  <c r="A270" i="2"/>
  <c r="B270" i="2"/>
  <c r="C270" i="2"/>
  <c r="D270" i="2"/>
  <c r="E270" i="2"/>
  <c r="F270" i="2"/>
  <c r="G270" i="2"/>
  <c r="H270" i="2"/>
  <c r="I270" i="2"/>
  <c r="J270" i="2"/>
  <c r="K270" i="2"/>
  <c r="X270" i="2" s="1"/>
  <c r="L270" i="2"/>
  <c r="M270" i="2"/>
  <c r="N270" i="2"/>
  <c r="O270" i="2"/>
  <c r="P270" i="2"/>
  <c r="S270" i="2"/>
  <c r="W270" i="2"/>
  <c r="Y270" i="2"/>
  <c r="Z270" i="2"/>
  <c r="AA270" i="2"/>
  <c r="AB270" i="2"/>
  <c r="AC270" i="2"/>
  <c r="AD270" i="2"/>
  <c r="AE270" i="2"/>
  <c r="AF270" i="2"/>
  <c r="AG270" i="2"/>
  <c r="A271" i="2"/>
  <c r="B271" i="2"/>
  <c r="C271" i="2"/>
  <c r="D271" i="2"/>
  <c r="E271" i="2"/>
  <c r="F271" i="2"/>
  <c r="G271" i="2"/>
  <c r="H271" i="2"/>
  <c r="I271" i="2"/>
  <c r="J271" i="2"/>
  <c r="K271" i="2"/>
  <c r="X271" i="2" s="1"/>
  <c r="L271" i="2"/>
  <c r="M271" i="2"/>
  <c r="N271" i="2"/>
  <c r="O271" i="2"/>
  <c r="P271" i="2"/>
  <c r="Q271" i="2"/>
  <c r="R271" i="2"/>
  <c r="S271" i="2"/>
  <c r="T271" i="2"/>
  <c r="U271" i="2"/>
  <c r="V271" i="2"/>
  <c r="W271" i="2"/>
  <c r="Y271" i="2"/>
  <c r="Z271" i="2"/>
  <c r="AA271" i="2"/>
  <c r="AB271" i="2"/>
  <c r="AC271" i="2"/>
  <c r="AD271" i="2"/>
  <c r="AE271" i="2"/>
  <c r="AF271" i="2"/>
  <c r="AG271" i="2"/>
  <c r="A272" i="2"/>
  <c r="B272" i="2"/>
  <c r="C272" i="2"/>
  <c r="D272" i="2"/>
  <c r="E272" i="2"/>
  <c r="F272" i="2"/>
  <c r="G272" i="2"/>
  <c r="H272" i="2"/>
  <c r="I272" i="2"/>
  <c r="J272" i="2"/>
  <c r="K272" i="2"/>
  <c r="V272" i="2" s="1"/>
  <c r="L272" i="2"/>
  <c r="M272" i="2"/>
  <c r="N272" i="2"/>
  <c r="O272" i="2"/>
  <c r="P272" i="2"/>
  <c r="Q272" i="2"/>
  <c r="S272" i="2"/>
  <c r="T272" i="2"/>
  <c r="U272" i="2"/>
  <c r="X272" i="2"/>
  <c r="Y272" i="2"/>
  <c r="Z272" i="2"/>
  <c r="AA272" i="2"/>
  <c r="AB272" i="2"/>
  <c r="AC272" i="2"/>
  <c r="AD272" i="2"/>
  <c r="AE272" i="2"/>
  <c r="AF272" i="2"/>
  <c r="AG272" i="2"/>
  <c r="A273" i="2"/>
  <c r="B273" i="2"/>
  <c r="C273" i="2"/>
  <c r="D273" i="2"/>
  <c r="E273" i="2"/>
  <c r="F273" i="2"/>
  <c r="G273" i="2"/>
  <c r="H273" i="2"/>
  <c r="I273" i="2"/>
  <c r="J273" i="2"/>
  <c r="K273" i="2"/>
  <c r="U273" i="2" s="1"/>
  <c r="L273" i="2"/>
  <c r="M273" i="2"/>
  <c r="N273" i="2"/>
  <c r="O273" i="2"/>
  <c r="P273" i="2"/>
  <c r="S273" i="2"/>
  <c r="T273" i="2"/>
  <c r="X273" i="2"/>
  <c r="Y273" i="2"/>
  <c r="Z273" i="2"/>
  <c r="AA273" i="2"/>
  <c r="AB273" i="2"/>
  <c r="AC273" i="2"/>
  <c r="AD273" i="2"/>
  <c r="AE273" i="2"/>
  <c r="AF273" i="2"/>
  <c r="AG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S274" i="2"/>
  <c r="Y274" i="2"/>
  <c r="Z274" i="2"/>
  <c r="AA274" i="2"/>
  <c r="AB274" i="2"/>
  <c r="AC274" i="2"/>
  <c r="AD274" i="2"/>
  <c r="AE274" i="2"/>
  <c r="AF274" i="2"/>
  <c r="AG274" i="2"/>
  <c r="A275" i="2"/>
  <c r="B275" i="2"/>
  <c r="C275" i="2"/>
  <c r="D275" i="2"/>
  <c r="E275" i="2"/>
  <c r="F275" i="2"/>
  <c r="G275" i="2"/>
  <c r="H275" i="2"/>
  <c r="I275" i="2"/>
  <c r="J275" i="2"/>
  <c r="K275" i="2"/>
  <c r="T275" i="2" s="1"/>
  <c r="L275" i="2"/>
  <c r="M275" i="2"/>
  <c r="N275" i="2"/>
  <c r="O275" i="2"/>
  <c r="P275" i="2"/>
  <c r="Q275" i="2"/>
  <c r="R275" i="2"/>
  <c r="S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277" i="2"/>
  <c r="B277" i="2"/>
  <c r="C277" i="2"/>
  <c r="D277" i="2"/>
  <c r="E277" i="2"/>
  <c r="F277" i="2"/>
  <c r="G277" i="2"/>
  <c r="H277" i="2"/>
  <c r="I277" i="2"/>
  <c r="J277" i="2"/>
  <c r="K277" i="2"/>
  <c r="Q277" i="2" s="1"/>
  <c r="L277" i="2"/>
  <c r="M277" i="2"/>
  <c r="N277" i="2"/>
  <c r="O277" i="2"/>
  <c r="P277" i="2"/>
  <c r="S277" i="2"/>
  <c r="T277" i="2"/>
  <c r="W277" i="2"/>
  <c r="X277" i="2"/>
  <c r="Y277" i="2"/>
  <c r="Z277" i="2"/>
  <c r="AA277" i="2"/>
  <c r="AB277" i="2"/>
  <c r="AC277" i="2"/>
  <c r="AD277" i="2"/>
  <c r="AE277" i="2"/>
  <c r="AF277" i="2"/>
  <c r="AG277" i="2"/>
  <c r="A278" i="2"/>
  <c r="B278" i="2"/>
  <c r="C278" i="2"/>
  <c r="D278" i="2"/>
  <c r="E278" i="2"/>
  <c r="F278" i="2"/>
  <c r="G278" i="2"/>
  <c r="H278" i="2"/>
  <c r="I278" i="2"/>
  <c r="J278" i="2"/>
  <c r="K278" i="2"/>
  <c r="X278" i="2" s="1"/>
  <c r="L278" i="2"/>
  <c r="M278" i="2"/>
  <c r="N278" i="2"/>
  <c r="O278" i="2"/>
  <c r="P278" i="2"/>
  <c r="S278" i="2"/>
  <c r="W278" i="2"/>
  <c r="Y278" i="2"/>
  <c r="Z278" i="2"/>
  <c r="AA278" i="2"/>
  <c r="AB278" i="2"/>
  <c r="AC278" i="2"/>
  <c r="AD278" i="2"/>
  <c r="AE278" i="2"/>
  <c r="AF278" i="2"/>
  <c r="AG278" i="2"/>
  <c r="A279" i="2"/>
  <c r="B279" i="2"/>
  <c r="C279" i="2"/>
  <c r="D279" i="2"/>
  <c r="E279" i="2"/>
  <c r="F279" i="2"/>
  <c r="G279" i="2"/>
  <c r="H279" i="2"/>
  <c r="I279" i="2"/>
  <c r="J279" i="2"/>
  <c r="K279" i="2"/>
  <c r="X279" i="2" s="1"/>
  <c r="L279" i="2"/>
  <c r="M279" i="2"/>
  <c r="N279" i="2"/>
  <c r="O279" i="2"/>
  <c r="P279" i="2"/>
  <c r="Q279" i="2"/>
  <c r="R279" i="2"/>
  <c r="S279" i="2"/>
  <c r="T279" i="2"/>
  <c r="U279" i="2"/>
  <c r="V279" i="2"/>
  <c r="W279" i="2"/>
  <c r="Y279" i="2"/>
  <c r="Z279" i="2"/>
  <c r="AA279" i="2"/>
  <c r="AB279" i="2"/>
  <c r="AC279" i="2"/>
  <c r="AD279" i="2"/>
  <c r="AE279" i="2"/>
  <c r="AF279" i="2"/>
  <c r="AG279" i="2"/>
  <c r="A280" i="2"/>
  <c r="B280" i="2"/>
  <c r="C280" i="2"/>
  <c r="D280" i="2"/>
  <c r="E280" i="2"/>
  <c r="F280" i="2"/>
  <c r="G280" i="2"/>
  <c r="H280" i="2"/>
  <c r="I280" i="2"/>
  <c r="J280" i="2"/>
  <c r="K280" i="2"/>
  <c r="V280" i="2" s="1"/>
  <c r="L280" i="2"/>
  <c r="M280" i="2"/>
  <c r="N280" i="2"/>
  <c r="O280" i="2"/>
  <c r="P280" i="2"/>
  <c r="Q280" i="2"/>
  <c r="S280" i="2"/>
  <c r="T280" i="2"/>
  <c r="U280" i="2"/>
  <c r="X280" i="2"/>
  <c r="Y280" i="2"/>
  <c r="Z280" i="2"/>
  <c r="AA280" i="2"/>
  <c r="AB280" i="2"/>
  <c r="AC280" i="2"/>
  <c r="AD280" i="2"/>
  <c r="AE280" i="2"/>
  <c r="AF280" i="2"/>
  <c r="AG280" i="2"/>
  <c r="A281" i="2"/>
  <c r="B281" i="2"/>
  <c r="C281" i="2"/>
  <c r="D281" i="2"/>
  <c r="E281" i="2"/>
  <c r="F281" i="2"/>
  <c r="G281" i="2"/>
  <c r="H281" i="2"/>
  <c r="I281" i="2"/>
  <c r="J281" i="2"/>
  <c r="K281" i="2"/>
  <c r="U281" i="2" s="1"/>
  <c r="L281" i="2"/>
  <c r="M281" i="2"/>
  <c r="N281" i="2"/>
  <c r="O281" i="2"/>
  <c r="P281" i="2"/>
  <c r="S281" i="2"/>
  <c r="T281" i="2"/>
  <c r="X281" i="2"/>
  <c r="Y281" i="2"/>
  <c r="Z281" i="2"/>
  <c r="AA281" i="2"/>
  <c r="AB281" i="2"/>
  <c r="AC281" i="2"/>
  <c r="AD281" i="2"/>
  <c r="AE281" i="2"/>
  <c r="AF281" i="2"/>
  <c r="AG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S282" i="2"/>
  <c r="Y282" i="2"/>
  <c r="Z282" i="2"/>
  <c r="AA282" i="2"/>
  <c r="AB282" i="2"/>
  <c r="AC282" i="2"/>
  <c r="AD282" i="2"/>
  <c r="AE282" i="2"/>
  <c r="AF282" i="2"/>
  <c r="AG282" i="2"/>
  <c r="A283" i="2"/>
  <c r="B283" i="2"/>
  <c r="C283" i="2"/>
  <c r="D283" i="2"/>
  <c r="E283" i="2"/>
  <c r="F283" i="2"/>
  <c r="G283" i="2"/>
  <c r="H283" i="2"/>
  <c r="I283" i="2"/>
  <c r="J283" i="2"/>
  <c r="K283" i="2"/>
  <c r="T283" i="2" s="1"/>
  <c r="L283" i="2"/>
  <c r="M283" i="2"/>
  <c r="N283" i="2"/>
  <c r="O283" i="2"/>
  <c r="P283" i="2"/>
  <c r="Q283" i="2"/>
  <c r="R283" i="2"/>
  <c r="S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285" i="2"/>
  <c r="B285" i="2"/>
  <c r="C285" i="2"/>
  <c r="D285" i="2"/>
  <c r="E285" i="2"/>
  <c r="F285" i="2"/>
  <c r="G285" i="2"/>
  <c r="H285" i="2"/>
  <c r="I285" i="2"/>
  <c r="J285" i="2"/>
  <c r="K285" i="2"/>
  <c r="Q285" i="2" s="1"/>
  <c r="L285" i="2"/>
  <c r="M285" i="2"/>
  <c r="N285" i="2"/>
  <c r="O285" i="2"/>
  <c r="P285" i="2"/>
  <c r="S285" i="2"/>
  <c r="T285" i="2"/>
  <c r="W285" i="2"/>
  <c r="X285" i="2"/>
  <c r="Y285" i="2"/>
  <c r="Z285" i="2"/>
  <c r="AA285" i="2"/>
  <c r="AB285" i="2"/>
  <c r="AC285" i="2"/>
  <c r="AD285" i="2"/>
  <c r="AE285" i="2"/>
  <c r="AF285" i="2"/>
  <c r="AG285" i="2"/>
  <c r="A286" i="2"/>
  <c r="B286" i="2"/>
  <c r="C286" i="2"/>
  <c r="D286" i="2"/>
  <c r="E286" i="2"/>
  <c r="F286" i="2"/>
  <c r="G286" i="2"/>
  <c r="H286" i="2"/>
  <c r="I286" i="2"/>
  <c r="J286" i="2"/>
  <c r="K286" i="2"/>
  <c r="X286" i="2" s="1"/>
  <c r="L286" i="2"/>
  <c r="M286" i="2"/>
  <c r="N286" i="2"/>
  <c r="O286" i="2"/>
  <c r="P286" i="2"/>
  <c r="S286" i="2"/>
  <c r="W286" i="2"/>
  <c r="Y286" i="2"/>
  <c r="Z286" i="2"/>
  <c r="AA286" i="2"/>
  <c r="AB286" i="2"/>
  <c r="AC286" i="2"/>
  <c r="AD286" i="2"/>
  <c r="AE286" i="2"/>
  <c r="AF286" i="2"/>
  <c r="AG286" i="2"/>
  <c r="A287" i="2"/>
  <c r="B287" i="2"/>
  <c r="C287" i="2"/>
  <c r="D287" i="2"/>
  <c r="E287" i="2"/>
  <c r="F287" i="2"/>
  <c r="G287" i="2"/>
  <c r="H287" i="2"/>
  <c r="I287" i="2"/>
  <c r="J287" i="2"/>
  <c r="K287" i="2"/>
  <c r="X287" i="2" s="1"/>
  <c r="L287" i="2"/>
  <c r="M287" i="2"/>
  <c r="N287" i="2"/>
  <c r="O287" i="2"/>
  <c r="P287" i="2"/>
  <c r="Q287" i="2"/>
  <c r="R287" i="2"/>
  <c r="S287" i="2"/>
  <c r="T287" i="2"/>
  <c r="U287" i="2"/>
  <c r="V287" i="2"/>
  <c r="W287" i="2"/>
  <c r="Y287" i="2"/>
  <c r="Z287" i="2"/>
  <c r="AA287" i="2"/>
  <c r="AB287" i="2"/>
  <c r="AC287" i="2"/>
  <c r="AD287" i="2"/>
  <c r="AE287" i="2"/>
  <c r="AF287" i="2"/>
  <c r="AG287" i="2"/>
  <c r="A288" i="2"/>
  <c r="B288" i="2"/>
  <c r="C288" i="2"/>
  <c r="D288" i="2"/>
  <c r="E288" i="2"/>
  <c r="F288" i="2"/>
  <c r="G288" i="2"/>
  <c r="H288" i="2"/>
  <c r="I288" i="2"/>
  <c r="J288" i="2"/>
  <c r="K288" i="2"/>
  <c r="V288" i="2" s="1"/>
  <c r="L288" i="2"/>
  <c r="M288" i="2"/>
  <c r="N288" i="2"/>
  <c r="O288" i="2"/>
  <c r="P288" i="2"/>
  <c r="Q288" i="2"/>
  <c r="S288" i="2"/>
  <c r="T288" i="2"/>
  <c r="U288" i="2"/>
  <c r="X288" i="2"/>
  <c r="Y288" i="2"/>
  <c r="Z288" i="2"/>
  <c r="AA288" i="2"/>
  <c r="AB288" i="2"/>
  <c r="AC288" i="2"/>
  <c r="AD288" i="2"/>
  <c r="AE288" i="2"/>
  <c r="AF288" i="2"/>
  <c r="AG288" i="2"/>
  <c r="A289" i="2"/>
  <c r="B289" i="2"/>
  <c r="C289" i="2"/>
  <c r="D289" i="2"/>
  <c r="E289" i="2"/>
  <c r="F289" i="2"/>
  <c r="G289" i="2"/>
  <c r="H289" i="2"/>
  <c r="I289" i="2"/>
  <c r="J289" i="2"/>
  <c r="K289" i="2"/>
  <c r="U289" i="2" s="1"/>
  <c r="L289" i="2"/>
  <c r="M289" i="2"/>
  <c r="N289" i="2"/>
  <c r="O289" i="2"/>
  <c r="P289" i="2"/>
  <c r="S289" i="2"/>
  <c r="T289" i="2"/>
  <c r="X289" i="2"/>
  <c r="Y289" i="2"/>
  <c r="Z289" i="2"/>
  <c r="AA289" i="2"/>
  <c r="AB289" i="2"/>
  <c r="AC289" i="2"/>
  <c r="AD289" i="2"/>
  <c r="AE289" i="2"/>
  <c r="AF289" i="2"/>
  <c r="AG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Y290" i="2"/>
  <c r="Z290" i="2"/>
  <c r="AA290" i="2"/>
  <c r="AB290" i="2"/>
  <c r="AC290" i="2"/>
  <c r="AD290" i="2"/>
  <c r="AE290" i="2"/>
  <c r="AF290" i="2"/>
  <c r="AG290" i="2"/>
  <c r="A291" i="2"/>
  <c r="B291" i="2"/>
  <c r="C291" i="2"/>
  <c r="D291" i="2"/>
  <c r="E291" i="2"/>
  <c r="F291" i="2"/>
  <c r="G291" i="2"/>
  <c r="H291" i="2"/>
  <c r="I291" i="2"/>
  <c r="J291" i="2"/>
  <c r="K291" i="2"/>
  <c r="T291" i="2" s="1"/>
  <c r="L291" i="2"/>
  <c r="M291" i="2"/>
  <c r="N291" i="2"/>
  <c r="O291" i="2"/>
  <c r="P291" i="2"/>
  <c r="Q291" i="2"/>
  <c r="R291" i="2"/>
  <c r="S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293" i="2"/>
  <c r="B293" i="2"/>
  <c r="C293" i="2"/>
  <c r="D293" i="2"/>
  <c r="E293" i="2"/>
  <c r="F293" i="2"/>
  <c r="G293" i="2"/>
  <c r="H293" i="2"/>
  <c r="I293" i="2"/>
  <c r="J293" i="2"/>
  <c r="K293" i="2"/>
  <c r="Q293" i="2" s="1"/>
  <c r="L293" i="2"/>
  <c r="M293" i="2"/>
  <c r="N293" i="2"/>
  <c r="O293" i="2"/>
  <c r="P293" i="2"/>
  <c r="S293" i="2"/>
  <c r="T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S294" i="2"/>
  <c r="V294" i="2"/>
  <c r="W294" i="2"/>
  <c r="Y294" i="2"/>
  <c r="Z294" i="2"/>
  <c r="AA294" i="2"/>
  <c r="AB294" i="2"/>
  <c r="AC294" i="2"/>
  <c r="AD294" i="2"/>
  <c r="AE294" i="2"/>
  <c r="AF294" i="2"/>
  <c r="AG294" i="2"/>
  <c r="A295" i="2"/>
  <c r="B295" i="2"/>
  <c r="C295" i="2"/>
  <c r="D295" i="2"/>
  <c r="E295" i="2"/>
  <c r="F295" i="2"/>
  <c r="G295" i="2"/>
  <c r="H295" i="2"/>
  <c r="I295" i="2"/>
  <c r="J295" i="2"/>
  <c r="K295" i="2"/>
  <c r="X295" i="2" s="1"/>
  <c r="L295" i="2"/>
  <c r="M295" i="2"/>
  <c r="N295" i="2"/>
  <c r="O295" i="2"/>
  <c r="P295" i="2"/>
  <c r="Q295" i="2"/>
  <c r="R295" i="2"/>
  <c r="S295" i="2"/>
  <c r="T295" i="2"/>
  <c r="U295" i="2"/>
  <c r="V295" i="2"/>
  <c r="W295" i="2"/>
  <c r="Y295" i="2"/>
  <c r="Z295" i="2"/>
  <c r="AA295" i="2"/>
  <c r="AB295" i="2"/>
  <c r="AC295" i="2"/>
  <c r="AD295" i="2"/>
  <c r="AE295" i="2"/>
  <c r="AF295" i="2"/>
  <c r="AG295" i="2"/>
  <c r="A296" i="2"/>
  <c r="B296" i="2"/>
  <c r="C296" i="2"/>
  <c r="D296" i="2"/>
  <c r="E296" i="2"/>
  <c r="F296" i="2"/>
  <c r="G296" i="2"/>
  <c r="H296" i="2"/>
  <c r="I296" i="2"/>
  <c r="J296" i="2"/>
  <c r="K296" i="2"/>
  <c r="V296" i="2" s="1"/>
  <c r="L296" i="2"/>
  <c r="M296" i="2"/>
  <c r="N296" i="2"/>
  <c r="O296" i="2"/>
  <c r="P296" i="2"/>
  <c r="Q296" i="2"/>
  <c r="S296" i="2"/>
  <c r="T296" i="2"/>
  <c r="U296" i="2"/>
  <c r="X296" i="2"/>
  <c r="Y296" i="2"/>
  <c r="Z296" i="2"/>
  <c r="AA296" i="2"/>
  <c r="AB296" i="2"/>
  <c r="AC296" i="2"/>
  <c r="AD296" i="2"/>
  <c r="AE296" i="2"/>
  <c r="AF296" i="2"/>
  <c r="AG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T297" i="2"/>
  <c r="Y297" i="2"/>
  <c r="Z297" i="2"/>
  <c r="AA297" i="2"/>
  <c r="AB297" i="2"/>
  <c r="AC297" i="2"/>
  <c r="AD297" i="2"/>
  <c r="AE297" i="2"/>
  <c r="AF297" i="2"/>
  <c r="AG297" i="2"/>
  <c r="A298" i="2"/>
  <c r="B298" i="2"/>
  <c r="C298" i="2"/>
  <c r="D298" i="2"/>
  <c r="E298" i="2"/>
  <c r="F298" i="2"/>
  <c r="G298" i="2"/>
  <c r="H298" i="2"/>
  <c r="I298" i="2"/>
  <c r="J298" i="2"/>
  <c r="K298" i="2"/>
  <c r="V298" i="2" s="1"/>
  <c r="L298" i="2"/>
  <c r="M298" i="2"/>
  <c r="N298" i="2"/>
  <c r="O298" i="2"/>
  <c r="P298" i="2"/>
  <c r="Q298" i="2"/>
  <c r="R298" i="2"/>
  <c r="S298" i="2"/>
  <c r="W298" i="2"/>
  <c r="Y298" i="2"/>
  <c r="Z298" i="2"/>
  <c r="AA298" i="2"/>
  <c r="AB298" i="2"/>
  <c r="AC298" i="2"/>
  <c r="AD298" i="2"/>
  <c r="AE298" i="2"/>
  <c r="AF298" i="2"/>
  <c r="AG298" i="2"/>
  <c r="A299" i="2"/>
  <c r="B299" i="2"/>
  <c r="C299" i="2"/>
  <c r="D299" i="2"/>
  <c r="E299" i="2"/>
  <c r="F299" i="2"/>
  <c r="G299" i="2"/>
  <c r="H299" i="2"/>
  <c r="I299" i="2"/>
  <c r="J299" i="2"/>
  <c r="K299" i="2"/>
  <c r="T299" i="2" s="1"/>
  <c r="L299" i="2"/>
  <c r="M299" i="2"/>
  <c r="N299" i="2"/>
  <c r="O299" i="2"/>
  <c r="P299" i="2"/>
  <c r="Q299" i="2"/>
  <c r="R299" i="2"/>
  <c r="S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301" i="2"/>
  <c r="B301" i="2"/>
  <c r="C301" i="2"/>
  <c r="D301" i="2"/>
  <c r="E301" i="2"/>
  <c r="F301" i="2"/>
  <c r="G301" i="2"/>
  <c r="H301" i="2"/>
  <c r="I301" i="2"/>
  <c r="J301" i="2"/>
  <c r="K301" i="2"/>
  <c r="V301" i="2" s="1"/>
  <c r="L301" i="2"/>
  <c r="M301" i="2"/>
  <c r="N301" i="2"/>
  <c r="O301" i="2"/>
  <c r="P301" i="2"/>
  <c r="U301" i="2"/>
  <c r="X301" i="2"/>
  <c r="Y301" i="2"/>
  <c r="Z301" i="2"/>
  <c r="AA301" i="2"/>
  <c r="AB301" i="2"/>
  <c r="AC301" i="2"/>
  <c r="AD301" i="2"/>
  <c r="AE301" i="2"/>
  <c r="AF301" i="2"/>
  <c r="AG301" i="2"/>
  <c r="A302" i="2"/>
  <c r="B302" i="2"/>
  <c r="C302" i="2"/>
  <c r="D302" i="2"/>
  <c r="E302" i="2"/>
  <c r="F302" i="2"/>
  <c r="G302" i="2"/>
  <c r="H302" i="2"/>
  <c r="I302" i="2"/>
  <c r="J302" i="2"/>
  <c r="K302" i="2"/>
  <c r="Q302" i="2" s="1"/>
  <c r="L302" i="2"/>
  <c r="M302" i="2"/>
  <c r="N302" i="2"/>
  <c r="O302" i="2"/>
  <c r="P302" i="2"/>
  <c r="T302" i="2"/>
  <c r="U302" i="2"/>
  <c r="X302" i="2"/>
  <c r="Y302" i="2"/>
  <c r="Z302" i="2"/>
  <c r="AA302" i="2"/>
  <c r="AB302" i="2"/>
  <c r="AC302" i="2"/>
  <c r="AD302" i="2"/>
  <c r="AE302" i="2"/>
  <c r="AF302" i="2"/>
  <c r="AG302" i="2"/>
  <c r="A303" i="2"/>
  <c r="B303" i="2"/>
  <c r="C303" i="2"/>
  <c r="D303" i="2"/>
  <c r="E303" i="2"/>
  <c r="F303" i="2"/>
  <c r="G303" i="2"/>
  <c r="H303" i="2"/>
  <c r="I303" i="2"/>
  <c r="J303" i="2"/>
  <c r="K303" i="2"/>
  <c r="Q303" i="2" s="1"/>
  <c r="L303" i="2"/>
  <c r="M303" i="2"/>
  <c r="N303" i="2"/>
  <c r="O303" i="2"/>
  <c r="P303" i="2"/>
  <c r="S303" i="2"/>
  <c r="T303" i="2"/>
  <c r="W303" i="2"/>
  <c r="X303" i="2"/>
  <c r="Y303" i="2"/>
  <c r="Z303" i="2"/>
  <c r="AA303" i="2"/>
  <c r="AB303" i="2"/>
  <c r="AC303" i="2"/>
  <c r="AD303" i="2"/>
  <c r="AE303" i="2"/>
  <c r="AF303" i="2"/>
  <c r="AG303" i="2"/>
  <c r="A304" i="2"/>
  <c r="B304" i="2"/>
  <c r="C304" i="2"/>
  <c r="D304" i="2"/>
  <c r="E304" i="2"/>
  <c r="F304" i="2"/>
  <c r="G304" i="2"/>
  <c r="H304" i="2"/>
  <c r="I304" i="2"/>
  <c r="J304" i="2"/>
  <c r="K304" i="2"/>
  <c r="X304" i="2" s="1"/>
  <c r="L304" i="2"/>
  <c r="M304" i="2"/>
  <c r="N304" i="2"/>
  <c r="O304" i="2"/>
  <c r="P304" i="2"/>
  <c r="S304" i="2"/>
  <c r="V304" i="2"/>
  <c r="W304" i="2"/>
  <c r="Y304" i="2"/>
  <c r="Z304" i="2"/>
  <c r="AA304" i="2"/>
  <c r="AB304" i="2"/>
  <c r="AC304" i="2"/>
  <c r="AD304" i="2"/>
  <c r="AE304" i="2"/>
  <c r="AF304" i="2"/>
  <c r="AG304" i="2"/>
  <c r="A305" i="2"/>
  <c r="B305" i="2"/>
  <c r="C305" i="2"/>
  <c r="D305" i="2"/>
  <c r="E305" i="2"/>
  <c r="F305" i="2"/>
  <c r="G305" i="2"/>
  <c r="H305" i="2"/>
  <c r="I305" i="2"/>
  <c r="J305" i="2"/>
  <c r="K305" i="2"/>
  <c r="T305" i="2" s="1"/>
  <c r="L305" i="2"/>
  <c r="M305" i="2"/>
  <c r="N305" i="2"/>
  <c r="O305" i="2"/>
  <c r="P305" i="2"/>
  <c r="Q305" i="2"/>
  <c r="R305" i="2"/>
  <c r="S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S307" i="2"/>
  <c r="Y307" i="2"/>
  <c r="Z307" i="2"/>
  <c r="AA307" i="2"/>
  <c r="AB307" i="2"/>
  <c r="AC307" i="2"/>
  <c r="AD307" i="2"/>
  <c r="AE307" i="2"/>
  <c r="AF307" i="2"/>
  <c r="AG307" i="2"/>
  <c r="A308" i="2"/>
  <c r="B308" i="2"/>
  <c r="C308" i="2"/>
  <c r="D308" i="2"/>
  <c r="E308" i="2"/>
  <c r="F308" i="2"/>
  <c r="G308" i="2"/>
  <c r="H308" i="2"/>
  <c r="I308" i="2"/>
  <c r="J308" i="2"/>
  <c r="K308" i="2"/>
  <c r="T308" i="2" s="1"/>
  <c r="L308" i="2"/>
  <c r="M308" i="2"/>
  <c r="N308" i="2"/>
  <c r="O308" i="2"/>
  <c r="P308" i="2"/>
  <c r="R308" i="2"/>
  <c r="S308" i="2"/>
  <c r="V308" i="2"/>
  <c r="Y308" i="2"/>
  <c r="Z308" i="2"/>
  <c r="AA308" i="2"/>
  <c r="AB308" i="2"/>
  <c r="AC308" i="2"/>
  <c r="AD308" i="2"/>
  <c r="AE308" i="2"/>
  <c r="AF308" i="2"/>
  <c r="AG308" i="2"/>
  <c r="A309" i="2"/>
  <c r="B309" i="2"/>
  <c r="C309" i="2"/>
  <c r="D309" i="2"/>
  <c r="E309" i="2"/>
  <c r="F309" i="2"/>
  <c r="G309" i="2"/>
  <c r="H309" i="2"/>
  <c r="I309" i="2"/>
  <c r="J309" i="2"/>
  <c r="K309" i="2"/>
  <c r="T309" i="2" s="1"/>
  <c r="L309" i="2"/>
  <c r="M309" i="2"/>
  <c r="N309" i="2"/>
  <c r="O309" i="2"/>
  <c r="P309" i="2"/>
  <c r="Q309" i="2"/>
  <c r="R309" i="2"/>
  <c r="S309" i="2"/>
  <c r="U309" i="2"/>
  <c r="V309" i="2"/>
  <c r="Y309" i="2"/>
  <c r="Z309" i="2"/>
  <c r="AA309" i="2"/>
  <c r="AB309" i="2"/>
  <c r="AC309" i="2"/>
  <c r="AD309" i="2"/>
  <c r="AE309" i="2"/>
  <c r="AF309" i="2"/>
  <c r="AG309" i="2"/>
  <c r="A310" i="2"/>
  <c r="B310" i="2"/>
  <c r="C310" i="2"/>
  <c r="D310" i="2"/>
  <c r="E310" i="2"/>
  <c r="F310" i="2"/>
  <c r="G310" i="2"/>
  <c r="H310" i="2"/>
  <c r="I310" i="2"/>
  <c r="J310" i="2"/>
  <c r="K310" i="2"/>
  <c r="V310" i="2" s="1"/>
  <c r="L310" i="2"/>
  <c r="M310" i="2"/>
  <c r="N310" i="2"/>
  <c r="O310" i="2"/>
  <c r="P310" i="2"/>
  <c r="Q310" i="2"/>
  <c r="R310" i="2"/>
  <c r="S310" i="2"/>
  <c r="T310" i="2"/>
  <c r="U310" i="2"/>
  <c r="X310" i="2"/>
  <c r="Y310" i="2"/>
  <c r="Z310" i="2"/>
  <c r="AA310" i="2"/>
  <c r="AB310" i="2"/>
  <c r="AC310" i="2"/>
  <c r="AD310" i="2"/>
  <c r="AE310" i="2"/>
  <c r="AF310" i="2"/>
  <c r="AG310" i="2"/>
  <c r="A311" i="2"/>
  <c r="B311" i="2"/>
  <c r="C311" i="2"/>
  <c r="D311" i="2"/>
  <c r="E311" i="2"/>
  <c r="F311" i="2"/>
  <c r="G311" i="2"/>
  <c r="H311" i="2"/>
  <c r="I311" i="2"/>
  <c r="J311" i="2"/>
  <c r="K311" i="2"/>
  <c r="X311" i="2" s="1"/>
  <c r="L311" i="2"/>
  <c r="M311" i="2"/>
  <c r="N311" i="2"/>
  <c r="O311" i="2"/>
  <c r="P311" i="2"/>
  <c r="S311" i="2"/>
  <c r="W311" i="2"/>
  <c r="Y311" i="2"/>
  <c r="Z311" i="2"/>
  <c r="AA311" i="2"/>
  <c r="AB311" i="2"/>
  <c r="AC311" i="2"/>
  <c r="AD311" i="2"/>
  <c r="AE311" i="2"/>
  <c r="AF311" i="2"/>
  <c r="AG311" i="2"/>
  <c r="A312" i="2"/>
  <c r="B312" i="2"/>
  <c r="C312" i="2"/>
  <c r="D312" i="2"/>
  <c r="E312" i="2"/>
  <c r="F312" i="2"/>
  <c r="G312" i="2"/>
  <c r="H312" i="2"/>
  <c r="I312" i="2"/>
  <c r="J312" i="2"/>
  <c r="K312" i="2"/>
  <c r="X312" i="2" s="1"/>
  <c r="L312" i="2"/>
  <c r="M312" i="2"/>
  <c r="N312" i="2"/>
  <c r="O312" i="2"/>
  <c r="P312" i="2"/>
  <c r="R312" i="2"/>
  <c r="S312" i="2"/>
  <c r="V312" i="2"/>
  <c r="W312" i="2"/>
  <c r="Y312" i="2"/>
  <c r="Z312" i="2"/>
  <c r="AA312" i="2"/>
  <c r="AB312" i="2"/>
  <c r="AC312" i="2"/>
  <c r="AD312" i="2"/>
  <c r="AE312" i="2"/>
  <c r="AF312" i="2"/>
  <c r="AG312" i="2"/>
  <c r="A313" i="2"/>
  <c r="B313" i="2"/>
  <c r="C313" i="2"/>
  <c r="D313" i="2"/>
  <c r="E313" i="2"/>
  <c r="F313" i="2"/>
  <c r="G313" i="2"/>
  <c r="H313" i="2"/>
  <c r="I313" i="2"/>
  <c r="J313" i="2"/>
  <c r="K313" i="2"/>
  <c r="T313" i="2" s="1"/>
  <c r="L313" i="2"/>
  <c r="M313" i="2"/>
  <c r="N313" i="2"/>
  <c r="O313" i="2"/>
  <c r="P313" i="2"/>
  <c r="Q313" i="2"/>
  <c r="R313" i="2"/>
  <c r="S313" i="2"/>
  <c r="U313" i="2"/>
  <c r="V313" i="2"/>
  <c r="W313" i="2"/>
  <c r="X313" i="2"/>
  <c r="Y313" i="2"/>
  <c r="Z313" i="2"/>
  <c r="AA313" i="2"/>
  <c r="AB313" i="2"/>
  <c r="AC313" i="2"/>
  <c r="AD313" i="2"/>
  <c r="AE313" i="2"/>
  <c r="AF313" i="2"/>
  <c r="AG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Z314" i="2"/>
  <c r="AA314" i="2"/>
  <c r="AB314" i="2"/>
  <c r="AC314" i="2"/>
  <c r="AD314" i="2"/>
  <c r="AE314" i="2"/>
  <c r="AF314" i="2"/>
  <c r="AG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O315" i="2"/>
  <c r="P315" i="2"/>
  <c r="S315" i="2"/>
  <c r="Y315" i="2"/>
  <c r="Z315" i="2"/>
  <c r="AA315" i="2"/>
  <c r="AB315" i="2"/>
  <c r="AC315" i="2"/>
  <c r="AD315" i="2"/>
  <c r="AE315" i="2"/>
  <c r="AF315" i="2"/>
  <c r="AG315" i="2"/>
  <c r="A316" i="2"/>
  <c r="B316" i="2"/>
  <c r="C316" i="2"/>
  <c r="D316" i="2"/>
  <c r="E316" i="2"/>
  <c r="F316" i="2"/>
  <c r="G316" i="2"/>
  <c r="H316" i="2"/>
  <c r="I316" i="2"/>
  <c r="J316" i="2"/>
  <c r="K316" i="2"/>
  <c r="T316" i="2" s="1"/>
  <c r="L316" i="2"/>
  <c r="M316" i="2"/>
  <c r="N316" i="2"/>
  <c r="O316" i="2"/>
  <c r="P316" i="2"/>
  <c r="R316" i="2"/>
  <c r="S316" i="2"/>
  <c r="V316" i="2"/>
  <c r="Y316" i="2"/>
  <c r="Z316" i="2"/>
  <c r="AA316" i="2"/>
  <c r="AB316" i="2"/>
  <c r="AC316" i="2"/>
  <c r="AD316" i="2"/>
  <c r="AE316" i="2"/>
  <c r="AF316" i="2"/>
  <c r="AG316" i="2"/>
  <c r="A317" i="2"/>
  <c r="B317" i="2"/>
  <c r="C317" i="2"/>
  <c r="D317" i="2"/>
  <c r="E317" i="2"/>
  <c r="F317" i="2"/>
  <c r="G317" i="2"/>
  <c r="H317" i="2"/>
  <c r="I317" i="2"/>
  <c r="J317" i="2"/>
  <c r="K317" i="2"/>
  <c r="T317" i="2" s="1"/>
  <c r="L317" i="2"/>
  <c r="M317" i="2"/>
  <c r="N317" i="2"/>
  <c r="O317" i="2"/>
  <c r="P317" i="2"/>
  <c r="Q317" i="2"/>
  <c r="R317" i="2"/>
  <c r="S317" i="2"/>
  <c r="U317" i="2"/>
  <c r="V317" i="2"/>
  <c r="X317" i="2"/>
  <c r="Y317" i="2"/>
  <c r="Z317" i="2"/>
  <c r="AA317" i="2"/>
  <c r="AB317" i="2"/>
  <c r="AC317" i="2"/>
  <c r="AD317" i="2"/>
  <c r="AE317" i="2"/>
  <c r="AF317" i="2"/>
  <c r="AG317" i="2"/>
  <c r="A318" i="2"/>
  <c r="B318" i="2"/>
  <c r="C318" i="2"/>
  <c r="D318" i="2"/>
  <c r="E318" i="2"/>
  <c r="F318" i="2"/>
  <c r="G318" i="2"/>
  <c r="H318" i="2"/>
  <c r="I318" i="2"/>
  <c r="J318" i="2"/>
  <c r="K318" i="2"/>
  <c r="V318" i="2" s="1"/>
  <c r="L318" i="2"/>
  <c r="M318" i="2"/>
  <c r="N318" i="2"/>
  <c r="O318" i="2"/>
  <c r="P318" i="2"/>
  <c r="Q318" i="2"/>
  <c r="R318" i="2"/>
  <c r="S318" i="2"/>
  <c r="T318" i="2"/>
  <c r="U318" i="2"/>
  <c r="W318" i="2"/>
  <c r="X318" i="2"/>
  <c r="Y318" i="2"/>
  <c r="Z318" i="2"/>
  <c r="AA318" i="2"/>
  <c r="AB318" i="2"/>
  <c r="AC318" i="2"/>
  <c r="AD318" i="2"/>
  <c r="AE318" i="2"/>
  <c r="AF318" i="2"/>
  <c r="AG318" i="2"/>
  <c r="A319" i="2"/>
  <c r="B319" i="2"/>
  <c r="C319" i="2"/>
  <c r="D319" i="2"/>
  <c r="E319" i="2"/>
  <c r="F319" i="2"/>
  <c r="G319" i="2"/>
  <c r="H319" i="2"/>
  <c r="I319" i="2"/>
  <c r="J319" i="2"/>
  <c r="K319" i="2"/>
  <c r="X319" i="2" s="1"/>
  <c r="L319" i="2"/>
  <c r="M319" i="2"/>
  <c r="N319" i="2"/>
  <c r="O319" i="2"/>
  <c r="P319" i="2"/>
  <c r="S319" i="2"/>
  <c r="W319" i="2"/>
  <c r="Y319" i="2"/>
  <c r="Z319" i="2"/>
  <c r="AA319" i="2"/>
  <c r="AB319" i="2"/>
  <c r="AC319" i="2"/>
  <c r="AD319" i="2"/>
  <c r="AE319" i="2"/>
  <c r="AF319" i="2"/>
  <c r="AG319" i="2"/>
  <c r="A320" i="2"/>
  <c r="B320" i="2"/>
  <c r="C320" i="2"/>
  <c r="D320" i="2"/>
  <c r="E320" i="2"/>
  <c r="F320" i="2"/>
  <c r="G320" i="2"/>
  <c r="H320" i="2"/>
  <c r="I320" i="2"/>
  <c r="J320" i="2"/>
  <c r="K320" i="2"/>
  <c r="X320" i="2" s="1"/>
  <c r="L320" i="2"/>
  <c r="M320" i="2"/>
  <c r="N320" i="2"/>
  <c r="O320" i="2"/>
  <c r="P320" i="2"/>
  <c r="R320" i="2"/>
  <c r="S320" i="2"/>
  <c r="V320" i="2"/>
  <c r="W320" i="2"/>
  <c r="Y320" i="2"/>
  <c r="Z320" i="2"/>
  <c r="AA320" i="2"/>
  <c r="AB320" i="2"/>
  <c r="AC320" i="2"/>
  <c r="AD320" i="2"/>
  <c r="AE320" i="2"/>
  <c r="AF320" i="2"/>
  <c r="AG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Z321" i="2"/>
  <c r="AA321" i="2"/>
  <c r="AB321" i="2"/>
  <c r="AC321" i="2"/>
  <c r="AD321" i="2"/>
  <c r="AE321" i="2"/>
  <c r="AF321" i="2"/>
  <c r="AG321" i="2"/>
  <c r="A322" i="2"/>
  <c r="B322" i="2"/>
  <c r="C322" i="2"/>
  <c r="D322" i="2"/>
  <c r="E322" i="2"/>
  <c r="F322" i="2"/>
  <c r="G322" i="2"/>
  <c r="H322" i="2"/>
  <c r="I322" i="2"/>
  <c r="J322" i="2"/>
  <c r="K322" i="2"/>
  <c r="W322" i="2" s="1"/>
  <c r="L322" i="2"/>
  <c r="M322" i="2"/>
  <c r="N322" i="2"/>
  <c r="O322" i="2"/>
  <c r="P322" i="2"/>
  <c r="Q322" i="2"/>
  <c r="S322" i="2"/>
  <c r="T322" i="2"/>
  <c r="U322" i="2"/>
  <c r="V322" i="2"/>
  <c r="X322" i="2"/>
  <c r="Y322" i="2"/>
  <c r="Z322" i="2"/>
  <c r="AA322" i="2"/>
  <c r="AB322" i="2"/>
  <c r="AC322" i="2"/>
  <c r="AD322" i="2"/>
  <c r="AE322" i="2"/>
  <c r="AF322" i="2"/>
  <c r="AG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O323" i="2"/>
  <c r="P323" i="2"/>
  <c r="Y323" i="2"/>
  <c r="Z323" i="2"/>
  <c r="AA323" i="2"/>
  <c r="AB323" i="2"/>
  <c r="AC323" i="2"/>
  <c r="AD323" i="2"/>
  <c r="AE323" i="2"/>
  <c r="AF323" i="2"/>
  <c r="AG323" i="2"/>
  <c r="A324" i="2"/>
  <c r="B324" i="2"/>
  <c r="C324" i="2"/>
  <c r="D324" i="2"/>
  <c r="E324" i="2"/>
  <c r="F324" i="2"/>
  <c r="G324" i="2"/>
  <c r="H324" i="2"/>
  <c r="I324" i="2"/>
  <c r="J324" i="2"/>
  <c r="K324" i="2"/>
  <c r="T324" i="2" s="1"/>
  <c r="L324" i="2"/>
  <c r="M324" i="2"/>
  <c r="N324" i="2"/>
  <c r="O324" i="2"/>
  <c r="P324" i="2"/>
  <c r="R324" i="2"/>
  <c r="S324" i="2"/>
  <c r="V324" i="2"/>
  <c r="Y324" i="2"/>
  <c r="Z324" i="2"/>
  <c r="AA324" i="2"/>
  <c r="AB324" i="2"/>
  <c r="AC324" i="2"/>
  <c r="AD324" i="2"/>
  <c r="AE324" i="2"/>
  <c r="AF324" i="2"/>
  <c r="AG324" i="2"/>
  <c r="A325" i="2"/>
  <c r="B325" i="2"/>
  <c r="C325" i="2"/>
  <c r="D325" i="2"/>
  <c r="E325" i="2"/>
  <c r="F325" i="2"/>
  <c r="G325" i="2"/>
  <c r="H325" i="2"/>
  <c r="I325" i="2"/>
  <c r="J325" i="2"/>
  <c r="K325" i="2"/>
  <c r="T325" i="2" s="1"/>
  <c r="L325" i="2"/>
  <c r="M325" i="2"/>
  <c r="N325" i="2"/>
  <c r="O325" i="2"/>
  <c r="P325" i="2"/>
  <c r="Q325" i="2"/>
  <c r="R325" i="2"/>
  <c r="S325" i="2"/>
  <c r="U325" i="2"/>
  <c r="V325" i="2"/>
  <c r="X325" i="2"/>
  <c r="Y325" i="2"/>
  <c r="Z325" i="2"/>
  <c r="AA325" i="2"/>
  <c r="AB325" i="2"/>
  <c r="AC325" i="2"/>
  <c r="AD325" i="2"/>
  <c r="AE325" i="2"/>
  <c r="AF325" i="2"/>
  <c r="AG325" i="2"/>
  <c r="A326" i="2"/>
  <c r="B326" i="2"/>
  <c r="C326" i="2"/>
  <c r="D326" i="2"/>
  <c r="E326" i="2"/>
  <c r="F326" i="2"/>
  <c r="G326" i="2"/>
  <c r="H326" i="2"/>
  <c r="I326" i="2"/>
  <c r="J326" i="2"/>
  <c r="K326" i="2"/>
  <c r="V326" i="2" s="1"/>
  <c r="L326" i="2"/>
  <c r="M326" i="2"/>
  <c r="N326" i="2"/>
  <c r="O326" i="2"/>
  <c r="P326" i="2"/>
  <c r="Q326" i="2"/>
  <c r="R326" i="2"/>
  <c r="S326" i="2"/>
  <c r="T326" i="2"/>
  <c r="U326" i="2"/>
  <c r="W326" i="2"/>
  <c r="X326" i="2"/>
  <c r="Y326" i="2"/>
  <c r="Z326" i="2"/>
  <c r="AA326" i="2"/>
  <c r="AB326" i="2"/>
  <c r="AC326" i="2"/>
  <c r="AD326" i="2"/>
  <c r="AE326" i="2"/>
  <c r="AF326" i="2"/>
  <c r="AG326" i="2"/>
  <c r="A327" i="2"/>
  <c r="B327" i="2"/>
  <c r="C327" i="2"/>
  <c r="D327" i="2"/>
  <c r="E327" i="2"/>
  <c r="F327" i="2"/>
  <c r="G327" i="2"/>
  <c r="H327" i="2"/>
  <c r="I327" i="2"/>
  <c r="J327" i="2"/>
  <c r="K327" i="2"/>
  <c r="X327" i="2" s="1"/>
  <c r="L327" i="2"/>
  <c r="M327" i="2"/>
  <c r="N327" i="2"/>
  <c r="O327" i="2"/>
  <c r="P327" i="2"/>
  <c r="S327" i="2"/>
  <c r="W327" i="2"/>
  <c r="Y327" i="2"/>
  <c r="Z327" i="2"/>
  <c r="AA327" i="2"/>
  <c r="AB327" i="2"/>
  <c r="AC327" i="2"/>
  <c r="AD327" i="2"/>
  <c r="AE327" i="2"/>
  <c r="AF327" i="2"/>
  <c r="AG327" i="2"/>
  <c r="A328" i="2"/>
  <c r="B328" i="2"/>
  <c r="C328" i="2"/>
  <c r="D328" i="2"/>
  <c r="E328" i="2"/>
  <c r="F328" i="2"/>
  <c r="G328" i="2"/>
  <c r="H328" i="2"/>
  <c r="I328" i="2"/>
  <c r="J328" i="2"/>
  <c r="K328" i="2"/>
  <c r="X328" i="2" s="1"/>
  <c r="L328" i="2"/>
  <c r="M328" i="2"/>
  <c r="N328" i="2"/>
  <c r="O328" i="2"/>
  <c r="P328" i="2"/>
  <c r="R328" i="2"/>
  <c r="S328" i="2"/>
  <c r="V328" i="2"/>
  <c r="W328" i="2"/>
  <c r="Y328" i="2"/>
  <c r="Z328" i="2"/>
  <c r="AA328" i="2"/>
  <c r="AB328" i="2"/>
  <c r="AC328" i="2"/>
  <c r="AD328" i="2"/>
  <c r="AE328" i="2"/>
  <c r="AF328" i="2"/>
  <c r="AG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Z329" i="2"/>
  <c r="AA329" i="2"/>
  <c r="AB329" i="2"/>
  <c r="AC329" i="2"/>
  <c r="AD329" i="2"/>
  <c r="AE329" i="2"/>
  <c r="AF329" i="2"/>
  <c r="AG329" i="2"/>
  <c r="A330" i="2"/>
  <c r="B330" i="2"/>
  <c r="C330" i="2"/>
  <c r="D330" i="2"/>
  <c r="E330" i="2"/>
  <c r="F330" i="2"/>
  <c r="G330" i="2"/>
  <c r="H330" i="2"/>
  <c r="I330" i="2"/>
  <c r="J330" i="2"/>
  <c r="K330" i="2"/>
  <c r="W330" i="2" s="1"/>
  <c r="L330" i="2"/>
  <c r="M330" i="2"/>
  <c r="N330" i="2"/>
  <c r="O330" i="2"/>
  <c r="P330" i="2"/>
  <c r="Q330" i="2"/>
  <c r="S330" i="2"/>
  <c r="T330" i="2"/>
  <c r="U330" i="2"/>
  <c r="V330" i="2"/>
  <c r="X330" i="2"/>
  <c r="Y330" i="2"/>
  <c r="Z330" i="2"/>
  <c r="AA330" i="2"/>
  <c r="AB330" i="2"/>
  <c r="AC330" i="2"/>
  <c r="AD330" i="2"/>
  <c r="AE330" i="2"/>
  <c r="AF330" i="2"/>
  <c r="AG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Y331" i="2"/>
  <c r="Z331" i="2"/>
  <c r="AA331" i="2"/>
  <c r="AB331" i="2"/>
  <c r="AC331" i="2"/>
  <c r="AD331" i="2"/>
  <c r="AE331" i="2"/>
  <c r="AF331" i="2"/>
  <c r="AG331" i="2"/>
  <c r="A332" i="2"/>
  <c r="B332" i="2"/>
  <c r="C332" i="2"/>
  <c r="D332" i="2"/>
  <c r="E332" i="2"/>
  <c r="F332" i="2"/>
  <c r="G332" i="2"/>
  <c r="H332" i="2"/>
  <c r="I332" i="2"/>
  <c r="J332" i="2"/>
  <c r="K332" i="2"/>
  <c r="T332" i="2" s="1"/>
  <c r="L332" i="2"/>
  <c r="M332" i="2"/>
  <c r="N332" i="2"/>
  <c r="O332" i="2"/>
  <c r="P332" i="2"/>
  <c r="R332" i="2"/>
  <c r="S332" i="2"/>
  <c r="V332" i="2"/>
  <c r="Y332" i="2"/>
  <c r="Z332" i="2"/>
  <c r="AA332" i="2"/>
  <c r="AB332" i="2"/>
  <c r="AC332" i="2"/>
  <c r="AD332" i="2"/>
  <c r="AE332" i="2"/>
  <c r="AF332" i="2"/>
  <c r="AG332" i="2"/>
  <c r="A333" i="2"/>
  <c r="B333" i="2"/>
  <c r="C333" i="2"/>
  <c r="D333" i="2"/>
  <c r="E333" i="2"/>
  <c r="F333" i="2"/>
  <c r="G333" i="2"/>
  <c r="H333" i="2"/>
  <c r="I333" i="2"/>
  <c r="J333" i="2"/>
  <c r="K333" i="2"/>
  <c r="T333" i="2" s="1"/>
  <c r="L333" i="2"/>
  <c r="M333" i="2"/>
  <c r="N333" i="2"/>
  <c r="O333" i="2"/>
  <c r="P333" i="2"/>
  <c r="Q333" i="2"/>
  <c r="R333" i="2"/>
  <c r="S333" i="2"/>
  <c r="U333" i="2"/>
  <c r="V333" i="2"/>
  <c r="X333" i="2"/>
  <c r="Y333" i="2"/>
  <c r="Z333" i="2"/>
  <c r="AA333" i="2"/>
  <c r="AB333" i="2"/>
  <c r="AC333" i="2"/>
  <c r="AD333" i="2"/>
  <c r="AE333" i="2"/>
  <c r="AF333" i="2"/>
  <c r="AG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Z334" i="2"/>
  <c r="AA334" i="2"/>
  <c r="AB334" i="2"/>
  <c r="AC334" i="2"/>
  <c r="AD334" i="2"/>
  <c r="AE334" i="2"/>
  <c r="AF334" i="2"/>
  <c r="AG334" i="2"/>
  <c r="A335" i="2"/>
  <c r="B335" i="2"/>
  <c r="C335" i="2"/>
  <c r="D335" i="2"/>
  <c r="E335" i="2"/>
  <c r="F335" i="2"/>
  <c r="G335" i="2"/>
  <c r="H335" i="2"/>
  <c r="I335" i="2"/>
  <c r="J335" i="2"/>
  <c r="K335" i="2"/>
  <c r="X335" i="2" s="1"/>
  <c r="L335" i="2"/>
  <c r="M335" i="2"/>
  <c r="N335" i="2"/>
  <c r="O335" i="2"/>
  <c r="P335" i="2"/>
  <c r="S335" i="2"/>
  <c r="W335" i="2"/>
  <c r="Y335" i="2"/>
  <c r="Z335" i="2"/>
  <c r="AA335" i="2"/>
  <c r="AB335" i="2"/>
  <c r="AC335" i="2"/>
  <c r="AD335" i="2"/>
  <c r="AE335" i="2"/>
  <c r="AF335" i="2"/>
  <c r="AG335" i="2"/>
  <c r="A336" i="2"/>
  <c r="B336" i="2"/>
  <c r="C336" i="2"/>
  <c r="D336" i="2"/>
  <c r="E336" i="2"/>
  <c r="F336" i="2"/>
  <c r="G336" i="2"/>
  <c r="H336" i="2"/>
  <c r="I336" i="2"/>
  <c r="J336" i="2"/>
  <c r="K336" i="2"/>
  <c r="X336" i="2" s="1"/>
  <c r="L336" i="2"/>
  <c r="M336" i="2"/>
  <c r="N336" i="2"/>
  <c r="O336" i="2"/>
  <c r="P336" i="2"/>
  <c r="R336" i="2"/>
  <c r="S336" i="2"/>
  <c r="V336" i="2"/>
  <c r="W336" i="2"/>
  <c r="Y336" i="2"/>
  <c r="Z336" i="2"/>
  <c r="AA336" i="2"/>
  <c r="AB336" i="2"/>
  <c r="AC336" i="2"/>
  <c r="AD336" i="2"/>
  <c r="AE336" i="2"/>
  <c r="AF336" i="2"/>
  <c r="AG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Z337" i="2"/>
  <c r="AA337" i="2"/>
  <c r="AB337" i="2"/>
  <c r="AC337" i="2"/>
  <c r="AD337" i="2"/>
  <c r="AE337" i="2"/>
  <c r="AF337" i="2"/>
  <c r="AG337" i="2"/>
  <c r="A338" i="2"/>
  <c r="B338" i="2"/>
  <c r="C338" i="2"/>
  <c r="D338" i="2"/>
  <c r="E338" i="2"/>
  <c r="F338" i="2"/>
  <c r="G338" i="2"/>
  <c r="H338" i="2"/>
  <c r="I338" i="2"/>
  <c r="J338" i="2"/>
  <c r="K338" i="2"/>
  <c r="W338" i="2" s="1"/>
  <c r="L338" i="2"/>
  <c r="M338" i="2"/>
  <c r="N338" i="2"/>
  <c r="O338" i="2"/>
  <c r="P338" i="2"/>
  <c r="Q338" i="2"/>
  <c r="S338" i="2"/>
  <c r="T338" i="2"/>
  <c r="U338" i="2"/>
  <c r="V338" i="2"/>
  <c r="X338" i="2"/>
  <c r="Y338" i="2"/>
  <c r="Z338" i="2"/>
  <c r="AA338" i="2"/>
  <c r="AB338" i="2"/>
  <c r="AC338" i="2"/>
  <c r="AD338" i="2"/>
  <c r="AE338" i="2"/>
  <c r="AF338" i="2"/>
  <c r="AG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S339" i="2"/>
  <c r="Y339" i="2"/>
  <c r="Z339" i="2"/>
  <c r="AA339" i="2"/>
  <c r="AB339" i="2"/>
  <c r="AC339" i="2"/>
  <c r="AD339" i="2"/>
  <c r="AE339" i="2"/>
  <c r="AF339" i="2"/>
  <c r="AG339" i="2"/>
  <c r="A340" i="2"/>
  <c r="B340" i="2"/>
  <c r="C340" i="2"/>
  <c r="D340" i="2"/>
  <c r="E340" i="2"/>
  <c r="F340" i="2"/>
  <c r="G340" i="2"/>
  <c r="H340" i="2"/>
  <c r="I340" i="2"/>
  <c r="J340" i="2"/>
  <c r="K340" i="2"/>
  <c r="T340" i="2" s="1"/>
  <c r="L340" i="2"/>
  <c r="M340" i="2"/>
  <c r="N340" i="2"/>
  <c r="O340" i="2"/>
  <c r="P340" i="2"/>
  <c r="R340" i="2"/>
  <c r="S340" i="2"/>
  <c r="V340" i="2"/>
  <c r="Y340" i="2"/>
  <c r="Z340" i="2"/>
  <c r="AA340" i="2"/>
  <c r="AB340" i="2"/>
  <c r="AC340" i="2"/>
  <c r="AD340" i="2"/>
  <c r="AE340" i="2"/>
  <c r="AF340" i="2"/>
  <c r="AG340" i="2"/>
  <c r="A341" i="2"/>
  <c r="B341" i="2"/>
  <c r="C341" i="2"/>
  <c r="D341" i="2"/>
  <c r="E341" i="2"/>
  <c r="F341" i="2"/>
  <c r="G341" i="2"/>
  <c r="H341" i="2"/>
  <c r="I341" i="2"/>
  <c r="J341" i="2"/>
  <c r="K341" i="2"/>
  <c r="T341" i="2" s="1"/>
  <c r="L341" i="2"/>
  <c r="M341" i="2"/>
  <c r="N341" i="2"/>
  <c r="O341" i="2"/>
  <c r="P341" i="2"/>
  <c r="Q341" i="2"/>
  <c r="R341" i="2"/>
  <c r="S341" i="2"/>
  <c r="U341" i="2"/>
  <c r="V341" i="2"/>
  <c r="X341" i="2"/>
  <c r="Y341" i="2"/>
  <c r="Z341" i="2"/>
  <c r="AA341" i="2"/>
  <c r="AB341" i="2"/>
  <c r="AC341" i="2"/>
  <c r="AD341" i="2"/>
  <c r="AE341" i="2"/>
  <c r="AF341" i="2"/>
  <c r="AG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V342" i="2"/>
  <c r="W342" i="2"/>
  <c r="X342" i="2"/>
  <c r="Y342" i="2"/>
  <c r="Z342" i="2"/>
  <c r="AA342" i="2"/>
  <c r="AB342" i="2"/>
  <c r="AC342" i="2"/>
  <c r="AD342" i="2"/>
  <c r="AE342" i="2"/>
  <c r="AF342" i="2"/>
  <c r="AG342" i="2"/>
  <c r="A343" i="2"/>
  <c r="B343" i="2"/>
  <c r="C343" i="2"/>
  <c r="D343" i="2"/>
  <c r="E343" i="2"/>
  <c r="F343" i="2"/>
  <c r="G343" i="2"/>
  <c r="H343" i="2"/>
  <c r="I343" i="2"/>
  <c r="J343" i="2"/>
  <c r="K343" i="2"/>
  <c r="X343" i="2" s="1"/>
  <c r="L343" i="2"/>
  <c r="M343" i="2"/>
  <c r="N343" i="2"/>
  <c r="O343" i="2"/>
  <c r="P343" i="2"/>
  <c r="S343" i="2"/>
  <c r="W343" i="2"/>
  <c r="Y343" i="2"/>
  <c r="Z343" i="2"/>
  <c r="AA343" i="2"/>
  <c r="AB343" i="2"/>
  <c r="AC343" i="2"/>
  <c r="AD343" i="2"/>
  <c r="AE343" i="2"/>
  <c r="AF343" i="2"/>
  <c r="AG343" i="2"/>
  <c r="A344" i="2"/>
  <c r="B344" i="2"/>
  <c r="C344" i="2"/>
  <c r="D344" i="2"/>
  <c r="E344" i="2"/>
  <c r="F344" i="2"/>
  <c r="G344" i="2"/>
  <c r="H344" i="2"/>
  <c r="I344" i="2"/>
  <c r="J344" i="2"/>
  <c r="K344" i="2"/>
  <c r="X344" i="2" s="1"/>
  <c r="L344" i="2"/>
  <c r="M344" i="2"/>
  <c r="N344" i="2"/>
  <c r="O344" i="2"/>
  <c r="P344" i="2"/>
  <c r="R344" i="2"/>
  <c r="S344" i="2"/>
  <c r="V344" i="2"/>
  <c r="W344" i="2"/>
  <c r="Y344" i="2"/>
  <c r="Z344" i="2"/>
  <c r="AA344" i="2"/>
  <c r="AB344" i="2"/>
  <c r="AC344" i="2"/>
  <c r="AD344" i="2"/>
  <c r="AE344" i="2"/>
  <c r="AF344" i="2"/>
  <c r="AG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V345" i="2"/>
  <c r="W345" i="2"/>
  <c r="X345" i="2"/>
  <c r="Y345" i="2"/>
  <c r="Z345" i="2"/>
  <c r="AA345" i="2"/>
  <c r="AB345" i="2"/>
  <c r="AC345" i="2"/>
  <c r="AD345" i="2"/>
  <c r="AE345" i="2"/>
  <c r="AF345" i="2"/>
  <c r="AG345" i="2"/>
  <c r="A346" i="2"/>
  <c r="B346" i="2"/>
  <c r="C346" i="2"/>
  <c r="D346" i="2"/>
  <c r="E346" i="2"/>
  <c r="F346" i="2"/>
  <c r="G346" i="2"/>
  <c r="H346" i="2"/>
  <c r="I346" i="2"/>
  <c r="J346" i="2"/>
  <c r="K346" i="2"/>
  <c r="W346" i="2" s="1"/>
  <c r="L346" i="2"/>
  <c r="M346" i="2"/>
  <c r="N346" i="2"/>
  <c r="O346" i="2"/>
  <c r="P346" i="2"/>
  <c r="Q346" i="2"/>
  <c r="S346" i="2"/>
  <c r="T346" i="2"/>
  <c r="U346" i="2"/>
  <c r="V346" i="2"/>
  <c r="X346" i="2"/>
  <c r="Y346" i="2"/>
  <c r="Z346" i="2"/>
  <c r="AA346" i="2"/>
  <c r="AB346" i="2"/>
  <c r="AC346" i="2"/>
  <c r="AD346" i="2"/>
  <c r="AE346" i="2"/>
  <c r="AF346" i="2"/>
  <c r="AG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Y347" i="2"/>
  <c r="Z347" i="2"/>
  <c r="AA347" i="2"/>
  <c r="AB347" i="2"/>
  <c r="AC347" i="2"/>
  <c r="AD347" i="2"/>
  <c r="AE347" i="2"/>
  <c r="AF347" i="2"/>
  <c r="AG347" i="2"/>
  <c r="A348" i="2"/>
  <c r="B348" i="2"/>
  <c r="C348" i="2"/>
  <c r="D348" i="2"/>
  <c r="E348" i="2"/>
  <c r="F348" i="2"/>
  <c r="G348" i="2"/>
  <c r="H348" i="2"/>
  <c r="I348" i="2"/>
  <c r="J348" i="2"/>
  <c r="K348" i="2"/>
  <c r="T348" i="2" s="1"/>
  <c r="L348" i="2"/>
  <c r="M348" i="2"/>
  <c r="N348" i="2"/>
  <c r="O348" i="2"/>
  <c r="P348" i="2"/>
  <c r="R348" i="2"/>
  <c r="S348" i="2"/>
  <c r="V348" i="2"/>
  <c r="Y348" i="2"/>
  <c r="Z348" i="2"/>
  <c r="AA348" i="2"/>
  <c r="AB348" i="2"/>
  <c r="AC348" i="2"/>
  <c r="AD348" i="2"/>
  <c r="AE348" i="2"/>
  <c r="AF348" i="2"/>
  <c r="AG348" i="2"/>
  <c r="A349" i="2"/>
  <c r="B349" i="2"/>
  <c r="C349" i="2"/>
  <c r="D349" i="2"/>
  <c r="E349" i="2"/>
  <c r="F349" i="2"/>
  <c r="G349" i="2"/>
  <c r="H349" i="2"/>
  <c r="I349" i="2"/>
  <c r="J349" i="2"/>
  <c r="K349" i="2"/>
  <c r="T349" i="2" s="1"/>
  <c r="L349" i="2"/>
  <c r="M349" i="2"/>
  <c r="N349" i="2"/>
  <c r="O349" i="2"/>
  <c r="P349" i="2"/>
  <c r="Q349" i="2"/>
  <c r="R349" i="2"/>
  <c r="S349" i="2"/>
  <c r="U349" i="2"/>
  <c r="V349" i="2"/>
  <c r="Y349" i="2"/>
  <c r="Z349" i="2"/>
  <c r="AA349" i="2"/>
  <c r="AB349" i="2"/>
  <c r="AC349" i="2"/>
  <c r="AD349" i="2"/>
  <c r="AE349" i="2"/>
  <c r="AF349" i="2"/>
  <c r="AG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V350" i="2"/>
  <c r="W350" i="2"/>
  <c r="X350" i="2"/>
  <c r="Y350" i="2"/>
  <c r="Z350" i="2"/>
  <c r="AA350" i="2"/>
  <c r="AB350" i="2"/>
  <c r="AC350" i="2"/>
  <c r="AD350" i="2"/>
  <c r="AE350" i="2"/>
  <c r="AF350" i="2"/>
  <c r="AG350" i="2"/>
  <c r="A351" i="2"/>
  <c r="B351" i="2"/>
  <c r="C351" i="2"/>
  <c r="D351" i="2"/>
  <c r="E351" i="2"/>
  <c r="F351" i="2"/>
  <c r="G351" i="2"/>
  <c r="H351" i="2"/>
  <c r="I351" i="2"/>
  <c r="J351" i="2"/>
  <c r="K351" i="2"/>
  <c r="X351" i="2" s="1"/>
  <c r="L351" i="2"/>
  <c r="M351" i="2"/>
  <c r="N351" i="2"/>
  <c r="O351" i="2"/>
  <c r="P351" i="2"/>
  <c r="S351" i="2"/>
  <c r="W351" i="2"/>
  <c r="Y351" i="2"/>
  <c r="Z351" i="2"/>
  <c r="AA351" i="2"/>
  <c r="AB351" i="2"/>
  <c r="AC351" i="2"/>
  <c r="AD351" i="2"/>
  <c r="AE351" i="2"/>
  <c r="AF351" i="2"/>
  <c r="AG351" i="2"/>
  <c r="A352" i="2"/>
  <c r="B352" i="2"/>
  <c r="C352" i="2"/>
  <c r="D352" i="2"/>
  <c r="E352" i="2"/>
  <c r="F352" i="2"/>
  <c r="G352" i="2"/>
  <c r="H352" i="2"/>
  <c r="I352" i="2"/>
  <c r="J352" i="2"/>
  <c r="K352" i="2"/>
  <c r="X352" i="2" s="1"/>
  <c r="L352" i="2"/>
  <c r="M352" i="2"/>
  <c r="N352" i="2"/>
  <c r="O352" i="2"/>
  <c r="P352" i="2"/>
  <c r="R352" i="2"/>
  <c r="S352" i="2"/>
  <c r="V352" i="2"/>
  <c r="W352" i="2"/>
  <c r="Y352" i="2"/>
  <c r="Z352" i="2"/>
  <c r="AA352" i="2"/>
  <c r="AB352" i="2"/>
  <c r="AC352" i="2"/>
  <c r="AD352" i="2"/>
  <c r="AE352" i="2"/>
  <c r="AF352" i="2"/>
  <c r="AG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D353" i="2"/>
  <c r="AE353" i="2"/>
  <c r="AF353" i="2"/>
  <c r="AG353" i="2"/>
  <c r="A354" i="2"/>
  <c r="B354" i="2"/>
  <c r="C354" i="2"/>
  <c r="D354" i="2"/>
  <c r="E354" i="2"/>
  <c r="F354" i="2"/>
  <c r="G354" i="2"/>
  <c r="H354" i="2"/>
  <c r="I354" i="2"/>
  <c r="J354" i="2"/>
  <c r="K354" i="2"/>
  <c r="R354" i="2" s="1"/>
  <c r="L354" i="2"/>
  <c r="M354" i="2"/>
  <c r="N354" i="2"/>
  <c r="O354" i="2"/>
  <c r="P354" i="2"/>
  <c r="Q354" i="2"/>
  <c r="S354" i="2"/>
  <c r="T354" i="2"/>
  <c r="U354" i="2"/>
  <c r="V354" i="2"/>
  <c r="W354" i="2"/>
  <c r="X354" i="2"/>
  <c r="Y354" i="2"/>
  <c r="Z354" i="2"/>
  <c r="AA354" i="2"/>
  <c r="AB354" i="2"/>
  <c r="AC354" i="2"/>
  <c r="AD354" i="2"/>
  <c r="AE354" i="2"/>
  <c r="AF354" i="2"/>
  <c r="AG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O355" i="2"/>
  <c r="P355" i="2"/>
  <c r="S355" i="2"/>
  <c r="Y355" i="2"/>
  <c r="Z355" i="2"/>
  <c r="AA355" i="2"/>
  <c r="AB355" i="2"/>
  <c r="AC355" i="2"/>
  <c r="AD355" i="2"/>
  <c r="AE355" i="2"/>
  <c r="AF355" i="2"/>
  <c r="AG355" i="2"/>
  <c r="A356" i="2"/>
  <c r="B356" i="2"/>
  <c r="C356" i="2"/>
  <c r="D356" i="2"/>
  <c r="E356" i="2"/>
  <c r="F356" i="2"/>
  <c r="G356" i="2"/>
  <c r="H356" i="2"/>
  <c r="I356" i="2"/>
  <c r="J356" i="2"/>
  <c r="K356" i="2"/>
  <c r="T356" i="2" s="1"/>
  <c r="L356" i="2"/>
  <c r="M356" i="2"/>
  <c r="N356" i="2"/>
  <c r="O356" i="2"/>
  <c r="P356" i="2"/>
  <c r="R356" i="2"/>
  <c r="S356" i="2"/>
  <c r="V356" i="2"/>
  <c r="Y356" i="2"/>
  <c r="Z356" i="2"/>
  <c r="AA356" i="2"/>
  <c r="AB356" i="2"/>
  <c r="AC356" i="2"/>
  <c r="AD356" i="2"/>
  <c r="AE356" i="2"/>
  <c r="AF356" i="2"/>
  <c r="AG356" i="2"/>
  <c r="A357" i="2"/>
  <c r="B357" i="2"/>
  <c r="C357" i="2"/>
  <c r="D357" i="2"/>
  <c r="E357" i="2"/>
  <c r="F357" i="2"/>
  <c r="G357" i="2"/>
  <c r="H357" i="2"/>
  <c r="I357" i="2"/>
  <c r="J357" i="2"/>
  <c r="K357" i="2"/>
  <c r="T357" i="2" s="1"/>
  <c r="L357" i="2"/>
  <c r="M357" i="2"/>
  <c r="N357" i="2"/>
  <c r="O357" i="2"/>
  <c r="P357" i="2"/>
  <c r="Q357" i="2"/>
  <c r="R357" i="2"/>
  <c r="S357" i="2"/>
  <c r="U357" i="2"/>
  <c r="V357" i="2"/>
  <c r="Y357" i="2"/>
  <c r="Z357" i="2"/>
  <c r="AA357" i="2"/>
  <c r="AB357" i="2"/>
  <c r="AC357" i="2"/>
  <c r="AD357" i="2"/>
  <c r="AE357" i="2"/>
  <c r="AF357" i="2"/>
  <c r="AG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V358" i="2"/>
  <c r="W358" i="2"/>
  <c r="X358" i="2"/>
  <c r="Y358" i="2"/>
  <c r="Z358" i="2"/>
  <c r="AA358" i="2"/>
  <c r="AB358" i="2"/>
  <c r="AC358" i="2"/>
  <c r="AD358" i="2"/>
  <c r="AE358" i="2"/>
  <c r="AF358" i="2"/>
  <c r="AG358" i="2"/>
  <c r="A359" i="2"/>
  <c r="B359" i="2"/>
  <c r="C359" i="2"/>
  <c r="D359" i="2"/>
  <c r="E359" i="2"/>
  <c r="F359" i="2"/>
  <c r="G359" i="2"/>
  <c r="H359" i="2"/>
  <c r="I359" i="2"/>
  <c r="J359" i="2"/>
  <c r="K359" i="2"/>
  <c r="X359" i="2" s="1"/>
  <c r="L359" i="2"/>
  <c r="M359" i="2"/>
  <c r="N359" i="2"/>
  <c r="O359" i="2"/>
  <c r="P359" i="2"/>
  <c r="S359" i="2"/>
  <c r="W359" i="2"/>
  <c r="Y359" i="2"/>
  <c r="Z359" i="2"/>
  <c r="AA359" i="2"/>
  <c r="AB359" i="2"/>
  <c r="AC359" i="2"/>
  <c r="AD359" i="2"/>
  <c r="AE359" i="2"/>
  <c r="AF359" i="2"/>
  <c r="AG359" i="2"/>
  <c r="A360" i="2"/>
  <c r="B360" i="2"/>
  <c r="C360" i="2"/>
  <c r="D360" i="2"/>
  <c r="E360" i="2"/>
  <c r="F360" i="2"/>
  <c r="G360" i="2"/>
  <c r="H360" i="2"/>
  <c r="I360" i="2"/>
  <c r="J360" i="2"/>
  <c r="K360" i="2"/>
  <c r="X360" i="2" s="1"/>
  <c r="L360" i="2"/>
  <c r="M360" i="2"/>
  <c r="N360" i="2"/>
  <c r="O360" i="2"/>
  <c r="P360" i="2"/>
  <c r="R360" i="2"/>
  <c r="S360" i="2"/>
  <c r="V360" i="2"/>
  <c r="W360" i="2"/>
  <c r="Y360" i="2"/>
  <c r="Z360" i="2"/>
  <c r="AA360" i="2"/>
  <c r="AB360" i="2"/>
  <c r="AC360" i="2"/>
  <c r="AD360" i="2"/>
  <c r="AE360" i="2"/>
  <c r="AF360" i="2"/>
  <c r="AG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V361" i="2"/>
  <c r="W361" i="2"/>
  <c r="X361" i="2"/>
  <c r="Y361" i="2"/>
  <c r="Z361" i="2"/>
  <c r="AA361" i="2"/>
  <c r="AB361" i="2"/>
  <c r="AC361" i="2"/>
  <c r="AD361" i="2"/>
  <c r="AE361" i="2"/>
  <c r="AF361" i="2"/>
  <c r="AG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V362" i="2"/>
  <c r="W362" i="2"/>
  <c r="X362" i="2"/>
  <c r="Y362" i="2"/>
  <c r="Z362" i="2"/>
  <c r="AA362" i="2"/>
  <c r="AB362" i="2"/>
  <c r="AC362" i="2"/>
  <c r="AD362" i="2"/>
  <c r="AE362" i="2"/>
  <c r="AF362" i="2"/>
  <c r="AG362" i="2"/>
  <c r="A363" i="2"/>
  <c r="B363" i="2"/>
  <c r="C363" i="2"/>
  <c r="D363" i="2"/>
  <c r="E363" i="2"/>
  <c r="F363" i="2"/>
  <c r="G363" i="2"/>
  <c r="H363" i="2"/>
  <c r="I363" i="2"/>
  <c r="J363" i="2"/>
  <c r="K363" i="2"/>
  <c r="S363" i="2" s="1"/>
  <c r="L363" i="2"/>
  <c r="M363" i="2"/>
  <c r="N363" i="2"/>
  <c r="O363" i="2"/>
  <c r="P363" i="2"/>
  <c r="Y363" i="2"/>
  <c r="Z363" i="2"/>
  <c r="AA363" i="2"/>
  <c r="AB363" i="2"/>
  <c r="AC363" i="2"/>
  <c r="AD363" i="2"/>
  <c r="AE363" i="2"/>
  <c r="AF363" i="2"/>
  <c r="AG363" i="2"/>
  <c r="A364" i="2"/>
  <c r="B364" i="2"/>
  <c r="C364" i="2"/>
  <c r="D364" i="2"/>
  <c r="E364" i="2"/>
  <c r="F364" i="2"/>
  <c r="G364" i="2"/>
  <c r="H364" i="2"/>
  <c r="I364" i="2"/>
  <c r="J364" i="2"/>
  <c r="K364" i="2"/>
  <c r="T364" i="2" s="1"/>
  <c r="L364" i="2"/>
  <c r="M364" i="2"/>
  <c r="N364" i="2"/>
  <c r="O364" i="2"/>
  <c r="P364" i="2"/>
  <c r="R364" i="2"/>
  <c r="S364" i="2"/>
  <c r="V364" i="2"/>
  <c r="Y364" i="2"/>
  <c r="Z364" i="2"/>
  <c r="AA364" i="2"/>
  <c r="AB364" i="2"/>
  <c r="AC364" i="2"/>
  <c r="AD364" i="2"/>
  <c r="AE364" i="2"/>
  <c r="AF364" i="2"/>
  <c r="AG364" i="2"/>
  <c r="A365" i="2"/>
  <c r="B365" i="2"/>
  <c r="C365" i="2"/>
  <c r="D365" i="2"/>
  <c r="E365" i="2"/>
  <c r="F365" i="2"/>
  <c r="G365" i="2"/>
  <c r="H365" i="2"/>
  <c r="I365" i="2"/>
  <c r="J365" i="2"/>
  <c r="K365" i="2"/>
  <c r="T365" i="2" s="1"/>
  <c r="L365" i="2"/>
  <c r="M365" i="2"/>
  <c r="N365" i="2"/>
  <c r="O365" i="2"/>
  <c r="P365" i="2"/>
  <c r="Q365" i="2"/>
  <c r="R365" i="2"/>
  <c r="S365" i="2"/>
  <c r="U365" i="2"/>
  <c r="V365" i="2"/>
  <c r="Y365" i="2"/>
  <c r="Z365" i="2"/>
  <c r="AA365" i="2"/>
  <c r="AB365" i="2"/>
  <c r="AC365" i="2"/>
  <c r="AD365" i="2"/>
  <c r="AE365" i="2"/>
  <c r="AF365" i="2"/>
  <c r="AG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V366" i="2"/>
  <c r="W366" i="2"/>
  <c r="X366" i="2"/>
  <c r="Y366" i="2"/>
  <c r="Z366" i="2"/>
  <c r="AA366" i="2"/>
  <c r="AB366" i="2"/>
  <c r="AC366" i="2"/>
  <c r="AD366" i="2"/>
  <c r="AE366" i="2"/>
  <c r="AF366" i="2"/>
  <c r="AG366" i="2"/>
  <c r="A367" i="2"/>
  <c r="B367" i="2"/>
  <c r="C367" i="2"/>
  <c r="D367" i="2"/>
  <c r="E367" i="2"/>
  <c r="F367" i="2"/>
  <c r="G367" i="2"/>
  <c r="H367" i="2"/>
  <c r="I367" i="2"/>
  <c r="J367" i="2"/>
  <c r="K367" i="2"/>
  <c r="X367" i="2" s="1"/>
  <c r="L367" i="2"/>
  <c r="M367" i="2"/>
  <c r="N367" i="2"/>
  <c r="O367" i="2"/>
  <c r="P367" i="2"/>
  <c r="S367" i="2"/>
  <c r="W367" i="2"/>
  <c r="Y367" i="2"/>
  <c r="Z367" i="2"/>
  <c r="AA367" i="2"/>
  <c r="AB367" i="2"/>
  <c r="AC367" i="2"/>
  <c r="AD367" i="2"/>
  <c r="AE367" i="2"/>
  <c r="AF367" i="2"/>
  <c r="AG367" i="2"/>
  <c r="A368" i="2"/>
  <c r="B368" i="2"/>
  <c r="C368" i="2"/>
  <c r="D368" i="2"/>
  <c r="E368" i="2"/>
  <c r="F368" i="2"/>
  <c r="G368" i="2"/>
  <c r="H368" i="2"/>
  <c r="I368" i="2"/>
  <c r="J368" i="2"/>
  <c r="K368" i="2"/>
  <c r="X368" i="2" s="1"/>
  <c r="L368" i="2"/>
  <c r="M368" i="2"/>
  <c r="N368" i="2"/>
  <c r="O368" i="2"/>
  <c r="P368" i="2"/>
  <c r="R368" i="2"/>
  <c r="S368" i="2"/>
  <c r="V368" i="2"/>
  <c r="W368" i="2"/>
  <c r="Y368" i="2"/>
  <c r="Z368" i="2"/>
  <c r="AA368" i="2"/>
  <c r="AB368" i="2"/>
  <c r="AC368" i="2"/>
  <c r="AD368" i="2"/>
  <c r="AE368" i="2"/>
  <c r="AF368" i="2"/>
  <c r="AG368" i="2"/>
  <c r="A369" i="2"/>
  <c r="B369" i="2"/>
  <c r="C369" i="2"/>
  <c r="D369" i="2"/>
  <c r="E369" i="2"/>
  <c r="F369" i="2"/>
  <c r="G369" i="2"/>
  <c r="H369" i="2"/>
  <c r="I369" i="2"/>
  <c r="J369" i="2"/>
  <c r="K369" i="2"/>
  <c r="X369" i="2" s="1"/>
  <c r="L369" i="2"/>
  <c r="M369" i="2"/>
  <c r="N369" i="2"/>
  <c r="O369" i="2"/>
  <c r="P369" i="2"/>
  <c r="Q369" i="2"/>
  <c r="R369" i="2"/>
  <c r="S369" i="2"/>
  <c r="U369" i="2"/>
  <c r="V369" i="2"/>
  <c r="W369" i="2"/>
  <c r="Y369" i="2"/>
  <c r="Z369" i="2"/>
  <c r="AA369" i="2"/>
  <c r="AB369" i="2"/>
  <c r="AC369" i="2"/>
  <c r="AD369" i="2"/>
  <c r="AE369" i="2"/>
  <c r="AF369" i="2"/>
  <c r="AG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V370" i="2"/>
  <c r="W370" i="2"/>
  <c r="X370" i="2"/>
  <c r="Y370" i="2"/>
  <c r="Z370" i="2"/>
  <c r="AA370" i="2"/>
  <c r="AB370" i="2"/>
  <c r="AC370" i="2"/>
  <c r="AD370" i="2"/>
  <c r="AE370" i="2"/>
  <c r="AF370" i="2"/>
  <c r="AG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S371" i="2"/>
  <c r="Y371" i="2"/>
  <c r="Z371" i="2"/>
  <c r="AA371" i="2"/>
  <c r="AB371" i="2"/>
  <c r="AC371" i="2"/>
  <c r="AD371" i="2"/>
  <c r="AE371" i="2"/>
  <c r="AF371" i="2"/>
  <c r="AG371" i="2"/>
  <c r="A372" i="2"/>
  <c r="B372" i="2"/>
  <c r="C372" i="2"/>
  <c r="D372" i="2"/>
  <c r="E372" i="2"/>
  <c r="F372" i="2"/>
  <c r="G372" i="2"/>
  <c r="H372" i="2"/>
  <c r="I372" i="2"/>
  <c r="J372" i="2"/>
  <c r="K372" i="2"/>
  <c r="T372" i="2" s="1"/>
  <c r="L372" i="2"/>
  <c r="M372" i="2"/>
  <c r="N372" i="2"/>
  <c r="O372" i="2"/>
  <c r="P372" i="2"/>
  <c r="R372" i="2"/>
  <c r="S372" i="2"/>
  <c r="V372" i="2"/>
  <c r="Y372" i="2"/>
  <c r="Z372" i="2"/>
  <c r="AA372" i="2"/>
  <c r="AB372" i="2"/>
  <c r="AC372" i="2"/>
  <c r="AD372" i="2"/>
  <c r="AE372" i="2"/>
  <c r="AF372" i="2"/>
  <c r="AG372" i="2"/>
  <c r="A373" i="2"/>
  <c r="B373" i="2"/>
  <c r="C373" i="2"/>
  <c r="D373" i="2"/>
  <c r="E373" i="2"/>
  <c r="F373" i="2"/>
  <c r="G373" i="2"/>
  <c r="H373" i="2"/>
  <c r="I373" i="2"/>
  <c r="J373" i="2"/>
  <c r="K373" i="2"/>
  <c r="T373" i="2" s="1"/>
  <c r="L373" i="2"/>
  <c r="M373" i="2"/>
  <c r="N373" i="2"/>
  <c r="O373" i="2"/>
  <c r="P373" i="2"/>
  <c r="Q373" i="2"/>
  <c r="R373" i="2"/>
  <c r="S373" i="2"/>
  <c r="U373" i="2"/>
  <c r="V373" i="2"/>
  <c r="W373" i="2"/>
  <c r="Y373" i="2"/>
  <c r="Z373" i="2"/>
  <c r="AA373" i="2"/>
  <c r="AB373" i="2"/>
  <c r="AC373" i="2"/>
  <c r="AD373" i="2"/>
  <c r="AE373" i="2"/>
  <c r="AF373" i="2"/>
  <c r="AG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Z374" i="2"/>
  <c r="AA374" i="2"/>
  <c r="AB374" i="2"/>
  <c r="AC374" i="2"/>
  <c r="AD374" i="2"/>
  <c r="AE374" i="2"/>
  <c r="AF374" i="2"/>
  <c r="AG374" i="2"/>
  <c r="A375" i="2"/>
  <c r="B375" i="2"/>
  <c r="C375" i="2"/>
  <c r="D375" i="2"/>
  <c r="E375" i="2"/>
  <c r="F375" i="2"/>
  <c r="G375" i="2"/>
  <c r="H375" i="2"/>
  <c r="I375" i="2"/>
  <c r="J375" i="2"/>
  <c r="K375" i="2"/>
  <c r="X375" i="2" s="1"/>
  <c r="L375" i="2"/>
  <c r="M375" i="2"/>
  <c r="N375" i="2"/>
  <c r="O375" i="2"/>
  <c r="P375" i="2"/>
  <c r="S375" i="2"/>
  <c r="W375" i="2"/>
  <c r="Y375" i="2"/>
  <c r="Z375" i="2"/>
  <c r="AA375" i="2"/>
  <c r="AB375" i="2"/>
  <c r="AC375" i="2"/>
  <c r="AD375" i="2"/>
  <c r="AE375" i="2"/>
  <c r="AF375" i="2"/>
  <c r="AG375" i="2"/>
  <c r="A376" i="2"/>
  <c r="B376" i="2"/>
  <c r="C376" i="2"/>
  <c r="D376" i="2"/>
  <c r="E376" i="2"/>
  <c r="F376" i="2"/>
  <c r="G376" i="2"/>
  <c r="H376" i="2"/>
  <c r="I376" i="2"/>
  <c r="J376" i="2"/>
  <c r="K376" i="2"/>
  <c r="X376" i="2" s="1"/>
  <c r="L376" i="2"/>
  <c r="M376" i="2"/>
  <c r="N376" i="2"/>
  <c r="O376" i="2"/>
  <c r="P376" i="2"/>
  <c r="R376" i="2"/>
  <c r="S376" i="2"/>
  <c r="V376" i="2"/>
  <c r="W376" i="2"/>
  <c r="Y376" i="2"/>
  <c r="Z376" i="2"/>
  <c r="AA376" i="2"/>
  <c r="AB376" i="2"/>
  <c r="AC376" i="2"/>
  <c r="AD376" i="2"/>
  <c r="AE376" i="2"/>
  <c r="AF376" i="2"/>
  <c r="AG376" i="2"/>
  <c r="A377" i="2"/>
  <c r="B377" i="2"/>
  <c r="C377" i="2"/>
  <c r="D377" i="2"/>
  <c r="E377" i="2"/>
  <c r="F377" i="2"/>
  <c r="G377" i="2"/>
  <c r="H377" i="2"/>
  <c r="I377" i="2"/>
  <c r="J377" i="2"/>
  <c r="K377" i="2"/>
  <c r="X377" i="2" s="1"/>
  <c r="L377" i="2"/>
  <c r="M377" i="2"/>
  <c r="N377" i="2"/>
  <c r="O377" i="2"/>
  <c r="P377" i="2"/>
  <c r="Q377" i="2"/>
  <c r="R377" i="2"/>
  <c r="S377" i="2"/>
  <c r="U377" i="2"/>
  <c r="V377" i="2"/>
  <c r="W377" i="2"/>
  <c r="Y377" i="2"/>
  <c r="Z377" i="2"/>
  <c r="AA377" i="2"/>
  <c r="AB377" i="2"/>
  <c r="AC377" i="2"/>
  <c r="AD377" i="2"/>
  <c r="AE377" i="2"/>
  <c r="AF377" i="2"/>
  <c r="AG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V378" i="2"/>
  <c r="W378" i="2"/>
  <c r="X378" i="2"/>
  <c r="Y378" i="2"/>
  <c r="Z378" i="2"/>
  <c r="AA378" i="2"/>
  <c r="AB378" i="2"/>
  <c r="AC378" i="2"/>
  <c r="AD378" i="2"/>
  <c r="AE378" i="2"/>
  <c r="AF378" i="2"/>
  <c r="AG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S379" i="2"/>
  <c r="Y379" i="2"/>
  <c r="Z379" i="2"/>
  <c r="AA379" i="2"/>
  <c r="AB379" i="2"/>
  <c r="AC379" i="2"/>
  <c r="AD379" i="2"/>
  <c r="AE379" i="2"/>
  <c r="AF379" i="2"/>
  <c r="AG379" i="2"/>
  <c r="A380" i="2"/>
  <c r="B380" i="2"/>
  <c r="C380" i="2"/>
  <c r="D380" i="2"/>
  <c r="E380" i="2"/>
  <c r="F380" i="2"/>
  <c r="G380" i="2"/>
  <c r="H380" i="2"/>
  <c r="I380" i="2"/>
  <c r="J380" i="2"/>
  <c r="K380" i="2"/>
  <c r="T380" i="2" s="1"/>
  <c r="L380" i="2"/>
  <c r="M380" i="2"/>
  <c r="N380" i="2"/>
  <c r="O380" i="2"/>
  <c r="P380" i="2"/>
  <c r="R380" i="2"/>
  <c r="S380" i="2"/>
  <c r="V380" i="2"/>
  <c r="Y380" i="2"/>
  <c r="Z380" i="2"/>
  <c r="AA380" i="2"/>
  <c r="AB380" i="2"/>
  <c r="AC380" i="2"/>
  <c r="AD380" i="2"/>
  <c r="AE380" i="2"/>
  <c r="AF380" i="2"/>
  <c r="AG380" i="2"/>
  <c r="A381" i="2"/>
  <c r="B381" i="2"/>
  <c r="C381" i="2"/>
  <c r="D381" i="2"/>
  <c r="E381" i="2"/>
  <c r="F381" i="2"/>
  <c r="G381" i="2"/>
  <c r="H381" i="2"/>
  <c r="I381" i="2"/>
  <c r="J381" i="2"/>
  <c r="K381" i="2"/>
  <c r="T381" i="2" s="1"/>
  <c r="L381" i="2"/>
  <c r="M381" i="2"/>
  <c r="N381" i="2"/>
  <c r="O381" i="2"/>
  <c r="P381" i="2"/>
  <c r="Q381" i="2"/>
  <c r="R381" i="2"/>
  <c r="S381" i="2"/>
  <c r="U381" i="2"/>
  <c r="V381" i="2"/>
  <c r="W381" i="2"/>
  <c r="Y381" i="2"/>
  <c r="Z381" i="2"/>
  <c r="AA381" i="2"/>
  <c r="AB381" i="2"/>
  <c r="AC381" i="2"/>
  <c r="AD381" i="2"/>
  <c r="AE381" i="2"/>
  <c r="AF381" i="2"/>
  <c r="AG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Z382" i="2"/>
  <c r="AA382" i="2"/>
  <c r="AB382" i="2"/>
  <c r="AC382" i="2"/>
  <c r="AD382" i="2"/>
  <c r="AE382" i="2"/>
  <c r="AF382" i="2"/>
  <c r="AG382" i="2"/>
  <c r="A383" i="2"/>
  <c r="B383" i="2"/>
  <c r="C383" i="2"/>
  <c r="D383" i="2"/>
  <c r="E383" i="2"/>
  <c r="F383" i="2"/>
  <c r="G383" i="2"/>
  <c r="H383" i="2"/>
  <c r="I383" i="2"/>
  <c r="J383" i="2"/>
  <c r="K383" i="2"/>
  <c r="X383" i="2" s="1"/>
  <c r="L383" i="2"/>
  <c r="M383" i="2"/>
  <c r="N383" i="2"/>
  <c r="O383" i="2"/>
  <c r="P383" i="2"/>
  <c r="S383" i="2"/>
  <c r="W383" i="2"/>
  <c r="Y383" i="2"/>
  <c r="Z383" i="2"/>
  <c r="AA383" i="2"/>
  <c r="AB383" i="2"/>
  <c r="AC383" i="2"/>
  <c r="AD383" i="2"/>
  <c r="AE383" i="2"/>
  <c r="AF383" i="2"/>
  <c r="AG383" i="2"/>
  <c r="A384" i="2"/>
  <c r="B384" i="2"/>
  <c r="C384" i="2"/>
  <c r="D384" i="2"/>
  <c r="E384" i="2"/>
  <c r="F384" i="2"/>
  <c r="G384" i="2"/>
  <c r="H384" i="2"/>
  <c r="I384" i="2"/>
  <c r="J384" i="2"/>
  <c r="K384" i="2"/>
  <c r="X384" i="2" s="1"/>
  <c r="L384" i="2"/>
  <c r="M384" i="2"/>
  <c r="N384" i="2"/>
  <c r="O384" i="2"/>
  <c r="P384" i="2"/>
  <c r="R384" i="2"/>
  <c r="S384" i="2"/>
  <c r="V384" i="2"/>
  <c r="W384" i="2"/>
  <c r="Y384" i="2"/>
  <c r="Z384" i="2"/>
  <c r="AA384" i="2"/>
  <c r="AB384" i="2"/>
  <c r="AC384" i="2"/>
  <c r="AD384" i="2"/>
  <c r="AE384" i="2"/>
  <c r="AF384" i="2"/>
  <c r="AG384" i="2"/>
  <c r="A385" i="2"/>
  <c r="B385" i="2"/>
  <c r="C385" i="2"/>
  <c r="D385" i="2"/>
  <c r="E385" i="2"/>
  <c r="F385" i="2"/>
  <c r="G385" i="2"/>
  <c r="H385" i="2"/>
  <c r="I385" i="2"/>
  <c r="J385" i="2"/>
  <c r="K385" i="2"/>
  <c r="X385" i="2" s="1"/>
  <c r="L385" i="2"/>
  <c r="M385" i="2"/>
  <c r="N385" i="2"/>
  <c r="O385" i="2"/>
  <c r="P385" i="2"/>
  <c r="Q385" i="2"/>
  <c r="R385" i="2"/>
  <c r="S385" i="2"/>
  <c r="U385" i="2"/>
  <c r="V385" i="2"/>
  <c r="W385" i="2"/>
  <c r="Y385" i="2"/>
  <c r="Z385" i="2"/>
  <c r="AA385" i="2"/>
  <c r="AB385" i="2"/>
  <c r="AC385" i="2"/>
  <c r="AD385" i="2"/>
  <c r="AE385" i="2"/>
  <c r="AF385" i="2"/>
  <c r="AG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V386" i="2"/>
  <c r="W386" i="2"/>
  <c r="X386" i="2"/>
  <c r="Y386" i="2"/>
  <c r="Z386" i="2"/>
  <c r="AA386" i="2"/>
  <c r="AB386" i="2"/>
  <c r="AC386" i="2"/>
  <c r="AD386" i="2"/>
  <c r="AE386" i="2"/>
  <c r="AF386" i="2"/>
  <c r="AG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O387" i="2"/>
  <c r="P387" i="2"/>
  <c r="S387" i="2"/>
  <c r="Y387" i="2"/>
  <c r="Z387" i="2"/>
  <c r="AA387" i="2"/>
  <c r="AB387" i="2"/>
  <c r="AC387" i="2"/>
  <c r="AD387" i="2"/>
  <c r="AE387" i="2"/>
  <c r="AF387" i="2"/>
  <c r="AG387" i="2"/>
  <c r="A388" i="2"/>
  <c r="B388" i="2"/>
  <c r="C388" i="2"/>
  <c r="D388" i="2"/>
  <c r="E388" i="2"/>
  <c r="F388" i="2"/>
  <c r="G388" i="2"/>
  <c r="H388" i="2"/>
  <c r="I388" i="2"/>
  <c r="J388" i="2"/>
  <c r="K388" i="2"/>
  <c r="T388" i="2" s="1"/>
  <c r="L388" i="2"/>
  <c r="M388" i="2"/>
  <c r="N388" i="2"/>
  <c r="O388" i="2"/>
  <c r="P388" i="2"/>
  <c r="R388" i="2"/>
  <c r="S388" i="2"/>
  <c r="V388" i="2"/>
  <c r="Y388" i="2"/>
  <c r="Z388" i="2"/>
  <c r="AA388" i="2"/>
  <c r="AB388" i="2"/>
  <c r="AC388" i="2"/>
  <c r="AD388" i="2"/>
  <c r="AE388" i="2"/>
  <c r="AF388" i="2"/>
  <c r="AG388" i="2"/>
  <c r="A389" i="2"/>
  <c r="B389" i="2"/>
  <c r="C389" i="2"/>
  <c r="D389" i="2"/>
  <c r="E389" i="2"/>
  <c r="F389" i="2"/>
  <c r="G389" i="2"/>
  <c r="H389" i="2"/>
  <c r="I389" i="2"/>
  <c r="J389" i="2"/>
  <c r="K389" i="2"/>
  <c r="T389" i="2" s="1"/>
  <c r="L389" i="2"/>
  <c r="M389" i="2"/>
  <c r="N389" i="2"/>
  <c r="O389" i="2"/>
  <c r="P389" i="2"/>
  <c r="Q389" i="2"/>
  <c r="R389" i="2"/>
  <c r="S389" i="2"/>
  <c r="U389" i="2"/>
  <c r="V389" i="2"/>
  <c r="W389" i="2"/>
  <c r="Y389" i="2"/>
  <c r="Z389" i="2"/>
  <c r="AA389" i="2"/>
  <c r="AB389" i="2"/>
  <c r="AC389" i="2"/>
  <c r="AD389" i="2"/>
  <c r="AE389" i="2"/>
  <c r="AF389" i="2"/>
  <c r="AG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V390" i="2"/>
  <c r="W390" i="2"/>
  <c r="X390" i="2"/>
  <c r="Y390" i="2"/>
  <c r="Z390" i="2"/>
  <c r="AA390" i="2"/>
  <c r="AB390" i="2"/>
  <c r="AC390" i="2"/>
  <c r="AD390" i="2"/>
  <c r="AE390" i="2"/>
  <c r="AF390" i="2"/>
  <c r="AG390" i="2"/>
  <c r="A391" i="2"/>
  <c r="B391" i="2"/>
  <c r="C391" i="2"/>
  <c r="D391" i="2"/>
  <c r="E391" i="2"/>
  <c r="F391" i="2"/>
  <c r="G391" i="2"/>
  <c r="H391" i="2"/>
  <c r="I391" i="2"/>
  <c r="J391" i="2"/>
  <c r="K391" i="2"/>
  <c r="X391" i="2" s="1"/>
  <c r="L391" i="2"/>
  <c r="M391" i="2"/>
  <c r="N391" i="2"/>
  <c r="O391" i="2"/>
  <c r="P391" i="2"/>
  <c r="S391" i="2"/>
  <c r="W391" i="2"/>
  <c r="Y391" i="2"/>
  <c r="Z391" i="2"/>
  <c r="AA391" i="2"/>
  <c r="AB391" i="2"/>
  <c r="AC391" i="2"/>
  <c r="AD391" i="2"/>
  <c r="AE391" i="2"/>
  <c r="AF391" i="2"/>
  <c r="AG391" i="2"/>
  <c r="A392" i="2"/>
  <c r="B392" i="2"/>
  <c r="C392" i="2"/>
  <c r="D392" i="2"/>
  <c r="E392" i="2"/>
  <c r="F392" i="2"/>
  <c r="G392" i="2"/>
  <c r="H392" i="2"/>
  <c r="I392" i="2"/>
  <c r="J392" i="2"/>
  <c r="K392" i="2"/>
  <c r="X392" i="2" s="1"/>
  <c r="L392" i="2"/>
  <c r="M392" i="2"/>
  <c r="N392" i="2"/>
  <c r="O392" i="2"/>
  <c r="P392" i="2"/>
  <c r="R392" i="2"/>
  <c r="S392" i="2"/>
  <c r="V392" i="2"/>
  <c r="W392" i="2"/>
  <c r="Y392" i="2"/>
  <c r="Z392" i="2"/>
  <c r="AA392" i="2"/>
  <c r="AB392" i="2"/>
  <c r="AC392" i="2"/>
  <c r="AD392" i="2"/>
  <c r="AE392" i="2"/>
  <c r="AF392" i="2"/>
  <c r="AG392" i="2"/>
  <c r="A393" i="2"/>
  <c r="B393" i="2"/>
  <c r="C393" i="2"/>
  <c r="D393" i="2"/>
  <c r="E393" i="2"/>
  <c r="F393" i="2"/>
  <c r="G393" i="2"/>
  <c r="H393" i="2"/>
  <c r="I393" i="2"/>
  <c r="J393" i="2"/>
  <c r="K393" i="2"/>
  <c r="X393" i="2" s="1"/>
  <c r="L393" i="2"/>
  <c r="M393" i="2"/>
  <c r="N393" i="2"/>
  <c r="O393" i="2"/>
  <c r="P393" i="2"/>
  <c r="Q393" i="2"/>
  <c r="R393" i="2"/>
  <c r="S393" i="2"/>
  <c r="U393" i="2"/>
  <c r="V393" i="2"/>
  <c r="W393" i="2"/>
  <c r="Y393" i="2"/>
  <c r="Z393" i="2"/>
  <c r="AA393" i="2"/>
  <c r="AB393" i="2"/>
  <c r="AC393" i="2"/>
  <c r="AD393" i="2"/>
  <c r="AE393" i="2"/>
  <c r="AF393" i="2"/>
  <c r="AG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V394" i="2"/>
  <c r="W394" i="2"/>
  <c r="X394" i="2"/>
  <c r="Y394" i="2"/>
  <c r="Z394" i="2"/>
  <c r="AA394" i="2"/>
  <c r="AB394" i="2"/>
  <c r="AC394" i="2"/>
  <c r="AD394" i="2"/>
  <c r="AE394" i="2"/>
  <c r="AF394" i="2"/>
  <c r="AG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Y395" i="2"/>
  <c r="Z395" i="2"/>
  <c r="AA395" i="2"/>
  <c r="AB395" i="2"/>
  <c r="AC395" i="2"/>
  <c r="AD395" i="2"/>
  <c r="AE395" i="2"/>
  <c r="AF395" i="2"/>
  <c r="AG395" i="2"/>
  <c r="A396" i="2"/>
  <c r="B396" i="2"/>
  <c r="C396" i="2"/>
  <c r="D396" i="2"/>
  <c r="E396" i="2"/>
  <c r="F396" i="2"/>
  <c r="G396" i="2"/>
  <c r="H396" i="2"/>
  <c r="I396" i="2"/>
  <c r="J396" i="2"/>
  <c r="K396" i="2"/>
  <c r="T396" i="2" s="1"/>
  <c r="L396" i="2"/>
  <c r="M396" i="2"/>
  <c r="N396" i="2"/>
  <c r="O396" i="2"/>
  <c r="P396" i="2"/>
  <c r="R396" i="2"/>
  <c r="S396" i="2"/>
  <c r="V396" i="2"/>
  <c r="Y396" i="2"/>
  <c r="Z396" i="2"/>
  <c r="AA396" i="2"/>
  <c r="AB396" i="2"/>
  <c r="AC396" i="2"/>
  <c r="AD396" i="2"/>
  <c r="AE396" i="2"/>
  <c r="AF396" i="2"/>
  <c r="AG396" i="2"/>
  <c r="A397" i="2"/>
  <c r="B397" i="2"/>
  <c r="C397" i="2"/>
  <c r="D397" i="2"/>
  <c r="E397" i="2"/>
  <c r="F397" i="2"/>
  <c r="G397" i="2"/>
  <c r="H397" i="2"/>
  <c r="I397" i="2"/>
  <c r="J397" i="2"/>
  <c r="K397" i="2"/>
  <c r="T397" i="2" s="1"/>
  <c r="L397" i="2"/>
  <c r="M397" i="2"/>
  <c r="N397" i="2"/>
  <c r="O397" i="2"/>
  <c r="P397" i="2"/>
  <c r="Q397" i="2"/>
  <c r="R397" i="2"/>
  <c r="S397" i="2"/>
  <c r="U397" i="2"/>
  <c r="V397" i="2"/>
  <c r="W397" i="2"/>
  <c r="Y397" i="2"/>
  <c r="Z397" i="2"/>
  <c r="AA397" i="2"/>
  <c r="AB397" i="2"/>
  <c r="AC397" i="2"/>
  <c r="AD397" i="2"/>
  <c r="AE397" i="2"/>
  <c r="AF397" i="2"/>
  <c r="AG397" i="2"/>
  <c r="A398" i="2"/>
  <c r="B398" i="2"/>
  <c r="C398" i="2"/>
  <c r="D398" i="2"/>
  <c r="E398" i="2"/>
  <c r="F398" i="2"/>
  <c r="G398" i="2"/>
  <c r="H398" i="2"/>
  <c r="I398" i="2"/>
  <c r="J398" i="2"/>
  <c r="K398" i="2"/>
  <c r="W398" i="2" s="1"/>
  <c r="L398" i="2"/>
  <c r="M398" i="2"/>
  <c r="N398" i="2"/>
  <c r="O398" i="2"/>
  <c r="P398" i="2"/>
  <c r="Q398" i="2"/>
  <c r="R398" i="2"/>
  <c r="S398" i="2"/>
  <c r="T398" i="2"/>
  <c r="U398" i="2"/>
  <c r="V398" i="2"/>
  <c r="X398" i="2"/>
  <c r="Y398" i="2"/>
  <c r="Z398" i="2"/>
  <c r="AA398" i="2"/>
  <c r="AB398" i="2"/>
  <c r="AC398" i="2"/>
  <c r="AD398" i="2"/>
  <c r="AE398" i="2"/>
  <c r="AF398" i="2"/>
  <c r="AG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O399" i="2"/>
  <c r="P399" i="2"/>
  <c r="S399" i="2"/>
  <c r="W399" i="2"/>
  <c r="Y399" i="2"/>
  <c r="Z399" i="2"/>
  <c r="AA399" i="2"/>
  <c r="AB399" i="2"/>
  <c r="AC399" i="2"/>
  <c r="AD399" i="2"/>
  <c r="AE399" i="2"/>
  <c r="AF399" i="2"/>
  <c r="AG399" i="2"/>
  <c r="A400" i="2"/>
  <c r="B400" i="2"/>
  <c r="C400" i="2"/>
  <c r="D400" i="2"/>
  <c r="E400" i="2"/>
  <c r="F400" i="2"/>
  <c r="G400" i="2"/>
  <c r="H400" i="2"/>
  <c r="I400" i="2"/>
  <c r="J400" i="2"/>
  <c r="K400" i="2"/>
  <c r="X400" i="2" s="1"/>
  <c r="L400" i="2"/>
  <c r="M400" i="2"/>
  <c r="N400" i="2"/>
  <c r="O400" i="2"/>
  <c r="P400" i="2"/>
  <c r="R400" i="2"/>
  <c r="S400" i="2"/>
  <c r="V400" i="2"/>
  <c r="W400" i="2"/>
  <c r="Y400" i="2"/>
  <c r="Z400" i="2"/>
  <c r="AA400" i="2"/>
  <c r="AB400" i="2"/>
  <c r="AC400" i="2"/>
  <c r="AD400" i="2"/>
  <c r="AE400" i="2"/>
  <c r="AF400" i="2"/>
  <c r="AG400" i="2"/>
  <c r="A401" i="2"/>
  <c r="B401" i="2"/>
  <c r="C401" i="2"/>
  <c r="D401" i="2"/>
  <c r="E401" i="2"/>
  <c r="F401" i="2"/>
  <c r="G401" i="2"/>
  <c r="H401" i="2"/>
  <c r="I401" i="2"/>
  <c r="J401" i="2"/>
  <c r="K401" i="2"/>
  <c r="X401" i="2" s="1"/>
  <c r="L401" i="2"/>
  <c r="M401" i="2"/>
  <c r="N401" i="2"/>
  <c r="O401" i="2"/>
  <c r="P401" i="2"/>
  <c r="Q401" i="2"/>
  <c r="R401" i="2"/>
  <c r="S401" i="2"/>
  <c r="U401" i="2"/>
  <c r="V401" i="2"/>
  <c r="W401" i="2"/>
  <c r="Y401" i="2"/>
  <c r="Z401" i="2"/>
  <c r="AA401" i="2"/>
  <c r="AB401" i="2"/>
  <c r="AC401" i="2"/>
  <c r="AD401" i="2"/>
  <c r="AE401" i="2"/>
  <c r="AF401" i="2"/>
  <c r="AG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Z402" i="2"/>
  <c r="AA402" i="2"/>
  <c r="AB402" i="2"/>
  <c r="AC402" i="2"/>
  <c r="AD402" i="2"/>
  <c r="AE402" i="2"/>
  <c r="AF402" i="2"/>
  <c r="AG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O403" i="2"/>
  <c r="P403" i="2"/>
  <c r="S403" i="2"/>
  <c r="W403" i="2"/>
  <c r="Y403" i="2"/>
  <c r="Z403" i="2"/>
  <c r="AA403" i="2"/>
  <c r="AB403" i="2"/>
  <c r="AC403" i="2"/>
  <c r="AD403" i="2"/>
  <c r="AE403" i="2"/>
  <c r="AF403" i="2"/>
  <c r="AG403" i="2"/>
  <c r="A404" i="2"/>
  <c r="B404" i="2"/>
  <c r="C404" i="2"/>
  <c r="D404" i="2"/>
  <c r="E404" i="2"/>
  <c r="F404" i="2"/>
  <c r="G404" i="2"/>
  <c r="H404" i="2"/>
  <c r="I404" i="2"/>
  <c r="J404" i="2"/>
  <c r="K404" i="2"/>
  <c r="T404" i="2" s="1"/>
  <c r="L404" i="2"/>
  <c r="M404" i="2"/>
  <c r="N404" i="2"/>
  <c r="O404" i="2"/>
  <c r="P404" i="2"/>
  <c r="R404" i="2"/>
  <c r="S404" i="2"/>
  <c r="V404" i="2"/>
  <c r="Y404" i="2"/>
  <c r="Z404" i="2"/>
  <c r="AA404" i="2"/>
  <c r="AB404" i="2"/>
  <c r="AC404" i="2"/>
  <c r="AD404" i="2"/>
  <c r="AE404" i="2"/>
  <c r="AF404" i="2"/>
  <c r="AG404" i="2"/>
  <c r="A405" i="2"/>
  <c r="B405" i="2"/>
  <c r="C405" i="2"/>
  <c r="D405" i="2"/>
  <c r="E405" i="2"/>
  <c r="F405" i="2"/>
  <c r="G405" i="2"/>
  <c r="H405" i="2"/>
  <c r="I405" i="2"/>
  <c r="J405" i="2"/>
  <c r="K405" i="2"/>
  <c r="T405" i="2" s="1"/>
  <c r="L405" i="2"/>
  <c r="M405" i="2"/>
  <c r="N405" i="2"/>
  <c r="O405" i="2"/>
  <c r="P405" i="2"/>
  <c r="Q405" i="2"/>
  <c r="R405" i="2"/>
  <c r="S405" i="2"/>
  <c r="U405" i="2"/>
  <c r="V405" i="2"/>
  <c r="W405" i="2"/>
  <c r="Y405" i="2"/>
  <c r="Z405" i="2"/>
  <c r="AA405" i="2"/>
  <c r="AB405" i="2"/>
  <c r="AC405" i="2"/>
  <c r="AD405" i="2"/>
  <c r="AE405" i="2"/>
  <c r="AF405" i="2"/>
  <c r="AG405" i="2"/>
  <c r="A406" i="2"/>
  <c r="B406" i="2"/>
  <c r="C406" i="2"/>
  <c r="D406" i="2"/>
  <c r="E406" i="2"/>
  <c r="F406" i="2"/>
  <c r="G406" i="2"/>
  <c r="H406" i="2"/>
  <c r="I406" i="2"/>
  <c r="J406" i="2"/>
  <c r="K406" i="2"/>
  <c r="W406" i="2" s="1"/>
  <c r="L406" i="2"/>
  <c r="M406" i="2"/>
  <c r="N406" i="2"/>
  <c r="O406" i="2"/>
  <c r="P406" i="2"/>
  <c r="Q406" i="2"/>
  <c r="R406" i="2"/>
  <c r="S406" i="2"/>
  <c r="T406" i="2"/>
  <c r="U406" i="2"/>
  <c r="V406" i="2"/>
  <c r="X406" i="2"/>
  <c r="Y406" i="2"/>
  <c r="Z406" i="2"/>
  <c r="AA406" i="2"/>
  <c r="AB406" i="2"/>
  <c r="AC406" i="2"/>
  <c r="AD406" i="2"/>
  <c r="AE406" i="2"/>
  <c r="AF406" i="2"/>
  <c r="AG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O407" i="2"/>
  <c r="P407" i="2"/>
  <c r="Y407" i="2"/>
  <c r="Z407" i="2"/>
  <c r="AA407" i="2"/>
  <c r="AB407" i="2"/>
  <c r="AC407" i="2"/>
  <c r="AD407" i="2"/>
  <c r="AE407" i="2"/>
  <c r="AF407" i="2"/>
  <c r="AG407" i="2"/>
  <c r="A408" i="2"/>
  <c r="B408" i="2"/>
  <c r="C408" i="2"/>
  <c r="D408" i="2"/>
  <c r="E408" i="2"/>
  <c r="F408" i="2"/>
  <c r="G408" i="2"/>
  <c r="H408" i="2"/>
  <c r="I408" i="2"/>
  <c r="J408" i="2"/>
  <c r="K408" i="2"/>
  <c r="X408" i="2" s="1"/>
  <c r="L408" i="2"/>
  <c r="M408" i="2"/>
  <c r="N408" i="2"/>
  <c r="O408" i="2"/>
  <c r="P408" i="2"/>
  <c r="R408" i="2"/>
  <c r="S408" i="2"/>
  <c r="V408" i="2"/>
  <c r="W408" i="2"/>
  <c r="Y408" i="2"/>
  <c r="Z408" i="2"/>
  <c r="AA408" i="2"/>
  <c r="AB408" i="2"/>
  <c r="AC408" i="2"/>
  <c r="AD408" i="2"/>
  <c r="AE408" i="2"/>
  <c r="AF408" i="2"/>
  <c r="AG408" i="2"/>
  <c r="A409" i="2"/>
  <c r="B409" i="2"/>
  <c r="C409" i="2"/>
  <c r="D409" i="2"/>
  <c r="E409" i="2"/>
  <c r="F409" i="2"/>
  <c r="G409" i="2"/>
  <c r="H409" i="2"/>
  <c r="I409" i="2"/>
  <c r="J409" i="2"/>
  <c r="K409" i="2"/>
  <c r="X409" i="2" s="1"/>
  <c r="L409" i="2"/>
  <c r="M409" i="2"/>
  <c r="N409" i="2"/>
  <c r="O409" i="2"/>
  <c r="P409" i="2"/>
  <c r="Q409" i="2"/>
  <c r="R409" i="2"/>
  <c r="S409" i="2"/>
  <c r="U409" i="2"/>
  <c r="V409" i="2"/>
  <c r="W409" i="2"/>
  <c r="Y409" i="2"/>
  <c r="Z409" i="2"/>
  <c r="AA409" i="2"/>
  <c r="AB409" i="2"/>
  <c r="AC409" i="2"/>
  <c r="AD409" i="2"/>
  <c r="AE409" i="2"/>
  <c r="AF409" i="2"/>
  <c r="AG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Z410" i="2"/>
  <c r="AA410" i="2"/>
  <c r="AB410" i="2"/>
  <c r="AC410" i="2"/>
  <c r="AD410" i="2"/>
  <c r="AE410" i="2"/>
  <c r="AF410" i="2"/>
  <c r="AG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O411" i="2"/>
  <c r="P411" i="2"/>
  <c r="W411" i="2"/>
  <c r="Y411" i="2"/>
  <c r="Z411" i="2"/>
  <c r="AA411" i="2"/>
  <c r="AB411" i="2"/>
  <c r="AC411" i="2"/>
  <c r="AD411" i="2"/>
  <c r="AE411" i="2"/>
  <c r="AF411" i="2"/>
  <c r="AG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O412" i="2"/>
  <c r="P412" i="2"/>
  <c r="R412" i="2"/>
  <c r="S412" i="2"/>
  <c r="V412" i="2"/>
  <c r="Y412" i="2"/>
  <c r="Z412" i="2"/>
  <c r="AA412" i="2"/>
  <c r="AB412" i="2"/>
  <c r="AC412" i="2"/>
  <c r="AD412" i="2"/>
  <c r="AE412" i="2"/>
  <c r="AF412" i="2"/>
  <c r="AG412" i="2"/>
  <c r="A413" i="2"/>
  <c r="B413" i="2"/>
  <c r="C413" i="2"/>
  <c r="D413" i="2"/>
  <c r="E413" i="2"/>
  <c r="F413" i="2"/>
  <c r="G413" i="2"/>
  <c r="H413" i="2"/>
  <c r="I413" i="2"/>
  <c r="J413" i="2"/>
  <c r="K413" i="2"/>
  <c r="T413" i="2" s="1"/>
  <c r="L413" i="2"/>
  <c r="M413" i="2"/>
  <c r="N413" i="2"/>
  <c r="O413" i="2"/>
  <c r="P413" i="2"/>
  <c r="Q413" i="2"/>
  <c r="R413" i="2"/>
  <c r="S413" i="2"/>
  <c r="U413" i="2"/>
  <c r="V413" i="2"/>
  <c r="W413" i="2"/>
  <c r="Y413" i="2"/>
  <c r="Z413" i="2"/>
  <c r="AA413" i="2"/>
  <c r="AB413" i="2"/>
  <c r="AC413" i="2"/>
  <c r="AD413" i="2"/>
  <c r="AE413" i="2"/>
  <c r="AF413" i="2"/>
  <c r="AG413" i="2"/>
  <c r="A414" i="2"/>
  <c r="B414" i="2"/>
  <c r="C414" i="2"/>
  <c r="D414" i="2"/>
  <c r="E414" i="2"/>
  <c r="F414" i="2"/>
  <c r="G414" i="2"/>
  <c r="H414" i="2"/>
  <c r="I414" i="2"/>
  <c r="J414" i="2"/>
  <c r="K414" i="2"/>
  <c r="W414" i="2" s="1"/>
  <c r="L414" i="2"/>
  <c r="M414" i="2"/>
  <c r="N414" i="2"/>
  <c r="O414" i="2"/>
  <c r="P414" i="2"/>
  <c r="Q414" i="2"/>
  <c r="R414" i="2"/>
  <c r="S414" i="2"/>
  <c r="T414" i="2"/>
  <c r="U414" i="2"/>
  <c r="V414" i="2"/>
  <c r="X414" i="2"/>
  <c r="Y414" i="2"/>
  <c r="Z414" i="2"/>
  <c r="AA414" i="2"/>
  <c r="AB414" i="2"/>
  <c r="AC414" i="2"/>
  <c r="AD414" i="2"/>
  <c r="AE414" i="2"/>
  <c r="AF414" i="2"/>
  <c r="AG414" i="2"/>
  <c r="A415" i="2"/>
  <c r="B415" i="2"/>
  <c r="C415" i="2"/>
  <c r="D415" i="2"/>
  <c r="E415" i="2"/>
  <c r="F415" i="2"/>
  <c r="G415" i="2"/>
  <c r="H415" i="2"/>
  <c r="I415" i="2"/>
  <c r="J415" i="2"/>
  <c r="K415" i="2"/>
  <c r="R415" i="2" s="1"/>
  <c r="L415" i="2"/>
  <c r="M415" i="2"/>
  <c r="N415" i="2"/>
  <c r="O415" i="2"/>
  <c r="P415" i="2"/>
  <c r="Q415" i="2"/>
  <c r="T415" i="2"/>
  <c r="U415" i="2"/>
  <c r="Y415" i="2"/>
  <c r="Z415" i="2"/>
  <c r="AA415" i="2"/>
  <c r="AB415" i="2"/>
  <c r="AC415" i="2"/>
  <c r="AD415" i="2"/>
  <c r="AE415" i="2"/>
  <c r="AF415" i="2"/>
  <c r="AG415" i="2"/>
  <c r="A416" i="2"/>
  <c r="B416" i="2"/>
  <c r="C416" i="2"/>
  <c r="D416" i="2"/>
  <c r="E416" i="2"/>
  <c r="F416" i="2"/>
  <c r="G416" i="2"/>
  <c r="H416" i="2"/>
  <c r="I416" i="2"/>
  <c r="J416" i="2"/>
  <c r="K416" i="2"/>
  <c r="R416" i="2" s="1"/>
  <c r="L416" i="2"/>
  <c r="M416" i="2"/>
  <c r="N416" i="2"/>
  <c r="O416" i="2"/>
  <c r="P416" i="2"/>
  <c r="Q416" i="2"/>
  <c r="S416" i="2"/>
  <c r="T416" i="2"/>
  <c r="Y416" i="2"/>
  <c r="Z416" i="2"/>
  <c r="AA416" i="2"/>
  <c r="AB416" i="2"/>
  <c r="AC416" i="2"/>
  <c r="AD416" i="2"/>
  <c r="AE416" i="2"/>
  <c r="AF416" i="2"/>
  <c r="AG416" i="2"/>
  <c r="A417" i="2"/>
  <c r="B417" i="2"/>
  <c r="C417" i="2"/>
  <c r="D417" i="2"/>
  <c r="E417" i="2"/>
  <c r="F417" i="2"/>
  <c r="G417" i="2"/>
  <c r="H417" i="2"/>
  <c r="I417" i="2"/>
  <c r="J417" i="2"/>
  <c r="K417" i="2"/>
  <c r="Q417" i="2" s="1"/>
  <c r="L417" i="2"/>
  <c r="M417" i="2"/>
  <c r="N417" i="2"/>
  <c r="O417" i="2"/>
  <c r="P417" i="2"/>
  <c r="S417" i="2"/>
  <c r="X417" i="2"/>
  <c r="Y417" i="2"/>
  <c r="Z417" i="2"/>
  <c r="AA417" i="2"/>
  <c r="AB417" i="2"/>
  <c r="AC417" i="2"/>
  <c r="AD417" i="2"/>
  <c r="AE417" i="2"/>
  <c r="AF417" i="2"/>
  <c r="AG417" i="2"/>
  <c r="A418" i="2"/>
  <c r="B418" i="2"/>
  <c r="C418" i="2"/>
  <c r="D418" i="2"/>
  <c r="E418" i="2"/>
  <c r="F418" i="2"/>
  <c r="G418" i="2"/>
  <c r="H418" i="2"/>
  <c r="I418" i="2"/>
  <c r="J418" i="2"/>
  <c r="K418" i="2"/>
  <c r="X418" i="2" s="1"/>
  <c r="L418" i="2"/>
  <c r="M418" i="2"/>
  <c r="N418" i="2"/>
  <c r="O418" i="2"/>
  <c r="P418" i="2"/>
  <c r="Q418" i="2"/>
  <c r="R418" i="2"/>
  <c r="S418" i="2"/>
  <c r="W418" i="2"/>
  <c r="Y418" i="2"/>
  <c r="Z418" i="2"/>
  <c r="AA418" i="2"/>
  <c r="AB418" i="2"/>
  <c r="AC418" i="2"/>
  <c r="AD418" i="2"/>
  <c r="AE418" i="2"/>
  <c r="AF418" i="2"/>
  <c r="AG418" i="2"/>
  <c r="A419" i="2"/>
  <c r="B419" i="2"/>
  <c r="C419" i="2"/>
  <c r="D419" i="2"/>
  <c r="E419" i="2"/>
  <c r="F419" i="2"/>
  <c r="G419" i="2"/>
  <c r="H419" i="2"/>
  <c r="I419" i="2"/>
  <c r="J419" i="2"/>
  <c r="K419" i="2"/>
  <c r="W419" i="2" s="1"/>
  <c r="L419" i="2"/>
  <c r="M419" i="2"/>
  <c r="N419" i="2"/>
  <c r="O419" i="2"/>
  <c r="P419" i="2"/>
  <c r="Q419" i="2"/>
  <c r="R419" i="2"/>
  <c r="S419" i="2"/>
  <c r="T419" i="2"/>
  <c r="V419" i="2"/>
  <c r="X419" i="2"/>
  <c r="Y419" i="2"/>
  <c r="Z419" i="2"/>
  <c r="AA419" i="2"/>
  <c r="AB419" i="2"/>
  <c r="AC419" i="2"/>
  <c r="AD419" i="2"/>
  <c r="AE419" i="2"/>
  <c r="AF419" i="2"/>
  <c r="AG419" i="2"/>
  <c r="A420" i="2"/>
  <c r="B420" i="2"/>
  <c r="C420" i="2"/>
  <c r="D420" i="2"/>
  <c r="E420" i="2"/>
  <c r="F420" i="2"/>
  <c r="G420" i="2"/>
  <c r="H420" i="2"/>
  <c r="I420" i="2"/>
  <c r="J420" i="2"/>
  <c r="K420" i="2"/>
  <c r="V420" i="2" s="1"/>
  <c r="L420" i="2"/>
  <c r="M420" i="2"/>
  <c r="N420" i="2"/>
  <c r="O420" i="2"/>
  <c r="P420" i="2"/>
  <c r="Q420" i="2"/>
  <c r="S420" i="2"/>
  <c r="U420" i="2"/>
  <c r="W420" i="2"/>
  <c r="X420" i="2"/>
  <c r="Y420" i="2"/>
  <c r="Z420" i="2"/>
  <c r="AA420" i="2"/>
  <c r="AB420" i="2"/>
  <c r="AC420" i="2"/>
  <c r="AD420" i="2"/>
  <c r="AE420" i="2"/>
  <c r="AF420" i="2"/>
  <c r="AG420" i="2"/>
  <c r="A421" i="2"/>
  <c r="B421" i="2"/>
  <c r="C421" i="2"/>
  <c r="D421" i="2"/>
  <c r="E421" i="2"/>
  <c r="F421" i="2"/>
  <c r="G421" i="2"/>
  <c r="H421" i="2"/>
  <c r="I421" i="2"/>
  <c r="J421" i="2"/>
  <c r="K421" i="2"/>
  <c r="U421" i="2" s="1"/>
  <c r="L421" i="2"/>
  <c r="M421" i="2"/>
  <c r="N421" i="2"/>
  <c r="O421" i="2"/>
  <c r="P421" i="2"/>
  <c r="Q421" i="2"/>
  <c r="R421" i="2"/>
  <c r="S421" i="2"/>
  <c r="T421" i="2"/>
  <c r="V421" i="2"/>
  <c r="W421" i="2"/>
  <c r="X421" i="2"/>
  <c r="Y421" i="2"/>
  <c r="Z421" i="2"/>
  <c r="AA421" i="2"/>
  <c r="AB421" i="2"/>
  <c r="AC421" i="2"/>
  <c r="AD421" i="2"/>
  <c r="AE421" i="2"/>
  <c r="AF421" i="2"/>
  <c r="AG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O422" i="2"/>
  <c r="P422" i="2"/>
  <c r="Y422" i="2"/>
  <c r="Z422" i="2"/>
  <c r="AA422" i="2"/>
  <c r="AB422" i="2"/>
  <c r="AC422" i="2"/>
  <c r="AD422" i="2"/>
  <c r="AE422" i="2"/>
  <c r="AF422" i="2"/>
  <c r="AG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Z423" i="2"/>
  <c r="AA423" i="2"/>
  <c r="AB423" i="2"/>
  <c r="AC423" i="2"/>
  <c r="AD423" i="2"/>
  <c r="AE423" i="2"/>
  <c r="AF423" i="2"/>
  <c r="AG423" i="2"/>
  <c r="A424" i="2"/>
  <c r="B424" i="2"/>
  <c r="C424" i="2"/>
  <c r="D424" i="2"/>
  <c r="E424" i="2"/>
  <c r="F424" i="2"/>
  <c r="G424" i="2"/>
  <c r="H424" i="2"/>
  <c r="I424" i="2"/>
  <c r="J424" i="2"/>
  <c r="K424" i="2"/>
  <c r="R424" i="2" s="1"/>
  <c r="L424" i="2"/>
  <c r="M424" i="2"/>
  <c r="N424" i="2"/>
  <c r="O424" i="2"/>
  <c r="P424" i="2"/>
  <c r="Q424" i="2"/>
  <c r="S424" i="2"/>
  <c r="T424" i="2"/>
  <c r="Y424" i="2"/>
  <c r="Z424" i="2"/>
  <c r="AA424" i="2"/>
  <c r="AB424" i="2"/>
  <c r="AC424" i="2"/>
  <c r="AD424" i="2"/>
  <c r="AE424" i="2"/>
  <c r="AF424" i="2"/>
  <c r="AG424" i="2"/>
  <c r="A425" i="2"/>
  <c r="B425" i="2"/>
  <c r="C425" i="2"/>
  <c r="D425" i="2"/>
  <c r="E425" i="2"/>
  <c r="F425" i="2"/>
  <c r="G425" i="2"/>
  <c r="H425" i="2"/>
  <c r="I425" i="2"/>
  <c r="J425" i="2"/>
  <c r="K425" i="2"/>
  <c r="Q425" i="2" s="1"/>
  <c r="L425" i="2"/>
  <c r="M425" i="2"/>
  <c r="N425" i="2"/>
  <c r="O425" i="2"/>
  <c r="P425" i="2"/>
  <c r="S425" i="2"/>
  <c r="X425" i="2"/>
  <c r="Y425" i="2"/>
  <c r="Z425" i="2"/>
  <c r="AA425" i="2"/>
  <c r="AB425" i="2"/>
  <c r="AC425" i="2"/>
  <c r="AD425" i="2"/>
  <c r="AE425" i="2"/>
  <c r="AF425" i="2"/>
  <c r="AG425" i="2"/>
  <c r="A426" i="2"/>
  <c r="B426" i="2"/>
  <c r="C426" i="2"/>
  <c r="D426" i="2"/>
  <c r="E426" i="2"/>
  <c r="F426" i="2"/>
  <c r="G426" i="2"/>
  <c r="H426" i="2"/>
  <c r="I426" i="2"/>
  <c r="J426" i="2"/>
  <c r="K426" i="2"/>
  <c r="X426" i="2" s="1"/>
  <c r="L426" i="2"/>
  <c r="M426" i="2"/>
  <c r="N426" i="2"/>
  <c r="O426" i="2"/>
  <c r="P426" i="2"/>
  <c r="Q426" i="2"/>
  <c r="R426" i="2"/>
  <c r="S426" i="2"/>
  <c r="W426" i="2"/>
  <c r="Y426" i="2"/>
  <c r="Z426" i="2"/>
  <c r="AA426" i="2"/>
  <c r="AB426" i="2"/>
  <c r="AC426" i="2"/>
  <c r="AD426" i="2"/>
  <c r="AE426" i="2"/>
  <c r="AF426" i="2"/>
  <c r="AG426" i="2"/>
  <c r="A427" i="2"/>
  <c r="B427" i="2"/>
  <c r="C427" i="2"/>
  <c r="D427" i="2"/>
  <c r="E427" i="2"/>
  <c r="F427" i="2"/>
  <c r="G427" i="2"/>
  <c r="H427" i="2"/>
  <c r="I427" i="2"/>
  <c r="J427" i="2"/>
  <c r="K427" i="2"/>
  <c r="W427" i="2" s="1"/>
  <c r="L427" i="2"/>
  <c r="M427" i="2"/>
  <c r="N427" i="2"/>
  <c r="O427" i="2"/>
  <c r="P427" i="2"/>
  <c r="Q427" i="2"/>
  <c r="R427" i="2"/>
  <c r="S427" i="2"/>
  <c r="T427" i="2"/>
  <c r="V427" i="2"/>
  <c r="X427" i="2"/>
  <c r="Y427" i="2"/>
  <c r="Z427" i="2"/>
  <c r="AA427" i="2"/>
  <c r="AB427" i="2"/>
  <c r="AC427" i="2"/>
  <c r="AD427" i="2"/>
  <c r="AE427" i="2"/>
  <c r="AF427" i="2"/>
  <c r="AG427" i="2"/>
  <c r="A428" i="2"/>
  <c r="B428" i="2"/>
  <c r="C428" i="2"/>
  <c r="D428" i="2"/>
  <c r="E428" i="2"/>
  <c r="F428" i="2"/>
  <c r="G428" i="2"/>
  <c r="H428" i="2"/>
  <c r="I428" i="2"/>
  <c r="J428" i="2"/>
  <c r="K428" i="2"/>
  <c r="V428" i="2" s="1"/>
  <c r="L428" i="2"/>
  <c r="M428" i="2"/>
  <c r="N428" i="2"/>
  <c r="O428" i="2"/>
  <c r="P428" i="2"/>
  <c r="Q428" i="2"/>
  <c r="S428" i="2"/>
  <c r="U428" i="2"/>
  <c r="W428" i="2"/>
  <c r="X428" i="2"/>
  <c r="Y428" i="2"/>
  <c r="Z428" i="2"/>
  <c r="AA428" i="2"/>
  <c r="AB428" i="2"/>
  <c r="AC428" i="2"/>
  <c r="AD428" i="2"/>
  <c r="AE428" i="2"/>
  <c r="AF428" i="2"/>
  <c r="AG428" i="2"/>
  <c r="A429" i="2"/>
  <c r="B429" i="2"/>
  <c r="C429" i="2"/>
  <c r="D429" i="2"/>
  <c r="E429" i="2"/>
  <c r="F429" i="2"/>
  <c r="G429" i="2"/>
  <c r="H429" i="2"/>
  <c r="I429" i="2"/>
  <c r="J429" i="2"/>
  <c r="K429" i="2"/>
  <c r="U429" i="2" s="1"/>
  <c r="L429" i="2"/>
  <c r="M429" i="2"/>
  <c r="N429" i="2"/>
  <c r="O429" i="2"/>
  <c r="P429" i="2"/>
  <c r="Q429" i="2"/>
  <c r="R429" i="2"/>
  <c r="S429" i="2"/>
  <c r="T429" i="2"/>
  <c r="V429" i="2"/>
  <c r="W429" i="2"/>
  <c r="X429" i="2"/>
  <c r="Y429" i="2"/>
  <c r="Z429" i="2"/>
  <c r="AA429" i="2"/>
  <c r="AB429" i="2"/>
  <c r="AC429" i="2"/>
  <c r="AD429" i="2"/>
  <c r="AE429" i="2"/>
  <c r="AF429" i="2"/>
  <c r="AG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O430" i="2"/>
  <c r="P430" i="2"/>
  <c r="S430" i="2"/>
  <c r="Y430" i="2"/>
  <c r="Z430" i="2"/>
  <c r="AA430" i="2"/>
  <c r="AB430" i="2"/>
  <c r="AC430" i="2"/>
  <c r="AD430" i="2"/>
  <c r="AE430" i="2"/>
  <c r="AF430" i="2"/>
  <c r="AG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Z431" i="2"/>
  <c r="AA431" i="2"/>
  <c r="AB431" i="2"/>
  <c r="AC431" i="2"/>
  <c r="AD431" i="2"/>
  <c r="AE431" i="2"/>
  <c r="AF431" i="2"/>
  <c r="AG431" i="2"/>
  <c r="A432" i="2"/>
  <c r="B432" i="2"/>
  <c r="C432" i="2"/>
  <c r="D432" i="2"/>
  <c r="E432" i="2"/>
  <c r="F432" i="2"/>
  <c r="G432" i="2"/>
  <c r="H432" i="2"/>
  <c r="I432" i="2"/>
  <c r="J432" i="2"/>
  <c r="K432" i="2"/>
  <c r="R432" i="2" s="1"/>
  <c r="L432" i="2"/>
  <c r="M432" i="2"/>
  <c r="N432" i="2"/>
  <c r="O432" i="2"/>
  <c r="P432" i="2"/>
  <c r="Q432" i="2"/>
  <c r="S432" i="2"/>
  <c r="T432" i="2"/>
  <c r="Y432" i="2"/>
  <c r="Z432" i="2"/>
  <c r="AA432" i="2"/>
  <c r="AB432" i="2"/>
  <c r="AC432" i="2"/>
  <c r="AD432" i="2"/>
  <c r="AE432" i="2"/>
  <c r="AF432" i="2"/>
  <c r="AG432" i="2"/>
  <c r="A433" i="2"/>
  <c r="B433" i="2"/>
  <c r="C433" i="2"/>
  <c r="D433" i="2"/>
  <c r="E433" i="2"/>
  <c r="F433" i="2"/>
  <c r="G433" i="2"/>
  <c r="H433" i="2"/>
  <c r="I433" i="2"/>
  <c r="J433" i="2"/>
  <c r="K433" i="2"/>
  <c r="Q433" i="2" s="1"/>
  <c r="L433" i="2"/>
  <c r="M433" i="2"/>
  <c r="N433" i="2"/>
  <c r="O433" i="2"/>
  <c r="P433" i="2"/>
  <c r="S433" i="2"/>
  <c r="X433" i="2"/>
  <c r="Y433" i="2"/>
  <c r="Z433" i="2"/>
  <c r="AA433" i="2"/>
  <c r="AB433" i="2"/>
  <c r="AC433" i="2"/>
  <c r="AD433" i="2"/>
  <c r="AE433" i="2"/>
  <c r="AF433" i="2"/>
  <c r="AG433" i="2"/>
  <c r="A434" i="2"/>
  <c r="B434" i="2"/>
  <c r="C434" i="2"/>
  <c r="D434" i="2"/>
  <c r="E434" i="2"/>
  <c r="F434" i="2"/>
  <c r="G434" i="2"/>
  <c r="H434" i="2"/>
  <c r="I434" i="2"/>
  <c r="J434" i="2"/>
  <c r="K434" i="2"/>
  <c r="X434" i="2" s="1"/>
  <c r="L434" i="2"/>
  <c r="M434" i="2"/>
  <c r="N434" i="2"/>
  <c r="O434" i="2"/>
  <c r="P434" i="2"/>
  <c r="Q434" i="2"/>
  <c r="R434" i="2"/>
  <c r="S434" i="2"/>
  <c r="W434" i="2"/>
  <c r="Y434" i="2"/>
  <c r="Z434" i="2"/>
  <c r="AA434" i="2"/>
  <c r="AB434" i="2"/>
  <c r="AC434" i="2"/>
  <c r="AD434" i="2"/>
  <c r="AE434" i="2"/>
  <c r="AF434" i="2"/>
  <c r="AG434" i="2"/>
  <c r="A435" i="2"/>
  <c r="B435" i="2"/>
  <c r="C435" i="2"/>
  <c r="D435" i="2"/>
  <c r="E435" i="2"/>
  <c r="F435" i="2"/>
  <c r="G435" i="2"/>
  <c r="H435" i="2"/>
  <c r="I435" i="2"/>
  <c r="J435" i="2"/>
  <c r="K435" i="2"/>
  <c r="W435" i="2" s="1"/>
  <c r="L435" i="2"/>
  <c r="M435" i="2"/>
  <c r="N435" i="2"/>
  <c r="O435" i="2"/>
  <c r="P435" i="2"/>
  <c r="Q435" i="2"/>
  <c r="R435" i="2"/>
  <c r="S435" i="2"/>
  <c r="T435" i="2"/>
  <c r="V435" i="2"/>
  <c r="X435" i="2"/>
  <c r="Y435" i="2"/>
  <c r="Z435" i="2"/>
  <c r="AA435" i="2"/>
  <c r="AB435" i="2"/>
  <c r="AC435" i="2"/>
  <c r="AD435" i="2"/>
  <c r="AE435" i="2"/>
  <c r="AF435" i="2"/>
  <c r="AG435" i="2"/>
  <c r="A436" i="2"/>
  <c r="B436" i="2"/>
  <c r="C436" i="2"/>
  <c r="D436" i="2"/>
  <c r="E436" i="2"/>
  <c r="F436" i="2"/>
  <c r="G436" i="2"/>
  <c r="H436" i="2"/>
  <c r="I436" i="2"/>
  <c r="J436" i="2"/>
  <c r="K436" i="2"/>
  <c r="V436" i="2" s="1"/>
  <c r="L436" i="2"/>
  <c r="M436" i="2"/>
  <c r="N436" i="2"/>
  <c r="O436" i="2"/>
  <c r="P436" i="2"/>
  <c r="Q436" i="2"/>
  <c r="S436" i="2"/>
  <c r="U436" i="2"/>
  <c r="W436" i="2"/>
  <c r="X436" i="2"/>
  <c r="Y436" i="2"/>
  <c r="Z436" i="2"/>
  <c r="AA436" i="2"/>
  <c r="AB436" i="2"/>
  <c r="AC436" i="2"/>
  <c r="AD436" i="2"/>
  <c r="AE436" i="2"/>
  <c r="AF436" i="2"/>
  <c r="AG436" i="2"/>
  <c r="A437" i="2"/>
  <c r="B437" i="2"/>
  <c r="C437" i="2"/>
  <c r="D437" i="2"/>
  <c r="E437" i="2"/>
  <c r="F437" i="2"/>
  <c r="G437" i="2"/>
  <c r="H437" i="2"/>
  <c r="I437" i="2"/>
  <c r="J437" i="2"/>
  <c r="K437" i="2"/>
  <c r="U437" i="2" s="1"/>
  <c r="L437" i="2"/>
  <c r="M437" i="2"/>
  <c r="N437" i="2"/>
  <c r="O437" i="2"/>
  <c r="P437" i="2"/>
  <c r="Q437" i="2"/>
  <c r="R437" i="2"/>
  <c r="S437" i="2"/>
  <c r="T437" i="2"/>
  <c r="V437" i="2"/>
  <c r="W437" i="2"/>
  <c r="X437" i="2"/>
  <c r="Y437" i="2"/>
  <c r="Z437" i="2"/>
  <c r="AA437" i="2"/>
  <c r="AB437" i="2"/>
  <c r="AC437" i="2"/>
  <c r="AD437" i="2"/>
  <c r="AE437" i="2"/>
  <c r="AF437" i="2"/>
  <c r="AG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O438" i="2"/>
  <c r="P438" i="2"/>
  <c r="Y438" i="2"/>
  <c r="Z438" i="2"/>
  <c r="AA438" i="2"/>
  <c r="AB438" i="2"/>
  <c r="AC438" i="2"/>
  <c r="AD438" i="2"/>
  <c r="AE438" i="2"/>
  <c r="AF438" i="2"/>
  <c r="AG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V439" i="2"/>
  <c r="W439" i="2"/>
  <c r="X439" i="2"/>
  <c r="Y439" i="2"/>
  <c r="Z439" i="2"/>
  <c r="AA439" i="2"/>
  <c r="AB439" i="2"/>
  <c r="AC439" i="2"/>
  <c r="AD439" i="2"/>
  <c r="AE439" i="2"/>
  <c r="AF439" i="2"/>
  <c r="AG439" i="2"/>
  <c r="A440" i="2"/>
  <c r="B440" i="2"/>
  <c r="C440" i="2"/>
  <c r="D440" i="2"/>
  <c r="E440" i="2"/>
  <c r="F440" i="2"/>
  <c r="G440" i="2"/>
  <c r="H440" i="2"/>
  <c r="I440" i="2"/>
  <c r="J440" i="2"/>
  <c r="K440" i="2"/>
  <c r="R440" i="2" s="1"/>
  <c r="L440" i="2"/>
  <c r="M440" i="2"/>
  <c r="N440" i="2"/>
  <c r="O440" i="2"/>
  <c r="P440" i="2"/>
  <c r="Q440" i="2"/>
  <c r="S440" i="2"/>
  <c r="T440" i="2"/>
  <c r="Y440" i="2"/>
  <c r="Z440" i="2"/>
  <c r="AA440" i="2"/>
  <c r="AB440" i="2"/>
  <c r="AC440" i="2"/>
  <c r="AD440" i="2"/>
  <c r="AE440" i="2"/>
  <c r="AF440" i="2"/>
  <c r="AG440" i="2"/>
  <c r="A441" i="2"/>
  <c r="B441" i="2"/>
  <c r="C441" i="2"/>
  <c r="D441" i="2"/>
  <c r="E441" i="2"/>
  <c r="F441" i="2"/>
  <c r="G441" i="2"/>
  <c r="H441" i="2"/>
  <c r="I441" i="2"/>
  <c r="J441" i="2"/>
  <c r="K441" i="2"/>
  <c r="Q441" i="2" s="1"/>
  <c r="L441" i="2"/>
  <c r="M441" i="2"/>
  <c r="N441" i="2"/>
  <c r="O441" i="2"/>
  <c r="P441" i="2"/>
  <c r="S441" i="2"/>
  <c r="X441" i="2"/>
  <c r="Y441" i="2"/>
  <c r="Z441" i="2"/>
  <c r="AA441" i="2"/>
  <c r="AB441" i="2"/>
  <c r="AC441" i="2"/>
  <c r="AD441" i="2"/>
  <c r="AE441" i="2"/>
  <c r="AF441" i="2"/>
  <c r="AG441" i="2"/>
  <c r="A442" i="2"/>
  <c r="B442" i="2"/>
  <c r="C442" i="2"/>
  <c r="D442" i="2"/>
  <c r="E442" i="2"/>
  <c r="F442" i="2"/>
  <c r="G442" i="2"/>
  <c r="H442" i="2"/>
  <c r="I442" i="2"/>
  <c r="J442" i="2"/>
  <c r="K442" i="2"/>
  <c r="X442" i="2" s="1"/>
  <c r="L442" i="2"/>
  <c r="M442" i="2"/>
  <c r="N442" i="2"/>
  <c r="O442" i="2"/>
  <c r="P442" i="2"/>
  <c r="Q442" i="2"/>
  <c r="R442" i="2"/>
  <c r="S442" i="2"/>
  <c r="W442" i="2"/>
  <c r="Y442" i="2"/>
  <c r="Z442" i="2"/>
  <c r="AA442" i="2"/>
  <c r="AB442" i="2"/>
  <c r="AC442" i="2"/>
  <c r="AD442" i="2"/>
  <c r="AE442" i="2"/>
  <c r="AF442" i="2"/>
  <c r="AG442" i="2"/>
  <c r="A443" i="2"/>
  <c r="B443" i="2"/>
  <c r="C443" i="2"/>
  <c r="D443" i="2"/>
  <c r="E443" i="2"/>
  <c r="F443" i="2"/>
  <c r="G443" i="2"/>
  <c r="H443" i="2"/>
  <c r="I443" i="2"/>
  <c r="J443" i="2"/>
  <c r="K443" i="2"/>
  <c r="W443" i="2" s="1"/>
  <c r="L443" i="2"/>
  <c r="M443" i="2"/>
  <c r="N443" i="2"/>
  <c r="O443" i="2"/>
  <c r="P443" i="2"/>
  <c r="Q443" i="2"/>
  <c r="R443" i="2"/>
  <c r="S443" i="2"/>
  <c r="T443" i="2"/>
  <c r="V443" i="2"/>
  <c r="X443" i="2"/>
  <c r="Y443" i="2"/>
  <c r="Z443" i="2"/>
  <c r="AA443" i="2"/>
  <c r="AB443" i="2"/>
  <c r="AC443" i="2"/>
  <c r="AD443" i="2"/>
  <c r="AE443" i="2"/>
  <c r="AF443" i="2"/>
  <c r="AG443" i="2"/>
  <c r="A444" i="2"/>
  <c r="B444" i="2"/>
  <c r="C444" i="2"/>
  <c r="D444" i="2"/>
  <c r="E444" i="2"/>
  <c r="F444" i="2"/>
  <c r="G444" i="2"/>
  <c r="H444" i="2"/>
  <c r="I444" i="2"/>
  <c r="J444" i="2"/>
  <c r="K444" i="2"/>
  <c r="V444" i="2" s="1"/>
  <c r="L444" i="2"/>
  <c r="M444" i="2"/>
  <c r="N444" i="2"/>
  <c r="O444" i="2"/>
  <c r="P444" i="2"/>
  <c r="Q444" i="2"/>
  <c r="S444" i="2"/>
  <c r="U444" i="2"/>
  <c r="W444" i="2"/>
  <c r="X444" i="2"/>
  <c r="Y444" i="2"/>
  <c r="Z444" i="2"/>
  <c r="AA444" i="2"/>
  <c r="AB444" i="2"/>
  <c r="AC444" i="2"/>
  <c r="AD444" i="2"/>
  <c r="AE444" i="2"/>
  <c r="AF444" i="2"/>
  <c r="AG444" i="2"/>
  <c r="A445" i="2"/>
  <c r="B445" i="2"/>
  <c r="C445" i="2"/>
  <c r="D445" i="2"/>
  <c r="E445" i="2"/>
  <c r="F445" i="2"/>
  <c r="G445" i="2"/>
  <c r="H445" i="2"/>
  <c r="I445" i="2"/>
  <c r="J445" i="2"/>
  <c r="K445" i="2"/>
  <c r="U445" i="2" s="1"/>
  <c r="L445" i="2"/>
  <c r="M445" i="2"/>
  <c r="N445" i="2"/>
  <c r="O445" i="2"/>
  <c r="P445" i="2"/>
  <c r="Q445" i="2"/>
  <c r="R445" i="2"/>
  <c r="S445" i="2"/>
  <c r="T445" i="2"/>
  <c r="V445" i="2"/>
  <c r="W445" i="2"/>
  <c r="X445" i="2"/>
  <c r="Y445" i="2"/>
  <c r="Z445" i="2"/>
  <c r="AA445" i="2"/>
  <c r="AB445" i="2"/>
  <c r="AC445" i="2"/>
  <c r="AD445" i="2"/>
  <c r="AE445" i="2"/>
  <c r="AF445" i="2"/>
  <c r="AG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S446" i="2"/>
  <c r="Y446" i="2"/>
  <c r="Z446" i="2"/>
  <c r="AA446" i="2"/>
  <c r="AB446" i="2"/>
  <c r="AC446" i="2"/>
  <c r="AD446" i="2"/>
  <c r="AE446" i="2"/>
  <c r="AF446" i="2"/>
  <c r="AG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V447" i="2"/>
  <c r="W447" i="2"/>
  <c r="X447" i="2"/>
  <c r="Y447" i="2"/>
  <c r="Z447" i="2"/>
  <c r="AA447" i="2"/>
  <c r="AB447" i="2"/>
  <c r="AC447" i="2"/>
  <c r="AD447" i="2"/>
  <c r="AE447" i="2"/>
  <c r="AF447" i="2"/>
  <c r="AG447" i="2"/>
  <c r="A448" i="2"/>
  <c r="B448" i="2"/>
  <c r="C448" i="2"/>
  <c r="D448" i="2"/>
  <c r="E448" i="2"/>
  <c r="F448" i="2"/>
  <c r="G448" i="2"/>
  <c r="H448" i="2"/>
  <c r="I448" i="2"/>
  <c r="J448" i="2"/>
  <c r="K448" i="2"/>
  <c r="R448" i="2" s="1"/>
  <c r="L448" i="2"/>
  <c r="M448" i="2"/>
  <c r="N448" i="2"/>
  <c r="O448" i="2"/>
  <c r="P448" i="2"/>
  <c r="Q448" i="2"/>
  <c r="S448" i="2"/>
  <c r="T448" i="2"/>
  <c r="U448" i="2"/>
  <c r="Y448" i="2"/>
  <c r="Z448" i="2"/>
  <c r="AA448" i="2"/>
  <c r="AB448" i="2"/>
  <c r="AC448" i="2"/>
  <c r="AD448" i="2"/>
  <c r="AE448" i="2"/>
  <c r="AF448" i="2"/>
  <c r="AG448" i="2"/>
  <c r="A449" i="2"/>
  <c r="B449" i="2"/>
  <c r="C449" i="2"/>
  <c r="D449" i="2"/>
  <c r="E449" i="2"/>
  <c r="F449" i="2"/>
  <c r="G449" i="2"/>
  <c r="H449" i="2"/>
  <c r="I449" i="2"/>
  <c r="J449" i="2"/>
  <c r="K449" i="2"/>
  <c r="Q449" i="2" s="1"/>
  <c r="L449" i="2"/>
  <c r="M449" i="2"/>
  <c r="N449" i="2"/>
  <c r="O449" i="2"/>
  <c r="P449" i="2"/>
  <c r="S449" i="2"/>
  <c r="X449" i="2"/>
  <c r="Y449" i="2"/>
  <c r="Z449" i="2"/>
  <c r="AA449" i="2"/>
  <c r="AB449" i="2"/>
  <c r="AC449" i="2"/>
  <c r="AD449" i="2"/>
  <c r="AE449" i="2"/>
  <c r="AF449" i="2"/>
  <c r="AG449" i="2"/>
  <c r="A450" i="2"/>
  <c r="B450" i="2"/>
  <c r="C450" i="2"/>
  <c r="D450" i="2"/>
  <c r="E450" i="2"/>
  <c r="F450" i="2"/>
  <c r="G450" i="2"/>
  <c r="H450" i="2"/>
  <c r="I450" i="2"/>
  <c r="J450" i="2"/>
  <c r="K450" i="2"/>
  <c r="X450" i="2" s="1"/>
  <c r="L450" i="2"/>
  <c r="M450" i="2"/>
  <c r="N450" i="2"/>
  <c r="O450" i="2"/>
  <c r="P450" i="2"/>
  <c r="R450" i="2"/>
  <c r="S450" i="2"/>
  <c r="W450" i="2"/>
  <c r="Y450" i="2"/>
  <c r="Z450" i="2"/>
  <c r="AA450" i="2"/>
  <c r="AB450" i="2"/>
  <c r="AC450" i="2"/>
  <c r="AD450" i="2"/>
  <c r="AE450" i="2"/>
  <c r="AF450" i="2"/>
  <c r="AG450" i="2"/>
  <c r="A451" i="2"/>
  <c r="B451" i="2"/>
  <c r="C451" i="2"/>
  <c r="D451" i="2"/>
  <c r="E451" i="2"/>
  <c r="F451" i="2"/>
  <c r="G451" i="2"/>
  <c r="H451" i="2"/>
  <c r="I451" i="2"/>
  <c r="J451" i="2"/>
  <c r="K451" i="2"/>
  <c r="W451" i="2" s="1"/>
  <c r="L451" i="2"/>
  <c r="M451" i="2"/>
  <c r="N451" i="2"/>
  <c r="O451" i="2"/>
  <c r="P451" i="2"/>
  <c r="Q451" i="2"/>
  <c r="R451" i="2"/>
  <c r="S451" i="2"/>
  <c r="T451" i="2"/>
  <c r="V451" i="2"/>
  <c r="X451" i="2"/>
  <c r="Y451" i="2"/>
  <c r="Z451" i="2"/>
  <c r="AA451" i="2"/>
  <c r="AB451" i="2"/>
  <c r="AC451" i="2"/>
  <c r="AD451" i="2"/>
  <c r="AE451" i="2"/>
  <c r="AF451" i="2"/>
  <c r="AG451" i="2"/>
  <c r="A452" i="2"/>
  <c r="B452" i="2"/>
  <c r="C452" i="2"/>
  <c r="D452" i="2"/>
  <c r="E452" i="2"/>
  <c r="F452" i="2"/>
  <c r="G452" i="2"/>
  <c r="H452" i="2"/>
  <c r="I452" i="2"/>
  <c r="J452" i="2"/>
  <c r="K452" i="2"/>
  <c r="V452" i="2" s="1"/>
  <c r="L452" i="2"/>
  <c r="M452" i="2"/>
  <c r="N452" i="2"/>
  <c r="O452" i="2"/>
  <c r="P452" i="2"/>
  <c r="Q452" i="2"/>
  <c r="S452" i="2"/>
  <c r="U452" i="2"/>
  <c r="W452" i="2"/>
  <c r="X452" i="2"/>
  <c r="Y452" i="2"/>
  <c r="Z452" i="2"/>
  <c r="AA452" i="2"/>
  <c r="AB452" i="2"/>
  <c r="AC452" i="2"/>
  <c r="AD452" i="2"/>
  <c r="AE452" i="2"/>
  <c r="AF452" i="2"/>
  <c r="AG452" i="2"/>
  <c r="A453" i="2"/>
  <c r="B453" i="2"/>
  <c r="C453" i="2"/>
  <c r="D453" i="2"/>
  <c r="E453" i="2"/>
  <c r="F453" i="2"/>
  <c r="G453" i="2"/>
  <c r="H453" i="2"/>
  <c r="I453" i="2"/>
  <c r="J453" i="2"/>
  <c r="K453" i="2"/>
  <c r="U453" i="2" s="1"/>
  <c r="L453" i="2"/>
  <c r="M453" i="2"/>
  <c r="N453" i="2"/>
  <c r="O453" i="2"/>
  <c r="P453" i="2"/>
  <c r="Q453" i="2"/>
  <c r="R453" i="2"/>
  <c r="S453" i="2"/>
  <c r="T453" i="2"/>
  <c r="V453" i="2"/>
  <c r="W453" i="2"/>
  <c r="X453" i="2"/>
  <c r="Y453" i="2"/>
  <c r="Z453" i="2"/>
  <c r="AA453" i="2"/>
  <c r="AB453" i="2"/>
  <c r="AC453" i="2"/>
  <c r="AD453" i="2"/>
  <c r="AE453" i="2"/>
  <c r="AF453" i="2"/>
  <c r="AG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O454" i="2"/>
  <c r="P454" i="2"/>
  <c r="S454" i="2"/>
  <c r="Y454" i="2"/>
  <c r="Z454" i="2"/>
  <c r="AA454" i="2"/>
  <c r="AB454" i="2"/>
  <c r="AC454" i="2"/>
  <c r="AD454" i="2"/>
  <c r="AE454" i="2"/>
  <c r="AF454" i="2"/>
  <c r="AG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V455" i="2"/>
  <c r="W455" i="2"/>
  <c r="X455" i="2"/>
  <c r="Y455" i="2"/>
  <c r="Z455" i="2"/>
  <c r="AA455" i="2"/>
  <c r="AB455" i="2"/>
  <c r="AC455" i="2"/>
  <c r="AD455" i="2"/>
  <c r="AE455" i="2"/>
  <c r="AF455" i="2"/>
  <c r="AG455" i="2"/>
  <c r="A456" i="2"/>
  <c r="B456" i="2"/>
  <c r="C456" i="2"/>
  <c r="D456" i="2"/>
  <c r="E456" i="2"/>
  <c r="F456" i="2"/>
  <c r="G456" i="2"/>
  <c r="H456" i="2"/>
  <c r="I456" i="2"/>
  <c r="J456" i="2"/>
  <c r="K456" i="2"/>
  <c r="R456" i="2" s="1"/>
  <c r="L456" i="2"/>
  <c r="M456" i="2"/>
  <c r="N456" i="2"/>
  <c r="O456" i="2"/>
  <c r="P456" i="2"/>
  <c r="Q456" i="2"/>
  <c r="S456" i="2"/>
  <c r="T456" i="2"/>
  <c r="U456" i="2"/>
  <c r="Y456" i="2"/>
  <c r="Z456" i="2"/>
  <c r="AA456" i="2"/>
  <c r="AB456" i="2"/>
  <c r="AC456" i="2"/>
  <c r="AD456" i="2"/>
  <c r="AE456" i="2"/>
  <c r="AF456" i="2"/>
  <c r="AG456" i="2"/>
  <c r="A457" i="2"/>
  <c r="B457" i="2"/>
  <c r="C457" i="2"/>
  <c r="D457" i="2"/>
  <c r="E457" i="2"/>
  <c r="F457" i="2"/>
  <c r="G457" i="2"/>
  <c r="H457" i="2"/>
  <c r="I457" i="2"/>
  <c r="J457" i="2"/>
  <c r="K457" i="2"/>
  <c r="Q457" i="2" s="1"/>
  <c r="L457" i="2"/>
  <c r="M457" i="2"/>
  <c r="N457" i="2"/>
  <c r="O457" i="2"/>
  <c r="P457" i="2"/>
  <c r="S457" i="2"/>
  <c r="X457" i="2"/>
  <c r="Y457" i="2"/>
  <c r="Z457" i="2"/>
  <c r="AA457" i="2"/>
  <c r="AB457" i="2"/>
  <c r="AC457" i="2"/>
  <c r="AD457" i="2"/>
  <c r="AE457" i="2"/>
  <c r="AF457" i="2"/>
  <c r="AG457" i="2"/>
  <c r="A458" i="2"/>
  <c r="B458" i="2"/>
  <c r="C458" i="2"/>
  <c r="D458" i="2"/>
  <c r="E458" i="2"/>
  <c r="F458" i="2"/>
  <c r="G458" i="2"/>
  <c r="H458" i="2"/>
  <c r="I458" i="2"/>
  <c r="J458" i="2"/>
  <c r="K458" i="2"/>
  <c r="X458" i="2" s="1"/>
  <c r="L458" i="2"/>
  <c r="M458" i="2"/>
  <c r="N458" i="2"/>
  <c r="O458" i="2"/>
  <c r="P458" i="2"/>
  <c r="R458" i="2"/>
  <c r="S458" i="2"/>
  <c r="W458" i="2"/>
  <c r="Y458" i="2"/>
  <c r="Z458" i="2"/>
  <c r="AA458" i="2"/>
  <c r="AB458" i="2"/>
  <c r="AC458" i="2"/>
  <c r="AD458" i="2"/>
  <c r="AE458" i="2"/>
  <c r="AF458" i="2"/>
  <c r="AG458" i="2"/>
  <c r="A459" i="2"/>
  <c r="B459" i="2"/>
  <c r="C459" i="2"/>
  <c r="D459" i="2"/>
  <c r="E459" i="2"/>
  <c r="F459" i="2"/>
  <c r="G459" i="2"/>
  <c r="H459" i="2"/>
  <c r="I459" i="2"/>
  <c r="J459" i="2"/>
  <c r="K459" i="2"/>
  <c r="W459" i="2" s="1"/>
  <c r="L459" i="2"/>
  <c r="M459" i="2"/>
  <c r="N459" i="2"/>
  <c r="O459" i="2"/>
  <c r="P459" i="2"/>
  <c r="Q459" i="2"/>
  <c r="R459" i="2"/>
  <c r="S459" i="2"/>
  <c r="T459" i="2"/>
  <c r="V459" i="2"/>
  <c r="X459" i="2"/>
  <c r="Y459" i="2"/>
  <c r="Z459" i="2"/>
  <c r="AA459" i="2"/>
  <c r="AB459" i="2"/>
  <c r="AC459" i="2"/>
  <c r="AD459" i="2"/>
  <c r="AE459" i="2"/>
  <c r="AF459" i="2"/>
  <c r="AG459" i="2"/>
  <c r="A460" i="2"/>
  <c r="B460" i="2"/>
  <c r="C460" i="2"/>
  <c r="D460" i="2"/>
  <c r="E460" i="2"/>
  <c r="F460" i="2"/>
  <c r="G460" i="2"/>
  <c r="H460" i="2"/>
  <c r="I460" i="2"/>
  <c r="J460" i="2"/>
  <c r="K460" i="2"/>
  <c r="V460" i="2" s="1"/>
  <c r="L460" i="2"/>
  <c r="M460" i="2"/>
  <c r="N460" i="2"/>
  <c r="O460" i="2"/>
  <c r="P460" i="2"/>
  <c r="Q460" i="2"/>
  <c r="S460" i="2"/>
  <c r="U460" i="2"/>
  <c r="W460" i="2"/>
  <c r="X460" i="2"/>
  <c r="Y460" i="2"/>
  <c r="Z460" i="2"/>
  <c r="AA460" i="2"/>
  <c r="AB460" i="2"/>
  <c r="AC460" i="2"/>
  <c r="AD460" i="2"/>
  <c r="AE460" i="2"/>
  <c r="AF460" i="2"/>
  <c r="AG460" i="2"/>
  <c r="A461" i="2"/>
  <c r="B461" i="2"/>
  <c r="C461" i="2"/>
  <c r="D461" i="2"/>
  <c r="E461" i="2"/>
  <c r="F461" i="2"/>
  <c r="G461" i="2"/>
  <c r="H461" i="2"/>
  <c r="I461" i="2"/>
  <c r="J461" i="2"/>
  <c r="K461" i="2"/>
  <c r="U461" i="2" s="1"/>
  <c r="L461" i="2"/>
  <c r="M461" i="2"/>
  <c r="N461" i="2"/>
  <c r="O461" i="2"/>
  <c r="P461" i="2"/>
  <c r="Q461" i="2"/>
  <c r="R461" i="2"/>
  <c r="S461" i="2"/>
  <c r="T461" i="2"/>
  <c r="V461" i="2"/>
  <c r="W461" i="2"/>
  <c r="X461" i="2"/>
  <c r="Y461" i="2"/>
  <c r="Z461" i="2"/>
  <c r="AA461" i="2"/>
  <c r="AB461" i="2"/>
  <c r="AC461" i="2"/>
  <c r="AD461" i="2"/>
  <c r="AE461" i="2"/>
  <c r="AF461" i="2"/>
  <c r="AG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O462" i="2"/>
  <c r="P462" i="2"/>
  <c r="S462" i="2"/>
  <c r="Y462" i="2"/>
  <c r="Z462" i="2"/>
  <c r="AA462" i="2"/>
  <c r="AB462" i="2"/>
  <c r="AC462" i="2"/>
  <c r="AD462" i="2"/>
  <c r="AE462" i="2"/>
  <c r="AF462" i="2"/>
  <c r="AG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V463" i="2"/>
  <c r="W463" i="2"/>
  <c r="X463" i="2"/>
  <c r="Y463" i="2"/>
  <c r="Z463" i="2"/>
  <c r="AA463" i="2"/>
  <c r="AB463" i="2"/>
  <c r="AC463" i="2"/>
  <c r="AD463" i="2"/>
  <c r="AE463" i="2"/>
  <c r="AF463" i="2"/>
  <c r="AG463" i="2"/>
  <c r="A464" i="2"/>
  <c r="B464" i="2"/>
  <c r="C464" i="2"/>
  <c r="D464" i="2"/>
  <c r="E464" i="2"/>
  <c r="F464" i="2"/>
  <c r="G464" i="2"/>
  <c r="H464" i="2"/>
  <c r="I464" i="2"/>
  <c r="J464" i="2"/>
  <c r="K464" i="2"/>
  <c r="R464" i="2" s="1"/>
  <c r="L464" i="2"/>
  <c r="M464" i="2"/>
  <c r="N464" i="2"/>
  <c r="O464" i="2"/>
  <c r="P464" i="2"/>
  <c r="Q464" i="2"/>
  <c r="S464" i="2"/>
  <c r="T464" i="2"/>
  <c r="U464" i="2"/>
  <c r="Y464" i="2"/>
  <c r="Z464" i="2"/>
  <c r="AA464" i="2"/>
  <c r="AB464" i="2"/>
  <c r="AC464" i="2"/>
  <c r="AD464" i="2"/>
  <c r="AE464" i="2"/>
  <c r="AF464" i="2"/>
  <c r="AG464" i="2"/>
  <c r="A465" i="2"/>
  <c r="B465" i="2"/>
  <c r="C465" i="2"/>
  <c r="D465" i="2"/>
  <c r="E465" i="2"/>
  <c r="F465" i="2"/>
  <c r="G465" i="2"/>
  <c r="H465" i="2"/>
  <c r="I465" i="2"/>
  <c r="J465" i="2"/>
  <c r="K465" i="2"/>
  <c r="Q465" i="2" s="1"/>
  <c r="L465" i="2"/>
  <c r="M465" i="2"/>
  <c r="N465" i="2"/>
  <c r="O465" i="2"/>
  <c r="P465" i="2"/>
  <c r="S465" i="2"/>
  <c r="X465" i="2"/>
  <c r="Y465" i="2"/>
  <c r="Z465" i="2"/>
  <c r="AA465" i="2"/>
  <c r="AB465" i="2"/>
  <c r="AC465" i="2"/>
  <c r="AD465" i="2"/>
  <c r="AE465" i="2"/>
  <c r="AF465" i="2"/>
  <c r="AG465" i="2"/>
  <c r="A466" i="2"/>
  <c r="B466" i="2"/>
  <c r="C466" i="2"/>
  <c r="D466" i="2"/>
  <c r="E466" i="2"/>
  <c r="F466" i="2"/>
  <c r="G466" i="2"/>
  <c r="H466" i="2"/>
  <c r="I466" i="2"/>
  <c r="J466" i="2"/>
  <c r="K466" i="2"/>
  <c r="X466" i="2" s="1"/>
  <c r="L466" i="2"/>
  <c r="M466" i="2"/>
  <c r="N466" i="2"/>
  <c r="O466" i="2"/>
  <c r="P466" i="2"/>
  <c r="R466" i="2"/>
  <c r="S466" i="2"/>
  <c r="W466" i="2"/>
  <c r="Y466" i="2"/>
  <c r="Z466" i="2"/>
  <c r="AA466" i="2"/>
  <c r="AB466" i="2"/>
  <c r="AC466" i="2"/>
  <c r="AD466" i="2"/>
  <c r="AE466" i="2"/>
  <c r="AF466" i="2"/>
  <c r="AG466" i="2"/>
  <c r="A467" i="2"/>
  <c r="B467" i="2"/>
  <c r="C467" i="2"/>
  <c r="D467" i="2"/>
  <c r="E467" i="2"/>
  <c r="F467" i="2"/>
  <c r="G467" i="2"/>
  <c r="H467" i="2"/>
  <c r="I467" i="2"/>
  <c r="J467" i="2"/>
  <c r="K467" i="2"/>
  <c r="W467" i="2" s="1"/>
  <c r="L467" i="2"/>
  <c r="M467" i="2"/>
  <c r="N467" i="2"/>
  <c r="O467" i="2"/>
  <c r="P467" i="2"/>
  <c r="Q467" i="2"/>
  <c r="R467" i="2"/>
  <c r="S467" i="2"/>
  <c r="T467" i="2"/>
  <c r="V467" i="2"/>
  <c r="X467" i="2"/>
  <c r="Y467" i="2"/>
  <c r="Z467" i="2"/>
  <c r="AA467" i="2"/>
  <c r="AB467" i="2"/>
  <c r="AC467" i="2"/>
  <c r="AD467" i="2"/>
  <c r="AE467" i="2"/>
  <c r="AF467" i="2"/>
  <c r="AG467" i="2"/>
  <c r="A468" i="2"/>
  <c r="B468" i="2"/>
  <c r="C468" i="2"/>
  <c r="D468" i="2"/>
  <c r="E468" i="2"/>
  <c r="F468" i="2"/>
  <c r="G468" i="2"/>
  <c r="H468" i="2"/>
  <c r="I468" i="2"/>
  <c r="J468" i="2"/>
  <c r="K468" i="2"/>
  <c r="V468" i="2" s="1"/>
  <c r="L468" i="2"/>
  <c r="M468" i="2"/>
  <c r="N468" i="2"/>
  <c r="O468" i="2"/>
  <c r="P468" i="2"/>
  <c r="Q468" i="2"/>
  <c r="S468" i="2"/>
  <c r="U468" i="2"/>
  <c r="W468" i="2"/>
  <c r="X468" i="2"/>
  <c r="Y468" i="2"/>
  <c r="Z468" i="2"/>
  <c r="AA468" i="2"/>
  <c r="AB468" i="2"/>
  <c r="AC468" i="2"/>
  <c r="AD468" i="2"/>
  <c r="AE468" i="2"/>
  <c r="AF468" i="2"/>
  <c r="AG468" i="2"/>
  <c r="A469" i="2"/>
  <c r="B469" i="2"/>
  <c r="C469" i="2"/>
  <c r="D469" i="2"/>
  <c r="E469" i="2"/>
  <c r="F469" i="2"/>
  <c r="G469" i="2"/>
  <c r="H469" i="2"/>
  <c r="I469" i="2"/>
  <c r="J469" i="2"/>
  <c r="K469" i="2"/>
  <c r="U469" i="2" s="1"/>
  <c r="L469" i="2"/>
  <c r="M469" i="2"/>
  <c r="N469" i="2"/>
  <c r="O469" i="2"/>
  <c r="P469" i="2"/>
  <c r="Q469" i="2"/>
  <c r="R469" i="2"/>
  <c r="S469" i="2"/>
  <c r="T469" i="2"/>
  <c r="V469" i="2"/>
  <c r="W469" i="2"/>
  <c r="X469" i="2"/>
  <c r="Y469" i="2"/>
  <c r="Z469" i="2"/>
  <c r="AA469" i="2"/>
  <c r="AB469" i="2"/>
  <c r="AC469" i="2"/>
  <c r="AD469" i="2"/>
  <c r="AE469" i="2"/>
  <c r="AF469" i="2"/>
  <c r="AG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O470" i="2"/>
  <c r="P470" i="2"/>
  <c r="S470" i="2"/>
  <c r="Y470" i="2"/>
  <c r="Z470" i="2"/>
  <c r="AA470" i="2"/>
  <c r="AB470" i="2"/>
  <c r="AC470" i="2"/>
  <c r="AD470" i="2"/>
  <c r="AE470" i="2"/>
  <c r="AF470" i="2"/>
  <c r="AG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V471" i="2"/>
  <c r="W471" i="2"/>
  <c r="X471" i="2"/>
  <c r="Y471" i="2"/>
  <c r="Z471" i="2"/>
  <c r="AA471" i="2"/>
  <c r="AB471" i="2"/>
  <c r="AC471" i="2"/>
  <c r="AD471" i="2"/>
  <c r="AE471" i="2"/>
  <c r="AF471" i="2"/>
  <c r="AG471" i="2"/>
  <c r="A472" i="2"/>
  <c r="B472" i="2"/>
  <c r="C472" i="2"/>
  <c r="D472" i="2"/>
  <c r="E472" i="2"/>
  <c r="F472" i="2"/>
  <c r="G472" i="2"/>
  <c r="H472" i="2"/>
  <c r="I472" i="2"/>
  <c r="J472" i="2"/>
  <c r="K472" i="2"/>
  <c r="R472" i="2" s="1"/>
  <c r="L472" i="2"/>
  <c r="M472" i="2"/>
  <c r="N472" i="2"/>
  <c r="O472" i="2"/>
  <c r="P472" i="2"/>
  <c r="Q472" i="2"/>
  <c r="S472" i="2"/>
  <c r="T472" i="2"/>
  <c r="U472" i="2"/>
  <c r="Y472" i="2"/>
  <c r="Z472" i="2"/>
  <c r="AA472" i="2"/>
  <c r="AB472" i="2"/>
  <c r="AC472" i="2"/>
  <c r="AD472" i="2"/>
  <c r="AE472" i="2"/>
  <c r="AF472" i="2"/>
  <c r="AG472" i="2"/>
  <c r="A473" i="2"/>
  <c r="B473" i="2"/>
  <c r="C473" i="2"/>
  <c r="D473" i="2"/>
  <c r="E473" i="2"/>
  <c r="F473" i="2"/>
  <c r="G473" i="2"/>
  <c r="H473" i="2"/>
  <c r="I473" i="2"/>
  <c r="J473" i="2"/>
  <c r="K473" i="2"/>
  <c r="Q473" i="2" s="1"/>
  <c r="L473" i="2"/>
  <c r="M473" i="2"/>
  <c r="N473" i="2"/>
  <c r="O473" i="2"/>
  <c r="P473" i="2"/>
  <c r="S473" i="2"/>
  <c r="X473" i="2"/>
  <c r="Y473" i="2"/>
  <c r="Z473" i="2"/>
  <c r="AA473" i="2"/>
  <c r="AB473" i="2"/>
  <c r="AC473" i="2"/>
  <c r="AD473" i="2"/>
  <c r="AE473" i="2"/>
  <c r="AF473" i="2"/>
  <c r="AG473" i="2"/>
  <c r="A474" i="2"/>
  <c r="B474" i="2"/>
  <c r="C474" i="2"/>
  <c r="D474" i="2"/>
  <c r="E474" i="2"/>
  <c r="F474" i="2"/>
  <c r="G474" i="2"/>
  <c r="H474" i="2"/>
  <c r="I474" i="2"/>
  <c r="J474" i="2"/>
  <c r="K474" i="2"/>
  <c r="X474" i="2" s="1"/>
  <c r="L474" i="2"/>
  <c r="M474" i="2"/>
  <c r="N474" i="2"/>
  <c r="O474" i="2"/>
  <c r="P474" i="2"/>
  <c r="R474" i="2"/>
  <c r="S474" i="2"/>
  <c r="W474" i="2"/>
  <c r="Y474" i="2"/>
  <c r="Z474" i="2"/>
  <c r="AA474" i="2"/>
  <c r="AB474" i="2"/>
  <c r="AC474" i="2"/>
  <c r="AD474" i="2"/>
  <c r="AE474" i="2"/>
  <c r="AF474" i="2"/>
  <c r="AG474" i="2"/>
  <c r="A475" i="2"/>
  <c r="B475" i="2"/>
  <c r="C475" i="2"/>
  <c r="D475" i="2"/>
  <c r="E475" i="2"/>
  <c r="F475" i="2"/>
  <c r="G475" i="2"/>
  <c r="H475" i="2"/>
  <c r="I475" i="2"/>
  <c r="J475" i="2"/>
  <c r="K475" i="2"/>
  <c r="W475" i="2" s="1"/>
  <c r="L475" i="2"/>
  <c r="M475" i="2"/>
  <c r="N475" i="2"/>
  <c r="O475" i="2"/>
  <c r="P475" i="2"/>
  <c r="Q475" i="2"/>
  <c r="R475" i="2"/>
  <c r="S475" i="2"/>
  <c r="T475" i="2"/>
  <c r="V475" i="2"/>
  <c r="X475" i="2"/>
  <c r="Y475" i="2"/>
  <c r="Z475" i="2"/>
  <c r="AA475" i="2"/>
  <c r="AB475" i="2"/>
  <c r="AC475" i="2"/>
  <c r="AD475" i="2"/>
  <c r="AE475" i="2"/>
  <c r="AF475" i="2"/>
  <c r="AG475" i="2"/>
  <c r="A476" i="2"/>
  <c r="B476" i="2"/>
  <c r="C476" i="2"/>
  <c r="D476" i="2"/>
  <c r="E476" i="2"/>
  <c r="F476" i="2"/>
  <c r="G476" i="2"/>
  <c r="H476" i="2"/>
  <c r="I476" i="2"/>
  <c r="J476" i="2"/>
  <c r="K476" i="2"/>
  <c r="V476" i="2" s="1"/>
  <c r="L476" i="2"/>
  <c r="M476" i="2"/>
  <c r="N476" i="2"/>
  <c r="O476" i="2"/>
  <c r="P476" i="2"/>
  <c r="Q476" i="2"/>
  <c r="S476" i="2"/>
  <c r="U476" i="2"/>
  <c r="W476" i="2"/>
  <c r="X476" i="2"/>
  <c r="Y476" i="2"/>
  <c r="Z476" i="2"/>
  <c r="AA476" i="2"/>
  <c r="AB476" i="2"/>
  <c r="AC476" i="2"/>
  <c r="AD476" i="2"/>
  <c r="AE476" i="2"/>
  <c r="AF476" i="2"/>
  <c r="AG476" i="2"/>
  <c r="A477" i="2"/>
  <c r="B477" i="2"/>
  <c r="C477" i="2"/>
  <c r="D477" i="2"/>
  <c r="E477" i="2"/>
  <c r="F477" i="2"/>
  <c r="G477" i="2"/>
  <c r="H477" i="2"/>
  <c r="I477" i="2"/>
  <c r="J477" i="2"/>
  <c r="K477" i="2"/>
  <c r="U477" i="2" s="1"/>
  <c r="L477" i="2"/>
  <c r="M477" i="2"/>
  <c r="N477" i="2"/>
  <c r="O477" i="2"/>
  <c r="P477" i="2"/>
  <c r="Q477" i="2"/>
  <c r="R477" i="2"/>
  <c r="S477" i="2"/>
  <c r="T477" i="2"/>
  <c r="V477" i="2"/>
  <c r="W477" i="2"/>
  <c r="X477" i="2"/>
  <c r="Y477" i="2"/>
  <c r="Z477" i="2"/>
  <c r="AA477" i="2"/>
  <c r="AB477" i="2"/>
  <c r="AC477" i="2"/>
  <c r="AD477" i="2"/>
  <c r="AE477" i="2"/>
  <c r="AF477" i="2"/>
  <c r="AG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O478" i="2"/>
  <c r="P478" i="2"/>
  <c r="S478" i="2"/>
  <c r="Y478" i="2"/>
  <c r="Z478" i="2"/>
  <c r="AA478" i="2"/>
  <c r="AB478" i="2"/>
  <c r="AC478" i="2"/>
  <c r="AD478" i="2"/>
  <c r="AE478" i="2"/>
  <c r="AF478" i="2"/>
  <c r="AG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V479" i="2"/>
  <c r="W479" i="2"/>
  <c r="X479" i="2"/>
  <c r="Y479" i="2"/>
  <c r="Z479" i="2"/>
  <c r="AA479" i="2"/>
  <c r="AB479" i="2"/>
  <c r="AC479" i="2"/>
  <c r="AD479" i="2"/>
  <c r="AE479" i="2"/>
  <c r="AF479" i="2"/>
  <c r="AG479" i="2"/>
  <c r="A480" i="2"/>
  <c r="B480" i="2"/>
  <c r="C480" i="2"/>
  <c r="D480" i="2"/>
  <c r="E480" i="2"/>
  <c r="F480" i="2"/>
  <c r="G480" i="2"/>
  <c r="H480" i="2"/>
  <c r="I480" i="2"/>
  <c r="J480" i="2"/>
  <c r="K480" i="2"/>
  <c r="R480" i="2" s="1"/>
  <c r="L480" i="2"/>
  <c r="M480" i="2"/>
  <c r="N480" i="2"/>
  <c r="O480" i="2"/>
  <c r="P480" i="2"/>
  <c r="Q480" i="2"/>
  <c r="S480" i="2"/>
  <c r="T480" i="2"/>
  <c r="U480" i="2"/>
  <c r="Y480" i="2"/>
  <c r="Z480" i="2"/>
  <c r="AA480" i="2"/>
  <c r="AB480" i="2"/>
  <c r="AC480" i="2"/>
  <c r="AD480" i="2"/>
  <c r="AE480" i="2"/>
  <c r="AF480" i="2"/>
  <c r="AG480" i="2"/>
  <c r="A481" i="2"/>
  <c r="B481" i="2"/>
  <c r="C481" i="2"/>
  <c r="D481" i="2"/>
  <c r="E481" i="2"/>
  <c r="F481" i="2"/>
  <c r="G481" i="2"/>
  <c r="H481" i="2"/>
  <c r="I481" i="2"/>
  <c r="J481" i="2"/>
  <c r="K481" i="2"/>
  <c r="Q481" i="2" s="1"/>
  <c r="L481" i="2"/>
  <c r="M481" i="2"/>
  <c r="N481" i="2"/>
  <c r="O481" i="2"/>
  <c r="P481" i="2"/>
  <c r="S481" i="2"/>
  <c r="X481" i="2"/>
  <c r="Y481" i="2"/>
  <c r="Z481" i="2"/>
  <c r="AA481" i="2"/>
  <c r="AB481" i="2"/>
  <c r="AC481" i="2"/>
  <c r="AD481" i="2"/>
  <c r="AE481" i="2"/>
  <c r="AF481" i="2"/>
  <c r="AG481" i="2"/>
  <c r="A482" i="2"/>
  <c r="B482" i="2"/>
  <c r="C482" i="2"/>
  <c r="D482" i="2"/>
  <c r="E482" i="2"/>
  <c r="F482" i="2"/>
  <c r="G482" i="2"/>
  <c r="H482" i="2"/>
  <c r="I482" i="2"/>
  <c r="J482" i="2"/>
  <c r="K482" i="2"/>
  <c r="X482" i="2" s="1"/>
  <c r="L482" i="2"/>
  <c r="M482" i="2"/>
  <c r="N482" i="2"/>
  <c r="O482" i="2"/>
  <c r="P482" i="2"/>
  <c r="R482" i="2"/>
  <c r="S482" i="2"/>
  <c r="W482" i="2"/>
  <c r="Y482" i="2"/>
  <c r="Z482" i="2"/>
  <c r="AA482" i="2"/>
  <c r="AB482" i="2"/>
  <c r="AC482" i="2"/>
  <c r="AD482" i="2"/>
  <c r="AE482" i="2"/>
  <c r="AF482" i="2"/>
  <c r="AG482" i="2"/>
  <c r="A483" i="2"/>
  <c r="B483" i="2"/>
  <c r="C483" i="2"/>
  <c r="D483" i="2"/>
  <c r="E483" i="2"/>
  <c r="F483" i="2"/>
  <c r="G483" i="2"/>
  <c r="H483" i="2"/>
  <c r="I483" i="2"/>
  <c r="J483" i="2"/>
  <c r="K483" i="2"/>
  <c r="W483" i="2" s="1"/>
  <c r="L483" i="2"/>
  <c r="M483" i="2"/>
  <c r="N483" i="2"/>
  <c r="O483" i="2"/>
  <c r="P483" i="2"/>
  <c r="Q483" i="2"/>
  <c r="R483" i="2"/>
  <c r="S483" i="2"/>
  <c r="T483" i="2"/>
  <c r="V483" i="2"/>
  <c r="X483" i="2"/>
  <c r="Y483" i="2"/>
  <c r="Z483" i="2"/>
  <c r="AA483" i="2"/>
  <c r="AB483" i="2"/>
  <c r="AC483" i="2"/>
  <c r="AD483" i="2"/>
  <c r="AE483" i="2"/>
  <c r="AF483" i="2"/>
  <c r="AG483" i="2"/>
  <c r="A484" i="2"/>
  <c r="B484" i="2"/>
  <c r="C484" i="2"/>
  <c r="D484" i="2"/>
  <c r="E484" i="2"/>
  <c r="F484" i="2"/>
  <c r="G484" i="2"/>
  <c r="H484" i="2"/>
  <c r="I484" i="2"/>
  <c r="J484" i="2"/>
  <c r="K484" i="2"/>
  <c r="V484" i="2" s="1"/>
  <c r="L484" i="2"/>
  <c r="M484" i="2"/>
  <c r="N484" i="2"/>
  <c r="O484" i="2"/>
  <c r="P484" i="2"/>
  <c r="Q484" i="2"/>
  <c r="S484" i="2"/>
  <c r="U484" i="2"/>
  <c r="W484" i="2"/>
  <c r="X484" i="2"/>
  <c r="Y484" i="2"/>
  <c r="Z484" i="2"/>
  <c r="AA484" i="2"/>
  <c r="AB484" i="2"/>
  <c r="AC484" i="2"/>
  <c r="AD484" i="2"/>
  <c r="AE484" i="2"/>
  <c r="AF484" i="2"/>
  <c r="AG484" i="2"/>
  <c r="A485" i="2"/>
  <c r="B485" i="2"/>
  <c r="C485" i="2"/>
  <c r="D485" i="2"/>
  <c r="E485" i="2"/>
  <c r="F485" i="2"/>
  <c r="G485" i="2"/>
  <c r="H485" i="2"/>
  <c r="I485" i="2"/>
  <c r="J485" i="2"/>
  <c r="K485" i="2"/>
  <c r="U485" i="2" s="1"/>
  <c r="L485" i="2"/>
  <c r="M485" i="2"/>
  <c r="N485" i="2"/>
  <c r="O485" i="2"/>
  <c r="P485" i="2"/>
  <c r="Q485" i="2"/>
  <c r="R485" i="2"/>
  <c r="S485" i="2"/>
  <c r="T485" i="2"/>
  <c r="V485" i="2"/>
  <c r="W485" i="2"/>
  <c r="X485" i="2"/>
  <c r="Y485" i="2"/>
  <c r="Z485" i="2"/>
  <c r="AA485" i="2"/>
  <c r="AB485" i="2"/>
  <c r="AC485" i="2"/>
  <c r="AD485" i="2"/>
  <c r="AE485" i="2"/>
  <c r="AF485" i="2"/>
  <c r="AG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O486" i="2"/>
  <c r="P486" i="2"/>
  <c r="S486" i="2"/>
  <c r="Y486" i="2"/>
  <c r="Z486" i="2"/>
  <c r="AA486" i="2"/>
  <c r="AB486" i="2"/>
  <c r="AC486" i="2"/>
  <c r="AD486" i="2"/>
  <c r="AE486" i="2"/>
  <c r="AF486" i="2"/>
  <c r="AG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V487" i="2"/>
  <c r="W487" i="2"/>
  <c r="X487" i="2"/>
  <c r="Y487" i="2"/>
  <c r="Z487" i="2"/>
  <c r="AA487" i="2"/>
  <c r="AB487" i="2"/>
  <c r="AC487" i="2"/>
  <c r="AD487" i="2"/>
  <c r="AE487" i="2"/>
  <c r="AF487" i="2"/>
  <c r="AG487" i="2"/>
  <c r="A488" i="2"/>
  <c r="B488" i="2"/>
  <c r="C488" i="2"/>
  <c r="D488" i="2"/>
  <c r="E488" i="2"/>
  <c r="F488" i="2"/>
  <c r="G488" i="2"/>
  <c r="H488" i="2"/>
  <c r="I488" i="2"/>
  <c r="J488" i="2"/>
  <c r="K488" i="2"/>
  <c r="R488" i="2" s="1"/>
  <c r="L488" i="2"/>
  <c r="M488" i="2"/>
  <c r="N488" i="2"/>
  <c r="O488" i="2"/>
  <c r="P488" i="2"/>
  <c r="Q488" i="2"/>
  <c r="S488" i="2"/>
  <c r="T488" i="2"/>
  <c r="U488" i="2"/>
  <c r="W488" i="2"/>
  <c r="Y488" i="2"/>
  <c r="Z488" i="2"/>
  <c r="AA488" i="2"/>
  <c r="AB488" i="2"/>
  <c r="AC488" i="2"/>
  <c r="AD488" i="2"/>
  <c r="AE488" i="2"/>
  <c r="AF488" i="2"/>
  <c r="AG488" i="2"/>
  <c r="A489" i="2"/>
  <c r="B489" i="2"/>
  <c r="C489" i="2"/>
  <c r="D489" i="2"/>
  <c r="E489" i="2"/>
  <c r="F489" i="2"/>
  <c r="G489" i="2"/>
  <c r="H489" i="2"/>
  <c r="I489" i="2"/>
  <c r="J489" i="2"/>
  <c r="K489" i="2"/>
  <c r="Q489" i="2" s="1"/>
  <c r="L489" i="2"/>
  <c r="M489" i="2"/>
  <c r="N489" i="2"/>
  <c r="O489" i="2"/>
  <c r="P489" i="2"/>
  <c r="S489" i="2"/>
  <c r="X489" i="2"/>
  <c r="Y489" i="2"/>
  <c r="Z489" i="2"/>
  <c r="AA489" i="2"/>
  <c r="AB489" i="2"/>
  <c r="AC489" i="2"/>
  <c r="AD489" i="2"/>
  <c r="AE489" i="2"/>
  <c r="AF489" i="2"/>
  <c r="AG489" i="2"/>
  <c r="A490" i="2"/>
  <c r="B490" i="2"/>
  <c r="C490" i="2"/>
  <c r="D490" i="2"/>
  <c r="E490" i="2"/>
  <c r="F490" i="2"/>
  <c r="G490" i="2"/>
  <c r="H490" i="2"/>
  <c r="I490" i="2"/>
  <c r="J490" i="2"/>
  <c r="K490" i="2"/>
  <c r="X490" i="2" s="1"/>
  <c r="L490" i="2"/>
  <c r="M490" i="2"/>
  <c r="N490" i="2"/>
  <c r="O490" i="2"/>
  <c r="P490" i="2"/>
  <c r="R490" i="2"/>
  <c r="S490" i="2"/>
  <c r="W490" i="2"/>
  <c r="Y490" i="2"/>
  <c r="Z490" i="2"/>
  <c r="AA490" i="2"/>
  <c r="AB490" i="2"/>
  <c r="AC490" i="2"/>
  <c r="AD490" i="2"/>
  <c r="AE490" i="2"/>
  <c r="AF490" i="2"/>
  <c r="AG490" i="2"/>
  <c r="A491" i="2"/>
  <c r="B491" i="2"/>
  <c r="C491" i="2"/>
  <c r="D491" i="2"/>
  <c r="E491" i="2"/>
  <c r="F491" i="2"/>
  <c r="G491" i="2"/>
  <c r="H491" i="2"/>
  <c r="I491" i="2"/>
  <c r="J491" i="2"/>
  <c r="K491" i="2"/>
  <c r="W491" i="2" s="1"/>
  <c r="L491" i="2"/>
  <c r="M491" i="2"/>
  <c r="N491" i="2"/>
  <c r="O491" i="2"/>
  <c r="P491" i="2"/>
  <c r="Q491" i="2"/>
  <c r="R491" i="2"/>
  <c r="S491" i="2"/>
  <c r="T491" i="2"/>
  <c r="V491" i="2"/>
  <c r="X491" i="2"/>
  <c r="Y491" i="2"/>
  <c r="Z491" i="2"/>
  <c r="AA491" i="2"/>
  <c r="AB491" i="2"/>
  <c r="AC491" i="2"/>
  <c r="AD491" i="2"/>
  <c r="AE491" i="2"/>
  <c r="AF491" i="2"/>
  <c r="AG491" i="2"/>
  <c r="A492" i="2"/>
  <c r="B492" i="2"/>
  <c r="C492" i="2"/>
  <c r="D492" i="2"/>
  <c r="E492" i="2"/>
  <c r="F492" i="2"/>
  <c r="G492" i="2"/>
  <c r="H492" i="2"/>
  <c r="I492" i="2"/>
  <c r="J492" i="2"/>
  <c r="K492" i="2"/>
  <c r="V492" i="2" s="1"/>
  <c r="L492" i="2"/>
  <c r="M492" i="2"/>
  <c r="N492" i="2"/>
  <c r="O492" i="2"/>
  <c r="P492" i="2"/>
  <c r="Q492" i="2"/>
  <c r="S492" i="2"/>
  <c r="U492" i="2"/>
  <c r="W492" i="2"/>
  <c r="X492" i="2"/>
  <c r="Y492" i="2"/>
  <c r="Z492" i="2"/>
  <c r="AA492" i="2"/>
  <c r="AB492" i="2"/>
  <c r="AC492" i="2"/>
  <c r="AD492" i="2"/>
  <c r="AE492" i="2"/>
  <c r="AF492" i="2"/>
  <c r="AG492" i="2"/>
  <c r="A493" i="2"/>
  <c r="B493" i="2"/>
  <c r="C493" i="2"/>
  <c r="D493" i="2"/>
  <c r="E493" i="2"/>
  <c r="F493" i="2"/>
  <c r="G493" i="2"/>
  <c r="H493" i="2"/>
  <c r="I493" i="2"/>
  <c r="J493" i="2"/>
  <c r="K493" i="2"/>
  <c r="U493" i="2" s="1"/>
  <c r="L493" i="2"/>
  <c r="M493" i="2"/>
  <c r="N493" i="2"/>
  <c r="O493" i="2"/>
  <c r="P493" i="2"/>
  <c r="Q493" i="2"/>
  <c r="R493" i="2"/>
  <c r="S493" i="2"/>
  <c r="T493" i="2"/>
  <c r="V493" i="2"/>
  <c r="W493" i="2"/>
  <c r="X493" i="2"/>
  <c r="Y493" i="2"/>
  <c r="Z493" i="2"/>
  <c r="AA493" i="2"/>
  <c r="AB493" i="2"/>
  <c r="AC493" i="2"/>
  <c r="AD493" i="2"/>
  <c r="AE493" i="2"/>
  <c r="AF493" i="2"/>
  <c r="AG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O494" i="2"/>
  <c r="P494" i="2"/>
  <c r="W494" i="2"/>
  <c r="Y494" i="2"/>
  <c r="Z494" i="2"/>
  <c r="AA494" i="2"/>
  <c r="AB494" i="2"/>
  <c r="AC494" i="2"/>
  <c r="AD494" i="2"/>
  <c r="AE494" i="2"/>
  <c r="AF494" i="2"/>
  <c r="AG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V495" i="2"/>
  <c r="W495" i="2"/>
  <c r="X495" i="2"/>
  <c r="Y495" i="2"/>
  <c r="Z495" i="2"/>
  <c r="AA495" i="2"/>
  <c r="AB495" i="2"/>
  <c r="AC495" i="2"/>
  <c r="AD495" i="2"/>
  <c r="AE495" i="2"/>
  <c r="AF495" i="2"/>
  <c r="AG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O496" i="2"/>
  <c r="P496" i="2"/>
  <c r="Y496" i="2"/>
  <c r="Z496" i="2"/>
  <c r="AA496" i="2"/>
  <c r="AB496" i="2"/>
  <c r="AC496" i="2"/>
  <c r="AD496" i="2"/>
  <c r="AE496" i="2"/>
  <c r="AF496" i="2"/>
  <c r="AG496" i="2"/>
  <c r="A497" i="2"/>
  <c r="B497" i="2"/>
  <c r="C497" i="2"/>
  <c r="D497" i="2"/>
  <c r="E497" i="2"/>
  <c r="F497" i="2"/>
  <c r="G497" i="2"/>
  <c r="H497" i="2"/>
  <c r="I497" i="2"/>
  <c r="J497" i="2"/>
  <c r="K497" i="2"/>
  <c r="V497" i="2" s="1"/>
  <c r="L497" i="2"/>
  <c r="M497" i="2"/>
  <c r="N497" i="2"/>
  <c r="O497" i="2"/>
  <c r="P497" i="2"/>
  <c r="T497" i="2"/>
  <c r="X497" i="2"/>
  <c r="Y497" i="2"/>
  <c r="Z497" i="2"/>
  <c r="AA497" i="2"/>
  <c r="AB497" i="2"/>
  <c r="AC497" i="2"/>
  <c r="AD497" i="2"/>
  <c r="AE497" i="2"/>
  <c r="AF497" i="2"/>
  <c r="AG497" i="2"/>
  <c r="A498" i="2"/>
  <c r="B498" i="2"/>
  <c r="C498" i="2"/>
  <c r="D498" i="2"/>
  <c r="E498" i="2"/>
  <c r="F498" i="2"/>
  <c r="G498" i="2"/>
  <c r="H498" i="2"/>
  <c r="I498" i="2"/>
  <c r="J498" i="2"/>
  <c r="K498" i="2"/>
  <c r="T498" i="2" s="1"/>
  <c r="L498" i="2"/>
  <c r="M498" i="2"/>
  <c r="N498" i="2"/>
  <c r="O498" i="2"/>
  <c r="P498" i="2"/>
  <c r="S498" i="2"/>
  <c r="U498" i="2"/>
  <c r="Y498" i="2"/>
  <c r="Z498" i="2"/>
  <c r="AA498" i="2"/>
  <c r="AB498" i="2"/>
  <c r="AC498" i="2"/>
  <c r="AD498" i="2"/>
  <c r="AE498" i="2"/>
  <c r="AF498" i="2"/>
  <c r="AG498" i="2"/>
  <c r="A499" i="2"/>
  <c r="B499" i="2"/>
  <c r="C499" i="2"/>
  <c r="D499" i="2"/>
  <c r="E499" i="2"/>
  <c r="F499" i="2"/>
  <c r="G499" i="2"/>
  <c r="H499" i="2"/>
  <c r="I499" i="2"/>
  <c r="J499" i="2"/>
  <c r="K499" i="2"/>
  <c r="V499" i="2" s="1"/>
  <c r="L499" i="2"/>
  <c r="M499" i="2"/>
  <c r="N499" i="2"/>
  <c r="O499" i="2"/>
  <c r="P499" i="2"/>
  <c r="S499" i="2"/>
  <c r="T499" i="2"/>
  <c r="X499" i="2"/>
  <c r="Y499" i="2"/>
  <c r="Z499" i="2"/>
  <c r="AA499" i="2"/>
  <c r="AB499" i="2"/>
  <c r="AC499" i="2"/>
  <c r="AD499" i="2"/>
  <c r="AE499" i="2"/>
  <c r="AF499" i="2"/>
  <c r="AG499" i="2"/>
  <c r="A500" i="2"/>
  <c r="B500" i="2"/>
  <c r="C500" i="2"/>
  <c r="D500" i="2"/>
  <c r="E500" i="2"/>
  <c r="F500" i="2"/>
  <c r="G500" i="2"/>
  <c r="H500" i="2"/>
  <c r="I500" i="2"/>
  <c r="J500" i="2"/>
  <c r="K500" i="2"/>
  <c r="V500" i="2" s="1"/>
  <c r="L500" i="2"/>
  <c r="M500" i="2"/>
  <c r="N500" i="2"/>
  <c r="O500" i="2"/>
  <c r="P500" i="2"/>
  <c r="Q500" i="2"/>
  <c r="S500" i="2"/>
  <c r="T500" i="2"/>
  <c r="U500" i="2"/>
  <c r="X500" i="2"/>
  <c r="Y500" i="2"/>
  <c r="Z500" i="2"/>
  <c r="AA500" i="2"/>
  <c r="AB500" i="2"/>
  <c r="AC500" i="2"/>
  <c r="AD500" i="2"/>
  <c r="AE500" i="2"/>
  <c r="AF500" i="2"/>
  <c r="AG500" i="2"/>
  <c r="A501" i="2"/>
  <c r="B501" i="2"/>
  <c r="C501" i="2"/>
  <c r="D501" i="2"/>
  <c r="E501" i="2"/>
  <c r="F501" i="2"/>
  <c r="G501" i="2"/>
  <c r="H501" i="2"/>
  <c r="I501" i="2"/>
  <c r="J501" i="2"/>
  <c r="K501" i="2"/>
  <c r="U501" i="2" s="1"/>
  <c r="L501" i="2"/>
  <c r="M501" i="2"/>
  <c r="N501" i="2"/>
  <c r="O501" i="2"/>
  <c r="P501" i="2"/>
  <c r="Q501" i="2"/>
  <c r="S501" i="2"/>
  <c r="T501" i="2"/>
  <c r="V501" i="2"/>
  <c r="X501" i="2"/>
  <c r="Y501" i="2"/>
  <c r="Z501" i="2"/>
  <c r="AA501" i="2"/>
  <c r="AB501" i="2"/>
  <c r="AC501" i="2"/>
  <c r="AD501" i="2"/>
  <c r="AE501" i="2"/>
  <c r="AF501" i="2"/>
  <c r="AG501" i="2"/>
  <c r="A502" i="2"/>
  <c r="B502" i="2"/>
  <c r="C502" i="2"/>
  <c r="D502" i="2"/>
  <c r="E502" i="2"/>
  <c r="F502" i="2"/>
  <c r="G502" i="2"/>
  <c r="H502" i="2"/>
  <c r="I502" i="2"/>
  <c r="J502" i="2"/>
  <c r="K502" i="2"/>
  <c r="T502" i="2" s="1"/>
  <c r="L502" i="2"/>
  <c r="M502" i="2"/>
  <c r="N502" i="2"/>
  <c r="O502" i="2"/>
  <c r="P502" i="2"/>
  <c r="Q502" i="2"/>
  <c r="S502" i="2"/>
  <c r="U502" i="2"/>
  <c r="V502" i="2"/>
  <c r="X502" i="2"/>
  <c r="Y502" i="2"/>
  <c r="Z502" i="2"/>
  <c r="AA502" i="2"/>
  <c r="AB502" i="2"/>
  <c r="AC502" i="2"/>
  <c r="AD502" i="2"/>
  <c r="AE502" i="2"/>
  <c r="AF502" i="2"/>
  <c r="AG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M503" i="2"/>
  <c r="N503" i="2"/>
  <c r="O503" i="2"/>
  <c r="P503" i="2"/>
  <c r="Q503" i="2"/>
  <c r="R503" i="2"/>
  <c r="S503" i="2"/>
  <c r="T503" i="2"/>
  <c r="U503" i="2"/>
  <c r="V503" i="2"/>
  <c r="W503" i="2"/>
  <c r="X503" i="2"/>
  <c r="Y503" i="2"/>
  <c r="Z503" i="2"/>
  <c r="AA503" i="2"/>
  <c r="AB503" i="2"/>
  <c r="AC503" i="2"/>
  <c r="AD503" i="2"/>
  <c r="AE503" i="2"/>
  <c r="AF503" i="2"/>
  <c r="AG503" i="2"/>
  <c r="A504" i="2"/>
  <c r="B504" i="2"/>
  <c r="C504" i="2"/>
  <c r="D504" i="2"/>
  <c r="E504" i="2"/>
  <c r="F504" i="2"/>
  <c r="G504" i="2"/>
  <c r="H504" i="2"/>
  <c r="I504" i="2"/>
  <c r="J504" i="2"/>
  <c r="K504" i="2"/>
  <c r="R504" i="2" s="1"/>
  <c r="L504" i="2"/>
  <c r="M504" i="2"/>
  <c r="N504" i="2"/>
  <c r="O504" i="2"/>
  <c r="P504" i="2"/>
  <c r="T504" i="2"/>
  <c r="U504" i="2"/>
  <c r="W504" i="2"/>
  <c r="X504" i="2"/>
  <c r="Y504" i="2"/>
  <c r="Z504" i="2"/>
  <c r="AA504" i="2"/>
  <c r="AB504" i="2"/>
  <c r="AC504" i="2"/>
  <c r="AD504" i="2"/>
  <c r="AE504" i="2"/>
  <c r="AF504" i="2"/>
  <c r="AG504" i="2"/>
  <c r="A505" i="2"/>
  <c r="B505" i="2"/>
  <c r="C505" i="2"/>
  <c r="D505" i="2"/>
  <c r="E505" i="2"/>
  <c r="F505" i="2"/>
  <c r="G505" i="2"/>
  <c r="H505" i="2"/>
  <c r="I505" i="2"/>
  <c r="J505" i="2"/>
  <c r="K505" i="2"/>
  <c r="Q505" i="2" s="1"/>
  <c r="L505" i="2"/>
  <c r="M505" i="2"/>
  <c r="N505" i="2"/>
  <c r="O505" i="2"/>
  <c r="P505" i="2"/>
  <c r="T505" i="2"/>
  <c r="U505" i="2"/>
  <c r="W505" i="2"/>
  <c r="X505" i="2"/>
  <c r="Y505" i="2"/>
  <c r="Z505" i="2"/>
  <c r="AA505" i="2"/>
  <c r="AB505" i="2"/>
  <c r="AC505" i="2"/>
  <c r="AD505" i="2"/>
  <c r="AE505" i="2"/>
  <c r="AF505" i="2"/>
  <c r="AG505" i="2"/>
  <c r="A506" i="2"/>
  <c r="B506" i="2"/>
  <c r="C506" i="2"/>
  <c r="D506" i="2"/>
  <c r="E506" i="2"/>
  <c r="F506" i="2"/>
  <c r="G506" i="2"/>
  <c r="H506" i="2"/>
  <c r="I506" i="2"/>
  <c r="J506" i="2"/>
  <c r="K506" i="2"/>
  <c r="X506" i="2" s="1"/>
  <c r="L506" i="2"/>
  <c r="M506" i="2"/>
  <c r="N506" i="2"/>
  <c r="O506" i="2"/>
  <c r="P506" i="2"/>
  <c r="S506" i="2"/>
  <c r="T506" i="2"/>
  <c r="V506" i="2"/>
  <c r="W506" i="2"/>
  <c r="Y506" i="2"/>
  <c r="Z506" i="2"/>
  <c r="AA506" i="2"/>
  <c r="AB506" i="2"/>
  <c r="AC506" i="2"/>
  <c r="AD506" i="2"/>
  <c r="AE506" i="2"/>
  <c r="AF506" i="2"/>
  <c r="AG506" i="2"/>
  <c r="A507" i="2"/>
  <c r="B507" i="2"/>
  <c r="C507" i="2"/>
  <c r="D507" i="2"/>
  <c r="E507" i="2"/>
  <c r="F507" i="2"/>
  <c r="G507" i="2"/>
  <c r="H507" i="2"/>
  <c r="I507" i="2"/>
  <c r="J507" i="2"/>
  <c r="K507" i="2"/>
  <c r="Q507" i="2" s="1"/>
  <c r="L507" i="2"/>
  <c r="M507" i="2"/>
  <c r="N507" i="2"/>
  <c r="O507" i="2"/>
  <c r="P507" i="2"/>
  <c r="S507" i="2"/>
  <c r="T507" i="2"/>
  <c r="V507" i="2"/>
  <c r="W507" i="2"/>
  <c r="X507" i="2"/>
  <c r="Y507" i="2"/>
  <c r="Z507" i="2"/>
  <c r="AA507" i="2"/>
  <c r="AB507" i="2"/>
  <c r="AC507" i="2"/>
  <c r="AD507" i="2"/>
  <c r="AE507" i="2"/>
  <c r="AF507" i="2"/>
  <c r="AG507" i="2"/>
  <c r="A508" i="2"/>
  <c r="B508" i="2"/>
  <c r="C508" i="2"/>
  <c r="D508" i="2"/>
  <c r="E508" i="2"/>
  <c r="F508" i="2"/>
  <c r="G508" i="2"/>
  <c r="H508" i="2"/>
  <c r="I508" i="2"/>
  <c r="J508" i="2"/>
  <c r="K508" i="2"/>
  <c r="X508" i="2" s="1"/>
  <c r="L508" i="2"/>
  <c r="M508" i="2"/>
  <c r="N508" i="2"/>
  <c r="O508" i="2"/>
  <c r="P508" i="2"/>
  <c r="S508" i="2"/>
  <c r="U508" i="2"/>
  <c r="V508" i="2"/>
  <c r="W508" i="2"/>
  <c r="Y508" i="2"/>
  <c r="Z508" i="2"/>
  <c r="AA508" i="2"/>
  <c r="AB508" i="2"/>
  <c r="AC508" i="2"/>
  <c r="AD508" i="2"/>
  <c r="AE508" i="2"/>
  <c r="AF508" i="2"/>
  <c r="AG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M509" i="2"/>
  <c r="N509" i="2"/>
  <c r="O509" i="2"/>
  <c r="P509" i="2"/>
  <c r="Q509" i="2"/>
  <c r="R509" i="2"/>
  <c r="S509" i="2"/>
  <c r="T509" i="2"/>
  <c r="U509" i="2"/>
  <c r="V509" i="2"/>
  <c r="W509" i="2"/>
  <c r="X509" i="2"/>
  <c r="Y509" i="2"/>
  <c r="Z509" i="2"/>
  <c r="AA509" i="2"/>
  <c r="AB509" i="2"/>
  <c r="AC509" i="2"/>
  <c r="AD509" i="2"/>
  <c r="AE509" i="2"/>
  <c r="AF509" i="2"/>
  <c r="AG509" i="2"/>
  <c r="A510" i="2"/>
  <c r="B510" i="2"/>
  <c r="C510" i="2"/>
  <c r="D510" i="2"/>
  <c r="E510" i="2"/>
  <c r="F510" i="2"/>
  <c r="G510" i="2"/>
  <c r="H510" i="2"/>
  <c r="I510" i="2"/>
  <c r="J510" i="2"/>
  <c r="K510" i="2"/>
  <c r="V510" i="2" s="1"/>
  <c r="L510" i="2"/>
  <c r="M510" i="2"/>
  <c r="N510" i="2"/>
  <c r="O510" i="2"/>
  <c r="P510" i="2"/>
  <c r="S510" i="2"/>
  <c r="U510" i="2"/>
  <c r="Y510" i="2"/>
  <c r="Z510" i="2"/>
  <c r="AA510" i="2"/>
  <c r="AB510" i="2"/>
  <c r="AC510" i="2"/>
  <c r="AD510" i="2"/>
  <c r="AE510" i="2"/>
  <c r="AF510" i="2"/>
  <c r="AG510" i="2"/>
  <c r="A511" i="2"/>
  <c r="B511" i="2"/>
  <c r="C511" i="2"/>
  <c r="D511" i="2"/>
  <c r="E511" i="2"/>
  <c r="F511" i="2"/>
  <c r="G511" i="2"/>
  <c r="H511" i="2"/>
  <c r="I511" i="2"/>
  <c r="J511" i="2"/>
  <c r="K511" i="2"/>
  <c r="U511" i="2" s="1"/>
  <c r="L511" i="2"/>
  <c r="M511" i="2"/>
  <c r="N511" i="2"/>
  <c r="O511" i="2"/>
  <c r="P511" i="2"/>
  <c r="R511" i="2"/>
  <c r="S511" i="2"/>
  <c r="T511" i="2"/>
  <c r="Y511" i="2"/>
  <c r="Z511" i="2"/>
  <c r="AA511" i="2"/>
  <c r="AB511" i="2"/>
  <c r="AC511" i="2"/>
  <c r="AD511" i="2"/>
  <c r="AE511" i="2"/>
  <c r="AF511" i="2"/>
  <c r="AG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M512" i="2"/>
  <c r="N512" i="2"/>
  <c r="O512" i="2"/>
  <c r="P512" i="2"/>
  <c r="Y512" i="2"/>
  <c r="Z512" i="2"/>
  <c r="AA512" i="2"/>
  <c r="AB512" i="2"/>
  <c r="AC512" i="2"/>
  <c r="AD512" i="2"/>
  <c r="AE512" i="2"/>
  <c r="AF512" i="2"/>
  <c r="AG512" i="2"/>
  <c r="A513" i="2"/>
  <c r="B513" i="2"/>
  <c r="C513" i="2"/>
  <c r="D513" i="2"/>
  <c r="E513" i="2"/>
  <c r="F513" i="2"/>
  <c r="G513" i="2"/>
  <c r="H513" i="2"/>
  <c r="I513" i="2"/>
  <c r="J513" i="2"/>
  <c r="K513" i="2"/>
  <c r="W513" i="2" s="1"/>
  <c r="L513" i="2"/>
  <c r="M513" i="2"/>
  <c r="N513" i="2"/>
  <c r="O513" i="2"/>
  <c r="P513" i="2"/>
  <c r="Q513" i="2"/>
  <c r="R513" i="2"/>
  <c r="S513" i="2"/>
  <c r="T513" i="2"/>
  <c r="U513" i="2"/>
  <c r="V513" i="2"/>
  <c r="X513" i="2"/>
  <c r="Y513" i="2"/>
  <c r="Z513" i="2"/>
  <c r="AA513" i="2"/>
  <c r="AB513" i="2"/>
  <c r="AC513" i="2"/>
  <c r="AD513" i="2"/>
  <c r="AE513" i="2"/>
  <c r="AF513" i="2"/>
  <c r="AG513" i="2"/>
  <c r="A514" i="2"/>
  <c r="B514" i="2"/>
  <c r="C514" i="2"/>
  <c r="D514" i="2"/>
  <c r="E514" i="2"/>
  <c r="F514" i="2"/>
  <c r="G514" i="2"/>
  <c r="H514" i="2"/>
  <c r="I514" i="2"/>
  <c r="J514" i="2"/>
  <c r="K514" i="2"/>
  <c r="R514" i="2" s="1"/>
  <c r="L514" i="2"/>
  <c r="M514" i="2"/>
  <c r="N514" i="2"/>
  <c r="O514" i="2"/>
  <c r="P514" i="2"/>
  <c r="Q514" i="2"/>
  <c r="S514" i="2"/>
  <c r="T514" i="2"/>
  <c r="U514" i="2"/>
  <c r="W514" i="2"/>
  <c r="X514" i="2"/>
  <c r="Y514" i="2"/>
  <c r="Z514" i="2"/>
  <c r="AA514" i="2"/>
  <c r="AB514" i="2"/>
  <c r="AC514" i="2"/>
  <c r="AD514" i="2"/>
  <c r="AE514" i="2"/>
  <c r="AF514" i="2"/>
  <c r="AG514" i="2"/>
  <c r="A515" i="2"/>
  <c r="B515" i="2"/>
  <c r="C515" i="2"/>
  <c r="D515" i="2"/>
  <c r="E515" i="2"/>
  <c r="F515" i="2"/>
  <c r="G515" i="2"/>
  <c r="H515" i="2"/>
  <c r="I515" i="2"/>
  <c r="J515" i="2"/>
  <c r="K515" i="2"/>
  <c r="Q515" i="2" s="1"/>
  <c r="L515" i="2"/>
  <c r="M515" i="2"/>
  <c r="N515" i="2"/>
  <c r="O515" i="2"/>
  <c r="P515" i="2"/>
  <c r="S515" i="2"/>
  <c r="T515" i="2"/>
  <c r="V515" i="2"/>
  <c r="W515" i="2"/>
  <c r="X515" i="2"/>
  <c r="Y515" i="2"/>
  <c r="Z515" i="2"/>
  <c r="AA515" i="2"/>
  <c r="AB515" i="2"/>
  <c r="AC515" i="2"/>
  <c r="AD515" i="2"/>
  <c r="AE515" i="2"/>
  <c r="AF515" i="2"/>
  <c r="AG515" i="2"/>
  <c r="A516" i="2"/>
  <c r="B516" i="2"/>
  <c r="C516" i="2"/>
  <c r="D516" i="2"/>
  <c r="E516" i="2"/>
  <c r="F516" i="2"/>
  <c r="G516" i="2"/>
  <c r="H516" i="2"/>
  <c r="I516" i="2"/>
  <c r="J516" i="2"/>
  <c r="K516" i="2"/>
  <c r="X516" i="2" s="1"/>
  <c r="L516" i="2"/>
  <c r="M516" i="2"/>
  <c r="N516" i="2"/>
  <c r="O516" i="2"/>
  <c r="P516" i="2"/>
  <c r="S516" i="2"/>
  <c r="U516" i="2"/>
  <c r="V516" i="2"/>
  <c r="W516" i="2"/>
  <c r="Y516" i="2"/>
  <c r="Z516" i="2"/>
  <c r="AA516" i="2"/>
  <c r="AB516" i="2"/>
  <c r="AC516" i="2"/>
  <c r="AD516" i="2"/>
  <c r="AE516" i="2"/>
  <c r="AF516" i="2"/>
  <c r="AG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M517" i="2"/>
  <c r="N517" i="2"/>
  <c r="O517" i="2"/>
  <c r="P517" i="2"/>
  <c r="Q517" i="2"/>
  <c r="R517" i="2"/>
  <c r="S517" i="2"/>
  <c r="T517" i="2"/>
  <c r="U517" i="2"/>
  <c r="V517" i="2"/>
  <c r="W517" i="2"/>
  <c r="X517" i="2"/>
  <c r="Y517" i="2"/>
  <c r="Z517" i="2"/>
  <c r="AA517" i="2"/>
  <c r="AB517" i="2"/>
  <c r="AC517" i="2"/>
  <c r="AD517" i="2"/>
  <c r="AE517" i="2"/>
  <c r="AF517" i="2"/>
  <c r="AG517" i="2"/>
  <c r="A518" i="2"/>
  <c r="B518" i="2"/>
  <c r="C518" i="2"/>
  <c r="D518" i="2"/>
  <c r="E518" i="2"/>
  <c r="F518" i="2"/>
  <c r="G518" i="2"/>
  <c r="H518" i="2"/>
  <c r="I518" i="2"/>
  <c r="J518" i="2"/>
  <c r="K518" i="2"/>
  <c r="V518" i="2" s="1"/>
  <c r="L518" i="2"/>
  <c r="M518" i="2"/>
  <c r="N518" i="2"/>
  <c r="O518" i="2"/>
  <c r="P518" i="2"/>
  <c r="S518" i="2"/>
  <c r="U518" i="2"/>
  <c r="Y518" i="2"/>
  <c r="Z518" i="2"/>
  <c r="AA518" i="2"/>
  <c r="AB518" i="2"/>
  <c r="AC518" i="2"/>
  <c r="AD518" i="2"/>
  <c r="AE518" i="2"/>
  <c r="AF518" i="2"/>
  <c r="AG518" i="2"/>
  <c r="A519" i="2"/>
  <c r="B519" i="2"/>
  <c r="C519" i="2"/>
  <c r="D519" i="2"/>
  <c r="E519" i="2"/>
  <c r="F519" i="2"/>
  <c r="G519" i="2"/>
  <c r="H519" i="2"/>
  <c r="I519" i="2"/>
  <c r="J519" i="2"/>
  <c r="K519" i="2"/>
  <c r="U519" i="2" s="1"/>
  <c r="L519" i="2"/>
  <c r="M519" i="2"/>
  <c r="N519" i="2"/>
  <c r="O519" i="2"/>
  <c r="P519" i="2"/>
  <c r="R519" i="2"/>
  <c r="S519" i="2"/>
  <c r="T519" i="2"/>
  <c r="Y519" i="2"/>
  <c r="Z519" i="2"/>
  <c r="AA519" i="2"/>
  <c r="AB519" i="2"/>
  <c r="AC519" i="2"/>
  <c r="AD519" i="2"/>
  <c r="AE519" i="2"/>
  <c r="AF519" i="2"/>
  <c r="AG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M520" i="2"/>
  <c r="N520" i="2"/>
  <c r="O520" i="2"/>
  <c r="P520" i="2"/>
  <c r="S520" i="2"/>
  <c r="Y520" i="2"/>
  <c r="Z520" i="2"/>
  <c r="AA520" i="2"/>
  <c r="AB520" i="2"/>
  <c r="AC520" i="2"/>
  <c r="AD520" i="2"/>
  <c r="AE520" i="2"/>
  <c r="AF520" i="2"/>
  <c r="AG520" i="2"/>
  <c r="A521" i="2"/>
  <c r="B521" i="2"/>
  <c r="C521" i="2"/>
  <c r="D521" i="2"/>
  <c r="E521" i="2"/>
  <c r="F521" i="2"/>
  <c r="G521" i="2"/>
  <c r="H521" i="2"/>
  <c r="I521" i="2"/>
  <c r="J521" i="2"/>
  <c r="K521" i="2"/>
  <c r="W521" i="2" s="1"/>
  <c r="L521" i="2"/>
  <c r="M521" i="2"/>
  <c r="N521" i="2"/>
  <c r="O521" i="2"/>
  <c r="P521" i="2"/>
  <c r="Q521" i="2"/>
  <c r="R521" i="2"/>
  <c r="S521" i="2"/>
  <c r="T521" i="2"/>
  <c r="U521" i="2"/>
  <c r="V521" i="2"/>
  <c r="X521" i="2"/>
  <c r="Y521" i="2"/>
  <c r="Z521" i="2"/>
  <c r="AA521" i="2"/>
  <c r="AB521" i="2"/>
  <c r="AC521" i="2"/>
  <c r="AD521" i="2"/>
  <c r="AE521" i="2"/>
  <c r="AF521" i="2"/>
  <c r="AG521" i="2"/>
  <c r="A522" i="2"/>
  <c r="B522" i="2"/>
  <c r="C522" i="2"/>
  <c r="D522" i="2"/>
  <c r="E522" i="2"/>
  <c r="F522" i="2"/>
  <c r="G522" i="2"/>
  <c r="H522" i="2"/>
  <c r="I522" i="2"/>
  <c r="J522" i="2"/>
  <c r="K522" i="2"/>
  <c r="R522" i="2" s="1"/>
  <c r="L522" i="2"/>
  <c r="M522" i="2"/>
  <c r="N522" i="2"/>
  <c r="O522" i="2"/>
  <c r="P522" i="2"/>
  <c r="Q522" i="2"/>
  <c r="S522" i="2"/>
  <c r="T522" i="2"/>
  <c r="U522" i="2"/>
  <c r="W522" i="2"/>
  <c r="X522" i="2"/>
  <c r="Y522" i="2"/>
  <c r="Z522" i="2"/>
  <c r="AA522" i="2"/>
  <c r="AB522" i="2"/>
  <c r="AC522" i="2"/>
  <c r="AD522" i="2"/>
  <c r="AE522" i="2"/>
  <c r="AF522" i="2"/>
  <c r="AG522" i="2"/>
  <c r="A523" i="2"/>
  <c r="B523" i="2"/>
  <c r="C523" i="2"/>
  <c r="D523" i="2"/>
  <c r="E523" i="2"/>
  <c r="F523" i="2"/>
  <c r="G523" i="2"/>
  <c r="H523" i="2"/>
  <c r="I523" i="2"/>
  <c r="J523" i="2"/>
  <c r="K523" i="2"/>
  <c r="Q523" i="2" s="1"/>
  <c r="L523" i="2"/>
  <c r="M523" i="2"/>
  <c r="N523" i="2"/>
  <c r="O523" i="2"/>
  <c r="P523" i="2"/>
  <c r="S523" i="2"/>
  <c r="T523" i="2"/>
  <c r="V523" i="2"/>
  <c r="W523" i="2"/>
  <c r="X523" i="2"/>
  <c r="Y523" i="2"/>
  <c r="Z523" i="2"/>
  <c r="AA523" i="2"/>
  <c r="AB523" i="2"/>
  <c r="AC523" i="2"/>
  <c r="AD523" i="2"/>
  <c r="AE523" i="2"/>
  <c r="AF523" i="2"/>
  <c r="AG523" i="2"/>
  <c r="A524" i="2"/>
  <c r="B524" i="2"/>
  <c r="C524" i="2"/>
  <c r="D524" i="2"/>
  <c r="E524" i="2"/>
  <c r="F524" i="2"/>
  <c r="G524" i="2"/>
  <c r="H524" i="2"/>
  <c r="I524" i="2"/>
  <c r="J524" i="2"/>
  <c r="K524" i="2"/>
  <c r="X524" i="2" s="1"/>
  <c r="L524" i="2"/>
  <c r="M524" i="2"/>
  <c r="N524" i="2"/>
  <c r="O524" i="2"/>
  <c r="P524" i="2"/>
  <c r="S524" i="2"/>
  <c r="U524" i="2"/>
  <c r="V524" i="2"/>
  <c r="W524" i="2"/>
  <c r="Y524" i="2"/>
  <c r="Z524" i="2"/>
  <c r="AA524" i="2"/>
  <c r="AB524" i="2"/>
  <c r="AC524" i="2"/>
  <c r="AD524" i="2"/>
  <c r="AE524" i="2"/>
  <c r="AF524" i="2"/>
  <c r="AG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M525" i="2"/>
  <c r="N525" i="2"/>
  <c r="O525" i="2"/>
  <c r="P525" i="2"/>
  <c r="Q525" i="2"/>
  <c r="R525" i="2"/>
  <c r="S525" i="2"/>
  <c r="T525" i="2"/>
  <c r="U525" i="2"/>
  <c r="V525" i="2"/>
  <c r="W525" i="2"/>
  <c r="X525" i="2"/>
  <c r="Y525" i="2"/>
  <c r="Z525" i="2"/>
  <c r="AA525" i="2"/>
  <c r="AB525" i="2"/>
  <c r="AC525" i="2"/>
  <c r="AD525" i="2"/>
  <c r="AE525" i="2"/>
  <c r="AF525" i="2"/>
  <c r="AG525" i="2"/>
  <c r="A526" i="2"/>
  <c r="B526" i="2"/>
  <c r="C526" i="2"/>
  <c r="D526" i="2"/>
  <c r="E526" i="2"/>
  <c r="F526" i="2"/>
  <c r="G526" i="2"/>
  <c r="H526" i="2"/>
  <c r="I526" i="2"/>
  <c r="J526" i="2"/>
  <c r="K526" i="2"/>
  <c r="V526" i="2" s="1"/>
  <c r="L526" i="2"/>
  <c r="M526" i="2"/>
  <c r="N526" i="2"/>
  <c r="O526" i="2"/>
  <c r="P526" i="2"/>
  <c r="S526" i="2"/>
  <c r="U526" i="2"/>
  <c r="Y526" i="2"/>
  <c r="Z526" i="2"/>
  <c r="AA526" i="2"/>
  <c r="AB526" i="2"/>
  <c r="AC526" i="2"/>
  <c r="AD526" i="2"/>
  <c r="AE526" i="2"/>
  <c r="AF526" i="2"/>
  <c r="AG526" i="2"/>
  <c r="A527" i="2"/>
  <c r="B527" i="2"/>
  <c r="C527" i="2"/>
  <c r="D527" i="2"/>
  <c r="E527" i="2"/>
  <c r="F527" i="2"/>
  <c r="G527" i="2"/>
  <c r="H527" i="2"/>
  <c r="I527" i="2"/>
  <c r="J527" i="2"/>
  <c r="K527" i="2"/>
  <c r="U527" i="2" s="1"/>
  <c r="L527" i="2"/>
  <c r="M527" i="2"/>
  <c r="N527" i="2"/>
  <c r="O527" i="2"/>
  <c r="P527" i="2"/>
  <c r="R527" i="2"/>
  <c r="S527" i="2"/>
  <c r="T527" i="2"/>
  <c r="Y527" i="2"/>
  <c r="Z527" i="2"/>
  <c r="AA527" i="2"/>
  <c r="AB527" i="2"/>
  <c r="AC527" i="2"/>
  <c r="AD527" i="2"/>
  <c r="AE527" i="2"/>
  <c r="AF527" i="2"/>
  <c r="AG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M528" i="2"/>
  <c r="N528" i="2"/>
  <c r="O528" i="2"/>
  <c r="P528" i="2"/>
  <c r="Y528" i="2"/>
  <c r="Z528" i="2"/>
  <c r="AA528" i="2"/>
  <c r="AB528" i="2"/>
  <c r="AC528" i="2"/>
  <c r="AD528" i="2"/>
  <c r="AE528" i="2"/>
  <c r="AF528" i="2"/>
  <c r="AG528" i="2"/>
  <c r="A529" i="2"/>
  <c r="B529" i="2"/>
  <c r="C529" i="2"/>
  <c r="D529" i="2"/>
  <c r="E529" i="2"/>
  <c r="F529" i="2"/>
  <c r="G529" i="2"/>
  <c r="H529" i="2"/>
  <c r="I529" i="2"/>
  <c r="J529" i="2"/>
  <c r="K529" i="2"/>
  <c r="W529" i="2" s="1"/>
  <c r="L529" i="2"/>
  <c r="M529" i="2"/>
  <c r="N529" i="2"/>
  <c r="O529" i="2"/>
  <c r="P529" i="2"/>
  <c r="Q529" i="2"/>
  <c r="R529" i="2"/>
  <c r="S529" i="2"/>
  <c r="T529" i="2"/>
  <c r="U529" i="2"/>
  <c r="V529" i="2"/>
  <c r="X529" i="2"/>
  <c r="Y529" i="2"/>
  <c r="Z529" i="2"/>
  <c r="AA529" i="2"/>
  <c r="AB529" i="2"/>
  <c r="AC529" i="2"/>
  <c r="AD529" i="2"/>
  <c r="AE529" i="2"/>
  <c r="AF529" i="2"/>
  <c r="AG529" i="2"/>
  <c r="A530" i="2"/>
  <c r="B530" i="2"/>
  <c r="C530" i="2"/>
  <c r="D530" i="2"/>
  <c r="E530" i="2"/>
  <c r="F530" i="2"/>
  <c r="G530" i="2"/>
  <c r="H530" i="2"/>
  <c r="I530" i="2"/>
  <c r="J530" i="2"/>
  <c r="K530" i="2"/>
  <c r="R530" i="2" s="1"/>
  <c r="L530" i="2"/>
  <c r="M530" i="2"/>
  <c r="N530" i="2"/>
  <c r="O530" i="2"/>
  <c r="P530" i="2"/>
  <c r="Q530" i="2"/>
  <c r="S530" i="2"/>
  <c r="T530" i="2"/>
  <c r="U530" i="2"/>
  <c r="W530" i="2"/>
  <c r="X530" i="2"/>
  <c r="Y530" i="2"/>
  <c r="Z530" i="2"/>
  <c r="AA530" i="2"/>
  <c r="AB530" i="2"/>
  <c r="AC530" i="2"/>
  <c r="AD530" i="2"/>
  <c r="AE530" i="2"/>
  <c r="AF530" i="2"/>
  <c r="AG530" i="2"/>
  <c r="A531" i="2"/>
  <c r="B531" i="2"/>
  <c r="C531" i="2"/>
  <c r="D531" i="2"/>
  <c r="E531" i="2"/>
  <c r="F531" i="2"/>
  <c r="G531" i="2"/>
  <c r="H531" i="2"/>
  <c r="I531" i="2"/>
  <c r="J531" i="2"/>
  <c r="K531" i="2"/>
  <c r="Q531" i="2" s="1"/>
  <c r="L531" i="2"/>
  <c r="M531" i="2"/>
  <c r="N531" i="2"/>
  <c r="O531" i="2"/>
  <c r="P531" i="2"/>
  <c r="S531" i="2"/>
  <c r="T531" i="2"/>
  <c r="V531" i="2"/>
  <c r="W531" i="2"/>
  <c r="X531" i="2"/>
  <c r="Y531" i="2"/>
  <c r="Z531" i="2"/>
  <c r="AA531" i="2"/>
  <c r="AB531" i="2"/>
  <c r="AC531" i="2"/>
  <c r="AD531" i="2"/>
  <c r="AE531" i="2"/>
  <c r="AF531" i="2"/>
  <c r="AG531" i="2"/>
  <c r="A532" i="2"/>
  <c r="B532" i="2"/>
  <c r="C532" i="2"/>
  <c r="D532" i="2"/>
  <c r="E532" i="2"/>
  <c r="F532" i="2"/>
  <c r="G532" i="2"/>
  <c r="H532" i="2"/>
  <c r="I532" i="2"/>
  <c r="J532" i="2"/>
  <c r="K532" i="2"/>
  <c r="X532" i="2" s="1"/>
  <c r="L532" i="2"/>
  <c r="M532" i="2"/>
  <c r="N532" i="2"/>
  <c r="O532" i="2"/>
  <c r="P532" i="2"/>
  <c r="S532" i="2"/>
  <c r="U532" i="2"/>
  <c r="V532" i="2"/>
  <c r="W532" i="2"/>
  <c r="Y532" i="2"/>
  <c r="Z532" i="2"/>
  <c r="AA532" i="2"/>
  <c r="AB532" i="2"/>
  <c r="AC532" i="2"/>
  <c r="AD532" i="2"/>
  <c r="AE532" i="2"/>
  <c r="AF532" i="2"/>
  <c r="AG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M533" i="2"/>
  <c r="N533" i="2"/>
  <c r="O533" i="2"/>
  <c r="P533" i="2"/>
  <c r="Q533" i="2"/>
  <c r="R533" i="2"/>
  <c r="S533" i="2"/>
  <c r="T533" i="2"/>
  <c r="U533" i="2"/>
  <c r="V533" i="2"/>
  <c r="W533" i="2"/>
  <c r="X533" i="2"/>
  <c r="Y533" i="2"/>
  <c r="Z533" i="2"/>
  <c r="AA533" i="2"/>
  <c r="AB533" i="2"/>
  <c r="AC533" i="2"/>
  <c r="AD533" i="2"/>
  <c r="AE533" i="2"/>
  <c r="AF533" i="2"/>
  <c r="AG533" i="2"/>
  <c r="A534" i="2"/>
  <c r="B534" i="2"/>
  <c r="C534" i="2"/>
  <c r="D534" i="2"/>
  <c r="E534" i="2"/>
  <c r="F534" i="2"/>
  <c r="G534" i="2"/>
  <c r="H534" i="2"/>
  <c r="I534" i="2"/>
  <c r="J534" i="2"/>
  <c r="K534" i="2"/>
  <c r="V534" i="2" s="1"/>
  <c r="L534" i="2"/>
  <c r="M534" i="2"/>
  <c r="N534" i="2"/>
  <c r="O534" i="2"/>
  <c r="P534" i="2"/>
  <c r="S534" i="2"/>
  <c r="U534" i="2"/>
  <c r="Y534" i="2"/>
  <c r="Z534" i="2"/>
  <c r="AA534" i="2"/>
  <c r="AB534" i="2"/>
  <c r="AC534" i="2"/>
  <c r="AD534" i="2"/>
  <c r="AE534" i="2"/>
  <c r="AF534" i="2"/>
  <c r="AG534" i="2"/>
  <c r="A535" i="2"/>
  <c r="B535" i="2"/>
  <c r="C535" i="2"/>
  <c r="D535" i="2"/>
  <c r="E535" i="2"/>
  <c r="F535" i="2"/>
  <c r="G535" i="2"/>
  <c r="H535" i="2"/>
  <c r="I535" i="2"/>
  <c r="J535" i="2"/>
  <c r="K535" i="2"/>
  <c r="U535" i="2" s="1"/>
  <c r="L535" i="2"/>
  <c r="M535" i="2"/>
  <c r="N535" i="2"/>
  <c r="O535" i="2"/>
  <c r="P535" i="2"/>
  <c r="R535" i="2"/>
  <c r="S535" i="2"/>
  <c r="T535" i="2"/>
  <c r="Y535" i="2"/>
  <c r="Z535" i="2"/>
  <c r="AA535" i="2"/>
  <c r="AB535" i="2"/>
  <c r="AC535" i="2"/>
  <c r="AD535" i="2"/>
  <c r="AE535" i="2"/>
  <c r="AF535" i="2"/>
  <c r="AG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M536" i="2"/>
  <c r="N536" i="2"/>
  <c r="O536" i="2"/>
  <c r="P536" i="2"/>
  <c r="S536" i="2"/>
  <c r="Y536" i="2"/>
  <c r="Z536" i="2"/>
  <c r="AA536" i="2"/>
  <c r="AB536" i="2"/>
  <c r="AC536" i="2"/>
  <c r="AD536" i="2"/>
  <c r="AE536" i="2"/>
  <c r="AF536" i="2"/>
  <c r="AG536" i="2"/>
  <c r="A537" i="2"/>
  <c r="B537" i="2"/>
  <c r="C537" i="2"/>
  <c r="D537" i="2"/>
  <c r="E537" i="2"/>
  <c r="F537" i="2"/>
  <c r="G537" i="2"/>
  <c r="H537" i="2"/>
  <c r="I537" i="2"/>
  <c r="J537" i="2"/>
  <c r="K537" i="2"/>
  <c r="W537" i="2" s="1"/>
  <c r="L537" i="2"/>
  <c r="M537" i="2"/>
  <c r="N537" i="2"/>
  <c r="O537" i="2"/>
  <c r="P537" i="2"/>
  <c r="Q537" i="2"/>
  <c r="R537" i="2"/>
  <c r="S537" i="2"/>
  <c r="T537" i="2"/>
  <c r="U537" i="2"/>
  <c r="V537" i="2"/>
  <c r="X537" i="2"/>
  <c r="Y537" i="2"/>
  <c r="Z537" i="2"/>
  <c r="AA537" i="2"/>
  <c r="AB537" i="2"/>
  <c r="AC537" i="2"/>
  <c r="AD537" i="2"/>
  <c r="AE537" i="2"/>
  <c r="AF537" i="2"/>
  <c r="AG537" i="2"/>
  <c r="A538" i="2"/>
  <c r="B538" i="2"/>
  <c r="C538" i="2"/>
  <c r="D538" i="2"/>
  <c r="E538" i="2"/>
  <c r="F538" i="2"/>
  <c r="G538" i="2"/>
  <c r="H538" i="2"/>
  <c r="I538" i="2"/>
  <c r="J538" i="2"/>
  <c r="K538" i="2"/>
  <c r="R538" i="2" s="1"/>
  <c r="L538" i="2"/>
  <c r="M538" i="2"/>
  <c r="N538" i="2"/>
  <c r="O538" i="2"/>
  <c r="P538" i="2"/>
  <c r="Q538" i="2"/>
  <c r="S538" i="2"/>
  <c r="T538" i="2"/>
  <c r="U538" i="2"/>
  <c r="W538" i="2"/>
  <c r="X538" i="2"/>
  <c r="Y538" i="2"/>
  <c r="Z538" i="2"/>
  <c r="AA538" i="2"/>
  <c r="AB538" i="2"/>
  <c r="AC538" i="2"/>
  <c r="AD538" i="2"/>
  <c r="AE538" i="2"/>
  <c r="AF538" i="2"/>
  <c r="AG538" i="2"/>
  <c r="A539" i="2"/>
  <c r="B539" i="2"/>
  <c r="C539" i="2"/>
  <c r="D539" i="2"/>
  <c r="E539" i="2"/>
  <c r="F539" i="2"/>
  <c r="G539" i="2"/>
  <c r="H539" i="2"/>
  <c r="I539" i="2"/>
  <c r="J539" i="2"/>
  <c r="K539" i="2"/>
  <c r="Q539" i="2" s="1"/>
  <c r="L539" i="2"/>
  <c r="M539" i="2"/>
  <c r="N539" i="2"/>
  <c r="O539" i="2"/>
  <c r="P539" i="2"/>
  <c r="S539" i="2"/>
  <c r="T539" i="2"/>
  <c r="V539" i="2"/>
  <c r="W539" i="2"/>
  <c r="X539" i="2"/>
  <c r="Y539" i="2"/>
  <c r="Z539" i="2"/>
  <c r="AA539" i="2"/>
  <c r="AB539" i="2"/>
  <c r="AC539" i="2"/>
  <c r="AD539" i="2"/>
  <c r="AE539" i="2"/>
  <c r="AF539" i="2"/>
  <c r="AG539" i="2"/>
  <c r="A540" i="2"/>
  <c r="B540" i="2"/>
  <c r="C540" i="2"/>
  <c r="D540" i="2"/>
  <c r="E540" i="2"/>
  <c r="F540" i="2"/>
  <c r="G540" i="2"/>
  <c r="H540" i="2"/>
  <c r="I540" i="2"/>
  <c r="J540" i="2"/>
  <c r="K540" i="2"/>
  <c r="X540" i="2" s="1"/>
  <c r="L540" i="2"/>
  <c r="M540" i="2"/>
  <c r="N540" i="2"/>
  <c r="O540" i="2"/>
  <c r="P540" i="2"/>
  <c r="S540" i="2"/>
  <c r="U540" i="2"/>
  <c r="V540" i="2"/>
  <c r="W540" i="2"/>
  <c r="Y540" i="2"/>
  <c r="Z540" i="2"/>
  <c r="AA540" i="2"/>
  <c r="AB540" i="2"/>
  <c r="AC540" i="2"/>
  <c r="AD540" i="2"/>
  <c r="AE540" i="2"/>
  <c r="AF540" i="2"/>
  <c r="AG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M541" i="2"/>
  <c r="N541" i="2"/>
  <c r="O541" i="2"/>
  <c r="P541" i="2"/>
  <c r="Q541" i="2"/>
  <c r="R541" i="2"/>
  <c r="S541" i="2"/>
  <c r="T541" i="2"/>
  <c r="U541" i="2"/>
  <c r="V541" i="2"/>
  <c r="W541" i="2"/>
  <c r="X541" i="2"/>
  <c r="Y541" i="2"/>
  <c r="Z541" i="2"/>
  <c r="AA541" i="2"/>
  <c r="AB541" i="2"/>
  <c r="AC541" i="2"/>
  <c r="AD541" i="2"/>
  <c r="AE541" i="2"/>
  <c r="AF541" i="2"/>
  <c r="AG541" i="2"/>
  <c r="A542" i="2"/>
  <c r="B542" i="2"/>
  <c r="C542" i="2"/>
  <c r="D542" i="2"/>
  <c r="E542" i="2"/>
  <c r="F542" i="2"/>
  <c r="G542" i="2"/>
  <c r="H542" i="2"/>
  <c r="I542" i="2"/>
  <c r="J542" i="2"/>
  <c r="K542" i="2"/>
  <c r="V542" i="2" s="1"/>
  <c r="L542" i="2"/>
  <c r="M542" i="2"/>
  <c r="N542" i="2"/>
  <c r="O542" i="2"/>
  <c r="P542" i="2"/>
  <c r="S542" i="2"/>
  <c r="U542" i="2"/>
  <c r="Y542" i="2"/>
  <c r="Z542" i="2"/>
  <c r="AA542" i="2"/>
  <c r="AB542" i="2"/>
  <c r="AC542" i="2"/>
  <c r="AD542" i="2"/>
  <c r="AE542" i="2"/>
  <c r="AF542" i="2"/>
  <c r="AG542" i="2"/>
  <c r="A543" i="2"/>
  <c r="B543" i="2"/>
  <c r="C543" i="2"/>
  <c r="D543" i="2"/>
  <c r="E543" i="2"/>
  <c r="F543" i="2"/>
  <c r="G543" i="2"/>
  <c r="H543" i="2"/>
  <c r="I543" i="2"/>
  <c r="J543" i="2"/>
  <c r="K543" i="2"/>
  <c r="U543" i="2" s="1"/>
  <c r="L543" i="2"/>
  <c r="M543" i="2"/>
  <c r="N543" i="2"/>
  <c r="O543" i="2"/>
  <c r="P543" i="2"/>
  <c r="R543" i="2"/>
  <c r="S543" i="2"/>
  <c r="T543" i="2"/>
  <c r="Y543" i="2"/>
  <c r="Z543" i="2"/>
  <c r="AA543" i="2"/>
  <c r="AB543" i="2"/>
  <c r="AC543" i="2"/>
  <c r="AD543" i="2"/>
  <c r="AE543" i="2"/>
  <c r="AF543" i="2"/>
  <c r="AG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M544" i="2"/>
  <c r="N544" i="2"/>
  <c r="O544" i="2"/>
  <c r="P544" i="2"/>
  <c r="Y544" i="2"/>
  <c r="Z544" i="2"/>
  <c r="AA544" i="2"/>
  <c r="AB544" i="2"/>
  <c r="AC544" i="2"/>
  <c r="AD544" i="2"/>
  <c r="AE544" i="2"/>
  <c r="AF544" i="2"/>
  <c r="AG544" i="2"/>
  <c r="A545" i="2"/>
  <c r="B545" i="2"/>
  <c r="C545" i="2"/>
  <c r="D545" i="2"/>
  <c r="E545" i="2"/>
  <c r="F545" i="2"/>
  <c r="G545" i="2"/>
  <c r="H545" i="2"/>
  <c r="I545" i="2"/>
  <c r="J545" i="2"/>
  <c r="K545" i="2"/>
  <c r="W545" i="2" s="1"/>
  <c r="L545" i="2"/>
  <c r="M545" i="2"/>
  <c r="N545" i="2"/>
  <c r="O545" i="2"/>
  <c r="P545" i="2"/>
  <c r="Q545" i="2"/>
  <c r="R545" i="2"/>
  <c r="S545" i="2"/>
  <c r="T545" i="2"/>
  <c r="U545" i="2"/>
  <c r="V545" i="2"/>
  <c r="X545" i="2"/>
  <c r="Y545" i="2"/>
  <c r="Z545" i="2"/>
  <c r="AA545" i="2"/>
  <c r="AB545" i="2"/>
  <c r="AC545" i="2"/>
  <c r="AD545" i="2"/>
  <c r="AE545" i="2"/>
  <c r="AF545" i="2"/>
  <c r="AG545" i="2"/>
  <c r="A546" i="2"/>
  <c r="B546" i="2"/>
  <c r="C546" i="2"/>
  <c r="D546" i="2"/>
  <c r="E546" i="2"/>
  <c r="F546" i="2"/>
  <c r="G546" i="2"/>
  <c r="H546" i="2"/>
  <c r="I546" i="2"/>
  <c r="J546" i="2"/>
  <c r="K546" i="2"/>
  <c r="R546" i="2" s="1"/>
  <c r="L546" i="2"/>
  <c r="M546" i="2"/>
  <c r="N546" i="2"/>
  <c r="O546" i="2"/>
  <c r="P546" i="2"/>
  <c r="Q546" i="2"/>
  <c r="S546" i="2"/>
  <c r="T546" i="2"/>
  <c r="U546" i="2"/>
  <c r="W546" i="2"/>
  <c r="X546" i="2"/>
  <c r="Y546" i="2"/>
  <c r="Z546" i="2"/>
  <c r="AA546" i="2"/>
  <c r="AB546" i="2"/>
  <c r="AC546" i="2"/>
  <c r="AD546" i="2"/>
  <c r="AE546" i="2"/>
  <c r="AF546" i="2"/>
  <c r="AG546" i="2"/>
  <c r="A547" i="2"/>
  <c r="B547" i="2"/>
  <c r="C547" i="2"/>
  <c r="D547" i="2"/>
  <c r="E547" i="2"/>
  <c r="F547" i="2"/>
  <c r="G547" i="2"/>
  <c r="H547" i="2"/>
  <c r="I547" i="2"/>
  <c r="J547" i="2"/>
  <c r="K547" i="2"/>
  <c r="Q547" i="2" s="1"/>
  <c r="L547" i="2"/>
  <c r="M547" i="2"/>
  <c r="N547" i="2"/>
  <c r="O547" i="2"/>
  <c r="P547" i="2"/>
  <c r="S547" i="2"/>
  <c r="T547" i="2"/>
  <c r="V547" i="2"/>
  <c r="W547" i="2"/>
  <c r="X547" i="2"/>
  <c r="Y547" i="2"/>
  <c r="Z547" i="2"/>
  <c r="AA547" i="2"/>
  <c r="AB547" i="2"/>
  <c r="AC547" i="2"/>
  <c r="AD547" i="2"/>
  <c r="AE547" i="2"/>
  <c r="AF547" i="2"/>
  <c r="AG547" i="2"/>
  <c r="A548" i="2"/>
  <c r="B548" i="2"/>
  <c r="C548" i="2"/>
  <c r="D548" i="2"/>
  <c r="E548" i="2"/>
  <c r="F548" i="2"/>
  <c r="G548" i="2"/>
  <c r="H548" i="2"/>
  <c r="I548" i="2"/>
  <c r="J548" i="2"/>
  <c r="K548" i="2"/>
  <c r="X548" i="2" s="1"/>
  <c r="L548" i="2"/>
  <c r="M548" i="2"/>
  <c r="N548" i="2"/>
  <c r="O548" i="2"/>
  <c r="P548" i="2"/>
  <c r="S548" i="2"/>
  <c r="U548" i="2"/>
  <c r="V548" i="2"/>
  <c r="W548" i="2"/>
  <c r="Y548" i="2"/>
  <c r="Z548" i="2"/>
  <c r="AA548" i="2"/>
  <c r="AB548" i="2"/>
  <c r="AC548" i="2"/>
  <c r="AD548" i="2"/>
  <c r="AE548" i="2"/>
  <c r="AF548" i="2"/>
  <c r="AG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M549" i="2"/>
  <c r="N549" i="2"/>
  <c r="O549" i="2"/>
  <c r="P549" i="2"/>
  <c r="Q549" i="2"/>
  <c r="R549" i="2"/>
  <c r="S549" i="2"/>
  <c r="T549" i="2"/>
  <c r="U549" i="2"/>
  <c r="V549" i="2"/>
  <c r="W549" i="2"/>
  <c r="X549" i="2"/>
  <c r="Y549" i="2"/>
  <c r="Z549" i="2"/>
  <c r="AA549" i="2"/>
  <c r="AB549" i="2"/>
  <c r="AC549" i="2"/>
  <c r="AD549" i="2"/>
  <c r="AE549" i="2"/>
  <c r="AF549" i="2"/>
  <c r="AG549" i="2"/>
  <c r="A550" i="2"/>
  <c r="B550" i="2"/>
  <c r="C550" i="2"/>
  <c r="D550" i="2"/>
  <c r="E550" i="2"/>
  <c r="F550" i="2"/>
  <c r="G550" i="2"/>
  <c r="H550" i="2"/>
  <c r="I550" i="2"/>
  <c r="J550" i="2"/>
  <c r="K550" i="2"/>
  <c r="V550" i="2" s="1"/>
  <c r="L550" i="2"/>
  <c r="M550" i="2"/>
  <c r="N550" i="2"/>
  <c r="O550" i="2"/>
  <c r="P550" i="2"/>
  <c r="S550" i="2"/>
  <c r="U550" i="2"/>
  <c r="Y550" i="2"/>
  <c r="Z550" i="2"/>
  <c r="AA550" i="2"/>
  <c r="AB550" i="2"/>
  <c r="AC550" i="2"/>
  <c r="AD550" i="2"/>
  <c r="AE550" i="2"/>
  <c r="AF550" i="2"/>
  <c r="AG550" i="2"/>
  <c r="A551" i="2"/>
  <c r="B551" i="2"/>
  <c r="C551" i="2"/>
  <c r="D551" i="2"/>
  <c r="E551" i="2"/>
  <c r="F551" i="2"/>
  <c r="G551" i="2"/>
  <c r="H551" i="2"/>
  <c r="I551" i="2"/>
  <c r="J551" i="2"/>
  <c r="K551" i="2"/>
  <c r="U551" i="2" s="1"/>
  <c r="L551" i="2"/>
  <c r="M551" i="2"/>
  <c r="N551" i="2"/>
  <c r="O551" i="2"/>
  <c r="P551" i="2"/>
  <c r="R551" i="2"/>
  <c r="S551" i="2"/>
  <c r="T551" i="2"/>
  <c r="Y551" i="2"/>
  <c r="Z551" i="2"/>
  <c r="AA551" i="2"/>
  <c r="AB551" i="2"/>
  <c r="AC551" i="2"/>
  <c r="AD551" i="2"/>
  <c r="AE551" i="2"/>
  <c r="AF551" i="2"/>
  <c r="AG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M552" i="2"/>
  <c r="N552" i="2"/>
  <c r="O552" i="2"/>
  <c r="P552" i="2"/>
  <c r="S552" i="2"/>
  <c r="Y552" i="2"/>
  <c r="Z552" i="2"/>
  <c r="AA552" i="2"/>
  <c r="AB552" i="2"/>
  <c r="AC552" i="2"/>
  <c r="AD552" i="2"/>
  <c r="AE552" i="2"/>
  <c r="AF552" i="2"/>
  <c r="AG552" i="2"/>
  <c r="A553" i="2"/>
  <c r="B553" i="2"/>
  <c r="C553" i="2"/>
  <c r="D553" i="2"/>
  <c r="E553" i="2"/>
  <c r="F553" i="2"/>
  <c r="G553" i="2"/>
  <c r="H553" i="2"/>
  <c r="I553" i="2"/>
  <c r="J553" i="2"/>
  <c r="K553" i="2"/>
  <c r="W553" i="2" s="1"/>
  <c r="L553" i="2"/>
  <c r="M553" i="2"/>
  <c r="N553" i="2"/>
  <c r="O553" i="2"/>
  <c r="P553" i="2"/>
  <c r="Q553" i="2"/>
  <c r="R553" i="2"/>
  <c r="S553" i="2"/>
  <c r="T553" i="2"/>
  <c r="U553" i="2"/>
  <c r="V553" i="2"/>
  <c r="X553" i="2"/>
  <c r="Y553" i="2"/>
  <c r="Z553" i="2"/>
  <c r="AA553" i="2"/>
  <c r="AB553" i="2"/>
  <c r="AC553" i="2"/>
  <c r="AD553" i="2"/>
  <c r="AE553" i="2"/>
  <c r="AF553" i="2"/>
  <c r="AG553" i="2"/>
  <c r="A554" i="2"/>
  <c r="B554" i="2"/>
  <c r="C554" i="2"/>
  <c r="D554" i="2"/>
  <c r="E554" i="2"/>
  <c r="F554" i="2"/>
  <c r="G554" i="2"/>
  <c r="H554" i="2"/>
  <c r="I554" i="2"/>
  <c r="J554" i="2"/>
  <c r="K554" i="2"/>
  <c r="R554" i="2" s="1"/>
  <c r="L554" i="2"/>
  <c r="M554" i="2"/>
  <c r="N554" i="2"/>
  <c r="O554" i="2"/>
  <c r="P554" i="2"/>
  <c r="Q554" i="2"/>
  <c r="S554" i="2"/>
  <c r="T554" i="2"/>
  <c r="U554" i="2"/>
  <c r="W554" i="2"/>
  <c r="X554" i="2"/>
  <c r="Y554" i="2"/>
  <c r="Z554" i="2"/>
  <c r="AA554" i="2"/>
  <c r="AB554" i="2"/>
  <c r="AC554" i="2"/>
  <c r="AD554" i="2"/>
  <c r="AE554" i="2"/>
  <c r="AF554" i="2"/>
  <c r="AG554" i="2"/>
  <c r="A555" i="2"/>
  <c r="B555" i="2"/>
  <c r="C555" i="2"/>
  <c r="D555" i="2"/>
  <c r="E555" i="2"/>
  <c r="F555" i="2"/>
  <c r="G555" i="2"/>
  <c r="H555" i="2"/>
  <c r="I555" i="2"/>
  <c r="J555" i="2"/>
  <c r="K555" i="2"/>
  <c r="Q555" i="2" s="1"/>
  <c r="L555" i="2"/>
  <c r="M555" i="2"/>
  <c r="N555" i="2"/>
  <c r="O555" i="2"/>
  <c r="P555" i="2"/>
  <c r="S555" i="2"/>
  <c r="T555" i="2"/>
  <c r="V555" i="2"/>
  <c r="W555" i="2"/>
  <c r="X555" i="2"/>
  <c r="Y555" i="2"/>
  <c r="Z555" i="2"/>
  <c r="AA555" i="2"/>
  <c r="AB555" i="2"/>
  <c r="AC555" i="2"/>
  <c r="AD555" i="2"/>
  <c r="AE555" i="2"/>
  <c r="AF555" i="2"/>
  <c r="AG555" i="2"/>
  <c r="A556" i="2"/>
  <c r="B556" i="2"/>
  <c r="C556" i="2"/>
  <c r="D556" i="2"/>
  <c r="E556" i="2"/>
  <c r="F556" i="2"/>
  <c r="G556" i="2"/>
  <c r="H556" i="2"/>
  <c r="I556" i="2"/>
  <c r="J556" i="2"/>
  <c r="K556" i="2"/>
  <c r="X556" i="2" s="1"/>
  <c r="L556" i="2"/>
  <c r="M556" i="2"/>
  <c r="N556" i="2"/>
  <c r="O556" i="2"/>
  <c r="P556" i="2"/>
  <c r="S556" i="2"/>
  <c r="U556" i="2"/>
  <c r="V556" i="2"/>
  <c r="W556" i="2"/>
  <c r="Y556" i="2"/>
  <c r="Z556" i="2"/>
  <c r="AA556" i="2"/>
  <c r="AB556" i="2"/>
  <c r="AC556" i="2"/>
  <c r="AD556" i="2"/>
  <c r="AE556" i="2"/>
  <c r="AF556" i="2"/>
  <c r="AG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M557" i="2"/>
  <c r="N557" i="2"/>
  <c r="O557" i="2"/>
  <c r="P557" i="2"/>
  <c r="Q557" i="2"/>
  <c r="R557" i="2"/>
  <c r="S557" i="2"/>
  <c r="T557" i="2"/>
  <c r="U557" i="2"/>
  <c r="V557" i="2"/>
  <c r="W557" i="2"/>
  <c r="X557" i="2"/>
  <c r="Y557" i="2"/>
  <c r="Z557" i="2"/>
  <c r="AA557" i="2"/>
  <c r="AB557" i="2"/>
  <c r="AC557" i="2"/>
  <c r="AD557" i="2"/>
  <c r="AE557" i="2"/>
  <c r="AF557" i="2"/>
  <c r="AG557" i="2"/>
  <c r="A558" i="2"/>
  <c r="B558" i="2"/>
  <c r="C558" i="2"/>
  <c r="D558" i="2"/>
  <c r="E558" i="2"/>
  <c r="F558" i="2"/>
  <c r="G558" i="2"/>
  <c r="H558" i="2"/>
  <c r="I558" i="2"/>
  <c r="J558" i="2"/>
  <c r="K558" i="2"/>
  <c r="V558" i="2" s="1"/>
  <c r="L558" i="2"/>
  <c r="M558" i="2"/>
  <c r="N558" i="2"/>
  <c r="O558" i="2"/>
  <c r="P558" i="2"/>
  <c r="S558" i="2"/>
  <c r="U558" i="2"/>
  <c r="Y558" i="2"/>
  <c r="Z558" i="2"/>
  <c r="AA558" i="2"/>
  <c r="AB558" i="2"/>
  <c r="AC558" i="2"/>
  <c r="AD558" i="2"/>
  <c r="AE558" i="2"/>
  <c r="AF558" i="2"/>
  <c r="AG558" i="2"/>
  <c r="A559" i="2"/>
  <c r="B559" i="2"/>
  <c r="C559" i="2"/>
  <c r="D559" i="2"/>
  <c r="E559" i="2"/>
  <c r="F559" i="2"/>
  <c r="G559" i="2"/>
  <c r="H559" i="2"/>
  <c r="I559" i="2"/>
  <c r="J559" i="2"/>
  <c r="K559" i="2"/>
  <c r="U559" i="2" s="1"/>
  <c r="L559" i="2"/>
  <c r="M559" i="2"/>
  <c r="N559" i="2"/>
  <c r="O559" i="2"/>
  <c r="P559" i="2"/>
  <c r="R559" i="2"/>
  <c r="S559" i="2"/>
  <c r="T559" i="2"/>
  <c r="Y559" i="2"/>
  <c r="Z559" i="2"/>
  <c r="AA559" i="2"/>
  <c r="AB559" i="2"/>
  <c r="AC559" i="2"/>
  <c r="AD559" i="2"/>
  <c r="AE559" i="2"/>
  <c r="AF559" i="2"/>
  <c r="AG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M560" i="2"/>
  <c r="N560" i="2"/>
  <c r="O560" i="2"/>
  <c r="P560" i="2"/>
  <c r="Y560" i="2"/>
  <c r="Z560" i="2"/>
  <c r="AA560" i="2"/>
  <c r="AB560" i="2"/>
  <c r="AC560" i="2"/>
  <c r="AD560" i="2"/>
  <c r="AE560" i="2"/>
  <c r="AF560" i="2"/>
  <c r="AG560" i="2"/>
  <c r="A561" i="2"/>
  <c r="B561" i="2"/>
  <c r="C561" i="2"/>
  <c r="D561" i="2"/>
  <c r="E561" i="2"/>
  <c r="F561" i="2"/>
  <c r="G561" i="2"/>
  <c r="H561" i="2"/>
  <c r="I561" i="2"/>
  <c r="J561" i="2"/>
  <c r="K561" i="2"/>
  <c r="W561" i="2" s="1"/>
  <c r="L561" i="2"/>
  <c r="M561" i="2"/>
  <c r="N561" i="2"/>
  <c r="O561" i="2"/>
  <c r="P561" i="2"/>
  <c r="Q561" i="2"/>
  <c r="R561" i="2"/>
  <c r="S561" i="2"/>
  <c r="T561" i="2"/>
  <c r="U561" i="2"/>
  <c r="V561" i="2"/>
  <c r="X561" i="2"/>
  <c r="Y561" i="2"/>
  <c r="Z561" i="2"/>
  <c r="AA561" i="2"/>
  <c r="AB561" i="2"/>
  <c r="AC561" i="2"/>
  <c r="AD561" i="2"/>
  <c r="AE561" i="2"/>
  <c r="AF561" i="2"/>
  <c r="AG561" i="2"/>
  <c r="A562" i="2"/>
  <c r="B562" i="2"/>
  <c r="C562" i="2"/>
  <c r="D562" i="2"/>
  <c r="E562" i="2"/>
  <c r="F562" i="2"/>
  <c r="G562" i="2"/>
  <c r="H562" i="2"/>
  <c r="I562" i="2"/>
  <c r="J562" i="2"/>
  <c r="K562" i="2"/>
  <c r="R562" i="2" s="1"/>
  <c r="L562" i="2"/>
  <c r="M562" i="2"/>
  <c r="N562" i="2"/>
  <c r="O562" i="2"/>
  <c r="P562" i="2"/>
  <c r="Q562" i="2"/>
  <c r="S562" i="2"/>
  <c r="T562" i="2"/>
  <c r="U562" i="2"/>
  <c r="W562" i="2"/>
  <c r="X562" i="2"/>
  <c r="Y562" i="2"/>
  <c r="Z562" i="2"/>
  <c r="AA562" i="2"/>
  <c r="AB562" i="2"/>
  <c r="AC562" i="2"/>
  <c r="AD562" i="2"/>
  <c r="AE562" i="2"/>
  <c r="AF562" i="2"/>
  <c r="AG562" i="2"/>
  <c r="A563" i="2"/>
  <c r="B563" i="2"/>
  <c r="C563" i="2"/>
  <c r="D563" i="2"/>
  <c r="E563" i="2"/>
  <c r="F563" i="2"/>
  <c r="G563" i="2"/>
  <c r="H563" i="2"/>
  <c r="I563" i="2"/>
  <c r="J563" i="2"/>
  <c r="K563" i="2"/>
  <c r="Q563" i="2" s="1"/>
  <c r="L563" i="2"/>
  <c r="M563" i="2"/>
  <c r="N563" i="2"/>
  <c r="O563" i="2"/>
  <c r="P563" i="2"/>
  <c r="S563" i="2"/>
  <c r="T563" i="2"/>
  <c r="V563" i="2"/>
  <c r="W563" i="2"/>
  <c r="X563" i="2"/>
  <c r="Y563" i="2"/>
  <c r="Z563" i="2"/>
  <c r="AA563" i="2"/>
  <c r="AB563" i="2"/>
  <c r="AC563" i="2"/>
  <c r="AD563" i="2"/>
  <c r="AE563" i="2"/>
  <c r="AF563" i="2"/>
  <c r="AG563" i="2"/>
  <c r="A564" i="2"/>
  <c r="B564" i="2"/>
  <c r="C564" i="2"/>
  <c r="D564" i="2"/>
  <c r="E564" i="2"/>
  <c r="F564" i="2"/>
  <c r="G564" i="2"/>
  <c r="H564" i="2"/>
  <c r="I564" i="2"/>
  <c r="J564" i="2"/>
  <c r="K564" i="2"/>
  <c r="X564" i="2" s="1"/>
  <c r="L564" i="2"/>
  <c r="M564" i="2"/>
  <c r="N564" i="2"/>
  <c r="O564" i="2"/>
  <c r="P564" i="2"/>
  <c r="S564" i="2"/>
  <c r="U564" i="2"/>
  <c r="V564" i="2"/>
  <c r="W564" i="2"/>
  <c r="Y564" i="2"/>
  <c r="Z564" i="2"/>
  <c r="AA564" i="2"/>
  <c r="AB564" i="2"/>
  <c r="AC564" i="2"/>
  <c r="AD564" i="2"/>
  <c r="AE564" i="2"/>
  <c r="AF564" i="2"/>
  <c r="AG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M565" i="2"/>
  <c r="N565" i="2"/>
  <c r="O565" i="2"/>
  <c r="P565" i="2"/>
  <c r="Q565" i="2"/>
  <c r="R565" i="2"/>
  <c r="S565" i="2"/>
  <c r="T565" i="2"/>
  <c r="U565" i="2"/>
  <c r="V565" i="2"/>
  <c r="W565" i="2"/>
  <c r="X565" i="2"/>
  <c r="Y565" i="2"/>
  <c r="Z565" i="2"/>
  <c r="AA565" i="2"/>
  <c r="AB565" i="2"/>
  <c r="AC565" i="2"/>
  <c r="AD565" i="2"/>
  <c r="AE565" i="2"/>
  <c r="AF565" i="2"/>
  <c r="AG565" i="2"/>
  <c r="A566" i="2"/>
  <c r="B566" i="2"/>
  <c r="C566" i="2"/>
  <c r="D566" i="2"/>
  <c r="E566" i="2"/>
  <c r="F566" i="2"/>
  <c r="G566" i="2"/>
  <c r="H566" i="2"/>
  <c r="I566" i="2"/>
  <c r="J566" i="2"/>
  <c r="K566" i="2"/>
  <c r="V566" i="2" s="1"/>
  <c r="L566" i="2"/>
  <c r="M566" i="2"/>
  <c r="N566" i="2"/>
  <c r="O566" i="2"/>
  <c r="P566" i="2"/>
  <c r="S566" i="2"/>
  <c r="U566" i="2"/>
  <c r="Y566" i="2"/>
  <c r="Z566" i="2"/>
  <c r="AA566" i="2"/>
  <c r="AB566" i="2"/>
  <c r="AC566" i="2"/>
  <c r="AD566" i="2"/>
  <c r="AE566" i="2"/>
  <c r="AF566" i="2"/>
  <c r="AG566" i="2"/>
  <c r="A567" i="2"/>
  <c r="B567" i="2"/>
  <c r="C567" i="2"/>
  <c r="D567" i="2"/>
  <c r="E567" i="2"/>
  <c r="F567" i="2"/>
  <c r="G567" i="2"/>
  <c r="H567" i="2"/>
  <c r="I567" i="2"/>
  <c r="J567" i="2"/>
  <c r="K567" i="2"/>
  <c r="U567" i="2" s="1"/>
  <c r="L567" i="2"/>
  <c r="M567" i="2"/>
  <c r="N567" i="2"/>
  <c r="O567" i="2"/>
  <c r="P567" i="2"/>
  <c r="R567" i="2"/>
  <c r="S567" i="2"/>
  <c r="T567" i="2"/>
  <c r="Y567" i="2"/>
  <c r="Z567" i="2"/>
  <c r="AA567" i="2"/>
  <c r="AB567" i="2"/>
  <c r="AC567" i="2"/>
  <c r="AD567" i="2"/>
  <c r="AE567" i="2"/>
  <c r="AF567" i="2"/>
  <c r="AG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M568" i="2"/>
  <c r="N568" i="2"/>
  <c r="O568" i="2"/>
  <c r="P568" i="2"/>
  <c r="S568" i="2"/>
  <c r="Y568" i="2"/>
  <c r="Z568" i="2"/>
  <c r="AA568" i="2"/>
  <c r="AB568" i="2"/>
  <c r="AC568" i="2"/>
  <c r="AD568" i="2"/>
  <c r="AE568" i="2"/>
  <c r="AF568" i="2"/>
  <c r="AG568" i="2"/>
  <c r="A569" i="2"/>
  <c r="B569" i="2"/>
  <c r="C569" i="2"/>
  <c r="D569" i="2"/>
  <c r="E569" i="2"/>
  <c r="F569" i="2"/>
  <c r="G569" i="2"/>
  <c r="H569" i="2"/>
  <c r="I569" i="2"/>
  <c r="J569" i="2"/>
  <c r="K569" i="2"/>
  <c r="W569" i="2" s="1"/>
  <c r="L569" i="2"/>
  <c r="M569" i="2"/>
  <c r="N569" i="2"/>
  <c r="O569" i="2"/>
  <c r="P569" i="2"/>
  <c r="Q569" i="2"/>
  <c r="R569" i="2"/>
  <c r="S569" i="2"/>
  <c r="T569" i="2"/>
  <c r="U569" i="2"/>
  <c r="V569" i="2"/>
  <c r="X569" i="2"/>
  <c r="Y569" i="2"/>
  <c r="Z569" i="2"/>
  <c r="AA569" i="2"/>
  <c r="AB569" i="2"/>
  <c r="AC569" i="2"/>
  <c r="AD569" i="2"/>
  <c r="AE569" i="2"/>
  <c r="AF569" i="2"/>
  <c r="AG569" i="2"/>
  <c r="A570" i="2"/>
  <c r="B570" i="2"/>
  <c r="C570" i="2"/>
  <c r="D570" i="2"/>
  <c r="E570" i="2"/>
  <c r="F570" i="2"/>
  <c r="G570" i="2"/>
  <c r="H570" i="2"/>
  <c r="I570" i="2"/>
  <c r="J570" i="2"/>
  <c r="K570" i="2"/>
  <c r="R570" i="2" s="1"/>
  <c r="L570" i="2"/>
  <c r="M570" i="2"/>
  <c r="N570" i="2"/>
  <c r="O570" i="2"/>
  <c r="P570" i="2"/>
  <c r="Q570" i="2"/>
  <c r="S570" i="2"/>
  <c r="T570" i="2"/>
  <c r="U570" i="2"/>
  <c r="W570" i="2"/>
  <c r="X570" i="2"/>
  <c r="Y570" i="2"/>
  <c r="Z570" i="2"/>
  <c r="AA570" i="2"/>
  <c r="AB570" i="2"/>
  <c r="AC570" i="2"/>
  <c r="AD570" i="2"/>
  <c r="AE570" i="2"/>
  <c r="AF570" i="2"/>
  <c r="AG570" i="2"/>
  <c r="A571" i="2"/>
  <c r="B571" i="2"/>
  <c r="C571" i="2"/>
  <c r="D571" i="2"/>
  <c r="E571" i="2"/>
  <c r="F571" i="2"/>
  <c r="G571" i="2"/>
  <c r="H571" i="2"/>
  <c r="I571" i="2"/>
  <c r="J571" i="2"/>
  <c r="K571" i="2"/>
  <c r="Q571" i="2" s="1"/>
  <c r="L571" i="2"/>
  <c r="M571" i="2"/>
  <c r="N571" i="2"/>
  <c r="O571" i="2"/>
  <c r="P571" i="2"/>
  <c r="S571" i="2"/>
  <c r="T571" i="2"/>
  <c r="V571" i="2"/>
  <c r="W571" i="2"/>
  <c r="X571" i="2"/>
  <c r="Y571" i="2"/>
  <c r="Z571" i="2"/>
  <c r="AA571" i="2"/>
  <c r="AB571" i="2"/>
  <c r="AC571" i="2"/>
  <c r="AD571" i="2"/>
  <c r="AE571" i="2"/>
  <c r="AF571" i="2"/>
  <c r="AG571" i="2"/>
  <c r="A572" i="2"/>
  <c r="B572" i="2"/>
  <c r="C572" i="2"/>
  <c r="D572" i="2"/>
  <c r="E572" i="2"/>
  <c r="F572" i="2"/>
  <c r="G572" i="2"/>
  <c r="H572" i="2"/>
  <c r="I572" i="2"/>
  <c r="J572" i="2"/>
  <c r="K572" i="2"/>
  <c r="X572" i="2" s="1"/>
  <c r="L572" i="2"/>
  <c r="M572" i="2"/>
  <c r="N572" i="2"/>
  <c r="O572" i="2"/>
  <c r="P572" i="2"/>
  <c r="S572" i="2"/>
  <c r="U572" i="2"/>
  <c r="V572" i="2"/>
  <c r="W572" i="2"/>
  <c r="Y572" i="2"/>
  <c r="Z572" i="2"/>
  <c r="AA572" i="2"/>
  <c r="AB572" i="2"/>
  <c r="AC572" i="2"/>
  <c r="AD572" i="2"/>
  <c r="AE572" i="2"/>
  <c r="AF572" i="2"/>
  <c r="AG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M573" i="2"/>
  <c r="N573" i="2"/>
  <c r="O573" i="2"/>
  <c r="P573" i="2"/>
  <c r="Q573" i="2"/>
  <c r="R573" i="2"/>
  <c r="S573" i="2"/>
  <c r="T573" i="2"/>
  <c r="U573" i="2"/>
  <c r="V573" i="2"/>
  <c r="W573" i="2"/>
  <c r="X573" i="2"/>
  <c r="Y573" i="2"/>
  <c r="Z573" i="2"/>
  <c r="AA573" i="2"/>
  <c r="AB573" i="2"/>
  <c r="AC573" i="2"/>
  <c r="AD573" i="2"/>
  <c r="AE573" i="2"/>
  <c r="AF573" i="2"/>
  <c r="AG573" i="2"/>
  <c r="A574" i="2"/>
  <c r="B574" i="2"/>
  <c r="C574" i="2"/>
  <c r="D574" i="2"/>
  <c r="E574" i="2"/>
  <c r="F574" i="2"/>
  <c r="G574" i="2"/>
  <c r="H574" i="2"/>
  <c r="I574" i="2"/>
  <c r="J574" i="2"/>
  <c r="K574" i="2"/>
  <c r="V574" i="2" s="1"/>
  <c r="L574" i="2"/>
  <c r="M574" i="2"/>
  <c r="N574" i="2"/>
  <c r="O574" i="2"/>
  <c r="P574" i="2"/>
  <c r="S574" i="2"/>
  <c r="U574" i="2"/>
  <c r="Y574" i="2"/>
  <c r="Z574" i="2"/>
  <c r="AA574" i="2"/>
  <c r="AB574" i="2"/>
  <c r="AC574" i="2"/>
  <c r="AD574" i="2"/>
  <c r="AE574" i="2"/>
  <c r="AF574" i="2"/>
  <c r="AG574" i="2"/>
  <c r="A575" i="2"/>
  <c r="B575" i="2"/>
  <c r="C575" i="2"/>
  <c r="D575" i="2"/>
  <c r="E575" i="2"/>
  <c r="F575" i="2"/>
  <c r="G575" i="2"/>
  <c r="H575" i="2"/>
  <c r="I575" i="2"/>
  <c r="J575" i="2"/>
  <c r="K575" i="2"/>
  <c r="U575" i="2" s="1"/>
  <c r="L575" i="2"/>
  <c r="M575" i="2"/>
  <c r="N575" i="2"/>
  <c r="O575" i="2"/>
  <c r="P575" i="2"/>
  <c r="R575" i="2"/>
  <c r="S575" i="2"/>
  <c r="T575" i="2"/>
  <c r="Y575" i="2"/>
  <c r="Z575" i="2"/>
  <c r="AA575" i="2"/>
  <c r="AB575" i="2"/>
  <c r="AC575" i="2"/>
  <c r="AD575" i="2"/>
  <c r="AE575" i="2"/>
  <c r="AF575" i="2"/>
  <c r="AG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M576" i="2"/>
  <c r="N576" i="2"/>
  <c r="O576" i="2"/>
  <c r="P576" i="2"/>
  <c r="Y576" i="2"/>
  <c r="Z576" i="2"/>
  <c r="AA576" i="2"/>
  <c r="AB576" i="2"/>
  <c r="AC576" i="2"/>
  <c r="AD576" i="2"/>
  <c r="AE576" i="2"/>
  <c r="AF576" i="2"/>
  <c r="AG576" i="2"/>
  <c r="A577" i="2"/>
  <c r="B577" i="2"/>
  <c r="C577" i="2"/>
  <c r="D577" i="2"/>
  <c r="E577" i="2"/>
  <c r="F577" i="2"/>
  <c r="G577" i="2"/>
  <c r="H577" i="2"/>
  <c r="I577" i="2"/>
  <c r="J577" i="2"/>
  <c r="K577" i="2"/>
  <c r="W577" i="2" s="1"/>
  <c r="L577" i="2"/>
  <c r="M577" i="2"/>
  <c r="N577" i="2"/>
  <c r="O577" i="2"/>
  <c r="P577" i="2"/>
  <c r="Q577" i="2"/>
  <c r="R577" i="2"/>
  <c r="S577" i="2"/>
  <c r="T577" i="2"/>
  <c r="U577" i="2"/>
  <c r="V577" i="2"/>
  <c r="X577" i="2"/>
  <c r="Y577" i="2"/>
  <c r="Z577" i="2"/>
  <c r="AA577" i="2"/>
  <c r="AB577" i="2"/>
  <c r="AC577" i="2"/>
  <c r="AD577" i="2"/>
  <c r="AE577" i="2"/>
  <c r="AF577" i="2"/>
  <c r="AG577" i="2"/>
  <c r="A578" i="2"/>
  <c r="B578" i="2"/>
  <c r="C578" i="2"/>
  <c r="D578" i="2"/>
  <c r="E578" i="2"/>
  <c r="F578" i="2"/>
  <c r="G578" i="2"/>
  <c r="H578" i="2"/>
  <c r="I578" i="2"/>
  <c r="J578" i="2"/>
  <c r="K578" i="2"/>
  <c r="R578" i="2" s="1"/>
  <c r="L578" i="2"/>
  <c r="M578" i="2"/>
  <c r="N578" i="2"/>
  <c r="O578" i="2"/>
  <c r="P578" i="2"/>
  <c r="Q578" i="2"/>
  <c r="S578" i="2"/>
  <c r="T578" i="2"/>
  <c r="U578" i="2"/>
  <c r="W578" i="2"/>
  <c r="X578" i="2"/>
  <c r="Y578" i="2"/>
  <c r="Z578" i="2"/>
  <c r="AA578" i="2"/>
  <c r="AB578" i="2"/>
  <c r="AC578" i="2"/>
  <c r="AD578" i="2"/>
  <c r="AE578" i="2"/>
  <c r="AF578" i="2"/>
  <c r="AG578" i="2"/>
  <c r="A579" i="2"/>
  <c r="B579" i="2"/>
  <c r="C579" i="2"/>
  <c r="D579" i="2"/>
  <c r="E579" i="2"/>
  <c r="F579" i="2"/>
  <c r="G579" i="2"/>
  <c r="H579" i="2"/>
  <c r="I579" i="2"/>
  <c r="J579" i="2"/>
  <c r="K579" i="2"/>
  <c r="Q579" i="2" s="1"/>
  <c r="L579" i="2"/>
  <c r="M579" i="2"/>
  <c r="N579" i="2"/>
  <c r="O579" i="2"/>
  <c r="P579" i="2"/>
  <c r="S579" i="2"/>
  <c r="T579" i="2"/>
  <c r="V579" i="2"/>
  <c r="W579" i="2"/>
  <c r="X579" i="2"/>
  <c r="Y579" i="2"/>
  <c r="Z579" i="2"/>
  <c r="AA579" i="2"/>
  <c r="AB579" i="2"/>
  <c r="AC579" i="2"/>
  <c r="AD579" i="2"/>
  <c r="AE579" i="2"/>
  <c r="AF579" i="2"/>
  <c r="AG579" i="2"/>
  <c r="A580" i="2"/>
  <c r="B580" i="2"/>
  <c r="C580" i="2"/>
  <c r="D580" i="2"/>
  <c r="E580" i="2"/>
  <c r="F580" i="2"/>
  <c r="G580" i="2"/>
  <c r="H580" i="2"/>
  <c r="I580" i="2"/>
  <c r="J580" i="2"/>
  <c r="K580" i="2"/>
  <c r="X580" i="2" s="1"/>
  <c r="L580" i="2"/>
  <c r="M580" i="2"/>
  <c r="N580" i="2"/>
  <c r="O580" i="2"/>
  <c r="P580" i="2"/>
  <c r="S580" i="2"/>
  <c r="U580" i="2"/>
  <c r="V580" i="2"/>
  <c r="W580" i="2"/>
  <c r="Y580" i="2"/>
  <c r="Z580" i="2"/>
  <c r="AA580" i="2"/>
  <c r="AB580" i="2"/>
  <c r="AC580" i="2"/>
  <c r="AD580" i="2"/>
  <c r="AE580" i="2"/>
  <c r="AF580" i="2"/>
  <c r="AG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M581" i="2"/>
  <c r="N581" i="2"/>
  <c r="O581" i="2"/>
  <c r="P581" i="2"/>
  <c r="Q581" i="2"/>
  <c r="R581" i="2"/>
  <c r="S581" i="2"/>
  <c r="T581" i="2"/>
  <c r="U581" i="2"/>
  <c r="V581" i="2"/>
  <c r="W581" i="2"/>
  <c r="X581" i="2"/>
  <c r="Y581" i="2"/>
  <c r="Z581" i="2"/>
  <c r="AA581" i="2"/>
  <c r="AB581" i="2"/>
  <c r="AC581" i="2"/>
  <c r="AD581" i="2"/>
  <c r="AE581" i="2"/>
  <c r="AF581" i="2"/>
  <c r="AG581" i="2"/>
  <c r="A582" i="2"/>
  <c r="B582" i="2"/>
  <c r="C582" i="2"/>
  <c r="D582" i="2"/>
  <c r="E582" i="2"/>
  <c r="F582" i="2"/>
  <c r="G582" i="2"/>
  <c r="H582" i="2"/>
  <c r="I582" i="2"/>
  <c r="J582" i="2"/>
  <c r="K582" i="2"/>
  <c r="V582" i="2" s="1"/>
  <c r="L582" i="2"/>
  <c r="M582" i="2"/>
  <c r="N582" i="2"/>
  <c r="O582" i="2"/>
  <c r="P582" i="2"/>
  <c r="S582" i="2"/>
  <c r="U582" i="2"/>
  <c r="Y582" i="2"/>
  <c r="Z582" i="2"/>
  <c r="AA582" i="2"/>
  <c r="AB582" i="2"/>
  <c r="AC582" i="2"/>
  <c r="AD582" i="2"/>
  <c r="AE582" i="2"/>
  <c r="AF582" i="2"/>
  <c r="AG582" i="2"/>
  <c r="A583" i="2"/>
  <c r="B583" i="2"/>
  <c r="C583" i="2"/>
  <c r="D583" i="2"/>
  <c r="E583" i="2"/>
  <c r="F583" i="2"/>
  <c r="G583" i="2"/>
  <c r="H583" i="2"/>
  <c r="I583" i="2"/>
  <c r="J583" i="2"/>
  <c r="K583" i="2"/>
  <c r="U583" i="2" s="1"/>
  <c r="L583" i="2"/>
  <c r="M583" i="2"/>
  <c r="N583" i="2"/>
  <c r="O583" i="2"/>
  <c r="P583" i="2"/>
  <c r="R583" i="2"/>
  <c r="S583" i="2"/>
  <c r="T583" i="2"/>
  <c r="Y583" i="2"/>
  <c r="Z583" i="2"/>
  <c r="AA583" i="2"/>
  <c r="AB583" i="2"/>
  <c r="AC583" i="2"/>
  <c r="AD583" i="2"/>
  <c r="AE583" i="2"/>
  <c r="AF583" i="2"/>
  <c r="AG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M584" i="2"/>
  <c r="N584" i="2"/>
  <c r="O584" i="2"/>
  <c r="P584" i="2"/>
  <c r="S584" i="2"/>
  <c r="Y584" i="2"/>
  <c r="Z584" i="2"/>
  <c r="AA584" i="2"/>
  <c r="AB584" i="2"/>
  <c r="AC584" i="2"/>
  <c r="AD584" i="2"/>
  <c r="AE584" i="2"/>
  <c r="AF584" i="2"/>
  <c r="AG584" i="2"/>
  <c r="A585" i="2"/>
  <c r="B585" i="2"/>
  <c r="C585" i="2"/>
  <c r="D585" i="2"/>
  <c r="E585" i="2"/>
  <c r="F585" i="2"/>
  <c r="G585" i="2"/>
  <c r="H585" i="2"/>
  <c r="I585" i="2"/>
  <c r="J585" i="2"/>
  <c r="K585" i="2"/>
  <c r="W585" i="2" s="1"/>
  <c r="L585" i="2"/>
  <c r="M585" i="2"/>
  <c r="N585" i="2"/>
  <c r="O585" i="2"/>
  <c r="P585" i="2"/>
  <c r="Q585" i="2"/>
  <c r="R585" i="2"/>
  <c r="S585" i="2"/>
  <c r="T585" i="2"/>
  <c r="U585" i="2"/>
  <c r="V585" i="2"/>
  <c r="X585" i="2"/>
  <c r="Y585" i="2"/>
  <c r="Z585" i="2"/>
  <c r="AA585" i="2"/>
  <c r="AB585" i="2"/>
  <c r="AC585" i="2"/>
  <c r="AD585" i="2"/>
  <c r="AE585" i="2"/>
  <c r="AF585" i="2"/>
  <c r="AG585" i="2"/>
  <c r="A586" i="2"/>
  <c r="B586" i="2"/>
  <c r="C586" i="2"/>
  <c r="D586" i="2"/>
  <c r="E586" i="2"/>
  <c r="F586" i="2"/>
  <c r="G586" i="2"/>
  <c r="H586" i="2"/>
  <c r="I586" i="2"/>
  <c r="J586" i="2"/>
  <c r="K586" i="2"/>
  <c r="R586" i="2" s="1"/>
  <c r="L586" i="2"/>
  <c r="M586" i="2"/>
  <c r="N586" i="2"/>
  <c r="O586" i="2"/>
  <c r="P586" i="2"/>
  <c r="Q586" i="2"/>
  <c r="S586" i="2"/>
  <c r="T586" i="2"/>
  <c r="U586" i="2"/>
  <c r="W586" i="2"/>
  <c r="X586" i="2"/>
  <c r="Y586" i="2"/>
  <c r="Z586" i="2"/>
  <c r="AA586" i="2"/>
  <c r="AB586" i="2"/>
  <c r="AC586" i="2"/>
  <c r="AD586" i="2"/>
  <c r="AE586" i="2"/>
  <c r="AF586" i="2"/>
  <c r="AG586" i="2"/>
  <c r="A587" i="2"/>
  <c r="B587" i="2"/>
  <c r="C587" i="2"/>
  <c r="D587" i="2"/>
  <c r="E587" i="2"/>
  <c r="F587" i="2"/>
  <c r="G587" i="2"/>
  <c r="H587" i="2"/>
  <c r="I587" i="2"/>
  <c r="J587" i="2"/>
  <c r="K587" i="2"/>
  <c r="Q587" i="2" s="1"/>
  <c r="L587" i="2"/>
  <c r="M587" i="2"/>
  <c r="N587" i="2"/>
  <c r="O587" i="2"/>
  <c r="P587" i="2"/>
  <c r="S587" i="2"/>
  <c r="T587" i="2"/>
  <c r="V587" i="2"/>
  <c r="W587" i="2"/>
  <c r="X587" i="2"/>
  <c r="Y587" i="2"/>
  <c r="Z587" i="2"/>
  <c r="AA587" i="2"/>
  <c r="AB587" i="2"/>
  <c r="AC587" i="2"/>
  <c r="AD587" i="2"/>
  <c r="AE587" i="2"/>
  <c r="AF587" i="2"/>
  <c r="AG587" i="2"/>
  <c r="A588" i="2"/>
  <c r="B588" i="2"/>
  <c r="C588" i="2"/>
  <c r="D588" i="2"/>
  <c r="E588" i="2"/>
  <c r="F588" i="2"/>
  <c r="G588" i="2"/>
  <c r="H588" i="2"/>
  <c r="I588" i="2"/>
  <c r="J588" i="2"/>
  <c r="K588" i="2"/>
  <c r="X588" i="2" s="1"/>
  <c r="L588" i="2"/>
  <c r="M588" i="2"/>
  <c r="N588" i="2"/>
  <c r="O588" i="2"/>
  <c r="P588" i="2"/>
  <c r="S588" i="2"/>
  <c r="U588" i="2"/>
  <c r="W588" i="2"/>
  <c r="Y588" i="2"/>
  <c r="Z588" i="2"/>
  <c r="AA588" i="2"/>
  <c r="AB588" i="2"/>
  <c r="AC588" i="2"/>
  <c r="AD588" i="2"/>
  <c r="AE588" i="2"/>
  <c r="AF588" i="2"/>
  <c r="AG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M589" i="2"/>
  <c r="N589" i="2"/>
  <c r="O589" i="2"/>
  <c r="P589" i="2"/>
  <c r="Q589" i="2"/>
  <c r="R589" i="2"/>
  <c r="S589" i="2"/>
  <c r="T589" i="2"/>
  <c r="U589" i="2"/>
  <c r="V589" i="2"/>
  <c r="W589" i="2"/>
  <c r="X589" i="2"/>
  <c r="Y589" i="2"/>
  <c r="Z589" i="2"/>
  <c r="AA589" i="2"/>
  <c r="AB589" i="2"/>
  <c r="AC589" i="2"/>
  <c r="AD589" i="2"/>
  <c r="AE589" i="2"/>
  <c r="AF589" i="2"/>
  <c r="AG589" i="2"/>
  <c r="A590" i="2"/>
  <c r="B590" i="2"/>
  <c r="C590" i="2"/>
  <c r="D590" i="2"/>
  <c r="E590" i="2"/>
  <c r="F590" i="2"/>
  <c r="G590" i="2"/>
  <c r="H590" i="2"/>
  <c r="I590" i="2"/>
  <c r="J590" i="2"/>
  <c r="K590" i="2"/>
  <c r="V590" i="2" s="1"/>
  <c r="L590" i="2"/>
  <c r="M590" i="2"/>
  <c r="N590" i="2"/>
  <c r="O590" i="2"/>
  <c r="P590" i="2"/>
  <c r="S590" i="2"/>
  <c r="U590" i="2"/>
  <c r="Y590" i="2"/>
  <c r="Z590" i="2"/>
  <c r="AA590" i="2"/>
  <c r="AB590" i="2"/>
  <c r="AC590" i="2"/>
  <c r="AD590" i="2"/>
  <c r="AE590" i="2"/>
  <c r="AF590" i="2"/>
  <c r="AG590" i="2"/>
  <c r="A591" i="2"/>
  <c r="B591" i="2"/>
  <c r="C591" i="2"/>
  <c r="D591" i="2"/>
  <c r="E591" i="2"/>
  <c r="F591" i="2"/>
  <c r="G591" i="2"/>
  <c r="H591" i="2"/>
  <c r="I591" i="2"/>
  <c r="J591" i="2"/>
  <c r="K591" i="2"/>
  <c r="U591" i="2" s="1"/>
  <c r="L591" i="2"/>
  <c r="M591" i="2"/>
  <c r="N591" i="2"/>
  <c r="O591" i="2"/>
  <c r="P591" i="2"/>
  <c r="R591" i="2"/>
  <c r="S591" i="2"/>
  <c r="T591" i="2"/>
  <c r="X591" i="2"/>
  <c r="Y591" i="2"/>
  <c r="Z591" i="2"/>
  <c r="AA591" i="2"/>
  <c r="AB591" i="2"/>
  <c r="AC591" i="2"/>
  <c r="AD591" i="2"/>
  <c r="AE591" i="2"/>
  <c r="AF591" i="2"/>
  <c r="AG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M592" i="2"/>
  <c r="N592" i="2"/>
  <c r="O592" i="2"/>
  <c r="P592" i="2"/>
  <c r="Y592" i="2"/>
  <c r="Z592" i="2"/>
  <c r="AA592" i="2"/>
  <c r="AB592" i="2"/>
  <c r="AC592" i="2"/>
  <c r="AD592" i="2"/>
  <c r="AE592" i="2"/>
  <c r="AF592" i="2"/>
  <c r="AG592" i="2"/>
  <c r="A593" i="2"/>
  <c r="B593" i="2"/>
  <c r="C593" i="2"/>
  <c r="D593" i="2"/>
  <c r="E593" i="2"/>
  <c r="F593" i="2"/>
  <c r="G593" i="2"/>
  <c r="H593" i="2"/>
  <c r="I593" i="2"/>
  <c r="J593" i="2"/>
  <c r="K593" i="2"/>
  <c r="W593" i="2" s="1"/>
  <c r="L593" i="2"/>
  <c r="M593" i="2"/>
  <c r="N593" i="2"/>
  <c r="O593" i="2"/>
  <c r="P593" i="2"/>
  <c r="Q593" i="2"/>
  <c r="R593" i="2"/>
  <c r="S593" i="2"/>
  <c r="T593" i="2"/>
  <c r="U593" i="2"/>
  <c r="V593" i="2"/>
  <c r="X593" i="2"/>
  <c r="Y593" i="2"/>
  <c r="Z593" i="2"/>
  <c r="AA593" i="2"/>
  <c r="AB593" i="2"/>
  <c r="AC593" i="2"/>
  <c r="AD593" i="2"/>
  <c r="AE593" i="2"/>
  <c r="AF593" i="2"/>
  <c r="AG593" i="2"/>
  <c r="A594" i="2"/>
  <c r="B594" i="2"/>
  <c r="C594" i="2"/>
  <c r="D594" i="2"/>
  <c r="E594" i="2"/>
  <c r="F594" i="2"/>
  <c r="G594" i="2"/>
  <c r="H594" i="2"/>
  <c r="I594" i="2"/>
  <c r="J594" i="2"/>
  <c r="K594" i="2"/>
  <c r="R594" i="2" s="1"/>
  <c r="L594" i="2"/>
  <c r="M594" i="2"/>
  <c r="N594" i="2"/>
  <c r="O594" i="2"/>
  <c r="P594" i="2"/>
  <c r="Q594" i="2"/>
  <c r="S594" i="2"/>
  <c r="T594" i="2"/>
  <c r="U594" i="2"/>
  <c r="W594" i="2"/>
  <c r="X594" i="2"/>
  <c r="Y594" i="2"/>
  <c r="Z594" i="2"/>
  <c r="AA594" i="2"/>
  <c r="AB594" i="2"/>
  <c r="AC594" i="2"/>
  <c r="AD594" i="2"/>
  <c r="AE594" i="2"/>
  <c r="AF594" i="2"/>
  <c r="AG594" i="2"/>
  <c r="A595" i="2"/>
  <c r="B595" i="2"/>
  <c r="C595" i="2"/>
  <c r="D595" i="2"/>
  <c r="E595" i="2"/>
  <c r="F595" i="2"/>
  <c r="G595" i="2"/>
  <c r="H595" i="2"/>
  <c r="I595" i="2"/>
  <c r="J595" i="2"/>
  <c r="K595" i="2"/>
  <c r="Q595" i="2" s="1"/>
  <c r="L595" i="2"/>
  <c r="M595" i="2"/>
  <c r="N595" i="2"/>
  <c r="O595" i="2"/>
  <c r="P595" i="2"/>
  <c r="S595" i="2"/>
  <c r="T595" i="2"/>
  <c r="V595" i="2"/>
  <c r="W595" i="2"/>
  <c r="X595" i="2"/>
  <c r="Y595" i="2"/>
  <c r="Z595" i="2"/>
  <c r="AA595" i="2"/>
  <c r="AB595" i="2"/>
  <c r="AC595" i="2"/>
  <c r="AD595" i="2"/>
  <c r="AE595" i="2"/>
  <c r="AF595" i="2"/>
  <c r="AG595" i="2"/>
  <c r="A596" i="2"/>
  <c r="B596" i="2"/>
  <c r="C596" i="2"/>
  <c r="D596" i="2"/>
  <c r="E596" i="2"/>
  <c r="F596" i="2"/>
  <c r="G596" i="2"/>
  <c r="H596" i="2"/>
  <c r="I596" i="2"/>
  <c r="J596" i="2"/>
  <c r="K596" i="2"/>
  <c r="X596" i="2" s="1"/>
  <c r="L596" i="2"/>
  <c r="M596" i="2"/>
  <c r="N596" i="2"/>
  <c r="O596" i="2"/>
  <c r="P596" i="2"/>
  <c r="S596" i="2"/>
  <c r="U596" i="2"/>
  <c r="W596" i="2"/>
  <c r="Y596" i="2"/>
  <c r="Z596" i="2"/>
  <c r="AA596" i="2"/>
  <c r="AB596" i="2"/>
  <c r="AC596" i="2"/>
  <c r="AD596" i="2"/>
  <c r="AE596" i="2"/>
  <c r="AF596" i="2"/>
  <c r="AG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M597" i="2"/>
  <c r="N597" i="2"/>
  <c r="O597" i="2"/>
  <c r="P597" i="2"/>
  <c r="Q597" i="2"/>
  <c r="R597" i="2"/>
  <c r="S597" i="2"/>
  <c r="T597" i="2"/>
  <c r="U597" i="2"/>
  <c r="V597" i="2"/>
  <c r="W597" i="2"/>
  <c r="X597" i="2"/>
  <c r="Y597" i="2"/>
  <c r="Z597" i="2"/>
  <c r="AA597" i="2"/>
  <c r="AB597" i="2"/>
  <c r="AC597" i="2"/>
  <c r="AD597" i="2"/>
  <c r="AE597" i="2"/>
  <c r="AF597" i="2"/>
  <c r="AG597" i="2"/>
  <c r="A598" i="2"/>
  <c r="B598" i="2"/>
  <c r="C598" i="2"/>
  <c r="D598" i="2"/>
  <c r="E598" i="2"/>
  <c r="F598" i="2"/>
  <c r="G598" i="2"/>
  <c r="H598" i="2"/>
  <c r="I598" i="2"/>
  <c r="J598" i="2"/>
  <c r="K598" i="2"/>
  <c r="V598" i="2" s="1"/>
  <c r="L598" i="2"/>
  <c r="M598" i="2"/>
  <c r="N598" i="2"/>
  <c r="O598" i="2"/>
  <c r="P598" i="2"/>
  <c r="S598" i="2"/>
  <c r="U598" i="2"/>
  <c r="Y598" i="2"/>
  <c r="Z598" i="2"/>
  <c r="AA598" i="2"/>
  <c r="AB598" i="2"/>
  <c r="AC598" i="2"/>
  <c r="AD598" i="2"/>
  <c r="AE598" i="2"/>
  <c r="AF598" i="2"/>
  <c r="AG598" i="2"/>
  <c r="A599" i="2"/>
  <c r="B599" i="2"/>
  <c r="C599" i="2"/>
  <c r="D599" i="2"/>
  <c r="E599" i="2"/>
  <c r="F599" i="2"/>
  <c r="G599" i="2"/>
  <c r="H599" i="2"/>
  <c r="I599" i="2"/>
  <c r="J599" i="2"/>
  <c r="K599" i="2"/>
  <c r="U599" i="2" s="1"/>
  <c r="L599" i="2"/>
  <c r="M599" i="2"/>
  <c r="N599" i="2"/>
  <c r="O599" i="2"/>
  <c r="P599" i="2"/>
  <c r="R599" i="2"/>
  <c r="S599" i="2"/>
  <c r="T599" i="2"/>
  <c r="X599" i="2"/>
  <c r="Y599" i="2"/>
  <c r="Z599" i="2"/>
  <c r="AA599" i="2"/>
  <c r="AB599" i="2"/>
  <c r="AC599" i="2"/>
  <c r="AD599" i="2"/>
  <c r="AE599" i="2"/>
  <c r="AF599" i="2"/>
  <c r="AG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M600" i="2"/>
  <c r="N600" i="2"/>
  <c r="O600" i="2"/>
  <c r="P600" i="2"/>
  <c r="S600" i="2"/>
  <c r="Y600" i="2"/>
  <c r="Z600" i="2"/>
  <c r="AA600" i="2"/>
  <c r="AB600" i="2"/>
  <c r="AC600" i="2"/>
  <c r="AD600" i="2"/>
  <c r="AE600" i="2"/>
  <c r="AF600" i="2"/>
  <c r="AG600" i="2"/>
  <c r="A601" i="2"/>
  <c r="B601" i="2"/>
  <c r="C601" i="2"/>
  <c r="D601" i="2"/>
  <c r="E601" i="2"/>
  <c r="F601" i="2"/>
  <c r="G601" i="2"/>
  <c r="H601" i="2"/>
  <c r="I601" i="2"/>
  <c r="J601" i="2"/>
  <c r="K601" i="2"/>
  <c r="W601" i="2" s="1"/>
  <c r="L601" i="2"/>
  <c r="M601" i="2"/>
  <c r="N601" i="2"/>
  <c r="O601" i="2"/>
  <c r="P601" i="2"/>
  <c r="Q601" i="2"/>
  <c r="R601" i="2"/>
  <c r="S601" i="2"/>
  <c r="T601" i="2"/>
  <c r="U601" i="2"/>
  <c r="V601" i="2"/>
  <c r="X601" i="2"/>
  <c r="Y601" i="2"/>
  <c r="Z601" i="2"/>
  <c r="AA601" i="2"/>
  <c r="AB601" i="2"/>
  <c r="AC601" i="2"/>
  <c r="AD601" i="2"/>
  <c r="AE601" i="2"/>
  <c r="AF601" i="2"/>
  <c r="AG601" i="2"/>
  <c r="A602" i="2"/>
  <c r="B602" i="2"/>
  <c r="C602" i="2"/>
  <c r="D602" i="2"/>
  <c r="E602" i="2"/>
  <c r="F602" i="2"/>
  <c r="G602" i="2"/>
  <c r="H602" i="2"/>
  <c r="I602" i="2"/>
  <c r="J602" i="2"/>
  <c r="K602" i="2"/>
  <c r="R602" i="2" s="1"/>
  <c r="L602" i="2"/>
  <c r="M602" i="2"/>
  <c r="N602" i="2"/>
  <c r="O602" i="2"/>
  <c r="P602" i="2"/>
  <c r="Q602" i="2"/>
  <c r="S602" i="2"/>
  <c r="T602" i="2"/>
  <c r="U602" i="2"/>
  <c r="W602" i="2"/>
  <c r="X602" i="2"/>
  <c r="Y602" i="2"/>
  <c r="Z602" i="2"/>
  <c r="AA602" i="2"/>
  <c r="AB602" i="2"/>
  <c r="AC602" i="2"/>
  <c r="AD602" i="2"/>
  <c r="AE602" i="2"/>
  <c r="AF602" i="2"/>
  <c r="AG602" i="2"/>
  <c r="A603" i="2"/>
  <c r="B603" i="2"/>
  <c r="C603" i="2"/>
  <c r="D603" i="2"/>
  <c r="E603" i="2"/>
  <c r="F603" i="2"/>
  <c r="G603" i="2"/>
  <c r="H603" i="2"/>
  <c r="I603" i="2"/>
  <c r="J603" i="2"/>
  <c r="K603" i="2"/>
  <c r="Q603" i="2" s="1"/>
  <c r="L603" i="2"/>
  <c r="M603" i="2"/>
  <c r="N603" i="2"/>
  <c r="O603" i="2"/>
  <c r="P603" i="2"/>
  <c r="S603" i="2"/>
  <c r="T603" i="2"/>
  <c r="V603" i="2"/>
  <c r="W603" i="2"/>
  <c r="X603" i="2"/>
  <c r="Y603" i="2"/>
  <c r="Z603" i="2"/>
  <c r="AA603" i="2"/>
  <c r="AB603" i="2"/>
  <c r="AC603" i="2"/>
  <c r="AD603" i="2"/>
  <c r="AE603" i="2"/>
  <c r="AF603" i="2"/>
  <c r="AG603" i="2"/>
  <c r="A604" i="2"/>
  <c r="B604" i="2"/>
  <c r="C604" i="2"/>
  <c r="D604" i="2"/>
  <c r="E604" i="2"/>
  <c r="F604" i="2"/>
  <c r="G604" i="2"/>
  <c r="H604" i="2"/>
  <c r="I604" i="2"/>
  <c r="J604" i="2"/>
  <c r="K604" i="2"/>
  <c r="X604" i="2" s="1"/>
  <c r="L604" i="2"/>
  <c r="M604" i="2"/>
  <c r="N604" i="2"/>
  <c r="O604" i="2"/>
  <c r="P604" i="2"/>
  <c r="S604" i="2"/>
  <c r="U604" i="2"/>
  <c r="W604" i="2"/>
  <c r="Y604" i="2"/>
  <c r="Z604" i="2"/>
  <c r="AA604" i="2"/>
  <c r="AB604" i="2"/>
  <c r="AC604" i="2"/>
  <c r="AD604" i="2"/>
  <c r="AE604" i="2"/>
  <c r="AF604" i="2"/>
  <c r="AG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V605" i="2"/>
  <c r="W605" i="2"/>
  <c r="X605" i="2"/>
  <c r="Y605" i="2"/>
  <c r="Z605" i="2"/>
  <c r="AA605" i="2"/>
  <c r="AB605" i="2"/>
  <c r="AC605" i="2"/>
  <c r="AD605" i="2"/>
  <c r="AE605" i="2"/>
  <c r="AF605" i="2"/>
  <c r="AG605" i="2"/>
  <c r="A606" i="2"/>
  <c r="B606" i="2"/>
  <c r="C606" i="2"/>
  <c r="D606" i="2"/>
  <c r="E606" i="2"/>
  <c r="F606" i="2"/>
  <c r="G606" i="2"/>
  <c r="H606" i="2"/>
  <c r="I606" i="2"/>
  <c r="J606" i="2"/>
  <c r="K606" i="2"/>
  <c r="V606" i="2" s="1"/>
  <c r="L606" i="2"/>
  <c r="M606" i="2"/>
  <c r="N606" i="2"/>
  <c r="O606" i="2"/>
  <c r="P606" i="2"/>
  <c r="S606" i="2"/>
  <c r="U606" i="2"/>
  <c r="Y606" i="2"/>
  <c r="Z606" i="2"/>
  <c r="AA606" i="2"/>
  <c r="AB606" i="2"/>
  <c r="AC606" i="2"/>
  <c r="AD606" i="2"/>
  <c r="AE606" i="2"/>
  <c r="AF606" i="2"/>
  <c r="AG606" i="2"/>
  <c r="A607" i="2"/>
  <c r="B607" i="2"/>
  <c r="C607" i="2"/>
  <c r="D607" i="2"/>
  <c r="E607" i="2"/>
  <c r="F607" i="2"/>
  <c r="G607" i="2"/>
  <c r="H607" i="2"/>
  <c r="I607" i="2"/>
  <c r="J607" i="2"/>
  <c r="K607" i="2"/>
  <c r="U607" i="2" s="1"/>
  <c r="L607" i="2"/>
  <c r="M607" i="2"/>
  <c r="N607" i="2"/>
  <c r="O607" i="2"/>
  <c r="P607" i="2"/>
  <c r="R607" i="2"/>
  <c r="S607" i="2"/>
  <c r="T607" i="2"/>
  <c r="X607" i="2"/>
  <c r="Y607" i="2"/>
  <c r="Z607" i="2"/>
  <c r="AA607" i="2"/>
  <c r="AB607" i="2"/>
  <c r="AC607" i="2"/>
  <c r="AD607" i="2"/>
  <c r="AE607" i="2"/>
  <c r="AF607" i="2"/>
  <c r="AG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M608" i="2"/>
  <c r="N608" i="2"/>
  <c r="O608" i="2"/>
  <c r="P608" i="2"/>
  <c r="S608" i="2"/>
  <c r="Y608" i="2"/>
  <c r="Z608" i="2"/>
  <c r="AA608" i="2"/>
  <c r="AB608" i="2"/>
  <c r="AC608" i="2"/>
  <c r="AD608" i="2"/>
  <c r="AE608" i="2"/>
  <c r="AF608" i="2"/>
  <c r="AG608" i="2"/>
  <c r="A609" i="2"/>
  <c r="B609" i="2"/>
  <c r="C609" i="2"/>
  <c r="D609" i="2"/>
  <c r="E609" i="2"/>
  <c r="F609" i="2"/>
  <c r="G609" i="2"/>
  <c r="H609" i="2"/>
  <c r="I609" i="2"/>
  <c r="J609" i="2"/>
  <c r="K609" i="2"/>
  <c r="W609" i="2" s="1"/>
  <c r="L609" i="2"/>
  <c r="M609" i="2"/>
  <c r="N609" i="2"/>
  <c r="O609" i="2"/>
  <c r="P609" i="2"/>
  <c r="Q609" i="2"/>
  <c r="R609" i="2"/>
  <c r="S609" i="2"/>
  <c r="T609" i="2"/>
  <c r="U609" i="2"/>
  <c r="V609" i="2"/>
  <c r="X609" i="2"/>
  <c r="Y609" i="2"/>
  <c r="Z609" i="2"/>
  <c r="AA609" i="2"/>
  <c r="AB609" i="2"/>
  <c r="AC609" i="2"/>
  <c r="AD609" i="2"/>
  <c r="AE609" i="2"/>
  <c r="AF609" i="2"/>
  <c r="AG609" i="2"/>
  <c r="A610" i="2"/>
  <c r="B610" i="2"/>
  <c r="C610" i="2"/>
  <c r="D610" i="2"/>
  <c r="E610" i="2"/>
  <c r="F610" i="2"/>
  <c r="G610" i="2"/>
  <c r="H610" i="2"/>
  <c r="I610" i="2"/>
  <c r="J610" i="2"/>
  <c r="K610" i="2"/>
  <c r="R610" i="2" s="1"/>
  <c r="L610" i="2"/>
  <c r="M610" i="2"/>
  <c r="N610" i="2"/>
  <c r="O610" i="2"/>
  <c r="P610" i="2"/>
  <c r="Q610" i="2"/>
  <c r="S610" i="2"/>
  <c r="T610" i="2"/>
  <c r="U610" i="2"/>
  <c r="W610" i="2"/>
  <c r="X610" i="2"/>
  <c r="Y610" i="2"/>
  <c r="Z610" i="2"/>
  <c r="AA610" i="2"/>
  <c r="AB610" i="2"/>
  <c r="AC610" i="2"/>
  <c r="AD610" i="2"/>
  <c r="AE610" i="2"/>
  <c r="AF610" i="2"/>
  <c r="AG610" i="2"/>
  <c r="A611" i="2"/>
  <c r="B611" i="2"/>
  <c r="C611" i="2"/>
  <c r="D611" i="2"/>
  <c r="E611" i="2"/>
  <c r="F611" i="2"/>
  <c r="G611" i="2"/>
  <c r="H611" i="2"/>
  <c r="I611" i="2"/>
  <c r="J611" i="2"/>
  <c r="K611" i="2"/>
  <c r="Q611" i="2" s="1"/>
  <c r="L611" i="2"/>
  <c r="M611" i="2"/>
  <c r="N611" i="2"/>
  <c r="O611" i="2"/>
  <c r="P611" i="2"/>
  <c r="S611" i="2"/>
  <c r="T611" i="2"/>
  <c r="V611" i="2"/>
  <c r="W611" i="2"/>
  <c r="X611" i="2"/>
  <c r="Y611" i="2"/>
  <c r="Z611" i="2"/>
  <c r="AA611" i="2"/>
  <c r="AB611" i="2"/>
  <c r="AC611" i="2"/>
  <c r="AD611" i="2"/>
  <c r="AE611" i="2"/>
  <c r="AF611" i="2"/>
  <c r="AG611" i="2"/>
  <c r="A612" i="2"/>
  <c r="B612" i="2"/>
  <c r="C612" i="2"/>
  <c r="D612" i="2"/>
  <c r="E612" i="2"/>
  <c r="F612" i="2"/>
  <c r="G612" i="2"/>
  <c r="H612" i="2"/>
  <c r="I612" i="2"/>
  <c r="J612" i="2"/>
  <c r="K612" i="2"/>
  <c r="X612" i="2" s="1"/>
  <c r="L612" i="2"/>
  <c r="M612" i="2"/>
  <c r="N612" i="2"/>
  <c r="O612" i="2"/>
  <c r="P612" i="2"/>
  <c r="S612" i="2"/>
  <c r="U612" i="2"/>
  <c r="W612" i="2"/>
  <c r="Y612" i="2"/>
  <c r="Z612" i="2"/>
  <c r="AA612" i="2"/>
  <c r="AB612" i="2"/>
  <c r="AC612" i="2"/>
  <c r="AD612" i="2"/>
  <c r="AE612" i="2"/>
  <c r="AF612" i="2"/>
  <c r="AG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V613" i="2"/>
  <c r="W613" i="2"/>
  <c r="X613" i="2"/>
  <c r="Y613" i="2"/>
  <c r="Z613" i="2"/>
  <c r="AA613" i="2"/>
  <c r="AB613" i="2"/>
  <c r="AC613" i="2"/>
  <c r="AD613" i="2"/>
  <c r="AE613" i="2"/>
  <c r="AF613" i="2"/>
  <c r="AG613" i="2"/>
  <c r="A614" i="2"/>
  <c r="B614" i="2"/>
  <c r="C614" i="2"/>
  <c r="D614" i="2"/>
  <c r="E614" i="2"/>
  <c r="F614" i="2"/>
  <c r="G614" i="2"/>
  <c r="H614" i="2"/>
  <c r="I614" i="2"/>
  <c r="J614" i="2"/>
  <c r="K614" i="2"/>
  <c r="V614" i="2" s="1"/>
  <c r="L614" i="2"/>
  <c r="M614" i="2"/>
  <c r="N614" i="2"/>
  <c r="O614" i="2"/>
  <c r="P614" i="2"/>
  <c r="S614" i="2"/>
  <c r="U614" i="2"/>
  <c r="Y614" i="2"/>
  <c r="Z614" i="2"/>
  <c r="AA614" i="2"/>
  <c r="AB614" i="2"/>
  <c r="AC614" i="2"/>
  <c r="AD614" i="2"/>
  <c r="AE614" i="2"/>
  <c r="AF614" i="2"/>
  <c r="AG614" i="2"/>
  <c r="A615" i="2"/>
  <c r="B615" i="2"/>
  <c r="C615" i="2"/>
  <c r="D615" i="2"/>
  <c r="E615" i="2"/>
  <c r="F615" i="2"/>
  <c r="G615" i="2"/>
  <c r="H615" i="2"/>
  <c r="I615" i="2"/>
  <c r="J615" i="2"/>
  <c r="K615" i="2"/>
  <c r="U615" i="2" s="1"/>
  <c r="L615" i="2"/>
  <c r="M615" i="2"/>
  <c r="N615" i="2"/>
  <c r="O615" i="2"/>
  <c r="P615" i="2"/>
  <c r="R615" i="2"/>
  <c r="S615" i="2"/>
  <c r="T615" i="2"/>
  <c r="X615" i="2"/>
  <c r="Y615" i="2"/>
  <c r="Z615" i="2"/>
  <c r="AA615" i="2"/>
  <c r="AB615" i="2"/>
  <c r="AC615" i="2"/>
  <c r="AD615" i="2"/>
  <c r="AE615" i="2"/>
  <c r="AF615" i="2"/>
  <c r="AG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M616" i="2"/>
  <c r="N616" i="2"/>
  <c r="O616" i="2"/>
  <c r="P616" i="2"/>
  <c r="S616" i="2"/>
  <c r="Y616" i="2"/>
  <c r="Z616" i="2"/>
  <c r="AA616" i="2"/>
  <c r="AB616" i="2"/>
  <c r="AC616" i="2"/>
  <c r="AD616" i="2"/>
  <c r="AE616" i="2"/>
  <c r="AF616" i="2"/>
  <c r="AG616" i="2"/>
  <c r="A617" i="2"/>
  <c r="B617" i="2"/>
  <c r="C617" i="2"/>
  <c r="D617" i="2"/>
  <c r="E617" i="2"/>
  <c r="F617" i="2"/>
  <c r="G617" i="2"/>
  <c r="H617" i="2"/>
  <c r="I617" i="2"/>
  <c r="J617" i="2"/>
  <c r="K617" i="2"/>
  <c r="W617" i="2" s="1"/>
  <c r="L617" i="2"/>
  <c r="M617" i="2"/>
  <c r="N617" i="2"/>
  <c r="O617" i="2"/>
  <c r="P617" i="2"/>
  <c r="Q617" i="2"/>
  <c r="R617" i="2"/>
  <c r="S617" i="2"/>
  <c r="T617" i="2"/>
  <c r="U617" i="2"/>
  <c r="V617" i="2"/>
  <c r="X617" i="2"/>
  <c r="Y617" i="2"/>
  <c r="Z617" i="2"/>
  <c r="AA617" i="2"/>
  <c r="AB617" i="2"/>
  <c r="AC617" i="2"/>
  <c r="AD617" i="2"/>
  <c r="AE617" i="2"/>
  <c r="AF617" i="2"/>
  <c r="AG617" i="2"/>
  <c r="A618" i="2"/>
  <c r="B618" i="2"/>
  <c r="C618" i="2"/>
  <c r="D618" i="2"/>
  <c r="E618" i="2"/>
  <c r="F618" i="2"/>
  <c r="G618" i="2"/>
  <c r="H618" i="2"/>
  <c r="I618" i="2"/>
  <c r="J618" i="2"/>
  <c r="K618" i="2"/>
  <c r="R618" i="2" s="1"/>
  <c r="L618" i="2"/>
  <c r="M618" i="2"/>
  <c r="N618" i="2"/>
  <c r="O618" i="2"/>
  <c r="P618" i="2"/>
  <c r="Q618" i="2"/>
  <c r="S618" i="2"/>
  <c r="T618" i="2"/>
  <c r="U618" i="2"/>
  <c r="W618" i="2"/>
  <c r="X618" i="2"/>
  <c r="Y618" i="2"/>
  <c r="Z618" i="2"/>
  <c r="AA618" i="2"/>
  <c r="AB618" i="2"/>
  <c r="AC618" i="2"/>
  <c r="AD618" i="2"/>
  <c r="AE618" i="2"/>
  <c r="AF618" i="2"/>
  <c r="AG618" i="2"/>
  <c r="A619" i="2"/>
  <c r="B619" i="2"/>
  <c r="C619" i="2"/>
  <c r="D619" i="2"/>
  <c r="E619" i="2"/>
  <c r="F619" i="2"/>
  <c r="G619" i="2"/>
  <c r="H619" i="2"/>
  <c r="I619" i="2"/>
  <c r="J619" i="2"/>
  <c r="K619" i="2"/>
  <c r="Q619" i="2" s="1"/>
  <c r="L619" i="2"/>
  <c r="M619" i="2"/>
  <c r="N619" i="2"/>
  <c r="O619" i="2"/>
  <c r="P619" i="2"/>
  <c r="S619" i="2"/>
  <c r="T619" i="2"/>
  <c r="V619" i="2"/>
  <c r="W619" i="2"/>
  <c r="X619" i="2"/>
  <c r="Y619" i="2"/>
  <c r="Z619" i="2"/>
  <c r="AA619" i="2"/>
  <c r="AB619" i="2"/>
  <c r="AC619" i="2"/>
  <c r="AD619" i="2"/>
  <c r="AE619" i="2"/>
  <c r="AF619" i="2"/>
  <c r="AG619" i="2"/>
  <c r="A620" i="2"/>
  <c r="B620" i="2"/>
  <c r="C620" i="2"/>
  <c r="D620" i="2"/>
  <c r="E620" i="2"/>
  <c r="F620" i="2"/>
  <c r="G620" i="2"/>
  <c r="H620" i="2"/>
  <c r="I620" i="2"/>
  <c r="J620" i="2"/>
  <c r="K620" i="2"/>
  <c r="X620" i="2" s="1"/>
  <c r="L620" i="2"/>
  <c r="M620" i="2"/>
  <c r="N620" i="2"/>
  <c r="O620" i="2"/>
  <c r="P620" i="2"/>
  <c r="S620" i="2"/>
  <c r="U620" i="2"/>
  <c r="W620" i="2"/>
  <c r="Y620" i="2"/>
  <c r="Z620" i="2"/>
  <c r="AA620" i="2"/>
  <c r="AB620" i="2"/>
  <c r="AC620" i="2"/>
  <c r="AD620" i="2"/>
  <c r="AE620" i="2"/>
  <c r="AF620" i="2"/>
  <c r="AG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V621" i="2"/>
  <c r="W621" i="2"/>
  <c r="X621" i="2"/>
  <c r="Y621" i="2"/>
  <c r="Z621" i="2"/>
  <c r="AA621" i="2"/>
  <c r="AB621" i="2"/>
  <c r="AC621" i="2"/>
  <c r="AD621" i="2"/>
  <c r="AE621" i="2"/>
  <c r="AF621" i="2"/>
  <c r="AG621" i="2"/>
  <c r="A622" i="2"/>
  <c r="B622" i="2"/>
  <c r="C622" i="2"/>
  <c r="D622" i="2"/>
  <c r="E622" i="2"/>
  <c r="F622" i="2"/>
  <c r="G622" i="2"/>
  <c r="H622" i="2"/>
  <c r="I622" i="2"/>
  <c r="J622" i="2"/>
  <c r="K622" i="2"/>
  <c r="V622" i="2" s="1"/>
  <c r="L622" i="2"/>
  <c r="M622" i="2"/>
  <c r="N622" i="2"/>
  <c r="O622" i="2"/>
  <c r="P622" i="2"/>
  <c r="S622" i="2"/>
  <c r="U622" i="2"/>
  <c r="Y622" i="2"/>
  <c r="Z622" i="2"/>
  <c r="AA622" i="2"/>
  <c r="AB622" i="2"/>
  <c r="AC622" i="2"/>
  <c r="AD622" i="2"/>
  <c r="AE622" i="2"/>
  <c r="AF622" i="2"/>
  <c r="AG622" i="2"/>
  <c r="A623" i="2"/>
  <c r="B623" i="2"/>
  <c r="C623" i="2"/>
  <c r="D623" i="2"/>
  <c r="E623" i="2"/>
  <c r="F623" i="2"/>
  <c r="G623" i="2"/>
  <c r="H623" i="2"/>
  <c r="I623" i="2"/>
  <c r="J623" i="2"/>
  <c r="K623" i="2"/>
  <c r="U623" i="2" s="1"/>
  <c r="L623" i="2"/>
  <c r="M623" i="2"/>
  <c r="N623" i="2"/>
  <c r="O623" i="2"/>
  <c r="P623" i="2"/>
  <c r="R623" i="2"/>
  <c r="S623" i="2"/>
  <c r="T623" i="2"/>
  <c r="X623" i="2"/>
  <c r="Y623" i="2"/>
  <c r="Z623" i="2"/>
  <c r="AA623" i="2"/>
  <c r="AB623" i="2"/>
  <c r="AC623" i="2"/>
  <c r="AD623" i="2"/>
  <c r="AE623" i="2"/>
  <c r="AF623" i="2"/>
  <c r="AG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M624" i="2"/>
  <c r="N624" i="2"/>
  <c r="O624" i="2"/>
  <c r="P624" i="2"/>
  <c r="S624" i="2"/>
  <c r="Y624" i="2"/>
  <c r="Z624" i="2"/>
  <c r="AA624" i="2"/>
  <c r="AB624" i="2"/>
  <c r="AC624" i="2"/>
  <c r="AD624" i="2"/>
  <c r="AE624" i="2"/>
  <c r="AF624" i="2"/>
  <c r="AG624" i="2"/>
  <c r="A625" i="2"/>
  <c r="B625" i="2"/>
  <c r="C625" i="2"/>
  <c r="D625" i="2"/>
  <c r="E625" i="2"/>
  <c r="F625" i="2"/>
  <c r="G625" i="2"/>
  <c r="H625" i="2"/>
  <c r="I625" i="2"/>
  <c r="J625" i="2"/>
  <c r="K625" i="2"/>
  <c r="W625" i="2" s="1"/>
  <c r="L625" i="2"/>
  <c r="M625" i="2"/>
  <c r="N625" i="2"/>
  <c r="O625" i="2"/>
  <c r="P625" i="2"/>
  <c r="Q625" i="2"/>
  <c r="R625" i="2"/>
  <c r="S625" i="2"/>
  <c r="T625" i="2"/>
  <c r="U625" i="2"/>
  <c r="V625" i="2"/>
  <c r="X625" i="2"/>
  <c r="Y625" i="2"/>
  <c r="Z625" i="2"/>
  <c r="AA625" i="2"/>
  <c r="AB625" i="2"/>
  <c r="AC625" i="2"/>
  <c r="AD625" i="2"/>
  <c r="AE625" i="2"/>
  <c r="AF625" i="2"/>
  <c r="AG625" i="2"/>
  <c r="A626" i="2"/>
  <c r="B626" i="2"/>
  <c r="C626" i="2"/>
  <c r="D626" i="2"/>
  <c r="E626" i="2"/>
  <c r="F626" i="2"/>
  <c r="G626" i="2"/>
  <c r="H626" i="2"/>
  <c r="I626" i="2"/>
  <c r="J626" i="2"/>
  <c r="K626" i="2"/>
  <c r="R626" i="2" s="1"/>
  <c r="L626" i="2"/>
  <c r="M626" i="2"/>
  <c r="N626" i="2"/>
  <c r="O626" i="2"/>
  <c r="P626" i="2"/>
  <c r="Q626" i="2"/>
  <c r="S626" i="2"/>
  <c r="U626" i="2"/>
  <c r="W626" i="2"/>
  <c r="X626" i="2"/>
  <c r="Y626" i="2"/>
  <c r="Z626" i="2"/>
  <c r="AA626" i="2"/>
  <c r="AB626" i="2"/>
  <c r="AC626" i="2"/>
  <c r="AD626" i="2"/>
  <c r="AE626" i="2"/>
  <c r="AF626" i="2"/>
  <c r="AG626" i="2"/>
  <c r="A627" i="2"/>
  <c r="B627" i="2"/>
  <c r="C627" i="2"/>
  <c r="D627" i="2"/>
  <c r="E627" i="2"/>
  <c r="F627" i="2"/>
  <c r="G627" i="2"/>
  <c r="H627" i="2"/>
  <c r="I627" i="2"/>
  <c r="J627" i="2"/>
  <c r="K627" i="2"/>
  <c r="Q627" i="2" s="1"/>
  <c r="L627" i="2"/>
  <c r="M627" i="2"/>
  <c r="N627" i="2"/>
  <c r="O627" i="2"/>
  <c r="P627" i="2"/>
  <c r="R627" i="2"/>
  <c r="S627" i="2"/>
  <c r="T627" i="2"/>
  <c r="V627" i="2"/>
  <c r="W627" i="2"/>
  <c r="X627" i="2"/>
  <c r="Y627" i="2"/>
  <c r="Z627" i="2"/>
  <c r="AA627" i="2"/>
  <c r="AB627" i="2"/>
  <c r="AC627" i="2"/>
  <c r="AD627" i="2"/>
  <c r="AE627" i="2"/>
  <c r="AF627" i="2"/>
  <c r="AG627" i="2"/>
  <c r="A628" i="2"/>
  <c r="B628" i="2"/>
  <c r="C628" i="2"/>
  <c r="D628" i="2"/>
  <c r="E628" i="2"/>
  <c r="F628" i="2"/>
  <c r="G628" i="2"/>
  <c r="H628" i="2"/>
  <c r="I628" i="2"/>
  <c r="J628" i="2"/>
  <c r="K628" i="2"/>
  <c r="X628" i="2" s="1"/>
  <c r="L628" i="2"/>
  <c r="M628" i="2"/>
  <c r="N628" i="2"/>
  <c r="O628" i="2"/>
  <c r="P628" i="2"/>
  <c r="S628" i="2"/>
  <c r="U628" i="2"/>
  <c r="W628" i="2"/>
  <c r="Y628" i="2"/>
  <c r="Z628" i="2"/>
  <c r="AA628" i="2"/>
  <c r="AB628" i="2"/>
  <c r="AC628" i="2"/>
  <c r="AD628" i="2"/>
  <c r="AE628" i="2"/>
  <c r="AF628" i="2"/>
  <c r="AG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M629" i="2"/>
  <c r="N629" i="2"/>
  <c r="O629" i="2"/>
  <c r="P629" i="2"/>
  <c r="Q629" i="2"/>
  <c r="R629" i="2"/>
  <c r="S629" i="2"/>
  <c r="T629" i="2"/>
  <c r="U629" i="2"/>
  <c r="V629" i="2"/>
  <c r="W629" i="2"/>
  <c r="X629" i="2"/>
  <c r="Y629" i="2"/>
  <c r="Z629" i="2"/>
  <c r="AA629" i="2"/>
  <c r="AB629" i="2"/>
  <c r="AC629" i="2"/>
  <c r="AD629" i="2"/>
  <c r="AE629" i="2"/>
  <c r="AF629" i="2"/>
  <c r="AG629" i="2"/>
  <c r="A630" i="2"/>
  <c r="B630" i="2"/>
  <c r="C630" i="2"/>
  <c r="D630" i="2"/>
  <c r="E630" i="2"/>
  <c r="F630" i="2"/>
  <c r="G630" i="2"/>
  <c r="H630" i="2"/>
  <c r="I630" i="2"/>
  <c r="J630" i="2"/>
  <c r="K630" i="2"/>
  <c r="V630" i="2" s="1"/>
  <c r="L630" i="2"/>
  <c r="M630" i="2"/>
  <c r="N630" i="2"/>
  <c r="O630" i="2"/>
  <c r="P630" i="2"/>
  <c r="S630" i="2"/>
  <c r="U630" i="2"/>
  <c r="Y630" i="2"/>
  <c r="Z630" i="2"/>
  <c r="AA630" i="2"/>
  <c r="AB630" i="2"/>
  <c r="AC630" i="2"/>
  <c r="AD630" i="2"/>
  <c r="AE630" i="2"/>
  <c r="AF630" i="2"/>
  <c r="AG630" i="2"/>
  <c r="A631" i="2"/>
  <c r="B631" i="2"/>
  <c r="C631" i="2"/>
  <c r="D631" i="2"/>
  <c r="E631" i="2"/>
  <c r="F631" i="2"/>
  <c r="G631" i="2"/>
  <c r="H631" i="2"/>
  <c r="I631" i="2"/>
  <c r="J631" i="2"/>
  <c r="K631" i="2"/>
  <c r="U631" i="2" s="1"/>
  <c r="L631" i="2"/>
  <c r="M631" i="2"/>
  <c r="N631" i="2"/>
  <c r="O631" i="2"/>
  <c r="P631" i="2"/>
  <c r="R631" i="2"/>
  <c r="S631" i="2"/>
  <c r="T631" i="2"/>
  <c r="X631" i="2"/>
  <c r="Y631" i="2"/>
  <c r="Z631" i="2"/>
  <c r="AA631" i="2"/>
  <c r="AB631" i="2"/>
  <c r="AC631" i="2"/>
  <c r="AD631" i="2"/>
  <c r="AE631" i="2"/>
  <c r="AF631" i="2"/>
  <c r="AG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M632" i="2"/>
  <c r="N632" i="2"/>
  <c r="O632" i="2"/>
  <c r="P632" i="2"/>
  <c r="S632" i="2"/>
  <c r="Y632" i="2"/>
  <c r="Z632" i="2"/>
  <c r="AA632" i="2"/>
  <c r="AB632" i="2"/>
  <c r="AC632" i="2"/>
  <c r="AD632" i="2"/>
  <c r="AE632" i="2"/>
  <c r="AF632" i="2"/>
  <c r="AG632" i="2"/>
  <c r="A633" i="2"/>
  <c r="B633" i="2"/>
  <c r="C633" i="2"/>
  <c r="D633" i="2"/>
  <c r="E633" i="2"/>
  <c r="F633" i="2"/>
  <c r="G633" i="2"/>
  <c r="H633" i="2"/>
  <c r="I633" i="2"/>
  <c r="J633" i="2"/>
  <c r="K633" i="2"/>
  <c r="W633" i="2" s="1"/>
  <c r="L633" i="2"/>
  <c r="M633" i="2"/>
  <c r="N633" i="2"/>
  <c r="O633" i="2"/>
  <c r="P633" i="2"/>
  <c r="Q633" i="2"/>
  <c r="R633" i="2"/>
  <c r="S633" i="2"/>
  <c r="T633" i="2"/>
  <c r="U633" i="2"/>
  <c r="V633" i="2"/>
  <c r="X633" i="2"/>
  <c r="Y633" i="2"/>
  <c r="Z633" i="2"/>
  <c r="AA633" i="2"/>
  <c r="AB633" i="2"/>
  <c r="AC633" i="2"/>
  <c r="AD633" i="2"/>
  <c r="AE633" i="2"/>
  <c r="AF633" i="2"/>
  <c r="AG633" i="2"/>
  <c r="A634" i="2"/>
  <c r="B634" i="2"/>
  <c r="C634" i="2"/>
  <c r="D634" i="2"/>
  <c r="E634" i="2"/>
  <c r="F634" i="2"/>
  <c r="G634" i="2"/>
  <c r="H634" i="2"/>
  <c r="I634" i="2"/>
  <c r="J634" i="2"/>
  <c r="K634" i="2"/>
  <c r="R634" i="2" s="1"/>
  <c r="L634" i="2"/>
  <c r="M634" i="2"/>
  <c r="N634" i="2"/>
  <c r="O634" i="2"/>
  <c r="P634" i="2"/>
  <c r="Q634" i="2"/>
  <c r="S634" i="2"/>
  <c r="U634" i="2"/>
  <c r="W634" i="2"/>
  <c r="X634" i="2"/>
  <c r="Y634" i="2"/>
  <c r="Z634" i="2"/>
  <c r="AA634" i="2"/>
  <c r="AB634" i="2"/>
  <c r="AC634" i="2"/>
  <c r="AD634" i="2"/>
  <c r="AE634" i="2"/>
  <c r="AF634" i="2"/>
  <c r="AG634" i="2"/>
  <c r="A635" i="2"/>
  <c r="B635" i="2"/>
  <c r="C635" i="2"/>
  <c r="D635" i="2"/>
  <c r="E635" i="2"/>
  <c r="F635" i="2"/>
  <c r="G635" i="2"/>
  <c r="H635" i="2"/>
  <c r="I635" i="2"/>
  <c r="J635" i="2"/>
  <c r="K635" i="2"/>
  <c r="Q635" i="2" s="1"/>
  <c r="L635" i="2"/>
  <c r="M635" i="2"/>
  <c r="N635" i="2"/>
  <c r="O635" i="2"/>
  <c r="P635" i="2"/>
  <c r="R635" i="2"/>
  <c r="S635" i="2"/>
  <c r="T635" i="2"/>
  <c r="V635" i="2"/>
  <c r="W635" i="2"/>
  <c r="X635" i="2"/>
  <c r="Y635" i="2"/>
  <c r="Z635" i="2"/>
  <c r="AA635" i="2"/>
  <c r="AB635" i="2"/>
  <c r="AC635" i="2"/>
  <c r="AD635" i="2"/>
  <c r="AE635" i="2"/>
  <c r="AF635" i="2"/>
  <c r="AG635" i="2"/>
  <c r="A636" i="2"/>
  <c r="B636" i="2"/>
  <c r="C636" i="2"/>
  <c r="D636" i="2"/>
  <c r="E636" i="2"/>
  <c r="F636" i="2"/>
  <c r="G636" i="2"/>
  <c r="H636" i="2"/>
  <c r="I636" i="2"/>
  <c r="J636" i="2"/>
  <c r="K636" i="2"/>
  <c r="X636" i="2" s="1"/>
  <c r="L636" i="2"/>
  <c r="M636" i="2"/>
  <c r="N636" i="2"/>
  <c r="O636" i="2"/>
  <c r="P636" i="2"/>
  <c r="S636" i="2"/>
  <c r="U636" i="2"/>
  <c r="W636" i="2"/>
  <c r="Y636" i="2"/>
  <c r="Z636" i="2"/>
  <c r="AA636" i="2"/>
  <c r="AB636" i="2"/>
  <c r="AC636" i="2"/>
  <c r="AD636" i="2"/>
  <c r="AE636" i="2"/>
  <c r="AF636" i="2"/>
  <c r="AG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O637" i="2"/>
  <c r="P637" i="2"/>
  <c r="Q637" i="2"/>
  <c r="R637" i="2"/>
  <c r="S637" i="2"/>
  <c r="T637" i="2"/>
  <c r="U637" i="2"/>
  <c r="V637" i="2"/>
  <c r="W637" i="2"/>
  <c r="X637" i="2"/>
  <c r="Y637" i="2"/>
  <c r="Z637" i="2"/>
  <c r="AA637" i="2"/>
  <c r="AB637" i="2"/>
  <c r="AC637" i="2"/>
  <c r="AD637" i="2"/>
  <c r="AE637" i="2"/>
  <c r="AF637" i="2"/>
  <c r="AG637" i="2"/>
  <c r="A638" i="2"/>
  <c r="B638" i="2"/>
  <c r="C638" i="2"/>
  <c r="D638" i="2"/>
  <c r="E638" i="2"/>
  <c r="F638" i="2"/>
  <c r="G638" i="2"/>
  <c r="H638" i="2"/>
  <c r="I638" i="2"/>
  <c r="J638" i="2"/>
  <c r="K638" i="2"/>
  <c r="V638" i="2" s="1"/>
  <c r="L638" i="2"/>
  <c r="M638" i="2"/>
  <c r="N638" i="2"/>
  <c r="O638" i="2"/>
  <c r="P638" i="2"/>
  <c r="S638" i="2"/>
  <c r="U638" i="2"/>
  <c r="Y638" i="2"/>
  <c r="Z638" i="2"/>
  <c r="AA638" i="2"/>
  <c r="AB638" i="2"/>
  <c r="AC638" i="2"/>
  <c r="AD638" i="2"/>
  <c r="AE638" i="2"/>
  <c r="AF638" i="2"/>
  <c r="AG638" i="2"/>
  <c r="A639" i="2"/>
  <c r="B639" i="2"/>
  <c r="C639" i="2"/>
  <c r="D639" i="2"/>
  <c r="E639" i="2"/>
  <c r="F639" i="2"/>
  <c r="G639" i="2"/>
  <c r="H639" i="2"/>
  <c r="I639" i="2"/>
  <c r="J639" i="2"/>
  <c r="K639" i="2"/>
  <c r="U639" i="2" s="1"/>
  <c r="L639" i="2"/>
  <c r="M639" i="2"/>
  <c r="N639" i="2"/>
  <c r="O639" i="2"/>
  <c r="P639" i="2"/>
  <c r="R639" i="2"/>
  <c r="S639" i="2"/>
  <c r="T639" i="2"/>
  <c r="X639" i="2"/>
  <c r="Y639" i="2"/>
  <c r="Z639" i="2"/>
  <c r="AA639" i="2"/>
  <c r="AB639" i="2"/>
  <c r="AC639" i="2"/>
  <c r="AD639" i="2"/>
  <c r="AE639" i="2"/>
  <c r="AF639" i="2"/>
  <c r="AG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M640" i="2"/>
  <c r="N640" i="2"/>
  <c r="O640" i="2"/>
  <c r="P640" i="2"/>
  <c r="S640" i="2"/>
  <c r="Y640" i="2"/>
  <c r="Z640" i="2"/>
  <c r="AA640" i="2"/>
  <c r="AB640" i="2"/>
  <c r="AC640" i="2"/>
  <c r="AD640" i="2"/>
  <c r="AE640" i="2"/>
  <c r="AF640" i="2"/>
  <c r="AG640" i="2"/>
  <c r="A641" i="2"/>
  <c r="B641" i="2"/>
  <c r="C641" i="2"/>
  <c r="D641" i="2"/>
  <c r="E641" i="2"/>
  <c r="F641" i="2"/>
  <c r="G641" i="2"/>
  <c r="H641" i="2"/>
  <c r="I641" i="2"/>
  <c r="J641" i="2"/>
  <c r="K641" i="2"/>
  <c r="W641" i="2" s="1"/>
  <c r="L641" i="2"/>
  <c r="M641" i="2"/>
  <c r="N641" i="2"/>
  <c r="O641" i="2"/>
  <c r="P641" i="2"/>
  <c r="Q641" i="2"/>
  <c r="R641" i="2"/>
  <c r="S641" i="2"/>
  <c r="T641" i="2"/>
  <c r="U641" i="2"/>
  <c r="V641" i="2"/>
  <c r="X641" i="2"/>
  <c r="Y641" i="2"/>
  <c r="Z641" i="2"/>
  <c r="AA641" i="2"/>
  <c r="AB641" i="2"/>
  <c r="AC641" i="2"/>
  <c r="AD641" i="2"/>
  <c r="AE641" i="2"/>
  <c r="AF641" i="2"/>
  <c r="AG641" i="2"/>
  <c r="A642" i="2"/>
  <c r="B642" i="2"/>
  <c r="C642" i="2"/>
  <c r="D642" i="2"/>
  <c r="E642" i="2"/>
  <c r="F642" i="2"/>
  <c r="G642" i="2"/>
  <c r="H642" i="2"/>
  <c r="I642" i="2"/>
  <c r="J642" i="2"/>
  <c r="K642" i="2"/>
  <c r="R642" i="2" s="1"/>
  <c r="L642" i="2"/>
  <c r="M642" i="2"/>
  <c r="N642" i="2"/>
  <c r="O642" i="2"/>
  <c r="P642" i="2"/>
  <c r="Q642" i="2"/>
  <c r="S642" i="2"/>
  <c r="T642" i="2"/>
  <c r="U642" i="2"/>
  <c r="W642" i="2"/>
  <c r="X642" i="2"/>
  <c r="Y642" i="2"/>
  <c r="Z642" i="2"/>
  <c r="AA642" i="2"/>
  <c r="AB642" i="2"/>
  <c r="AC642" i="2"/>
  <c r="AD642" i="2"/>
  <c r="AE642" i="2"/>
  <c r="AF642" i="2"/>
  <c r="AG642" i="2"/>
  <c r="A643" i="2"/>
  <c r="B643" i="2"/>
  <c r="C643" i="2"/>
  <c r="D643" i="2"/>
  <c r="E643" i="2"/>
  <c r="F643" i="2"/>
  <c r="G643" i="2"/>
  <c r="H643" i="2"/>
  <c r="I643" i="2"/>
  <c r="J643" i="2"/>
  <c r="K643" i="2"/>
  <c r="Q643" i="2" s="1"/>
  <c r="L643" i="2"/>
  <c r="M643" i="2"/>
  <c r="N643" i="2"/>
  <c r="O643" i="2"/>
  <c r="P643" i="2"/>
  <c r="R643" i="2"/>
  <c r="S643" i="2"/>
  <c r="T643" i="2"/>
  <c r="V643" i="2"/>
  <c r="W643" i="2"/>
  <c r="X643" i="2"/>
  <c r="Y643" i="2"/>
  <c r="Z643" i="2"/>
  <c r="AA643" i="2"/>
  <c r="AB643" i="2"/>
  <c r="AC643" i="2"/>
  <c r="AD643" i="2"/>
  <c r="AE643" i="2"/>
  <c r="AF643" i="2"/>
  <c r="AG643" i="2"/>
  <c r="A644" i="2"/>
  <c r="B644" i="2"/>
  <c r="C644" i="2"/>
  <c r="D644" i="2"/>
  <c r="E644" i="2"/>
  <c r="F644" i="2"/>
  <c r="G644" i="2"/>
  <c r="H644" i="2"/>
  <c r="I644" i="2"/>
  <c r="J644" i="2"/>
  <c r="K644" i="2"/>
  <c r="X644" i="2" s="1"/>
  <c r="L644" i="2"/>
  <c r="M644" i="2"/>
  <c r="N644" i="2"/>
  <c r="O644" i="2"/>
  <c r="P644" i="2"/>
  <c r="S644" i="2"/>
  <c r="U644" i="2"/>
  <c r="W644" i="2"/>
  <c r="Y644" i="2"/>
  <c r="Z644" i="2"/>
  <c r="AA644" i="2"/>
  <c r="AB644" i="2"/>
  <c r="AC644" i="2"/>
  <c r="AD644" i="2"/>
  <c r="AE644" i="2"/>
  <c r="AF644" i="2"/>
  <c r="AG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O645" i="2"/>
  <c r="P645" i="2"/>
  <c r="Q645" i="2"/>
  <c r="R645" i="2"/>
  <c r="S645" i="2"/>
  <c r="T645" i="2"/>
  <c r="U645" i="2"/>
  <c r="V645" i="2"/>
  <c r="W645" i="2"/>
  <c r="X645" i="2"/>
  <c r="Y645" i="2"/>
  <c r="Z645" i="2"/>
  <c r="AA645" i="2"/>
  <c r="AB645" i="2"/>
  <c r="AC645" i="2"/>
  <c r="AD645" i="2"/>
  <c r="AE645" i="2"/>
  <c r="AF645" i="2"/>
  <c r="AG645" i="2"/>
  <c r="A646" i="2"/>
  <c r="B646" i="2"/>
  <c r="C646" i="2"/>
  <c r="D646" i="2"/>
  <c r="E646" i="2"/>
  <c r="F646" i="2"/>
  <c r="G646" i="2"/>
  <c r="H646" i="2"/>
  <c r="I646" i="2"/>
  <c r="J646" i="2"/>
  <c r="K646" i="2"/>
  <c r="V646" i="2" s="1"/>
  <c r="L646" i="2"/>
  <c r="M646" i="2"/>
  <c r="N646" i="2"/>
  <c r="O646" i="2"/>
  <c r="P646" i="2"/>
  <c r="S646" i="2"/>
  <c r="U646" i="2"/>
  <c r="Y646" i="2"/>
  <c r="Z646" i="2"/>
  <c r="AA646" i="2"/>
  <c r="AB646" i="2"/>
  <c r="AC646" i="2"/>
  <c r="AD646" i="2"/>
  <c r="AE646" i="2"/>
  <c r="AF646" i="2"/>
  <c r="AG646" i="2"/>
  <c r="A647" i="2"/>
  <c r="B647" i="2"/>
  <c r="C647" i="2"/>
  <c r="D647" i="2"/>
  <c r="E647" i="2"/>
  <c r="F647" i="2"/>
  <c r="G647" i="2"/>
  <c r="H647" i="2"/>
  <c r="I647" i="2"/>
  <c r="J647" i="2"/>
  <c r="K647" i="2"/>
  <c r="U647" i="2" s="1"/>
  <c r="L647" i="2"/>
  <c r="M647" i="2"/>
  <c r="N647" i="2"/>
  <c r="O647" i="2"/>
  <c r="P647" i="2"/>
  <c r="R647" i="2"/>
  <c r="S647" i="2"/>
  <c r="T647" i="2"/>
  <c r="X647" i="2"/>
  <c r="Y647" i="2"/>
  <c r="Z647" i="2"/>
  <c r="AA647" i="2"/>
  <c r="AB647" i="2"/>
  <c r="AC647" i="2"/>
  <c r="AD647" i="2"/>
  <c r="AE647" i="2"/>
  <c r="AF647" i="2"/>
  <c r="AG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M648" i="2"/>
  <c r="N648" i="2"/>
  <c r="O648" i="2"/>
  <c r="P648" i="2"/>
  <c r="S648" i="2"/>
  <c r="Y648" i="2"/>
  <c r="Z648" i="2"/>
  <c r="AA648" i="2"/>
  <c r="AB648" i="2"/>
  <c r="AC648" i="2"/>
  <c r="AD648" i="2"/>
  <c r="AE648" i="2"/>
  <c r="AF648" i="2"/>
  <c r="AG648" i="2"/>
  <c r="A649" i="2"/>
  <c r="B649" i="2"/>
  <c r="C649" i="2"/>
  <c r="D649" i="2"/>
  <c r="E649" i="2"/>
  <c r="F649" i="2"/>
  <c r="G649" i="2"/>
  <c r="H649" i="2"/>
  <c r="I649" i="2"/>
  <c r="J649" i="2"/>
  <c r="K649" i="2"/>
  <c r="W649" i="2" s="1"/>
  <c r="L649" i="2"/>
  <c r="M649" i="2"/>
  <c r="N649" i="2"/>
  <c r="O649" i="2"/>
  <c r="P649" i="2"/>
  <c r="Q649" i="2"/>
  <c r="R649" i="2"/>
  <c r="S649" i="2"/>
  <c r="T649" i="2"/>
  <c r="U649" i="2"/>
  <c r="V649" i="2"/>
  <c r="X649" i="2"/>
  <c r="Y649" i="2"/>
  <c r="Z649" i="2"/>
  <c r="AA649" i="2"/>
  <c r="AB649" i="2"/>
  <c r="AC649" i="2"/>
  <c r="AD649" i="2"/>
  <c r="AE649" i="2"/>
  <c r="AF649" i="2"/>
  <c r="AG649" i="2"/>
  <c r="A650" i="2"/>
  <c r="B650" i="2"/>
  <c r="C650" i="2"/>
  <c r="D650" i="2"/>
  <c r="E650" i="2"/>
  <c r="F650" i="2"/>
  <c r="G650" i="2"/>
  <c r="H650" i="2"/>
  <c r="I650" i="2"/>
  <c r="J650" i="2"/>
  <c r="K650" i="2"/>
  <c r="R650" i="2" s="1"/>
  <c r="L650" i="2"/>
  <c r="M650" i="2"/>
  <c r="N650" i="2"/>
  <c r="O650" i="2"/>
  <c r="P650" i="2"/>
  <c r="Q650" i="2"/>
  <c r="S650" i="2"/>
  <c r="T650" i="2"/>
  <c r="U650" i="2"/>
  <c r="W650" i="2"/>
  <c r="X650" i="2"/>
  <c r="Y650" i="2"/>
  <c r="Z650" i="2"/>
  <c r="AA650" i="2"/>
  <c r="AB650" i="2"/>
  <c r="AC650" i="2"/>
  <c r="AD650" i="2"/>
  <c r="AE650" i="2"/>
  <c r="AF650" i="2"/>
  <c r="AG650" i="2"/>
  <c r="A651" i="2"/>
  <c r="B651" i="2"/>
  <c r="C651" i="2"/>
  <c r="D651" i="2"/>
  <c r="E651" i="2"/>
  <c r="F651" i="2"/>
  <c r="G651" i="2"/>
  <c r="H651" i="2"/>
  <c r="I651" i="2"/>
  <c r="J651" i="2"/>
  <c r="K651" i="2"/>
  <c r="Q651" i="2" s="1"/>
  <c r="L651" i="2"/>
  <c r="M651" i="2"/>
  <c r="N651" i="2"/>
  <c r="O651" i="2"/>
  <c r="P651" i="2"/>
  <c r="R651" i="2"/>
  <c r="S651" i="2"/>
  <c r="T651" i="2"/>
  <c r="V651" i="2"/>
  <c r="W651" i="2"/>
  <c r="X651" i="2"/>
  <c r="Y651" i="2"/>
  <c r="Z651" i="2"/>
  <c r="AA651" i="2"/>
  <c r="AB651" i="2"/>
  <c r="AC651" i="2"/>
  <c r="AD651" i="2"/>
  <c r="AE651" i="2"/>
  <c r="AF651" i="2"/>
  <c r="AG651" i="2"/>
  <c r="A652" i="2"/>
  <c r="B652" i="2"/>
  <c r="C652" i="2"/>
  <c r="D652" i="2"/>
  <c r="E652" i="2"/>
  <c r="F652" i="2"/>
  <c r="G652" i="2"/>
  <c r="H652" i="2"/>
  <c r="I652" i="2"/>
  <c r="J652" i="2"/>
  <c r="K652" i="2"/>
  <c r="X652" i="2" s="1"/>
  <c r="L652" i="2"/>
  <c r="M652" i="2"/>
  <c r="N652" i="2"/>
  <c r="O652" i="2"/>
  <c r="P652" i="2"/>
  <c r="S652" i="2"/>
  <c r="U652" i="2"/>
  <c r="W652" i="2"/>
  <c r="Y652" i="2"/>
  <c r="Z652" i="2"/>
  <c r="AA652" i="2"/>
  <c r="AB652" i="2"/>
  <c r="AC652" i="2"/>
  <c r="AD652" i="2"/>
  <c r="AE652" i="2"/>
  <c r="AF652" i="2"/>
  <c r="AG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M653" i="2"/>
  <c r="N653" i="2"/>
  <c r="O653" i="2"/>
  <c r="P653" i="2"/>
  <c r="Q653" i="2"/>
  <c r="R653" i="2"/>
  <c r="S653" i="2"/>
  <c r="T653" i="2"/>
  <c r="U653" i="2"/>
  <c r="V653" i="2"/>
  <c r="W653" i="2"/>
  <c r="X653" i="2"/>
  <c r="Y653" i="2"/>
  <c r="Z653" i="2"/>
  <c r="AA653" i="2"/>
  <c r="AB653" i="2"/>
  <c r="AC653" i="2"/>
  <c r="AD653" i="2"/>
  <c r="AE653" i="2"/>
  <c r="AF653" i="2"/>
  <c r="AG653" i="2"/>
  <c r="A654" i="2"/>
  <c r="B654" i="2"/>
  <c r="C654" i="2"/>
  <c r="D654" i="2"/>
  <c r="E654" i="2"/>
  <c r="F654" i="2"/>
  <c r="G654" i="2"/>
  <c r="H654" i="2"/>
  <c r="I654" i="2"/>
  <c r="J654" i="2"/>
  <c r="K654" i="2"/>
  <c r="V654" i="2" s="1"/>
  <c r="L654" i="2"/>
  <c r="M654" i="2"/>
  <c r="N654" i="2"/>
  <c r="O654" i="2"/>
  <c r="P654" i="2"/>
  <c r="S654" i="2"/>
  <c r="U654" i="2"/>
  <c r="Y654" i="2"/>
  <c r="Z654" i="2"/>
  <c r="AA654" i="2"/>
  <c r="AB654" i="2"/>
  <c r="AC654" i="2"/>
  <c r="AD654" i="2"/>
  <c r="AE654" i="2"/>
  <c r="AF654" i="2"/>
  <c r="AG654" i="2"/>
  <c r="A655" i="2"/>
  <c r="B655" i="2"/>
  <c r="C655" i="2"/>
  <c r="D655" i="2"/>
  <c r="E655" i="2"/>
  <c r="F655" i="2"/>
  <c r="G655" i="2"/>
  <c r="H655" i="2"/>
  <c r="I655" i="2"/>
  <c r="J655" i="2"/>
  <c r="K655" i="2"/>
  <c r="U655" i="2" s="1"/>
  <c r="L655" i="2"/>
  <c r="M655" i="2"/>
  <c r="N655" i="2"/>
  <c r="O655" i="2"/>
  <c r="P655" i="2"/>
  <c r="R655" i="2"/>
  <c r="S655" i="2"/>
  <c r="T655" i="2"/>
  <c r="X655" i="2"/>
  <c r="Y655" i="2"/>
  <c r="Z655" i="2"/>
  <c r="AA655" i="2"/>
  <c r="AB655" i="2"/>
  <c r="AC655" i="2"/>
  <c r="AD655" i="2"/>
  <c r="AE655" i="2"/>
  <c r="AF655" i="2"/>
  <c r="AG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M656" i="2"/>
  <c r="N656" i="2"/>
  <c r="O656" i="2"/>
  <c r="P656" i="2"/>
  <c r="Y656" i="2"/>
  <c r="Z656" i="2"/>
  <c r="AA656" i="2"/>
  <c r="AB656" i="2"/>
  <c r="AC656" i="2"/>
  <c r="AD656" i="2"/>
  <c r="AE656" i="2"/>
  <c r="AF656" i="2"/>
  <c r="AG656" i="2"/>
  <c r="A657" i="2"/>
  <c r="B657" i="2"/>
  <c r="C657" i="2"/>
  <c r="D657" i="2"/>
  <c r="E657" i="2"/>
  <c r="F657" i="2"/>
  <c r="G657" i="2"/>
  <c r="H657" i="2"/>
  <c r="I657" i="2"/>
  <c r="J657" i="2"/>
  <c r="K657" i="2"/>
  <c r="W657" i="2" s="1"/>
  <c r="L657" i="2"/>
  <c r="M657" i="2"/>
  <c r="N657" i="2"/>
  <c r="O657" i="2"/>
  <c r="P657" i="2"/>
  <c r="Q657" i="2"/>
  <c r="R657" i="2"/>
  <c r="S657" i="2"/>
  <c r="T657" i="2"/>
  <c r="U657" i="2"/>
  <c r="V657" i="2"/>
  <c r="X657" i="2"/>
  <c r="Y657" i="2"/>
  <c r="Z657" i="2"/>
  <c r="AA657" i="2"/>
  <c r="AB657" i="2"/>
  <c r="AC657" i="2"/>
  <c r="AD657" i="2"/>
  <c r="AE657" i="2"/>
  <c r="AF657" i="2"/>
  <c r="AG657" i="2"/>
  <c r="A658" i="2"/>
  <c r="B658" i="2"/>
  <c r="C658" i="2"/>
  <c r="D658" i="2"/>
  <c r="E658" i="2"/>
  <c r="F658" i="2"/>
  <c r="G658" i="2"/>
  <c r="H658" i="2"/>
  <c r="I658" i="2"/>
  <c r="J658" i="2"/>
  <c r="K658" i="2"/>
  <c r="R658" i="2" s="1"/>
  <c r="L658" i="2"/>
  <c r="M658" i="2"/>
  <c r="N658" i="2"/>
  <c r="O658" i="2"/>
  <c r="P658" i="2"/>
  <c r="Q658" i="2"/>
  <c r="S658" i="2"/>
  <c r="T658" i="2"/>
  <c r="U658" i="2"/>
  <c r="W658" i="2"/>
  <c r="X658" i="2"/>
  <c r="Y658" i="2"/>
  <c r="Z658" i="2"/>
  <c r="AA658" i="2"/>
  <c r="AB658" i="2"/>
  <c r="AC658" i="2"/>
  <c r="AD658" i="2"/>
  <c r="AE658" i="2"/>
  <c r="AF658" i="2"/>
  <c r="AG658" i="2"/>
  <c r="A659" i="2"/>
  <c r="B659" i="2"/>
  <c r="C659" i="2"/>
  <c r="D659" i="2"/>
  <c r="E659" i="2"/>
  <c r="F659" i="2"/>
  <c r="G659" i="2"/>
  <c r="H659" i="2"/>
  <c r="I659" i="2"/>
  <c r="J659" i="2"/>
  <c r="K659" i="2"/>
  <c r="Q659" i="2" s="1"/>
  <c r="L659" i="2"/>
  <c r="M659" i="2"/>
  <c r="N659" i="2"/>
  <c r="O659" i="2"/>
  <c r="P659" i="2"/>
  <c r="R659" i="2"/>
  <c r="S659" i="2"/>
  <c r="T659" i="2"/>
  <c r="V659" i="2"/>
  <c r="W659" i="2"/>
  <c r="X659" i="2"/>
  <c r="Y659" i="2"/>
  <c r="Z659" i="2"/>
  <c r="AA659" i="2"/>
  <c r="AB659" i="2"/>
  <c r="AC659" i="2"/>
  <c r="AD659" i="2"/>
  <c r="AE659" i="2"/>
  <c r="AF659" i="2"/>
  <c r="AG659" i="2"/>
  <c r="A660" i="2"/>
  <c r="B660" i="2"/>
  <c r="C660" i="2"/>
  <c r="D660" i="2"/>
  <c r="E660" i="2"/>
  <c r="F660" i="2"/>
  <c r="G660" i="2"/>
  <c r="H660" i="2"/>
  <c r="I660" i="2"/>
  <c r="J660" i="2"/>
  <c r="K660" i="2"/>
  <c r="X660" i="2" s="1"/>
  <c r="L660" i="2"/>
  <c r="M660" i="2"/>
  <c r="N660" i="2"/>
  <c r="O660" i="2"/>
  <c r="P660" i="2"/>
  <c r="S660" i="2"/>
  <c r="U660" i="2"/>
  <c r="W660" i="2"/>
  <c r="Y660" i="2"/>
  <c r="Z660" i="2"/>
  <c r="AA660" i="2"/>
  <c r="AB660" i="2"/>
  <c r="AC660" i="2"/>
  <c r="AD660" i="2"/>
  <c r="AE660" i="2"/>
  <c r="AF660" i="2"/>
  <c r="AG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O661" i="2"/>
  <c r="P661" i="2"/>
  <c r="Q661" i="2"/>
  <c r="R661" i="2"/>
  <c r="S661" i="2"/>
  <c r="T661" i="2"/>
  <c r="U661" i="2"/>
  <c r="V661" i="2"/>
  <c r="W661" i="2"/>
  <c r="X661" i="2"/>
  <c r="Y661" i="2"/>
  <c r="Z661" i="2"/>
  <c r="AA661" i="2"/>
  <c r="AB661" i="2"/>
  <c r="AC661" i="2"/>
  <c r="AD661" i="2"/>
  <c r="AE661" i="2"/>
  <c r="AF661" i="2"/>
  <c r="AG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M662" i="2"/>
  <c r="N662" i="2"/>
  <c r="O662" i="2"/>
  <c r="P662" i="2"/>
  <c r="U662" i="2"/>
  <c r="Y662" i="2"/>
  <c r="Z662" i="2"/>
  <c r="AA662" i="2"/>
  <c r="AB662" i="2"/>
  <c r="AC662" i="2"/>
  <c r="AD662" i="2"/>
  <c r="AE662" i="2"/>
  <c r="AF662" i="2"/>
  <c r="AG662" i="2"/>
  <c r="A663" i="2"/>
  <c r="B663" i="2"/>
  <c r="C663" i="2"/>
  <c r="D663" i="2"/>
  <c r="E663" i="2"/>
  <c r="F663" i="2"/>
  <c r="G663" i="2"/>
  <c r="H663" i="2"/>
  <c r="I663" i="2"/>
  <c r="J663" i="2"/>
  <c r="K663" i="2"/>
  <c r="U663" i="2" s="1"/>
  <c r="L663" i="2"/>
  <c r="M663" i="2"/>
  <c r="N663" i="2"/>
  <c r="O663" i="2"/>
  <c r="P663" i="2"/>
  <c r="R663" i="2"/>
  <c r="S663" i="2"/>
  <c r="T663" i="2"/>
  <c r="X663" i="2"/>
  <c r="Y663" i="2"/>
  <c r="Z663" i="2"/>
  <c r="AA663" i="2"/>
  <c r="AB663" i="2"/>
  <c r="AC663" i="2"/>
  <c r="AD663" i="2"/>
  <c r="AE663" i="2"/>
  <c r="AF663" i="2"/>
  <c r="AG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M664" i="2"/>
  <c r="N664" i="2"/>
  <c r="O664" i="2"/>
  <c r="P664" i="2"/>
  <c r="Q664" i="2"/>
  <c r="S664" i="2"/>
  <c r="W664" i="2"/>
  <c r="Y664" i="2"/>
  <c r="Z664" i="2"/>
  <c r="AA664" i="2"/>
  <c r="AB664" i="2"/>
  <c r="AC664" i="2"/>
  <c r="AD664" i="2"/>
  <c r="AE664" i="2"/>
  <c r="AF664" i="2"/>
  <c r="AG664" i="2"/>
  <c r="A665" i="2"/>
  <c r="B665" i="2"/>
  <c r="C665" i="2"/>
  <c r="D665" i="2"/>
  <c r="E665" i="2"/>
  <c r="F665" i="2"/>
  <c r="G665" i="2"/>
  <c r="H665" i="2"/>
  <c r="I665" i="2"/>
  <c r="J665" i="2"/>
  <c r="K665" i="2"/>
  <c r="W665" i="2" s="1"/>
  <c r="L665" i="2"/>
  <c r="M665" i="2"/>
  <c r="N665" i="2"/>
  <c r="O665" i="2"/>
  <c r="P665" i="2"/>
  <c r="Q665" i="2"/>
  <c r="R665" i="2"/>
  <c r="S665" i="2"/>
  <c r="T665" i="2"/>
  <c r="U665" i="2"/>
  <c r="V665" i="2"/>
  <c r="X665" i="2"/>
  <c r="Y665" i="2"/>
  <c r="Z665" i="2"/>
  <c r="AA665" i="2"/>
  <c r="AB665" i="2"/>
  <c r="AC665" i="2"/>
  <c r="AD665" i="2"/>
  <c r="AE665" i="2"/>
  <c r="AF665" i="2"/>
  <c r="AG665" i="2"/>
  <c r="A666" i="2"/>
  <c r="B666" i="2"/>
  <c r="C666" i="2"/>
  <c r="D666" i="2"/>
  <c r="E666" i="2"/>
  <c r="F666" i="2"/>
  <c r="G666" i="2"/>
  <c r="H666" i="2"/>
  <c r="I666" i="2"/>
  <c r="J666" i="2"/>
  <c r="K666" i="2"/>
  <c r="R666" i="2" s="1"/>
  <c r="L666" i="2"/>
  <c r="M666" i="2"/>
  <c r="N666" i="2"/>
  <c r="O666" i="2"/>
  <c r="P666" i="2"/>
  <c r="Q666" i="2"/>
  <c r="S666" i="2"/>
  <c r="T666" i="2"/>
  <c r="U666" i="2"/>
  <c r="W666" i="2"/>
  <c r="X666" i="2"/>
  <c r="Y666" i="2"/>
  <c r="Z666" i="2"/>
  <c r="AA666" i="2"/>
  <c r="AB666" i="2"/>
  <c r="AC666" i="2"/>
  <c r="AD666" i="2"/>
  <c r="AE666" i="2"/>
  <c r="AF666" i="2"/>
  <c r="AG666" i="2"/>
  <c r="A667" i="2"/>
  <c r="B667" i="2"/>
  <c r="C667" i="2"/>
  <c r="D667" i="2"/>
  <c r="E667" i="2"/>
  <c r="F667" i="2"/>
  <c r="G667" i="2"/>
  <c r="H667" i="2"/>
  <c r="I667" i="2"/>
  <c r="J667" i="2"/>
  <c r="K667" i="2"/>
  <c r="Q667" i="2" s="1"/>
  <c r="L667" i="2"/>
  <c r="M667" i="2"/>
  <c r="N667" i="2"/>
  <c r="O667" i="2"/>
  <c r="P667" i="2"/>
  <c r="R667" i="2"/>
  <c r="S667" i="2"/>
  <c r="T667" i="2"/>
  <c r="V667" i="2"/>
  <c r="W667" i="2"/>
  <c r="X667" i="2"/>
  <c r="Y667" i="2"/>
  <c r="Z667" i="2"/>
  <c r="AA667" i="2"/>
  <c r="AB667" i="2"/>
  <c r="AC667" i="2"/>
  <c r="AD667" i="2"/>
  <c r="AE667" i="2"/>
  <c r="AF667" i="2"/>
  <c r="AG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M668" i="2"/>
  <c r="N668" i="2"/>
  <c r="O668" i="2"/>
  <c r="P668" i="2"/>
  <c r="V668" i="2"/>
  <c r="W668" i="2"/>
  <c r="Y668" i="2"/>
  <c r="Z668" i="2"/>
  <c r="AA668" i="2"/>
  <c r="AB668" i="2"/>
  <c r="AC668" i="2"/>
  <c r="AD668" i="2"/>
  <c r="AE668" i="2"/>
  <c r="AF668" i="2"/>
  <c r="AG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M669" i="2"/>
  <c r="N669" i="2"/>
  <c r="O669" i="2"/>
  <c r="P669" i="2"/>
  <c r="Q669" i="2"/>
  <c r="R669" i="2"/>
  <c r="S669" i="2"/>
  <c r="T669" i="2"/>
  <c r="U669" i="2"/>
  <c r="V669" i="2"/>
  <c r="W669" i="2"/>
  <c r="X669" i="2"/>
  <c r="Y669" i="2"/>
  <c r="Z669" i="2"/>
  <c r="AA669" i="2"/>
  <c r="AB669" i="2"/>
  <c r="AC669" i="2"/>
  <c r="AD669" i="2"/>
  <c r="AE669" i="2"/>
  <c r="AF669" i="2"/>
  <c r="AG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O670" i="2"/>
  <c r="P670" i="2"/>
  <c r="Q670" i="2"/>
  <c r="S670" i="2"/>
  <c r="T670" i="2"/>
  <c r="U670" i="2"/>
  <c r="Y670" i="2"/>
  <c r="Z670" i="2"/>
  <c r="AA670" i="2"/>
  <c r="AB670" i="2"/>
  <c r="AC670" i="2"/>
  <c r="AD670" i="2"/>
  <c r="AE670" i="2"/>
  <c r="AF670" i="2"/>
  <c r="AG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M671" i="2"/>
  <c r="N671" i="2"/>
  <c r="O671" i="2"/>
  <c r="P671" i="2"/>
  <c r="R671" i="2"/>
  <c r="S671" i="2"/>
  <c r="T671" i="2"/>
  <c r="X671" i="2"/>
  <c r="Y671" i="2"/>
  <c r="Z671" i="2"/>
  <c r="AA671" i="2"/>
  <c r="AB671" i="2"/>
  <c r="AC671" i="2"/>
  <c r="AD671" i="2"/>
  <c r="AE671" i="2"/>
  <c r="AF671" i="2"/>
  <c r="AG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O672" i="2"/>
  <c r="P672" i="2"/>
  <c r="S672" i="2"/>
  <c r="W672" i="2"/>
  <c r="Y672" i="2"/>
  <c r="Z672" i="2"/>
  <c r="AA672" i="2"/>
  <c r="AB672" i="2"/>
  <c r="AC672" i="2"/>
  <c r="AD672" i="2"/>
  <c r="AE672" i="2"/>
  <c r="AF672" i="2"/>
  <c r="AG672" i="2"/>
  <c r="A673" i="2"/>
  <c r="B673" i="2"/>
  <c r="C673" i="2"/>
  <c r="D673" i="2"/>
  <c r="E673" i="2"/>
  <c r="F673" i="2"/>
  <c r="G673" i="2"/>
  <c r="H673" i="2"/>
  <c r="I673" i="2"/>
  <c r="J673" i="2"/>
  <c r="K673" i="2"/>
  <c r="W673" i="2" s="1"/>
  <c r="L673" i="2"/>
  <c r="M673" i="2"/>
  <c r="N673" i="2"/>
  <c r="O673" i="2"/>
  <c r="P673" i="2"/>
  <c r="Q673" i="2"/>
  <c r="R673" i="2"/>
  <c r="S673" i="2"/>
  <c r="T673" i="2"/>
  <c r="U673" i="2"/>
  <c r="V673" i="2"/>
  <c r="X673" i="2"/>
  <c r="Y673" i="2"/>
  <c r="Z673" i="2"/>
  <c r="AA673" i="2"/>
  <c r="AB673" i="2"/>
  <c r="AC673" i="2"/>
  <c r="AD673" i="2"/>
  <c r="AE673" i="2"/>
  <c r="AF673" i="2"/>
  <c r="AG673" i="2"/>
  <c r="A674" i="2"/>
  <c r="B674" i="2"/>
  <c r="C674" i="2"/>
  <c r="D674" i="2"/>
  <c r="E674" i="2"/>
  <c r="F674" i="2"/>
  <c r="G674" i="2"/>
  <c r="H674" i="2"/>
  <c r="I674" i="2"/>
  <c r="J674" i="2"/>
  <c r="K674" i="2"/>
  <c r="R674" i="2" s="1"/>
  <c r="L674" i="2"/>
  <c r="M674" i="2"/>
  <c r="N674" i="2"/>
  <c r="O674" i="2"/>
  <c r="P674" i="2"/>
  <c r="Q674" i="2"/>
  <c r="S674" i="2"/>
  <c r="T674" i="2"/>
  <c r="U674" i="2"/>
  <c r="W674" i="2"/>
  <c r="X674" i="2"/>
  <c r="Y674" i="2"/>
  <c r="Z674" i="2"/>
  <c r="AA674" i="2"/>
  <c r="AB674" i="2"/>
  <c r="AC674" i="2"/>
  <c r="AD674" i="2"/>
  <c r="AE674" i="2"/>
  <c r="AF674" i="2"/>
  <c r="AG674" i="2"/>
  <c r="A675" i="2"/>
  <c r="B675" i="2"/>
  <c r="C675" i="2"/>
  <c r="D675" i="2"/>
  <c r="E675" i="2"/>
  <c r="F675" i="2"/>
  <c r="G675" i="2"/>
  <c r="H675" i="2"/>
  <c r="I675" i="2"/>
  <c r="J675" i="2"/>
  <c r="K675" i="2"/>
  <c r="Q675" i="2" s="1"/>
  <c r="L675" i="2"/>
  <c r="M675" i="2"/>
  <c r="N675" i="2"/>
  <c r="O675" i="2"/>
  <c r="P675" i="2"/>
  <c r="R675" i="2"/>
  <c r="S675" i="2"/>
  <c r="T675" i="2"/>
  <c r="V675" i="2"/>
  <c r="W675" i="2"/>
  <c r="X675" i="2"/>
  <c r="Y675" i="2"/>
  <c r="Z675" i="2"/>
  <c r="AA675" i="2"/>
  <c r="AB675" i="2"/>
  <c r="AC675" i="2"/>
  <c r="AD675" i="2"/>
  <c r="AE675" i="2"/>
  <c r="AF675" i="2"/>
  <c r="AG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M676" i="2"/>
  <c r="N676" i="2"/>
  <c r="O676" i="2"/>
  <c r="P676" i="2"/>
  <c r="Q676" i="2"/>
  <c r="R676" i="2"/>
  <c r="S676" i="2"/>
  <c r="U676" i="2"/>
  <c r="V676" i="2"/>
  <c r="W676" i="2"/>
  <c r="Y676" i="2"/>
  <c r="Z676" i="2"/>
  <c r="AA676" i="2"/>
  <c r="AB676" i="2"/>
  <c r="AC676" i="2"/>
  <c r="AD676" i="2"/>
  <c r="AE676" i="2"/>
  <c r="AF676" i="2"/>
  <c r="AG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O677" i="2"/>
  <c r="P677" i="2"/>
  <c r="Q677" i="2"/>
  <c r="R677" i="2"/>
  <c r="S677" i="2"/>
  <c r="T677" i="2"/>
  <c r="U677" i="2"/>
  <c r="V677" i="2"/>
  <c r="W677" i="2"/>
  <c r="X677" i="2"/>
  <c r="Y677" i="2"/>
  <c r="Z677" i="2"/>
  <c r="AA677" i="2"/>
  <c r="AB677" i="2"/>
  <c r="AC677" i="2"/>
  <c r="AD677" i="2"/>
  <c r="AE677" i="2"/>
  <c r="AF677" i="2"/>
  <c r="AG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M678" i="2"/>
  <c r="N678" i="2"/>
  <c r="O678" i="2"/>
  <c r="P678" i="2"/>
  <c r="Q678" i="2"/>
  <c r="S678" i="2"/>
  <c r="T678" i="2"/>
  <c r="U678" i="2"/>
  <c r="W678" i="2"/>
  <c r="X678" i="2"/>
  <c r="Y678" i="2"/>
  <c r="Z678" i="2"/>
  <c r="AA678" i="2"/>
  <c r="AB678" i="2"/>
  <c r="AC678" i="2"/>
  <c r="AD678" i="2"/>
  <c r="AE678" i="2"/>
  <c r="AF678" i="2"/>
  <c r="AG678" i="2"/>
  <c r="A679" i="2"/>
  <c r="B679" i="2"/>
  <c r="C679" i="2"/>
  <c r="D679" i="2"/>
  <c r="E679" i="2"/>
  <c r="F679" i="2"/>
  <c r="G679" i="2"/>
  <c r="H679" i="2"/>
  <c r="I679" i="2"/>
  <c r="J679" i="2"/>
  <c r="K679" i="2"/>
  <c r="V679" i="2" s="1"/>
  <c r="L679" i="2"/>
  <c r="M679" i="2"/>
  <c r="N679" i="2"/>
  <c r="O679" i="2"/>
  <c r="P679" i="2"/>
  <c r="R679" i="2"/>
  <c r="S679" i="2"/>
  <c r="T679" i="2"/>
  <c r="W679" i="2"/>
  <c r="X679" i="2"/>
  <c r="Y679" i="2"/>
  <c r="Z679" i="2"/>
  <c r="AA679" i="2"/>
  <c r="AB679" i="2"/>
  <c r="AC679" i="2"/>
  <c r="AD679" i="2"/>
  <c r="AE679" i="2"/>
  <c r="AF679" i="2"/>
  <c r="AG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O680" i="2"/>
  <c r="P680" i="2"/>
  <c r="S680" i="2"/>
  <c r="Y680" i="2"/>
  <c r="Z680" i="2"/>
  <c r="AA680" i="2"/>
  <c r="AB680" i="2"/>
  <c r="AC680" i="2"/>
  <c r="AD680" i="2"/>
  <c r="AE680" i="2"/>
  <c r="AF680" i="2"/>
  <c r="AG680" i="2"/>
  <c r="A681" i="2"/>
  <c r="B681" i="2"/>
  <c r="C681" i="2"/>
  <c r="D681" i="2"/>
  <c r="E681" i="2"/>
  <c r="F681" i="2"/>
  <c r="G681" i="2"/>
  <c r="H681" i="2"/>
  <c r="I681" i="2"/>
  <c r="J681" i="2"/>
  <c r="K681" i="2"/>
  <c r="W681" i="2" s="1"/>
  <c r="L681" i="2"/>
  <c r="M681" i="2"/>
  <c r="N681" i="2"/>
  <c r="O681" i="2"/>
  <c r="P681" i="2"/>
  <c r="Q681" i="2"/>
  <c r="R681" i="2"/>
  <c r="S681" i="2"/>
  <c r="T681" i="2"/>
  <c r="U681" i="2"/>
  <c r="V681" i="2"/>
  <c r="X681" i="2"/>
  <c r="Y681" i="2"/>
  <c r="Z681" i="2"/>
  <c r="AA681" i="2"/>
  <c r="AB681" i="2"/>
  <c r="AC681" i="2"/>
  <c r="AD681" i="2"/>
  <c r="AE681" i="2"/>
  <c r="AF681" i="2"/>
  <c r="AG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M682" i="2"/>
  <c r="N682" i="2"/>
  <c r="O682" i="2"/>
  <c r="P682" i="2"/>
  <c r="T682" i="2"/>
  <c r="U682" i="2"/>
  <c r="Y682" i="2"/>
  <c r="Z682" i="2"/>
  <c r="AA682" i="2"/>
  <c r="AB682" i="2"/>
  <c r="AC682" i="2"/>
  <c r="AD682" i="2"/>
  <c r="AE682" i="2"/>
  <c r="AF682" i="2"/>
  <c r="AG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M683" i="2"/>
  <c r="N683" i="2"/>
  <c r="O683" i="2"/>
  <c r="P683" i="2"/>
  <c r="T683" i="2"/>
  <c r="V683" i="2"/>
  <c r="W683" i="2"/>
  <c r="Y683" i="2"/>
  <c r="Z683" i="2"/>
  <c r="AA683" i="2"/>
  <c r="AB683" i="2"/>
  <c r="AC683" i="2"/>
  <c r="AD683" i="2"/>
  <c r="AE683" i="2"/>
  <c r="AF683" i="2"/>
  <c r="AG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M684" i="2"/>
  <c r="N684" i="2"/>
  <c r="O684" i="2"/>
  <c r="P684" i="2"/>
  <c r="Q684" i="2"/>
  <c r="R684" i="2"/>
  <c r="S684" i="2"/>
  <c r="U684" i="2"/>
  <c r="V684" i="2"/>
  <c r="W684" i="2"/>
  <c r="Y684" i="2"/>
  <c r="Z684" i="2"/>
  <c r="AA684" i="2"/>
  <c r="AB684" i="2"/>
  <c r="AC684" i="2"/>
  <c r="AD684" i="2"/>
  <c r="AE684" i="2"/>
  <c r="AF684" i="2"/>
  <c r="AG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M685" i="2"/>
  <c r="N685" i="2"/>
  <c r="O685" i="2"/>
  <c r="P685" i="2"/>
  <c r="Q685" i="2"/>
  <c r="R685" i="2"/>
  <c r="S685" i="2"/>
  <c r="T685" i="2"/>
  <c r="U685" i="2"/>
  <c r="V685" i="2"/>
  <c r="W685" i="2"/>
  <c r="X685" i="2"/>
  <c r="Y685" i="2"/>
  <c r="Z685" i="2"/>
  <c r="AA685" i="2"/>
  <c r="AB685" i="2"/>
  <c r="AC685" i="2"/>
  <c r="AD685" i="2"/>
  <c r="AE685" i="2"/>
  <c r="AF685" i="2"/>
  <c r="AG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M686" i="2"/>
  <c r="N686" i="2"/>
  <c r="O686" i="2"/>
  <c r="P686" i="2"/>
  <c r="Q686" i="2"/>
  <c r="S686" i="2"/>
  <c r="T686" i="2"/>
  <c r="U686" i="2"/>
  <c r="W686" i="2"/>
  <c r="X686" i="2"/>
  <c r="Y686" i="2"/>
  <c r="Z686" i="2"/>
  <c r="AA686" i="2"/>
  <c r="AB686" i="2"/>
  <c r="AC686" i="2"/>
  <c r="AD686" i="2"/>
  <c r="AE686" i="2"/>
  <c r="AF686" i="2"/>
  <c r="AG686" i="2"/>
  <c r="A687" i="2"/>
  <c r="B687" i="2"/>
  <c r="C687" i="2"/>
  <c r="D687" i="2"/>
  <c r="E687" i="2"/>
  <c r="F687" i="2"/>
  <c r="G687" i="2"/>
  <c r="H687" i="2"/>
  <c r="I687" i="2"/>
  <c r="J687" i="2"/>
  <c r="K687" i="2"/>
  <c r="V687" i="2" s="1"/>
  <c r="L687" i="2"/>
  <c r="M687" i="2"/>
  <c r="N687" i="2"/>
  <c r="O687" i="2"/>
  <c r="P687" i="2"/>
  <c r="T687" i="2"/>
  <c r="W687" i="2"/>
  <c r="X687" i="2"/>
  <c r="Y687" i="2"/>
  <c r="Z687" i="2"/>
  <c r="AA687" i="2"/>
  <c r="AB687" i="2"/>
  <c r="AC687" i="2"/>
  <c r="AD687" i="2"/>
  <c r="AE687" i="2"/>
  <c r="AF687" i="2"/>
  <c r="AG687" i="2"/>
  <c r="A688" i="2"/>
  <c r="B688" i="2"/>
  <c r="C688" i="2"/>
  <c r="D688" i="2"/>
  <c r="E688" i="2"/>
  <c r="F688" i="2"/>
  <c r="G688" i="2"/>
  <c r="H688" i="2"/>
  <c r="I688" i="2"/>
  <c r="J688" i="2"/>
  <c r="K688" i="2"/>
  <c r="U688" i="2" s="1"/>
  <c r="L688" i="2"/>
  <c r="M688" i="2"/>
  <c r="N688" i="2"/>
  <c r="O688" i="2"/>
  <c r="P688" i="2"/>
  <c r="S688" i="2"/>
  <c r="W688" i="2"/>
  <c r="Y688" i="2"/>
  <c r="Z688" i="2"/>
  <c r="AA688" i="2"/>
  <c r="AB688" i="2"/>
  <c r="AC688" i="2"/>
  <c r="AD688" i="2"/>
  <c r="AE688" i="2"/>
  <c r="AF688" i="2"/>
  <c r="AG688" i="2"/>
  <c r="A689" i="2"/>
  <c r="B689" i="2"/>
  <c r="C689" i="2"/>
  <c r="D689" i="2"/>
  <c r="E689" i="2"/>
  <c r="F689" i="2"/>
  <c r="G689" i="2"/>
  <c r="H689" i="2"/>
  <c r="I689" i="2"/>
  <c r="J689" i="2"/>
  <c r="K689" i="2"/>
  <c r="W689" i="2" s="1"/>
  <c r="L689" i="2"/>
  <c r="M689" i="2"/>
  <c r="N689" i="2"/>
  <c r="O689" i="2"/>
  <c r="P689" i="2"/>
  <c r="Q689" i="2"/>
  <c r="R689" i="2"/>
  <c r="S689" i="2"/>
  <c r="T689" i="2"/>
  <c r="U689" i="2"/>
  <c r="V689" i="2"/>
  <c r="X689" i="2"/>
  <c r="Y689" i="2"/>
  <c r="Z689" i="2"/>
  <c r="AA689" i="2"/>
  <c r="AB689" i="2"/>
  <c r="AC689" i="2"/>
  <c r="AD689" i="2"/>
  <c r="AE689" i="2"/>
  <c r="AF689" i="2"/>
  <c r="AG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M690" i="2"/>
  <c r="N690" i="2"/>
  <c r="O690" i="2"/>
  <c r="P690" i="2"/>
  <c r="Q690" i="2"/>
  <c r="S690" i="2"/>
  <c r="T690" i="2"/>
  <c r="U690" i="2"/>
  <c r="W690" i="2"/>
  <c r="X690" i="2"/>
  <c r="Y690" i="2"/>
  <c r="Z690" i="2"/>
  <c r="AA690" i="2"/>
  <c r="AB690" i="2"/>
  <c r="AC690" i="2"/>
  <c r="AD690" i="2"/>
  <c r="AE690" i="2"/>
  <c r="AF690" i="2"/>
  <c r="AG690" i="2"/>
  <c r="A691" i="2"/>
  <c r="B691" i="2"/>
  <c r="C691" i="2"/>
  <c r="D691" i="2"/>
  <c r="E691" i="2"/>
  <c r="F691" i="2"/>
  <c r="G691" i="2"/>
  <c r="H691" i="2"/>
  <c r="I691" i="2"/>
  <c r="J691" i="2"/>
  <c r="K691" i="2"/>
  <c r="T691" i="2" s="1"/>
  <c r="L691" i="2"/>
  <c r="M691" i="2"/>
  <c r="N691" i="2"/>
  <c r="O691" i="2"/>
  <c r="P691" i="2"/>
  <c r="Q691" i="2"/>
  <c r="R691" i="2"/>
  <c r="S691" i="2"/>
  <c r="U691" i="2"/>
  <c r="V691" i="2"/>
  <c r="X691" i="2"/>
  <c r="Y691" i="2"/>
  <c r="Z691" i="2"/>
  <c r="AA691" i="2"/>
  <c r="AB691" i="2"/>
  <c r="AC691" i="2"/>
  <c r="AD691" i="2"/>
  <c r="AE691" i="2"/>
  <c r="AF691" i="2"/>
  <c r="AG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O692" i="2"/>
  <c r="P692" i="2"/>
  <c r="Q692" i="2"/>
  <c r="R692" i="2"/>
  <c r="S692" i="2"/>
  <c r="T692" i="2"/>
  <c r="U692" i="2"/>
  <c r="V692" i="2"/>
  <c r="W692" i="2"/>
  <c r="X692" i="2"/>
  <c r="Y692" i="2"/>
  <c r="Z692" i="2"/>
  <c r="AA692" i="2"/>
  <c r="AB692" i="2"/>
  <c r="AC692" i="2"/>
  <c r="AD692" i="2"/>
  <c r="AE692" i="2"/>
  <c r="AF692" i="2"/>
  <c r="AG692" i="2"/>
  <c r="A693" i="2"/>
  <c r="B693" i="2"/>
  <c r="C693" i="2"/>
  <c r="D693" i="2"/>
  <c r="E693" i="2"/>
  <c r="F693" i="2"/>
  <c r="G693" i="2"/>
  <c r="H693" i="2"/>
  <c r="I693" i="2"/>
  <c r="J693" i="2"/>
  <c r="K693" i="2"/>
  <c r="Q693" i="2" s="1"/>
  <c r="L693" i="2"/>
  <c r="M693" i="2"/>
  <c r="N693" i="2"/>
  <c r="O693" i="2"/>
  <c r="P693" i="2"/>
  <c r="S693" i="2"/>
  <c r="T693" i="2"/>
  <c r="V693" i="2"/>
  <c r="W693" i="2"/>
  <c r="X693" i="2"/>
  <c r="Y693" i="2"/>
  <c r="Z693" i="2"/>
  <c r="AA693" i="2"/>
  <c r="AB693" i="2"/>
  <c r="AC693" i="2"/>
  <c r="AD693" i="2"/>
  <c r="AE693" i="2"/>
  <c r="AF693" i="2"/>
  <c r="AG693" i="2"/>
  <c r="A694" i="2"/>
  <c r="B694" i="2"/>
  <c r="C694" i="2"/>
  <c r="D694" i="2"/>
  <c r="E694" i="2"/>
  <c r="F694" i="2"/>
  <c r="G694" i="2"/>
  <c r="H694" i="2"/>
  <c r="I694" i="2"/>
  <c r="J694" i="2"/>
  <c r="K694" i="2"/>
  <c r="X694" i="2" s="1"/>
  <c r="L694" i="2"/>
  <c r="M694" i="2"/>
  <c r="N694" i="2"/>
  <c r="O694" i="2"/>
  <c r="P694" i="2"/>
  <c r="S694" i="2"/>
  <c r="U694" i="2"/>
  <c r="V694" i="2"/>
  <c r="W694" i="2"/>
  <c r="Y694" i="2"/>
  <c r="Z694" i="2"/>
  <c r="AA694" i="2"/>
  <c r="AB694" i="2"/>
  <c r="AC694" i="2"/>
  <c r="AD694" i="2"/>
  <c r="AE694" i="2"/>
  <c r="AF694" i="2"/>
  <c r="AG694" i="2"/>
  <c r="A695" i="2"/>
  <c r="B695" i="2"/>
  <c r="C695" i="2"/>
  <c r="D695" i="2"/>
  <c r="E695" i="2"/>
  <c r="F695" i="2"/>
  <c r="G695" i="2"/>
  <c r="H695" i="2"/>
  <c r="I695" i="2"/>
  <c r="J695" i="2"/>
  <c r="K695" i="2"/>
  <c r="X695" i="2" s="1"/>
  <c r="L695" i="2"/>
  <c r="M695" i="2"/>
  <c r="N695" i="2"/>
  <c r="O695" i="2"/>
  <c r="P695" i="2"/>
  <c r="Q695" i="2"/>
  <c r="R695" i="2"/>
  <c r="S695" i="2"/>
  <c r="T695" i="2"/>
  <c r="U695" i="2"/>
  <c r="V695" i="2"/>
  <c r="W695" i="2"/>
  <c r="Y695" i="2"/>
  <c r="Z695" i="2"/>
  <c r="AA695" i="2"/>
  <c r="AB695" i="2"/>
  <c r="AC695" i="2"/>
  <c r="AD695" i="2"/>
  <c r="AE695" i="2"/>
  <c r="AF695" i="2"/>
  <c r="AG695" i="2"/>
  <c r="A696" i="2"/>
  <c r="B696" i="2"/>
  <c r="C696" i="2"/>
  <c r="D696" i="2"/>
  <c r="E696" i="2"/>
  <c r="F696" i="2"/>
  <c r="G696" i="2"/>
  <c r="H696" i="2"/>
  <c r="I696" i="2"/>
  <c r="J696" i="2"/>
  <c r="K696" i="2"/>
  <c r="V696" i="2" s="1"/>
  <c r="L696" i="2"/>
  <c r="M696" i="2"/>
  <c r="N696" i="2"/>
  <c r="O696" i="2"/>
  <c r="P696" i="2"/>
  <c r="S696" i="2"/>
  <c r="T696" i="2"/>
  <c r="U696" i="2"/>
  <c r="Y696" i="2"/>
  <c r="Z696" i="2"/>
  <c r="AA696" i="2"/>
  <c r="AB696" i="2"/>
  <c r="AC696" i="2"/>
  <c r="AD696" i="2"/>
  <c r="AE696" i="2"/>
  <c r="AF696" i="2"/>
  <c r="AG696" i="2"/>
  <c r="A697" i="2"/>
  <c r="B697" i="2"/>
  <c r="C697" i="2"/>
  <c r="D697" i="2"/>
  <c r="E697" i="2"/>
  <c r="F697" i="2"/>
  <c r="G697" i="2"/>
  <c r="H697" i="2"/>
  <c r="I697" i="2"/>
  <c r="J697" i="2"/>
  <c r="K697" i="2"/>
  <c r="U697" i="2" s="1"/>
  <c r="L697" i="2"/>
  <c r="M697" i="2"/>
  <c r="N697" i="2"/>
  <c r="O697" i="2"/>
  <c r="P697" i="2"/>
  <c r="S697" i="2"/>
  <c r="T697" i="2"/>
  <c r="Y697" i="2"/>
  <c r="Z697" i="2"/>
  <c r="AA697" i="2"/>
  <c r="AB697" i="2"/>
  <c r="AC697" i="2"/>
  <c r="AD697" i="2"/>
  <c r="AE697" i="2"/>
  <c r="AF697" i="2"/>
  <c r="AG697" i="2"/>
  <c r="A698" i="2"/>
  <c r="B698" i="2"/>
  <c r="C698" i="2"/>
  <c r="D698" i="2"/>
  <c r="E698" i="2"/>
  <c r="F698" i="2"/>
  <c r="G698" i="2"/>
  <c r="H698" i="2"/>
  <c r="I698" i="2"/>
  <c r="J698" i="2"/>
  <c r="K698" i="2"/>
  <c r="T698" i="2" s="1"/>
  <c r="L698" i="2"/>
  <c r="M698" i="2"/>
  <c r="N698" i="2"/>
  <c r="O698" i="2"/>
  <c r="P698" i="2"/>
  <c r="S698" i="2"/>
  <c r="Y698" i="2"/>
  <c r="Z698" i="2"/>
  <c r="AA698" i="2"/>
  <c r="AB698" i="2"/>
  <c r="AC698" i="2"/>
  <c r="AD698" i="2"/>
  <c r="AE698" i="2"/>
  <c r="AF698" i="2"/>
  <c r="AG698" i="2"/>
  <c r="A699" i="2"/>
  <c r="B699" i="2"/>
  <c r="C699" i="2"/>
  <c r="D699" i="2"/>
  <c r="E699" i="2"/>
  <c r="F699" i="2"/>
  <c r="G699" i="2"/>
  <c r="H699" i="2"/>
  <c r="I699" i="2"/>
  <c r="J699" i="2"/>
  <c r="K699" i="2"/>
  <c r="T699" i="2" s="1"/>
  <c r="L699" i="2"/>
  <c r="M699" i="2"/>
  <c r="N699" i="2"/>
  <c r="O699" i="2"/>
  <c r="P699" i="2"/>
  <c r="Q699" i="2"/>
  <c r="R699" i="2"/>
  <c r="S699" i="2"/>
  <c r="U699" i="2"/>
  <c r="V699" i="2"/>
  <c r="X699" i="2"/>
  <c r="Y699" i="2"/>
  <c r="Z699" i="2"/>
  <c r="AA699" i="2"/>
  <c r="AB699" i="2"/>
  <c r="AC699" i="2"/>
  <c r="AD699" i="2"/>
  <c r="AE699" i="2"/>
  <c r="AF699" i="2"/>
  <c r="AG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O700" i="2"/>
  <c r="P700" i="2"/>
  <c r="Q700" i="2"/>
  <c r="R700" i="2"/>
  <c r="S700" i="2"/>
  <c r="T700" i="2"/>
  <c r="U700" i="2"/>
  <c r="V700" i="2"/>
  <c r="W700" i="2"/>
  <c r="X700" i="2"/>
  <c r="Y700" i="2"/>
  <c r="Z700" i="2"/>
  <c r="AA700" i="2"/>
  <c r="AB700" i="2"/>
  <c r="AC700" i="2"/>
  <c r="AD700" i="2"/>
  <c r="AE700" i="2"/>
  <c r="AF700" i="2"/>
  <c r="AG700" i="2"/>
  <c r="A701" i="2"/>
  <c r="B701" i="2"/>
  <c r="C701" i="2"/>
  <c r="D701" i="2"/>
  <c r="E701" i="2"/>
  <c r="F701" i="2"/>
  <c r="G701" i="2"/>
  <c r="H701" i="2"/>
  <c r="I701" i="2"/>
  <c r="J701" i="2"/>
  <c r="K701" i="2"/>
  <c r="Q701" i="2" s="1"/>
  <c r="L701" i="2"/>
  <c r="M701" i="2"/>
  <c r="N701" i="2"/>
  <c r="O701" i="2"/>
  <c r="P701" i="2"/>
  <c r="S701" i="2"/>
  <c r="T701" i="2"/>
  <c r="V701" i="2"/>
  <c r="W701" i="2"/>
  <c r="X701" i="2"/>
  <c r="Y701" i="2"/>
  <c r="Z701" i="2"/>
  <c r="AA701" i="2"/>
  <c r="AB701" i="2"/>
  <c r="AC701" i="2"/>
  <c r="AD701" i="2"/>
  <c r="AE701" i="2"/>
  <c r="AF701" i="2"/>
  <c r="AG701" i="2"/>
  <c r="A702" i="2"/>
  <c r="B702" i="2"/>
  <c r="C702" i="2"/>
  <c r="D702" i="2"/>
  <c r="E702" i="2"/>
  <c r="F702" i="2"/>
  <c r="G702" i="2"/>
  <c r="H702" i="2"/>
  <c r="I702" i="2"/>
  <c r="J702" i="2"/>
  <c r="K702" i="2"/>
  <c r="X702" i="2" s="1"/>
  <c r="L702" i="2"/>
  <c r="M702" i="2"/>
  <c r="N702" i="2"/>
  <c r="O702" i="2"/>
  <c r="P702" i="2"/>
  <c r="S702" i="2"/>
  <c r="U702" i="2"/>
  <c r="V702" i="2"/>
  <c r="W702" i="2"/>
  <c r="Y702" i="2"/>
  <c r="Z702" i="2"/>
  <c r="AA702" i="2"/>
  <c r="AB702" i="2"/>
  <c r="AC702" i="2"/>
  <c r="AD702" i="2"/>
  <c r="AE702" i="2"/>
  <c r="AF702" i="2"/>
  <c r="AG702" i="2"/>
  <c r="A703" i="2"/>
  <c r="B703" i="2"/>
  <c r="C703" i="2"/>
  <c r="D703" i="2"/>
  <c r="E703" i="2"/>
  <c r="F703" i="2"/>
  <c r="G703" i="2"/>
  <c r="H703" i="2"/>
  <c r="I703" i="2"/>
  <c r="J703" i="2"/>
  <c r="K703" i="2"/>
  <c r="X703" i="2" s="1"/>
  <c r="L703" i="2"/>
  <c r="M703" i="2"/>
  <c r="N703" i="2"/>
  <c r="O703" i="2"/>
  <c r="P703" i="2"/>
  <c r="Q703" i="2"/>
  <c r="R703" i="2"/>
  <c r="S703" i="2"/>
  <c r="T703" i="2"/>
  <c r="U703" i="2"/>
  <c r="V703" i="2"/>
  <c r="W703" i="2"/>
  <c r="Y703" i="2"/>
  <c r="Z703" i="2"/>
  <c r="AA703" i="2"/>
  <c r="AB703" i="2"/>
  <c r="AC703" i="2"/>
  <c r="AD703" i="2"/>
  <c r="AE703" i="2"/>
  <c r="AF703" i="2"/>
  <c r="AG703" i="2"/>
  <c r="A704" i="2"/>
  <c r="B704" i="2"/>
  <c r="C704" i="2"/>
  <c r="D704" i="2"/>
  <c r="E704" i="2"/>
  <c r="F704" i="2"/>
  <c r="G704" i="2"/>
  <c r="H704" i="2"/>
  <c r="I704" i="2"/>
  <c r="J704" i="2"/>
  <c r="K704" i="2"/>
  <c r="V704" i="2" s="1"/>
  <c r="L704" i="2"/>
  <c r="M704" i="2"/>
  <c r="N704" i="2"/>
  <c r="O704" i="2"/>
  <c r="P704" i="2"/>
  <c r="S704" i="2"/>
  <c r="T704" i="2"/>
  <c r="U704" i="2"/>
  <c r="Y704" i="2"/>
  <c r="Z704" i="2"/>
  <c r="AA704" i="2"/>
  <c r="AB704" i="2"/>
  <c r="AC704" i="2"/>
  <c r="AD704" i="2"/>
  <c r="AE704" i="2"/>
  <c r="AF704" i="2"/>
  <c r="AG704" i="2"/>
  <c r="A705" i="2"/>
  <c r="B705" i="2"/>
  <c r="C705" i="2"/>
  <c r="D705" i="2"/>
  <c r="E705" i="2"/>
  <c r="F705" i="2"/>
  <c r="G705" i="2"/>
  <c r="H705" i="2"/>
  <c r="I705" i="2"/>
  <c r="J705" i="2"/>
  <c r="K705" i="2"/>
  <c r="U705" i="2" s="1"/>
  <c r="L705" i="2"/>
  <c r="M705" i="2"/>
  <c r="N705" i="2"/>
  <c r="O705" i="2"/>
  <c r="P705" i="2"/>
  <c r="S705" i="2"/>
  <c r="T705" i="2"/>
  <c r="Y705" i="2"/>
  <c r="Z705" i="2"/>
  <c r="AA705" i="2"/>
  <c r="AB705" i="2"/>
  <c r="AC705" i="2"/>
  <c r="AD705" i="2"/>
  <c r="AE705" i="2"/>
  <c r="AF705" i="2"/>
  <c r="AG705" i="2"/>
  <c r="A706" i="2"/>
  <c r="B706" i="2"/>
  <c r="C706" i="2"/>
  <c r="D706" i="2"/>
  <c r="E706" i="2"/>
  <c r="F706" i="2"/>
  <c r="G706" i="2"/>
  <c r="H706" i="2"/>
  <c r="I706" i="2"/>
  <c r="J706" i="2"/>
  <c r="K706" i="2"/>
  <c r="T706" i="2" s="1"/>
  <c r="L706" i="2"/>
  <c r="M706" i="2"/>
  <c r="N706" i="2"/>
  <c r="O706" i="2"/>
  <c r="P706" i="2"/>
  <c r="S706" i="2"/>
  <c r="Y706" i="2"/>
  <c r="Z706" i="2"/>
  <c r="AA706" i="2"/>
  <c r="AB706" i="2"/>
  <c r="AC706" i="2"/>
  <c r="AD706" i="2"/>
  <c r="AE706" i="2"/>
  <c r="AF706" i="2"/>
  <c r="AG706" i="2"/>
  <c r="A707" i="2"/>
  <c r="B707" i="2"/>
  <c r="C707" i="2"/>
  <c r="D707" i="2"/>
  <c r="E707" i="2"/>
  <c r="F707" i="2"/>
  <c r="G707" i="2"/>
  <c r="H707" i="2"/>
  <c r="I707" i="2"/>
  <c r="J707" i="2"/>
  <c r="K707" i="2"/>
  <c r="T707" i="2" s="1"/>
  <c r="L707" i="2"/>
  <c r="M707" i="2"/>
  <c r="N707" i="2"/>
  <c r="O707" i="2"/>
  <c r="P707" i="2"/>
  <c r="Q707" i="2"/>
  <c r="R707" i="2"/>
  <c r="S707" i="2"/>
  <c r="U707" i="2"/>
  <c r="V707" i="2"/>
  <c r="X707" i="2"/>
  <c r="Y707" i="2"/>
  <c r="Z707" i="2"/>
  <c r="AA707" i="2"/>
  <c r="AB707" i="2"/>
  <c r="AC707" i="2"/>
  <c r="AD707" i="2"/>
  <c r="AE707" i="2"/>
  <c r="AF707" i="2"/>
  <c r="AG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M708" i="2"/>
  <c r="N708" i="2"/>
  <c r="O708" i="2"/>
  <c r="P708" i="2"/>
  <c r="Q708" i="2"/>
  <c r="R708" i="2"/>
  <c r="S708" i="2"/>
  <c r="T708" i="2"/>
  <c r="U708" i="2"/>
  <c r="V708" i="2"/>
  <c r="W708" i="2"/>
  <c r="X708" i="2"/>
  <c r="Y708" i="2"/>
  <c r="Z708" i="2"/>
  <c r="AA708" i="2"/>
  <c r="AB708" i="2"/>
  <c r="AC708" i="2"/>
  <c r="AD708" i="2"/>
  <c r="AE708" i="2"/>
  <c r="AF708" i="2"/>
  <c r="AG708" i="2"/>
  <c r="A709" i="2"/>
  <c r="B709" i="2"/>
  <c r="C709" i="2"/>
  <c r="D709" i="2"/>
  <c r="E709" i="2"/>
  <c r="F709" i="2"/>
  <c r="G709" i="2"/>
  <c r="H709" i="2"/>
  <c r="I709" i="2"/>
  <c r="J709" i="2"/>
  <c r="K709" i="2"/>
  <c r="Q709" i="2" s="1"/>
  <c r="L709" i="2"/>
  <c r="M709" i="2"/>
  <c r="N709" i="2"/>
  <c r="O709" i="2"/>
  <c r="P709" i="2"/>
  <c r="S709" i="2"/>
  <c r="T709" i="2"/>
  <c r="V709" i="2"/>
  <c r="W709" i="2"/>
  <c r="X709" i="2"/>
  <c r="Y709" i="2"/>
  <c r="Z709" i="2"/>
  <c r="AA709" i="2"/>
  <c r="AB709" i="2"/>
  <c r="AC709" i="2"/>
  <c r="AD709" i="2"/>
  <c r="AE709" i="2"/>
  <c r="AF709" i="2"/>
  <c r="AG709" i="2"/>
  <c r="A710" i="2"/>
  <c r="B710" i="2"/>
  <c r="C710" i="2"/>
  <c r="D710" i="2"/>
  <c r="E710" i="2"/>
  <c r="F710" i="2"/>
  <c r="G710" i="2"/>
  <c r="H710" i="2"/>
  <c r="I710" i="2"/>
  <c r="J710" i="2"/>
  <c r="K710" i="2"/>
  <c r="X710" i="2" s="1"/>
  <c r="L710" i="2"/>
  <c r="M710" i="2"/>
  <c r="N710" i="2"/>
  <c r="O710" i="2"/>
  <c r="P710" i="2"/>
  <c r="S710" i="2"/>
  <c r="U710" i="2"/>
  <c r="V710" i="2"/>
  <c r="W710" i="2"/>
  <c r="Y710" i="2"/>
  <c r="Z710" i="2"/>
  <c r="AA710" i="2"/>
  <c r="AB710" i="2"/>
  <c r="AC710" i="2"/>
  <c r="AD710" i="2"/>
  <c r="AE710" i="2"/>
  <c r="AF710" i="2"/>
  <c r="AG710" i="2"/>
  <c r="A711" i="2"/>
  <c r="B711" i="2"/>
  <c r="C711" i="2"/>
  <c r="D711" i="2"/>
  <c r="E711" i="2"/>
  <c r="F711" i="2"/>
  <c r="G711" i="2"/>
  <c r="H711" i="2"/>
  <c r="I711" i="2"/>
  <c r="J711" i="2"/>
  <c r="K711" i="2"/>
  <c r="X711" i="2" s="1"/>
  <c r="L711" i="2"/>
  <c r="M711" i="2"/>
  <c r="N711" i="2"/>
  <c r="O711" i="2"/>
  <c r="P711" i="2"/>
  <c r="Q711" i="2"/>
  <c r="R711" i="2"/>
  <c r="S711" i="2"/>
  <c r="T711" i="2"/>
  <c r="U711" i="2"/>
  <c r="V711" i="2"/>
  <c r="W711" i="2"/>
  <c r="Y711" i="2"/>
  <c r="Z711" i="2"/>
  <c r="AA711" i="2"/>
  <c r="AB711" i="2"/>
  <c r="AC711" i="2"/>
  <c r="AD711" i="2"/>
  <c r="AE711" i="2"/>
  <c r="AF711" i="2"/>
  <c r="AG711" i="2"/>
  <c r="A712" i="2"/>
  <c r="B712" i="2"/>
  <c r="C712" i="2"/>
  <c r="D712" i="2"/>
  <c r="E712" i="2"/>
  <c r="F712" i="2"/>
  <c r="G712" i="2"/>
  <c r="H712" i="2"/>
  <c r="I712" i="2"/>
  <c r="J712" i="2"/>
  <c r="K712" i="2"/>
  <c r="V712" i="2" s="1"/>
  <c r="L712" i="2"/>
  <c r="M712" i="2"/>
  <c r="N712" i="2"/>
  <c r="O712" i="2"/>
  <c r="P712" i="2"/>
  <c r="S712" i="2"/>
  <c r="T712" i="2"/>
  <c r="U712" i="2"/>
  <c r="Y712" i="2"/>
  <c r="Z712" i="2"/>
  <c r="AA712" i="2"/>
  <c r="AB712" i="2"/>
  <c r="AC712" i="2"/>
  <c r="AD712" i="2"/>
  <c r="AE712" i="2"/>
  <c r="AF712" i="2"/>
  <c r="AG712" i="2"/>
  <c r="A713" i="2"/>
  <c r="B713" i="2"/>
  <c r="C713" i="2"/>
  <c r="D713" i="2"/>
  <c r="E713" i="2"/>
  <c r="F713" i="2"/>
  <c r="G713" i="2"/>
  <c r="H713" i="2"/>
  <c r="I713" i="2"/>
  <c r="J713" i="2"/>
  <c r="K713" i="2"/>
  <c r="U713" i="2" s="1"/>
  <c r="L713" i="2"/>
  <c r="M713" i="2"/>
  <c r="N713" i="2"/>
  <c r="O713" i="2"/>
  <c r="P713" i="2"/>
  <c r="S713" i="2"/>
  <c r="T713" i="2"/>
  <c r="Y713" i="2"/>
  <c r="Z713" i="2"/>
  <c r="AA713" i="2"/>
  <c r="AB713" i="2"/>
  <c r="AC713" i="2"/>
  <c r="AD713" i="2"/>
  <c r="AE713" i="2"/>
  <c r="AF713" i="2"/>
  <c r="AG713" i="2"/>
  <c r="A714" i="2"/>
  <c r="B714" i="2"/>
  <c r="C714" i="2"/>
  <c r="D714" i="2"/>
  <c r="E714" i="2"/>
  <c r="F714" i="2"/>
  <c r="G714" i="2"/>
  <c r="H714" i="2"/>
  <c r="I714" i="2"/>
  <c r="J714" i="2"/>
  <c r="K714" i="2"/>
  <c r="S714" i="2" s="1"/>
  <c r="L714" i="2"/>
  <c r="M714" i="2"/>
  <c r="N714" i="2"/>
  <c r="O714" i="2"/>
  <c r="P714" i="2"/>
  <c r="Y714" i="2"/>
  <c r="Z714" i="2"/>
  <c r="AA714" i="2"/>
  <c r="AB714" i="2"/>
  <c r="AC714" i="2"/>
  <c r="AD714" i="2"/>
  <c r="AE714" i="2"/>
  <c r="AF714" i="2"/>
  <c r="AG714" i="2"/>
  <c r="A715" i="2"/>
  <c r="B715" i="2"/>
  <c r="C715" i="2"/>
  <c r="D715" i="2"/>
  <c r="E715" i="2"/>
  <c r="F715" i="2"/>
  <c r="G715" i="2"/>
  <c r="H715" i="2"/>
  <c r="I715" i="2"/>
  <c r="J715" i="2"/>
  <c r="K715" i="2"/>
  <c r="T715" i="2" s="1"/>
  <c r="L715" i="2"/>
  <c r="M715" i="2"/>
  <c r="N715" i="2"/>
  <c r="O715" i="2"/>
  <c r="P715" i="2"/>
  <c r="Q715" i="2"/>
  <c r="R715" i="2"/>
  <c r="S715" i="2"/>
  <c r="U715" i="2"/>
  <c r="V715" i="2"/>
  <c r="X715" i="2"/>
  <c r="Y715" i="2"/>
  <c r="Z715" i="2"/>
  <c r="AA715" i="2"/>
  <c r="AB715" i="2"/>
  <c r="AC715" i="2"/>
  <c r="AD715" i="2"/>
  <c r="AE715" i="2"/>
  <c r="AF715" i="2"/>
  <c r="AG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M716" i="2"/>
  <c r="N716" i="2"/>
  <c r="O716" i="2"/>
  <c r="P716" i="2"/>
  <c r="Q716" i="2"/>
  <c r="R716" i="2"/>
  <c r="S716" i="2"/>
  <c r="T716" i="2"/>
  <c r="U716" i="2"/>
  <c r="V716" i="2"/>
  <c r="W716" i="2"/>
  <c r="X716" i="2"/>
  <c r="Y716" i="2"/>
  <c r="Z716" i="2"/>
  <c r="AA716" i="2"/>
  <c r="AB716" i="2"/>
  <c r="AC716" i="2"/>
  <c r="AD716" i="2"/>
  <c r="AE716" i="2"/>
  <c r="AF716" i="2"/>
  <c r="AG716" i="2"/>
  <c r="A717" i="2"/>
  <c r="B717" i="2"/>
  <c r="C717" i="2"/>
  <c r="D717" i="2"/>
  <c r="E717" i="2"/>
  <c r="F717" i="2"/>
  <c r="G717" i="2"/>
  <c r="H717" i="2"/>
  <c r="I717" i="2"/>
  <c r="J717" i="2"/>
  <c r="K717" i="2"/>
  <c r="Q717" i="2" s="1"/>
  <c r="L717" i="2"/>
  <c r="M717" i="2"/>
  <c r="N717" i="2"/>
  <c r="O717" i="2"/>
  <c r="P717" i="2"/>
  <c r="S717" i="2"/>
  <c r="T717" i="2"/>
  <c r="V717" i="2"/>
  <c r="W717" i="2"/>
  <c r="X717" i="2"/>
  <c r="Y717" i="2"/>
  <c r="Z717" i="2"/>
  <c r="AA717" i="2"/>
  <c r="AB717" i="2"/>
  <c r="AC717" i="2"/>
  <c r="AD717" i="2"/>
  <c r="AE717" i="2"/>
  <c r="AF717" i="2"/>
  <c r="AG717" i="2"/>
  <c r="A718" i="2"/>
  <c r="B718" i="2"/>
  <c r="C718" i="2"/>
  <c r="D718" i="2"/>
  <c r="E718" i="2"/>
  <c r="F718" i="2"/>
  <c r="G718" i="2"/>
  <c r="H718" i="2"/>
  <c r="I718" i="2"/>
  <c r="J718" i="2"/>
  <c r="K718" i="2"/>
  <c r="X718" i="2" s="1"/>
  <c r="L718" i="2"/>
  <c r="M718" i="2"/>
  <c r="N718" i="2"/>
  <c r="O718" i="2"/>
  <c r="P718" i="2"/>
  <c r="S718" i="2"/>
  <c r="U718" i="2"/>
  <c r="V718" i="2"/>
  <c r="W718" i="2"/>
  <c r="Y718" i="2"/>
  <c r="Z718" i="2"/>
  <c r="AA718" i="2"/>
  <c r="AB718" i="2"/>
  <c r="AC718" i="2"/>
  <c r="AD718" i="2"/>
  <c r="AE718" i="2"/>
  <c r="AF718" i="2"/>
  <c r="AG718" i="2"/>
  <c r="A719" i="2"/>
  <c r="B719" i="2"/>
  <c r="C719" i="2"/>
  <c r="D719" i="2"/>
  <c r="E719" i="2"/>
  <c r="F719" i="2"/>
  <c r="G719" i="2"/>
  <c r="H719" i="2"/>
  <c r="I719" i="2"/>
  <c r="J719" i="2"/>
  <c r="K719" i="2"/>
  <c r="X719" i="2" s="1"/>
  <c r="L719" i="2"/>
  <c r="M719" i="2"/>
  <c r="N719" i="2"/>
  <c r="O719" i="2"/>
  <c r="P719" i="2"/>
  <c r="Q719" i="2"/>
  <c r="R719" i="2"/>
  <c r="S719" i="2"/>
  <c r="T719" i="2"/>
  <c r="U719" i="2"/>
  <c r="V719" i="2"/>
  <c r="W719" i="2"/>
  <c r="Y719" i="2"/>
  <c r="Z719" i="2"/>
  <c r="AA719" i="2"/>
  <c r="AB719" i="2"/>
  <c r="AC719" i="2"/>
  <c r="AD719" i="2"/>
  <c r="AE719" i="2"/>
  <c r="AF719" i="2"/>
  <c r="AG719" i="2"/>
  <c r="A720" i="2"/>
  <c r="B720" i="2"/>
  <c r="C720" i="2"/>
  <c r="D720" i="2"/>
  <c r="E720" i="2"/>
  <c r="F720" i="2"/>
  <c r="G720" i="2"/>
  <c r="H720" i="2"/>
  <c r="I720" i="2"/>
  <c r="J720" i="2"/>
  <c r="K720" i="2"/>
  <c r="V720" i="2" s="1"/>
  <c r="L720" i="2"/>
  <c r="M720" i="2"/>
  <c r="N720" i="2"/>
  <c r="O720" i="2"/>
  <c r="P720" i="2"/>
  <c r="S720" i="2"/>
  <c r="T720" i="2"/>
  <c r="U720" i="2"/>
  <c r="Y720" i="2"/>
  <c r="Z720" i="2"/>
  <c r="AA720" i="2"/>
  <c r="AB720" i="2"/>
  <c r="AC720" i="2"/>
  <c r="AD720" i="2"/>
  <c r="AE720" i="2"/>
  <c r="AF720" i="2"/>
  <c r="AG720" i="2"/>
  <c r="A721" i="2"/>
  <c r="B721" i="2"/>
  <c r="C721" i="2"/>
  <c r="D721" i="2"/>
  <c r="E721" i="2"/>
  <c r="F721" i="2"/>
  <c r="G721" i="2"/>
  <c r="H721" i="2"/>
  <c r="I721" i="2"/>
  <c r="J721" i="2"/>
  <c r="K721" i="2"/>
  <c r="U721" i="2" s="1"/>
  <c r="L721" i="2"/>
  <c r="M721" i="2"/>
  <c r="N721" i="2"/>
  <c r="O721" i="2"/>
  <c r="P721" i="2"/>
  <c r="S721" i="2"/>
  <c r="T721" i="2"/>
  <c r="Y721" i="2"/>
  <c r="Z721" i="2"/>
  <c r="AA721" i="2"/>
  <c r="AB721" i="2"/>
  <c r="AC721" i="2"/>
  <c r="AD721" i="2"/>
  <c r="AE721" i="2"/>
  <c r="AF721" i="2"/>
  <c r="AG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M722" i="2"/>
  <c r="N722" i="2"/>
  <c r="O722" i="2"/>
  <c r="P722" i="2"/>
  <c r="Y722" i="2"/>
  <c r="Z722" i="2"/>
  <c r="AA722" i="2"/>
  <c r="AB722" i="2"/>
  <c r="AC722" i="2"/>
  <c r="AD722" i="2"/>
  <c r="AE722" i="2"/>
  <c r="AF722" i="2"/>
  <c r="AG722" i="2"/>
  <c r="A723" i="2"/>
  <c r="B723" i="2"/>
  <c r="C723" i="2"/>
  <c r="D723" i="2"/>
  <c r="E723" i="2"/>
  <c r="F723" i="2"/>
  <c r="G723" i="2"/>
  <c r="H723" i="2"/>
  <c r="I723" i="2"/>
  <c r="J723" i="2"/>
  <c r="K723" i="2"/>
  <c r="T723" i="2" s="1"/>
  <c r="L723" i="2"/>
  <c r="M723" i="2"/>
  <c r="N723" i="2"/>
  <c r="O723" i="2"/>
  <c r="P723" i="2"/>
  <c r="Q723" i="2"/>
  <c r="R723" i="2"/>
  <c r="S723" i="2"/>
  <c r="U723" i="2"/>
  <c r="V723" i="2"/>
  <c r="X723" i="2"/>
  <c r="Y723" i="2"/>
  <c r="Z723" i="2"/>
  <c r="AA723" i="2"/>
  <c r="AB723" i="2"/>
  <c r="AC723" i="2"/>
  <c r="AD723" i="2"/>
  <c r="AE723" i="2"/>
  <c r="AF723" i="2"/>
  <c r="AG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M724" i="2"/>
  <c r="N724" i="2"/>
  <c r="O724" i="2"/>
  <c r="P724" i="2"/>
  <c r="Q724" i="2"/>
  <c r="R724" i="2"/>
  <c r="S724" i="2"/>
  <c r="T724" i="2"/>
  <c r="U724" i="2"/>
  <c r="V724" i="2"/>
  <c r="W724" i="2"/>
  <c r="X724" i="2"/>
  <c r="Y724" i="2"/>
  <c r="Z724" i="2"/>
  <c r="AA724" i="2"/>
  <c r="AB724" i="2"/>
  <c r="AC724" i="2"/>
  <c r="AD724" i="2"/>
  <c r="AE724" i="2"/>
  <c r="AF724" i="2"/>
  <c r="AG724" i="2"/>
  <c r="A725" i="2"/>
  <c r="B725" i="2"/>
  <c r="C725" i="2"/>
  <c r="D725" i="2"/>
  <c r="E725" i="2"/>
  <c r="F725" i="2"/>
  <c r="G725" i="2"/>
  <c r="H725" i="2"/>
  <c r="I725" i="2"/>
  <c r="J725" i="2"/>
  <c r="K725" i="2"/>
  <c r="Q725" i="2" s="1"/>
  <c r="L725" i="2"/>
  <c r="M725" i="2"/>
  <c r="N725" i="2"/>
  <c r="O725" i="2"/>
  <c r="P725" i="2"/>
  <c r="S725" i="2"/>
  <c r="T725" i="2"/>
  <c r="V725" i="2"/>
  <c r="W725" i="2"/>
  <c r="X725" i="2"/>
  <c r="Y725" i="2"/>
  <c r="Z725" i="2"/>
  <c r="AA725" i="2"/>
  <c r="AB725" i="2"/>
  <c r="AC725" i="2"/>
  <c r="AD725" i="2"/>
  <c r="AE725" i="2"/>
  <c r="AF725" i="2"/>
  <c r="AG725" i="2"/>
  <c r="A726" i="2"/>
  <c r="B726" i="2"/>
  <c r="C726" i="2"/>
  <c r="D726" i="2"/>
  <c r="E726" i="2"/>
  <c r="F726" i="2"/>
  <c r="G726" i="2"/>
  <c r="H726" i="2"/>
  <c r="I726" i="2"/>
  <c r="J726" i="2"/>
  <c r="K726" i="2"/>
  <c r="X726" i="2" s="1"/>
  <c r="L726" i="2"/>
  <c r="M726" i="2"/>
  <c r="N726" i="2"/>
  <c r="O726" i="2"/>
  <c r="P726" i="2"/>
  <c r="S726" i="2"/>
  <c r="U726" i="2"/>
  <c r="V726" i="2"/>
  <c r="W726" i="2"/>
  <c r="Y726" i="2"/>
  <c r="Z726" i="2"/>
  <c r="AA726" i="2"/>
  <c r="AB726" i="2"/>
  <c r="AC726" i="2"/>
  <c r="AD726" i="2"/>
  <c r="AE726" i="2"/>
  <c r="AF726" i="2"/>
  <c r="AG726" i="2"/>
  <c r="A727" i="2"/>
  <c r="B727" i="2"/>
  <c r="C727" i="2"/>
  <c r="D727" i="2"/>
  <c r="E727" i="2"/>
  <c r="F727" i="2"/>
  <c r="G727" i="2"/>
  <c r="H727" i="2"/>
  <c r="I727" i="2"/>
  <c r="J727" i="2"/>
  <c r="K727" i="2"/>
  <c r="X727" i="2" s="1"/>
  <c r="L727" i="2"/>
  <c r="M727" i="2"/>
  <c r="N727" i="2"/>
  <c r="O727" i="2"/>
  <c r="P727" i="2"/>
  <c r="Q727" i="2"/>
  <c r="R727" i="2"/>
  <c r="S727" i="2"/>
  <c r="T727" i="2"/>
  <c r="U727" i="2"/>
  <c r="V727" i="2"/>
  <c r="W727" i="2"/>
  <c r="Y727" i="2"/>
  <c r="Z727" i="2"/>
  <c r="AA727" i="2"/>
  <c r="AB727" i="2"/>
  <c r="AC727" i="2"/>
  <c r="AD727" i="2"/>
  <c r="AE727" i="2"/>
  <c r="AF727" i="2"/>
  <c r="AG727" i="2"/>
  <c r="A728" i="2"/>
  <c r="B728" i="2"/>
  <c r="C728" i="2"/>
  <c r="D728" i="2"/>
  <c r="E728" i="2"/>
  <c r="F728" i="2"/>
  <c r="G728" i="2"/>
  <c r="H728" i="2"/>
  <c r="I728" i="2"/>
  <c r="J728" i="2"/>
  <c r="K728" i="2"/>
  <c r="V728" i="2" s="1"/>
  <c r="L728" i="2"/>
  <c r="M728" i="2"/>
  <c r="N728" i="2"/>
  <c r="O728" i="2"/>
  <c r="P728" i="2"/>
  <c r="S728" i="2"/>
  <c r="T728" i="2"/>
  <c r="U728" i="2"/>
  <c r="Y728" i="2"/>
  <c r="Z728" i="2"/>
  <c r="AA728" i="2"/>
  <c r="AB728" i="2"/>
  <c r="AC728" i="2"/>
  <c r="AD728" i="2"/>
  <c r="AE728" i="2"/>
  <c r="AF728" i="2"/>
  <c r="AG728" i="2"/>
  <c r="A729" i="2"/>
  <c r="B729" i="2"/>
  <c r="C729" i="2"/>
  <c r="D729" i="2"/>
  <c r="E729" i="2"/>
  <c r="F729" i="2"/>
  <c r="G729" i="2"/>
  <c r="H729" i="2"/>
  <c r="I729" i="2"/>
  <c r="J729" i="2"/>
  <c r="K729" i="2"/>
  <c r="U729" i="2" s="1"/>
  <c r="L729" i="2"/>
  <c r="M729" i="2"/>
  <c r="N729" i="2"/>
  <c r="O729" i="2"/>
  <c r="P729" i="2"/>
  <c r="S729" i="2"/>
  <c r="T729" i="2"/>
  <c r="Y729" i="2"/>
  <c r="Z729" i="2"/>
  <c r="AA729" i="2"/>
  <c r="AB729" i="2"/>
  <c r="AC729" i="2"/>
  <c r="AD729" i="2"/>
  <c r="AE729" i="2"/>
  <c r="AF729" i="2"/>
  <c r="AG729" i="2"/>
  <c r="A730" i="2"/>
  <c r="B730" i="2"/>
  <c r="C730" i="2"/>
  <c r="D730" i="2"/>
  <c r="E730" i="2"/>
  <c r="F730" i="2"/>
  <c r="G730" i="2"/>
  <c r="H730" i="2"/>
  <c r="I730" i="2"/>
  <c r="J730" i="2"/>
  <c r="K730" i="2"/>
  <c r="S730" i="2" s="1"/>
  <c r="L730" i="2"/>
  <c r="M730" i="2"/>
  <c r="N730" i="2"/>
  <c r="O730" i="2"/>
  <c r="P730" i="2"/>
  <c r="Y730" i="2"/>
  <c r="Z730" i="2"/>
  <c r="AA730" i="2"/>
  <c r="AB730" i="2"/>
  <c r="AC730" i="2"/>
  <c r="AD730" i="2"/>
  <c r="AE730" i="2"/>
  <c r="AF730" i="2"/>
  <c r="AG730" i="2"/>
  <c r="A731" i="2"/>
  <c r="B731" i="2"/>
  <c r="C731" i="2"/>
  <c r="D731" i="2"/>
  <c r="E731" i="2"/>
  <c r="F731" i="2"/>
  <c r="G731" i="2"/>
  <c r="H731" i="2"/>
  <c r="I731" i="2"/>
  <c r="J731" i="2"/>
  <c r="K731" i="2"/>
  <c r="T731" i="2" s="1"/>
  <c r="L731" i="2"/>
  <c r="M731" i="2"/>
  <c r="N731" i="2"/>
  <c r="O731" i="2"/>
  <c r="P731" i="2"/>
  <c r="Q731" i="2"/>
  <c r="R731" i="2"/>
  <c r="S731" i="2"/>
  <c r="U731" i="2"/>
  <c r="V731" i="2"/>
  <c r="X731" i="2"/>
  <c r="Y731" i="2"/>
  <c r="Z731" i="2"/>
  <c r="AA731" i="2"/>
  <c r="AB731" i="2"/>
  <c r="AC731" i="2"/>
  <c r="AD731" i="2"/>
  <c r="AE731" i="2"/>
  <c r="AF731" i="2"/>
  <c r="AG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M732" i="2"/>
  <c r="N732" i="2"/>
  <c r="O732" i="2"/>
  <c r="P732" i="2"/>
  <c r="Q732" i="2"/>
  <c r="R732" i="2"/>
  <c r="S732" i="2"/>
  <c r="T732" i="2"/>
  <c r="U732" i="2"/>
  <c r="V732" i="2"/>
  <c r="W732" i="2"/>
  <c r="X732" i="2"/>
  <c r="Y732" i="2"/>
  <c r="Z732" i="2"/>
  <c r="AA732" i="2"/>
  <c r="AB732" i="2"/>
  <c r="AC732" i="2"/>
  <c r="AD732" i="2"/>
  <c r="AE732" i="2"/>
  <c r="AF732" i="2"/>
  <c r="AG732" i="2"/>
  <c r="A733" i="2"/>
  <c r="B733" i="2"/>
  <c r="C733" i="2"/>
  <c r="D733" i="2"/>
  <c r="E733" i="2"/>
  <c r="F733" i="2"/>
  <c r="G733" i="2"/>
  <c r="H733" i="2"/>
  <c r="I733" i="2"/>
  <c r="J733" i="2"/>
  <c r="K733" i="2"/>
  <c r="Q733" i="2" s="1"/>
  <c r="L733" i="2"/>
  <c r="M733" i="2"/>
  <c r="N733" i="2"/>
  <c r="O733" i="2"/>
  <c r="P733" i="2"/>
  <c r="S733" i="2"/>
  <c r="T733" i="2"/>
  <c r="V733" i="2"/>
  <c r="W733" i="2"/>
  <c r="X733" i="2"/>
  <c r="Y733" i="2"/>
  <c r="Z733" i="2"/>
  <c r="AA733" i="2"/>
  <c r="AB733" i="2"/>
  <c r="AC733" i="2"/>
  <c r="AD733" i="2"/>
  <c r="AE733" i="2"/>
  <c r="AF733" i="2"/>
  <c r="AG733" i="2"/>
  <c r="A734" i="2"/>
  <c r="B734" i="2"/>
  <c r="C734" i="2"/>
  <c r="D734" i="2"/>
  <c r="E734" i="2"/>
  <c r="F734" i="2"/>
  <c r="G734" i="2"/>
  <c r="H734" i="2"/>
  <c r="I734" i="2"/>
  <c r="J734" i="2"/>
  <c r="K734" i="2"/>
  <c r="X734" i="2" s="1"/>
  <c r="L734" i="2"/>
  <c r="M734" i="2"/>
  <c r="N734" i="2"/>
  <c r="O734" i="2"/>
  <c r="P734" i="2"/>
  <c r="S734" i="2"/>
  <c r="U734" i="2"/>
  <c r="V734" i="2"/>
  <c r="W734" i="2"/>
  <c r="Y734" i="2"/>
  <c r="Z734" i="2"/>
  <c r="AA734" i="2"/>
  <c r="AB734" i="2"/>
  <c r="AC734" i="2"/>
  <c r="AD734" i="2"/>
  <c r="AE734" i="2"/>
  <c r="AF734" i="2"/>
  <c r="AG734" i="2"/>
  <c r="A735" i="2"/>
  <c r="B735" i="2"/>
  <c r="C735" i="2"/>
  <c r="D735" i="2"/>
  <c r="E735" i="2"/>
  <c r="F735" i="2"/>
  <c r="G735" i="2"/>
  <c r="H735" i="2"/>
  <c r="I735" i="2"/>
  <c r="J735" i="2"/>
  <c r="K735" i="2"/>
  <c r="X735" i="2" s="1"/>
  <c r="L735" i="2"/>
  <c r="M735" i="2"/>
  <c r="N735" i="2"/>
  <c r="O735" i="2"/>
  <c r="P735" i="2"/>
  <c r="Q735" i="2"/>
  <c r="R735" i="2"/>
  <c r="S735" i="2"/>
  <c r="T735" i="2"/>
  <c r="U735" i="2"/>
  <c r="V735" i="2"/>
  <c r="W735" i="2"/>
  <c r="Y735" i="2"/>
  <c r="Z735" i="2"/>
  <c r="AA735" i="2"/>
  <c r="AB735" i="2"/>
  <c r="AC735" i="2"/>
  <c r="AD735" i="2"/>
  <c r="AE735" i="2"/>
  <c r="AF735" i="2"/>
  <c r="AG735" i="2"/>
  <c r="A736" i="2"/>
  <c r="B736" i="2"/>
  <c r="C736" i="2"/>
  <c r="D736" i="2"/>
  <c r="E736" i="2"/>
  <c r="F736" i="2"/>
  <c r="G736" i="2"/>
  <c r="H736" i="2"/>
  <c r="I736" i="2"/>
  <c r="J736" i="2"/>
  <c r="K736" i="2"/>
  <c r="V736" i="2" s="1"/>
  <c r="L736" i="2"/>
  <c r="M736" i="2"/>
  <c r="N736" i="2"/>
  <c r="O736" i="2"/>
  <c r="P736" i="2"/>
  <c r="S736" i="2"/>
  <c r="T736" i="2"/>
  <c r="U736" i="2"/>
  <c r="Y736" i="2"/>
  <c r="Z736" i="2"/>
  <c r="AA736" i="2"/>
  <c r="AB736" i="2"/>
  <c r="AC736" i="2"/>
  <c r="AD736" i="2"/>
  <c r="AE736" i="2"/>
  <c r="AF736" i="2"/>
  <c r="AG736" i="2"/>
  <c r="A737" i="2"/>
  <c r="B737" i="2"/>
  <c r="C737" i="2"/>
  <c r="D737" i="2"/>
  <c r="E737" i="2"/>
  <c r="F737" i="2"/>
  <c r="G737" i="2"/>
  <c r="H737" i="2"/>
  <c r="I737" i="2"/>
  <c r="J737" i="2"/>
  <c r="K737" i="2"/>
  <c r="U737" i="2" s="1"/>
  <c r="L737" i="2"/>
  <c r="M737" i="2"/>
  <c r="N737" i="2"/>
  <c r="O737" i="2"/>
  <c r="P737" i="2"/>
  <c r="S737" i="2"/>
  <c r="T737" i="2"/>
  <c r="Y737" i="2"/>
  <c r="Z737" i="2"/>
  <c r="AA737" i="2"/>
  <c r="AB737" i="2"/>
  <c r="AC737" i="2"/>
  <c r="AD737" i="2"/>
  <c r="AE737" i="2"/>
  <c r="AF737" i="2"/>
  <c r="AG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M738" i="2"/>
  <c r="N738" i="2"/>
  <c r="O738" i="2"/>
  <c r="P738" i="2"/>
  <c r="Y738" i="2"/>
  <c r="Z738" i="2"/>
  <c r="AA738" i="2"/>
  <c r="AB738" i="2"/>
  <c r="AC738" i="2"/>
  <c r="AD738" i="2"/>
  <c r="AE738" i="2"/>
  <c r="AF738" i="2"/>
  <c r="AG738" i="2"/>
  <c r="A739" i="2"/>
  <c r="B739" i="2"/>
  <c r="C739" i="2"/>
  <c r="D739" i="2"/>
  <c r="E739" i="2"/>
  <c r="F739" i="2"/>
  <c r="G739" i="2"/>
  <c r="H739" i="2"/>
  <c r="I739" i="2"/>
  <c r="J739" i="2"/>
  <c r="K739" i="2"/>
  <c r="T739" i="2" s="1"/>
  <c r="L739" i="2"/>
  <c r="M739" i="2"/>
  <c r="N739" i="2"/>
  <c r="O739" i="2"/>
  <c r="P739" i="2"/>
  <c r="Q739" i="2"/>
  <c r="R739" i="2"/>
  <c r="S739" i="2"/>
  <c r="U739" i="2"/>
  <c r="V739" i="2"/>
  <c r="X739" i="2"/>
  <c r="Y739" i="2"/>
  <c r="Z739" i="2"/>
  <c r="AA739" i="2"/>
  <c r="AB739" i="2"/>
  <c r="AC739" i="2"/>
  <c r="AD739" i="2"/>
  <c r="AE739" i="2"/>
  <c r="AF739" i="2"/>
  <c r="AG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M740" i="2"/>
  <c r="N740" i="2"/>
  <c r="O740" i="2"/>
  <c r="P740" i="2"/>
  <c r="Q740" i="2"/>
  <c r="R740" i="2"/>
  <c r="S740" i="2"/>
  <c r="T740" i="2"/>
  <c r="U740" i="2"/>
  <c r="V740" i="2"/>
  <c r="W740" i="2"/>
  <c r="X740" i="2"/>
  <c r="Y740" i="2"/>
  <c r="Z740" i="2"/>
  <c r="AA740" i="2"/>
  <c r="AB740" i="2"/>
  <c r="AC740" i="2"/>
  <c r="AD740" i="2"/>
  <c r="AE740" i="2"/>
  <c r="AF740" i="2"/>
  <c r="AG740" i="2"/>
  <c r="A741" i="2"/>
  <c r="B741" i="2"/>
  <c r="C741" i="2"/>
  <c r="D741" i="2"/>
  <c r="E741" i="2"/>
  <c r="F741" i="2"/>
  <c r="G741" i="2"/>
  <c r="H741" i="2"/>
  <c r="I741" i="2"/>
  <c r="J741" i="2"/>
  <c r="K741" i="2"/>
  <c r="Q741" i="2" s="1"/>
  <c r="L741" i="2"/>
  <c r="M741" i="2"/>
  <c r="N741" i="2"/>
  <c r="O741" i="2"/>
  <c r="P741" i="2"/>
  <c r="S741" i="2"/>
  <c r="T741" i="2"/>
  <c r="V741" i="2"/>
  <c r="W741" i="2"/>
  <c r="X741" i="2"/>
  <c r="Y741" i="2"/>
  <c r="Z741" i="2"/>
  <c r="AA741" i="2"/>
  <c r="AB741" i="2"/>
  <c r="AC741" i="2"/>
  <c r="AD741" i="2"/>
  <c r="AE741" i="2"/>
  <c r="AF741" i="2"/>
  <c r="AG741" i="2"/>
  <c r="A742" i="2"/>
  <c r="B742" i="2"/>
  <c r="C742" i="2"/>
  <c r="D742" i="2"/>
  <c r="E742" i="2"/>
  <c r="F742" i="2"/>
  <c r="G742" i="2"/>
  <c r="H742" i="2"/>
  <c r="I742" i="2"/>
  <c r="J742" i="2"/>
  <c r="K742" i="2"/>
  <c r="X742" i="2" s="1"/>
  <c r="L742" i="2"/>
  <c r="M742" i="2"/>
  <c r="N742" i="2"/>
  <c r="O742" i="2"/>
  <c r="P742" i="2"/>
  <c r="S742" i="2"/>
  <c r="U742" i="2"/>
  <c r="V742" i="2"/>
  <c r="W742" i="2"/>
  <c r="Y742" i="2"/>
  <c r="Z742" i="2"/>
  <c r="AA742" i="2"/>
  <c r="AB742" i="2"/>
  <c r="AC742" i="2"/>
  <c r="AD742" i="2"/>
  <c r="AE742" i="2"/>
  <c r="AF742" i="2"/>
  <c r="AG742" i="2"/>
  <c r="A743" i="2"/>
  <c r="B743" i="2"/>
  <c r="C743" i="2"/>
  <c r="D743" i="2"/>
  <c r="E743" i="2"/>
  <c r="F743" i="2"/>
  <c r="G743" i="2"/>
  <c r="H743" i="2"/>
  <c r="I743" i="2"/>
  <c r="J743" i="2"/>
  <c r="K743" i="2"/>
  <c r="X743" i="2" s="1"/>
  <c r="L743" i="2"/>
  <c r="M743" i="2"/>
  <c r="N743" i="2"/>
  <c r="O743" i="2"/>
  <c r="P743" i="2"/>
  <c r="Q743" i="2"/>
  <c r="R743" i="2"/>
  <c r="S743" i="2"/>
  <c r="T743" i="2"/>
  <c r="U743" i="2"/>
  <c r="V743" i="2"/>
  <c r="W743" i="2"/>
  <c r="Y743" i="2"/>
  <c r="Z743" i="2"/>
  <c r="AA743" i="2"/>
  <c r="AB743" i="2"/>
  <c r="AC743" i="2"/>
  <c r="AD743" i="2"/>
  <c r="AE743" i="2"/>
  <c r="AF743" i="2"/>
  <c r="AG743" i="2"/>
  <c r="A744" i="2"/>
  <c r="B744" i="2"/>
  <c r="C744" i="2"/>
  <c r="D744" i="2"/>
  <c r="E744" i="2"/>
  <c r="F744" i="2"/>
  <c r="G744" i="2"/>
  <c r="H744" i="2"/>
  <c r="I744" i="2"/>
  <c r="J744" i="2"/>
  <c r="K744" i="2"/>
  <c r="V744" i="2" s="1"/>
  <c r="L744" i="2"/>
  <c r="M744" i="2"/>
  <c r="N744" i="2"/>
  <c r="O744" i="2"/>
  <c r="P744" i="2"/>
  <c r="S744" i="2"/>
  <c r="T744" i="2"/>
  <c r="U744" i="2"/>
  <c r="Y744" i="2"/>
  <c r="Z744" i="2"/>
  <c r="AA744" i="2"/>
  <c r="AB744" i="2"/>
  <c r="AC744" i="2"/>
  <c r="AD744" i="2"/>
  <c r="AE744" i="2"/>
  <c r="AF744" i="2"/>
  <c r="AG744" i="2"/>
  <c r="A745" i="2"/>
  <c r="B745" i="2"/>
  <c r="C745" i="2"/>
  <c r="D745" i="2"/>
  <c r="E745" i="2"/>
  <c r="F745" i="2"/>
  <c r="G745" i="2"/>
  <c r="H745" i="2"/>
  <c r="I745" i="2"/>
  <c r="J745" i="2"/>
  <c r="K745" i="2"/>
  <c r="U745" i="2" s="1"/>
  <c r="L745" i="2"/>
  <c r="M745" i="2"/>
  <c r="N745" i="2"/>
  <c r="O745" i="2"/>
  <c r="P745" i="2"/>
  <c r="S745" i="2"/>
  <c r="T745" i="2"/>
  <c r="Y745" i="2"/>
  <c r="Z745" i="2"/>
  <c r="AA745" i="2"/>
  <c r="AB745" i="2"/>
  <c r="AC745" i="2"/>
  <c r="AD745" i="2"/>
  <c r="AE745" i="2"/>
  <c r="AF745" i="2"/>
  <c r="AG745" i="2"/>
  <c r="A746" i="2"/>
  <c r="B746" i="2"/>
  <c r="C746" i="2"/>
  <c r="D746" i="2"/>
  <c r="E746" i="2"/>
  <c r="F746" i="2"/>
  <c r="G746" i="2"/>
  <c r="H746" i="2"/>
  <c r="I746" i="2"/>
  <c r="J746" i="2"/>
  <c r="K746" i="2"/>
  <c r="S746" i="2" s="1"/>
  <c r="L746" i="2"/>
  <c r="M746" i="2"/>
  <c r="N746" i="2"/>
  <c r="O746" i="2"/>
  <c r="P746" i="2"/>
  <c r="Y746" i="2"/>
  <c r="Z746" i="2"/>
  <c r="AA746" i="2"/>
  <c r="AB746" i="2"/>
  <c r="AC746" i="2"/>
  <c r="AD746" i="2"/>
  <c r="AE746" i="2"/>
  <c r="AF746" i="2"/>
  <c r="AG746" i="2"/>
  <c r="A747" i="2"/>
  <c r="B747" i="2"/>
  <c r="C747" i="2"/>
  <c r="D747" i="2"/>
  <c r="E747" i="2"/>
  <c r="F747" i="2"/>
  <c r="G747" i="2"/>
  <c r="H747" i="2"/>
  <c r="I747" i="2"/>
  <c r="J747" i="2"/>
  <c r="K747" i="2"/>
  <c r="T747" i="2" s="1"/>
  <c r="L747" i="2"/>
  <c r="M747" i="2"/>
  <c r="N747" i="2"/>
  <c r="O747" i="2"/>
  <c r="P747" i="2"/>
  <c r="Q747" i="2"/>
  <c r="R747" i="2"/>
  <c r="S747" i="2"/>
  <c r="U747" i="2"/>
  <c r="V747" i="2"/>
  <c r="X747" i="2"/>
  <c r="Y747" i="2"/>
  <c r="Z747" i="2"/>
  <c r="AA747" i="2"/>
  <c r="AB747" i="2"/>
  <c r="AC747" i="2"/>
  <c r="AD747" i="2"/>
  <c r="AE747" i="2"/>
  <c r="AF747" i="2"/>
  <c r="AG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M748" i="2"/>
  <c r="N748" i="2"/>
  <c r="O748" i="2"/>
  <c r="P748" i="2"/>
  <c r="Q748" i="2"/>
  <c r="R748" i="2"/>
  <c r="S748" i="2"/>
  <c r="T748" i="2"/>
  <c r="U748" i="2"/>
  <c r="V748" i="2"/>
  <c r="W748" i="2"/>
  <c r="X748" i="2"/>
  <c r="Y748" i="2"/>
  <c r="Z748" i="2"/>
  <c r="AA748" i="2"/>
  <c r="AB748" i="2"/>
  <c r="AC748" i="2"/>
  <c r="AD748" i="2"/>
  <c r="AE748" i="2"/>
  <c r="AF748" i="2"/>
  <c r="AG748" i="2"/>
  <c r="A749" i="2"/>
  <c r="B749" i="2"/>
  <c r="C749" i="2"/>
  <c r="D749" i="2"/>
  <c r="E749" i="2"/>
  <c r="F749" i="2"/>
  <c r="G749" i="2"/>
  <c r="H749" i="2"/>
  <c r="I749" i="2"/>
  <c r="J749" i="2"/>
  <c r="K749" i="2"/>
  <c r="Q749" i="2" s="1"/>
  <c r="L749" i="2"/>
  <c r="M749" i="2"/>
  <c r="N749" i="2"/>
  <c r="O749" i="2"/>
  <c r="P749" i="2"/>
  <c r="S749" i="2"/>
  <c r="T749" i="2"/>
  <c r="V749" i="2"/>
  <c r="W749" i="2"/>
  <c r="X749" i="2"/>
  <c r="Y749" i="2"/>
  <c r="Z749" i="2"/>
  <c r="AA749" i="2"/>
  <c r="AB749" i="2"/>
  <c r="AC749" i="2"/>
  <c r="AD749" i="2"/>
  <c r="AE749" i="2"/>
  <c r="AF749" i="2"/>
  <c r="AG749" i="2"/>
  <c r="A750" i="2"/>
  <c r="B750" i="2"/>
  <c r="C750" i="2"/>
  <c r="D750" i="2"/>
  <c r="E750" i="2"/>
  <c r="F750" i="2"/>
  <c r="G750" i="2"/>
  <c r="H750" i="2"/>
  <c r="I750" i="2"/>
  <c r="J750" i="2"/>
  <c r="K750" i="2"/>
  <c r="X750" i="2" s="1"/>
  <c r="L750" i="2"/>
  <c r="M750" i="2"/>
  <c r="N750" i="2"/>
  <c r="O750" i="2"/>
  <c r="P750" i="2"/>
  <c r="S750" i="2"/>
  <c r="U750" i="2"/>
  <c r="V750" i="2"/>
  <c r="W750" i="2"/>
  <c r="Y750" i="2"/>
  <c r="Z750" i="2"/>
  <c r="AA750" i="2"/>
  <c r="AB750" i="2"/>
  <c r="AC750" i="2"/>
  <c r="AD750" i="2"/>
  <c r="AE750" i="2"/>
  <c r="AF750" i="2"/>
  <c r="AG750" i="2"/>
  <c r="A751" i="2"/>
  <c r="B751" i="2"/>
  <c r="C751" i="2"/>
  <c r="D751" i="2"/>
  <c r="E751" i="2"/>
  <c r="F751" i="2"/>
  <c r="G751" i="2"/>
  <c r="H751" i="2"/>
  <c r="I751" i="2"/>
  <c r="J751" i="2"/>
  <c r="K751" i="2"/>
  <c r="X751" i="2" s="1"/>
  <c r="L751" i="2"/>
  <c r="M751" i="2"/>
  <c r="N751" i="2"/>
  <c r="O751" i="2"/>
  <c r="P751" i="2"/>
  <c r="Q751" i="2"/>
  <c r="R751" i="2"/>
  <c r="S751" i="2"/>
  <c r="T751" i="2"/>
  <c r="U751" i="2"/>
  <c r="V751" i="2"/>
  <c r="W751" i="2"/>
  <c r="Y751" i="2"/>
  <c r="Z751" i="2"/>
  <c r="AA751" i="2"/>
  <c r="AB751" i="2"/>
  <c r="AC751" i="2"/>
  <c r="AD751" i="2"/>
  <c r="AE751" i="2"/>
  <c r="AF751" i="2"/>
  <c r="AG751" i="2"/>
  <c r="A752" i="2"/>
  <c r="B752" i="2"/>
  <c r="C752" i="2"/>
  <c r="D752" i="2"/>
  <c r="E752" i="2"/>
  <c r="F752" i="2"/>
  <c r="G752" i="2"/>
  <c r="H752" i="2"/>
  <c r="I752" i="2"/>
  <c r="J752" i="2"/>
  <c r="K752" i="2"/>
  <c r="V752" i="2" s="1"/>
  <c r="L752" i="2"/>
  <c r="M752" i="2"/>
  <c r="N752" i="2"/>
  <c r="O752" i="2"/>
  <c r="P752" i="2"/>
  <c r="S752" i="2"/>
  <c r="T752" i="2"/>
  <c r="U752" i="2"/>
  <c r="Y752" i="2"/>
  <c r="Z752" i="2"/>
  <c r="AA752" i="2"/>
  <c r="AB752" i="2"/>
  <c r="AC752" i="2"/>
  <c r="AD752" i="2"/>
  <c r="AE752" i="2"/>
  <c r="AF752" i="2"/>
  <c r="AG752" i="2"/>
  <c r="A753" i="2"/>
  <c r="B753" i="2"/>
  <c r="C753" i="2"/>
  <c r="D753" i="2"/>
  <c r="E753" i="2"/>
  <c r="F753" i="2"/>
  <c r="G753" i="2"/>
  <c r="H753" i="2"/>
  <c r="I753" i="2"/>
  <c r="J753" i="2"/>
  <c r="K753" i="2"/>
  <c r="U753" i="2" s="1"/>
  <c r="L753" i="2"/>
  <c r="M753" i="2"/>
  <c r="N753" i="2"/>
  <c r="O753" i="2"/>
  <c r="P753" i="2"/>
  <c r="S753" i="2"/>
  <c r="T753" i="2"/>
  <c r="Y753" i="2"/>
  <c r="Z753" i="2"/>
  <c r="AA753" i="2"/>
  <c r="AB753" i="2"/>
  <c r="AC753" i="2"/>
  <c r="AD753" i="2"/>
  <c r="AE753" i="2"/>
  <c r="AF753" i="2"/>
  <c r="AG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M754" i="2"/>
  <c r="N754" i="2"/>
  <c r="O754" i="2"/>
  <c r="P754" i="2"/>
  <c r="Y754" i="2"/>
  <c r="Z754" i="2"/>
  <c r="AA754" i="2"/>
  <c r="AB754" i="2"/>
  <c r="AC754" i="2"/>
  <c r="AD754" i="2"/>
  <c r="AE754" i="2"/>
  <c r="AF754" i="2"/>
  <c r="AG754" i="2"/>
  <c r="A755" i="2"/>
  <c r="B755" i="2"/>
  <c r="C755" i="2"/>
  <c r="D755" i="2"/>
  <c r="E755" i="2"/>
  <c r="F755" i="2"/>
  <c r="G755" i="2"/>
  <c r="H755" i="2"/>
  <c r="I755" i="2"/>
  <c r="J755" i="2"/>
  <c r="K755" i="2"/>
  <c r="T755" i="2" s="1"/>
  <c r="L755" i="2"/>
  <c r="M755" i="2"/>
  <c r="N755" i="2"/>
  <c r="O755" i="2"/>
  <c r="P755" i="2"/>
  <c r="Q755" i="2"/>
  <c r="R755" i="2"/>
  <c r="S755" i="2"/>
  <c r="U755" i="2"/>
  <c r="V755" i="2"/>
  <c r="X755" i="2"/>
  <c r="Y755" i="2"/>
  <c r="Z755" i="2"/>
  <c r="AA755" i="2"/>
  <c r="AB755" i="2"/>
  <c r="AC755" i="2"/>
  <c r="AD755" i="2"/>
  <c r="AE755" i="2"/>
  <c r="AF755" i="2"/>
  <c r="AG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M756" i="2"/>
  <c r="N756" i="2"/>
  <c r="O756" i="2"/>
  <c r="P756" i="2"/>
  <c r="Q756" i="2"/>
  <c r="R756" i="2"/>
  <c r="S756" i="2"/>
  <c r="T756" i="2"/>
  <c r="U756" i="2"/>
  <c r="V756" i="2"/>
  <c r="W756" i="2"/>
  <c r="X756" i="2"/>
  <c r="Y756" i="2"/>
  <c r="Z756" i="2"/>
  <c r="AA756" i="2"/>
  <c r="AB756" i="2"/>
  <c r="AC756" i="2"/>
  <c r="AD756" i="2"/>
  <c r="AE756" i="2"/>
  <c r="AF756" i="2"/>
  <c r="AG756" i="2"/>
  <c r="A757" i="2"/>
  <c r="B757" i="2"/>
  <c r="C757" i="2"/>
  <c r="D757" i="2"/>
  <c r="E757" i="2"/>
  <c r="F757" i="2"/>
  <c r="G757" i="2"/>
  <c r="H757" i="2"/>
  <c r="I757" i="2"/>
  <c r="J757" i="2"/>
  <c r="K757" i="2"/>
  <c r="Q757" i="2" s="1"/>
  <c r="L757" i="2"/>
  <c r="M757" i="2"/>
  <c r="N757" i="2"/>
  <c r="O757" i="2"/>
  <c r="P757" i="2"/>
  <c r="S757" i="2"/>
  <c r="T757" i="2"/>
  <c r="V757" i="2"/>
  <c r="W757" i="2"/>
  <c r="X757" i="2"/>
  <c r="Y757" i="2"/>
  <c r="Z757" i="2"/>
  <c r="AA757" i="2"/>
  <c r="AB757" i="2"/>
  <c r="AC757" i="2"/>
  <c r="AD757" i="2"/>
  <c r="AE757" i="2"/>
  <c r="AF757" i="2"/>
  <c r="AG757" i="2"/>
  <c r="A758" i="2"/>
  <c r="B758" i="2"/>
  <c r="C758" i="2"/>
  <c r="D758" i="2"/>
  <c r="E758" i="2"/>
  <c r="F758" i="2"/>
  <c r="G758" i="2"/>
  <c r="H758" i="2"/>
  <c r="I758" i="2"/>
  <c r="J758" i="2"/>
  <c r="K758" i="2"/>
  <c r="X758" i="2" s="1"/>
  <c r="L758" i="2"/>
  <c r="M758" i="2"/>
  <c r="N758" i="2"/>
  <c r="O758" i="2"/>
  <c r="P758" i="2"/>
  <c r="S758" i="2"/>
  <c r="U758" i="2"/>
  <c r="V758" i="2"/>
  <c r="W758" i="2"/>
  <c r="Y758" i="2"/>
  <c r="Z758" i="2"/>
  <c r="AA758" i="2"/>
  <c r="AB758" i="2"/>
  <c r="AC758" i="2"/>
  <c r="AD758" i="2"/>
  <c r="AE758" i="2"/>
  <c r="AF758" i="2"/>
  <c r="AG758" i="2"/>
  <c r="A759" i="2"/>
  <c r="B759" i="2"/>
  <c r="C759" i="2"/>
  <c r="D759" i="2"/>
  <c r="E759" i="2"/>
  <c r="F759" i="2"/>
  <c r="G759" i="2"/>
  <c r="H759" i="2"/>
  <c r="I759" i="2"/>
  <c r="J759" i="2"/>
  <c r="K759" i="2"/>
  <c r="X759" i="2" s="1"/>
  <c r="L759" i="2"/>
  <c r="M759" i="2"/>
  <c r="N759" i="2"/>
  <c r="O759" i="2"/>
  <c r="P759" i="2"/>
  <c r="Q759" i="2"/>
  <c r="R759" i="2"/>
  <c r="S759" i="2"/>
  <c r="T759" i="2"/>
  <c r="U759" i="2"/>
  <c r="V759" i="2"/>
  <c r="W759" i="2"/>
  <c r="Y759" i="2"/>
  <c r="Z759" i="2"/>
  <c r="AA759" i="2"/>
  <c r="AB759" i="2"/>
  <c r="AC759" i="2"/>
  <c r="AD759" i="2"/>
  <c r="AE759" i="2"/>
  <c r="AF759" i="2"/>
  <c r="AG759" i="2"/>
  <c r="A760" i="2"/>
  <c r="B760" i="2"/>
  <c r="C760" i="2"/>
  <c r="D760" i="2"/>
  <c r="E760" i="2"/>
  <c r="F760" i="2"/>
  <c r="G760" i="2"/>
  <c r="H760" i="2"/>
  <c r="I760" i="2"/>
  <c r="J760" i="2"/>
  <c r="K760" i="2"/>
  <c r="V760" i="2" s="1"/>
  <c r="L760" i="2"/>
  <c r="M760" i="2"/>
  <c r="N760" i="2"/>
  <c r="O760" i="2"/>
  <c r="P760" i="2"/>
  <c r="S760" i="2"/>
  <c r="T760" i="2"/>
  <c r="U760" i="2"/>
  <c r="Y760" i="2"/>
  <c r="Z760" i="2"/>
  <c r="AA760" i="2"/>
  <c r="AB760" i="2"/>
  <c r="AC760" i="2"/>
  <c r="AD760" i="2"/>
  <c r="AE760" i="2"/>
  <c r="AF760" i="2"/>
  <c r="AG760" i="2"/>
  <c r="A761" i="2"/>
  <c r="B761" i="2"/>
  <c r="C761" i="2"/>
  <c r="D761" i="2"/>
  <c r="E761" i="2"/>
  <c r="F761" i="2"/>
  <c r="G761" i="2"/>
  <c r="H761" i="2"/>
  <c r="I761" i="2"/>
  <c r="J761" i="2"/>
  <c r="K761" i="2"/>
  <c r="U761" i="2" s="1"/>
  <c r="L761" i="2"/>
  <c r="M761" i="2"/>
  <c r="N761" i="2"/>
  <c r="O761" i="2"/>
  <c r="P761" i="2"/>
  <c r="S761" i="2"/>
  <c r="T761" i="2"/>
  <c r="Y761" i="2"/>
  <c r="Z761" i="2"/>
  <c r="AA761" i="2"/>
  <c r="AB761" i="2"/>
  <c r="AC761" i="2"/>
  <c r="AD761" i="2"/>
  <c r="AE761" i="2"/>
  <c r="AF761" i="2"/>
  <c r="AG761" i="2"/>
  <c r="A762" i="2"/>
  <c r="B762" i="2"/>
  <c r="C762" i="2"/>
  <c r="D762" i="2"/>
  <c r="E762" i="2"/>
  <c r="F762" i="2"/>
  <c r="G762" i="2"/>
  <c r="H762" i="2"/>
  <c r="I762" i="2"/>
  <c r="J762" i="2"/>
  <c r="K762" i="2"/>
  <c r="S762" i="2" s="1"/>
  <c r="L762" i="2"/>
  <c r="M762" i="2"/>
  <c r="N762" i="2"/>
  <c r="O762" i="2"/>
  <c r="P762" i="2"/>
  <c r="Y762" i="2"/>
  <c r="Z762" i="2"/>
  <c r="AA762" i="2"/>
  <c r="AB762" i="2"/>
  <c r="AC762" i="2"/>
  <c r="AD762" i="2"/>
  <c r="AE762" i="2"/>
  <c r="AF762" i="2"/>
  <c r="AG762" i="2"/>
  <c r="A763" i="2"/>
  <c r="B763" i="2"/>
  <c r="C763" i="2"/>
  <c r="D763" i="2"/>
  <c r="E763" i="2"/>
  <c r="F763" i="2"/>
  <c r="G763" i="2"/>
  <c r="H763" i="2"/>
  <c r="I763" i="2"/>
  <c r="J763" i="2"/>
  <c r="K763" i="2"/>
  <c r="T763" i="2" s="1"/>
  <c r="L763" i="2"/>
  <c r="M763" i="2"/>
  <c r="N763" i="2"/>
  <c r="O763" i="2"/>
  <c r="P763" i="2"/>
  <c r="Q763" i="2"/>
  <c r="R763" i="2"/>
  <c r="S763" i="2"/>
  <c r="U763" i="2"/>
  <c r="V763" i="2"/>
  <c r="W763" i="2"/>
  <c r="X763" i="2"/>
  <c r="Y763" i="2"/>
  <c r="Z763" i="2"/>
  <c r="AA763" i="2"/>
  <c r="AB763" i="2"/>
  <c r="AC763" i="2"/>
  <c r="AD763" i="2"/>
  <c r="AE763" i="2"/>
  <c r="AF763" i="2"/>
  <c r="AG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N764" i="2"/>
  <c r="O764" i="2"/>
  <c r="P764" i="2"/>
  <c r="Q764" i="2"/>
  <c r="R764" i="2"/>
  <c r="S764" i="2"/>
  <c r="T764" i="2"/>
  <c r="U764" i="2"/>
  <c r="V764" i="2"/>
  <c r="W764" i="2"/>
  <c r="X764" i="2"/>
  <c r="Y764" i="2"/>
  <c r="Z764" i="2"/>
  <c r="AA764" i="2"/>
  <c r="AB764" i="2"/>
  <c r="AC764" i="2"/>
  <c r="AD764" i="2"/>
  <c r="AE764" i="2"/>
  <c r="AF764" i="2"/>
  <c r="AG764" i="2"/>
  <c r="A765" i="2"/>
  <c r="B765" i="2"/>
  <c r="C765" i="2"/>
  <c r="D765" i="2"/>
  <c r="E765" i="2"/>
  <c r="F765" i="2"/>
  <c r="G765" i="2"/>
  <c r="H765" i="2"/>
  <c r="I765" i="2"/>
  <c r="J765" i="2"/>
  <c r="K765" i="2"/>
  <c r="Q765" i="2" s="1"/>
  <c r="L765" i="2"/>
  <c r="M765" i="2"/>
  <c r="N765" i="2"/>
  <c r="O765" i="2"/>
  <c r="P765" i="2"/>
  <c r="S765" i="2"/>
  <c r="T765" i="2"/>
  <c r="V765" i="2"/>
  <c r="W765" i="2"/>
  <c r="X765" i="2"/>
  <c r="Y765" i="2"/>
  <c r="Z765" i="2"/>
  <c r="AA765" i="2"/>
  <c r="AB765" i="2"/>
  <c r="AC765" i="2"/>
  <c r="AD765" i="2"/>
  <c r="AE765" i="2"/>
  <c r="AF765" i="2"/>
  <c r="AG765" i="2"/>
  <c r="A766" i="2"/>
  <c r="B766" i="2"/>
  <c r="C766" i="2"/>
  <c r="D766" i="2"/>
  <c r="E766" i="2"/>
  <c r="F766" i="2"/>
  <c r="G766" i="2"/>
  <c r="H766" i="2"/>
  <c r="I766" i="2"/>
  <c r="J766" i="2"/>
  <c r="K766" i="2"/>
  <c r="X766" i="2" s="1"/>
  <c r="L766" i="2"/>
  <c r="M766" i="2"/>
  <c r="N766" i="2"/>
  <c r="O766" i="2"/>
  <c r="P766" i="2"/>
  <c r="S766" i="2"/>
  <c r="U766" i="2"/>
  <c r="V766" i="2"/>
  <c r="W766" i="2"/>
  <c r="Y766" i="2"/>
  <c r="Z766" i="2"/>
  <c r="AA766" i="2"/>
  <c r="AB766" i="2"/>
  <c r="AC766" i="2"/>
  <c r="AD766" i="2"/>
  <c r="AE766" i="2"/>
  <c r="AF766" i="2"/>
  <c r="AG766" i="2"/>
  <c r="A767" i="2"/>
  <c r="B767" i="2"/>
  <c r="C767" i="2"/>
  <c r="D767" i="2"/>
  <c r="E767" i="2"/>
  <c r="F767" i="2"/>
  <c r="G767" i="2"/>
  <c r="H767" i="2"/>
  <c r="I767" i="2"/>
  <c r="J767" i="2"/>
  <c r="K767" i="2"/>
  <c r="X767" i="2" s="1"/>
  <c r="L767" i="2"/>
  <c r="M767" i="2"/>
  <c r="N767" i="2"/>
  <c r="O767" i="2"/>
  <c r="P767" i="2"/>
  <c r="Q767" i="2"/>
  <c r="R767" i="2"/>
  <c r="S767" i="2"/>
  <c r="T767" i="2"/>
  <c r="U767" i="2"/>
  <c r="V767" i="2"/>
  <c r="W767" i="2"/>
  <c r="Y767" i="2"/>
  <c r="Z767" i="2"/>
  <c r="AA767" i="2"/>
  <c r="AB767" i="2"/>
  <c r="AC767" i="2"/>
  <c r="AD767" i="2"/>
  <c r="AE767" i="2"/>
  <c r="AF767" i="2"/>
  <c r="AG767" i="2"/>
  <c r="A768" i="2"/>
  <c r="B768" i="2"/>
  <c r="C768" i="2"/>
  <c r="D768" i="2"/>
  <c r="E768" i="2"/>
  <c r="F768" i="2"/>
  <c r="G768" i="2"/>
  <c r="H768" i="2"/>
  <c r="I768" i="2"/>
  <c r="J768" i="2"/>
  <c r="K768" i="2"/>
  <c r="V768" i="2" s="1"/>
  <c r="L768" i="2"/>
  <c r="M768" i="2"/>
  <c r="N768" i="2"/>
  <c r="O768" i="2"/>
  <c r="P768" i="2"/>
  <c r="S768" i="2"/>
  <c r="T768" i="2"/>
  <c r="U768" i="2"/>
  <c r="Y768" i="2"/>
  <c r="Z768" i="2"/>
  <c r="AA768" i="2"/>
  <c r="AB768" i="2"/>
  <c r="AC768" i="2"/>
  <c r="AD768" i="2"/>
  <c r="AE768" i="2"/>
  <c r="AF768" i="2"/>
  <c r="AG768" i="2"/>
  <c r="A769" i="2"/>
  <c r="B769" i="2"/>
  <c r="C769" i="2"/>
  <c r="D769" i="2"/>
  <c r="E769" i="2"/>
  <c r="F769" i="2"/>
  <c r="G769" i="2"/>
  <c r="H769" i="2"/>
  <c r="I769" i="2"/>
  <c r="J769" i="2"/>
  <c r="K769" i="2"/>
  <c r="U769" i="2" s="1"/>
  <c r="L769" i="2"/>
  <c r="M769" i="2"/>
  <c r="N769" i="2"/>
  <c r="O769" i="2"/>
  <c r="P769" i="2"/>
  <c r="S769" i="2"/>
  <c r="T769" i="2"/>
  <c r="Y769" i="2"/>
  <c r="Z769" i="2"/>
  <c r="AA769" i="2"/>
  <c r="AB769" i="2"/>
  <c r="AC769" i="2"/>
  <c r="AD769" i="2"/>
  <c r="AE769" i="2"/>
  <c r="AF769" i="2"/>
  <c r="AG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N770" i="2"/>
  <c r="O770" i="2"/>
  <c r="P770" i="2"/>
  <c r="S770" i="2"/>
  <c r="Y770" i="2"/>
  <c r="Z770" i="2"/>
  <c r="AA770" i="2"/>
  <c r="AB770" i="2"/>
  <c r="AC770" i="2"/>
  <c r="AD770" i="2"/>
  <c r="AE770" i="2"/>
  <c r="AF770" i="2"/>
  <c r="AG770" i="2"/>
  <c r="A771" i="2"/>
  <c r="B771" i="2"/>
  <c r="C771" i="2"/>
  <c r="D771" i="2"/>
  <c r="E771" i="2"/>
  <c r="F771" i="2"/>
  <c r="G771" i="2"/>
  <c r="H771" i="2"/>
  <c r="I771" i="2"/>
  <c r="J771" i="2"/>
  <c r="K771" i="2"/>
  <c r="T771" i="2" s="1"/>
  <c r="L771" i="2"/>
  <c r="M771" i="2"/>
  <c r="N771" i="2"/>
  <c r="O771" i="2"/>
  <c r="P771" i="2"/>
  <c r="Q771" i="2"/>
  <c r="R771" i="2"/>
  <c r="S771" i="2"/>
  <c r="U771" i="2"/>
  <c r="V771" i="2"/>
  <c r="W771" i="2"/>
  <c r="X771" i="2"/>
  <c r="Y771" i="2"/>
  <c r="Z771" i="2"/>
  <c r="AA771" i="2"/>
  <c r="AB771" i="2"/>
  <c r="AC771" i="2"/>
  <c r="AD771" i="2"/>
  <c r="AE771" i="2"/>
  <c r="AF771" i="2"/>
  <c r="AG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M772" i="2"/>
  <c r="N772" i="2"/>
  <c r="O772" i="2"/>
  <c r="P772" i="2"/>
  <c r="Q772" i="2"/>
  <c r="R772" i="2"/>
  <c r="S772" i="2"/>
  <c r="T772" i="2"/>
  <c r="U772" i="2"/>
  <c r="V772" i="2"/>
  <c r="W772" i="2"/>
  <c r="X772" i="2"/>
  <c r="Y772" i="2"/>
  <c r="Z772" i="2"/>
  <c r="AA772" i="2"/>
  <c r="AB772" i="2"/>
  <c r="AC772" i="2"/>
  <c r="AD772" i="2"/>
  <c r="AE772" i="2"/>
  <c r="AF772" i="2"/>
  <c r="AG772" i="2"/>
  <c r="A773" i="2"/>
  <c r="B773" i="2"/>
  <c r="C773" i="2"/>
  <c r="D773" i="2"/>
  <c r="E773" i="2"/>
  <c r="F773" i="2"/>
  <c r="G773" i="2"/>
  <c r="H773" i="2"/>
  <c r="I773" i="2"/>
  <c r="J773" i="2"/>
  <c r="K773" i="2"/>
  <c r="Q773" i="2" s="1"/>
  <c r="L773" i="2"/>
  <c r="M773" i="2"/>
  <c r="N773" i="2"/>
  <c r="O773" i="2"/>
  <c r="P773" i="2"/>
  <c r="S773" i="2"/>
  <c r="T773" i="2"/>
  <c r="V773" i="2"/>
  <c r="W773" i="2"/>
  <c r="X773" i="2"/>
  <c r="Y773" i="2"/>
  <c r="Z773" i="2"/>
  <c r="AA773" i="2"/>
  <c r="AB773" i="2"/>
  <c r="AC773" i="2"/>
  <c r="AD773" i="2"/>
  <c r="AE773" i="2"/>
  <c r="AF773" i="2"/>
  <c r="AG773" i="2"/>
  <c r="A774" i="2"/>
  <c r="B774" i="2"/>
  <c r="C774" i="2"/>
  <c r="D774" i="2"/>
  <c r="E774" i="2"/>
  <c r="F774" i="2"/>
  <c r="G774" i="2"/>
  <c r="H774" i="2"/>
  <c r="I774" i="2"/>
  <c r="J774" i="2"/>
  <c r="K774" i="2"/>
  <c r="X774" i="2" s="1"/>
  <c r="L774" i="2"/>
  <c r="M774" i="2"/>
  <c r="N774" i="2"/>
  <c r="O774" i="2"/>
  <c r="P774" i="2"/>
  <c r="S774" i="2"/>
  <c r="U774" i="2"/>
  <c r="V774" i="2"/>
  <c r="W774" i="2"/>
  <c r="Y774" i="2"/>
  <c r="Z774" i="2"/>
  <c r="AA774" i="2"/>
  <c r="AB774" i="2"/>
  <c r="AC774" i="2"/>
  <c r="AD774" i="2"/>
  <c r="AE774" i="2"/>
  <c r="AF774" i="2"/>
  <c r="AG774" i="2"/>
  <c r="A775" i="2"/>
  <c r="B775" i="2"/>
  <c r="C775" i="2"/>
  <c r="D775" i="2"/>
  <c r="E775" i="2"/>
  <c r="F775" i="2"/>
  <c r="G775" i="2"/>
  <c r="H775" i="2"/>
  <c r="I775" i="2"/>
  <c r="J775" i="2"/>
  <c r="K775" i="2"/>
  <c r="X775" i="2" s="1"/>
  <c r="L775" i="2"/>
  <c r="M775" i="2"/>
  <c r="N775" i="2"/>
  <c r="O775" i="2"/>
  <c r="P775" i="2"/>
  <c r="Q775" i="2"/>
  <c r="R775" i="2"/>
  <c r="S775" i="2"/>
  <c r="T775" i="2"/>
  <c r="U775" i="2"/>
  <c r="V775" i="2"/>
  <c r="W775" i="2"/>
  <c r="Y775" i="2"/>
  <c r="Z775" i="2"/>
  <c r="AA775" i="2"/>
  <c r="AB775" i="2"/>
  <c r="AC775" i="2"/>
  <c r="AD775" i="2"/>
  <c r="AE775" i="2"/>
  <c r="AF775" i="2"/>
  <c r="AG775" i="2"/>
  <c r="A776" i="2"/>
  <c r="B776" i="2"/>
  <c r="C776" i="2"/>
  <c r="D776" i="2"/>
  <c r="E776" i="2"/>
  <c r="F776" i="2"/>
  <c r="G776" i="2"/>
  <c r="H776" i="2"/>
  <c r="I776" i="2"/>
  <c r="J776" i="2"/>
  <c r="K776" i="2"/>
  <c r="V776" i="2" s="1"/>
  <c r="L776" i="2"/>
  <c r="M776" i="2"/>
  <c r="N776" i="2"/>
  <c r="O776" i="2"/>
  <c r="P776" i="2"/>
  <c r="S776" i="2"/>
  <c r="T776" i="2"/>
  <c r="U776" i="2"/>
  <c r="Y776" i="2"/>
  <c r="Z776" i="2"/>
  <c r="AA776" i="2"/>
  <c r="AB776" i="2"/>
  <c r="AC776" i="2"/>
  <c r="AD776" i="2"/>
  <c r="AE776" i="2"/>
  <c r="AF776" i="2"/>
  <c r="AG776" i="2"/>
  <c r="A777" i="2"/>
  <c r="B777" i="2"/>
  <c r="C777" i="2"/>
  <c r="D777" i="2"/>
  <c r="E777" i="2"/>
  <c r="F777" i="2"/>
  <c r="G777" i="2"/>
  <c r="H777" i="2"/>
  <c r="I777" i="2"/>
  <c r="J777" i="2"/>
  <c r="K777" i="2"/>
  <c r="U777" i="2" s="1"/>
  <c r="L777" i="2"/>
  <c r="M777" i="2"/>
  <c r="N777" i="2"/>
  <c r="O777" i="2"/>
  <c r="P777" i="2"/>
  <c r="S777" i="2"/>
  <c r="T777" i="2"/>
  <c r="Y777" i="2"/>
  <c r="Z777" i="2"/>
  <c r="AA777" i="2"/>
  <c r="AB777" i="2"/>
  <c r="AC777" i="2"/>
  <c r="AD777" i="2"/>
  <c r="AE777" i="2"/>
  <c r="AF777" i="2"/>
  <c r="AG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N778" i="2"/>
  <c r="O778" i="2"/>
  <c r="P778" i="2"/>
  <c r="S778" i="2"/>
  <c r="Y778" i="2"/>
  <c r="Z778" i="2"/>
  <c r="AA778" i="2"/>
  <c r="AB778" i="2"/>
  <c r="AC778" i="2"/>
  <c r="AD778" i="2"/>
  <c r="AE778" i="2"/>
  <c r="AF778" i="2"/>
  <c r="AG778" i="2"/>
  <c r="A779" i="2"/>
  <c r="B779" i="2"/>
  <c r="C779" i="2"/>
  <c r="D779" i="2"/>
  <c r="E779" i="2"/>
  <c r="F779" i="2"/>
  <c r="G779" i="2"/>
  <c r="H779" i="2"/>
  <c r="I779" i="2"/>
  <c r="J779" i="2"/>
  <c r="K779" i="2"/>
  <c r="T779" i="2" s="1"/>
  <c r="L779" i="2"/>
  <c r="M779" i="2"/>
  <c r="N779" i="2"/>
  <c r="O779" i="2"/>
  <c r="P779" i="2"/>
  <c r="Q779" i="2"/>
  <c r="R779" i="2"/>
  <c r="S779" i="2"/>
  <c r="U779" i="2"/>
  <c r="V779" i="2"/>
  <c r="W779" i="2"/>
  <c r="X779" i="2"/>
  <c r="Y779" i="2"/>
  <c r="Z779" i="2"/>
  <c r="AA779" i="2"/>
  <c r="AB779" i="2"/>
  <c r="AC779" i="2"/>
  <c r="AD779" i="2"/>
  <c r="AE779" i="2"/>
  <c r="AF779" i="2"/>
  <c r="AG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M780" i="2"/>
  <c r="N780" i="2"/>
  <c r="O780" i="2"/>
  <c r="P780" i="2"/>
  <c r="Q780" i="2"/>
  <c r="R780" i="2"/>
  <c r="S780" i="2"/>
  <c r="T780" i="2"/>
  <c r="U780" i="2"/>
  <c r="V780" i="2"/>
  <c r="W780" i="2"/>
  <c r="X780" i="2"/>
  <c r="Y780" i="2"/>
  <c r="Z780" i="2"/>
  <c r="AA780" i="2"/>
  <c r="AB780" i="2"/>
  <c r="AC780" i="2"/>
  <c r="AD780" i="2"/>
  <c r="AE780" i="2"/>
  <c r="AF780" i="2"/>
  <c r="AG780" i="2"/>
  <c r="A781" i="2"/>
  <c r="B781" i="2"/>
  <c r="C781" i="2"/>
  <c r="D781" i="2"/>
  <c r="E781" i="2"/>
  <c r="F781" i="2"/>
  <c r="G781" i="2"/>
  <c r="H781" i="2"/>
  <c r="I781" i="2"/>
  <c r="J781" i="2"/>
  <c r="K781" i="2"/>
  <c r="Q781" i="2" s="1"/>
  <c r="L781" i="2"/>
  <c r="M781" i="2"/>
  <c r="N781" i="2"/>
  <c r="O781" i="2"/>
  <c r="P781" i="2"/>
  <c r="S781" i="2"/>
  <c r="T781" i="2"/>
  <c r="V781" i="2"/>
  <c r="W781" i="2"/>
  <c r="X781" i="2"/>
  <c r="Y781" i="2"/>
  <c r="Z781" i="2"/>
  <c r="AA781" i="2"/>
  <c r="AB781" i="2"/>
  <c r="AC781" i="2"/>
  <c r="AD781" i="2"/>
  <c r="AE781" i="2"/>
  <c r="AF781" i="2"/>
  <c r="AG781" i="2"/>
  <c r="A782" i="2"/>
  <c r="B782" i="2"/>
  <c r="C782" i="2"/>
  <c r="D782" i="2"/>
  <c r="E782" i="2"/>
  <c r="F782" i="2"/>
  <c r="G782" i="2"/>
  <c r="H782" i="2"/>
  <c r="I782" i="2"/>
  <c r="J782" i="2"/>
  <c r="K782" i="2"/>
  <c r="X782" i="2" s="1"/>
  <c r="L782" i="2"/>
  <c r="M782" i="2"/>
  <c r="N782" i="2"/>
  <c r="O782" i="2"/>
  <c r="P782" i="2"/>
  <c r="S782" i="2"/>
  <c r="U782" i="2"/>
  <c r="V782" i="2"/>
  <c r="W782" i="2"/>
  <c r="Y782" i="2"/>
  <c r="Z782" i="2"/>
  <c r="AA782" i="2"/>
  <c r="AB782" i="2"/>
  <c r="AC782" i="2"/>
  <c r="AD782" i="2"/>
  <c r="AE782" i="2"/>
  <c r="AF782" i="2"/>
  <c r="AG782" i="2"/>
  <c r="A783" i="2"/>
  <c r="B783" i="2"/>
  <c r="C783" i="2"/>
  <c r="D783" i="2"/>
  <c r="E783" i="2"/>
  <c r="F783" i="2"/>
  <c r="G783" i="2"/>
  <c r="H783" i="2"/>
  <c r="I783" i="2"/>
  <c r="J783" i="2"/>
  <c r="K783" i="2"/>
  <c r="X783" i="2" s="1"/>
  <c r="L783" i="2"/>
  <c r="M783" i="2"/>
  <c r="N783" i="2"/>
  <c r="O783" i="2"/>
  <c r="P783" i="2"/>
  <c r="Q783" i="2"/>
  <c r="R783" i="2"/>
  <c r="S783" i="2"/>
  <c r="T783" i="2"/>
  <c r="U783" i="2"/>
  <c r="V783" i="2"/>
  <c r="W783" i="2"/>
  <c r="Y783" i="2"/>
  <c r="Z783" i="2"/>
  <c r="AA783" i="2"/>
  <c r="AB783" i="2"/>
  <c r="AC783" i="2"/>
  <c r="AD783" i="2"/>
  <c r="AE783" i="2"/>
  <c r="AF783" i="2"/>
  <c r="AG783" i="2"/>
  <c r="A784" i="2"/>
  <c r="B784" i="2"/>
  <c r="C784" i="2"/>
  <c r="D784" i="2"/>
  <c r="E784" i="2"/>
  <c r="F784" i="2"/>
  <c r="G784" i="2"/>
  <c r="H784" i="2"/>
  <c r="I784" i="2"/>
  <c r="J784" i="2"/>
  <c r="K784" i="2"/>
  <c r="V784" i="2" s="1"/>
  <c r="L784" i="2"/>
  <c r="M784" i="2"/>
  <c r="N784" i="2"/>
  <c r="O784" i="2"/>
  <c r="P784" i="2"/>
  <c r="S784" i="2"/>
  <c r="T784" i="2"/>
  <c r="U784" i="2"/>
  <c r="Y784" i="2"/>
  <c r="Z784" i="2"/>
  <c r="AA784" i="2"/>
  <c r="AB784" i="2"/>
  <c r="AC784" i="2"/>
  <c r="AD784" i="2"/>
  <c r="AE784" i="2"/>
  <c r="AF784" i="2"/>
  <c r="AG784" i="2"/>
  <c r="A785" i="2"/>
  <c r="B785" i="2"/>
  <c r="C785" i="2"/>
  <c r="D785" i="2"/>
  <c r="E785" i="2"/>
  <c r="F785" i="2"/>
  <c r="G785" i="2"/>
  <c r="H785" i="2"/>
  <c r="I785" i="2"/>
  <c r="J785" i="2"/>
  <c r="K785" i="2"/>
  <c r="U785" i="2" s="1"/>
  <c r="L785" i="2"/>
  <c r="M785" i="2"/>
  <c r="N785" i="2"/>
  <c r="O785" i="2"/>
  <c r="P785" i="2"/>
  <c r="S785" i="2"/>
  <c r="T785" i="2"/>
  <c r="Y785" i="2"/>
  <c r="Z785" i="2"/>
  <c r="AA785" i="2"/>
  <c r="AB785" i="2"/>
  <c r="AC785" i="2"/>
  <c r="AD785" i="2"/>
  <c r="AE785" i="2"/>
  <c r="AF785" i="2"/>
  <c r="AG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M786" i="2"/>
  <c r="N786" i="2"/>
  <c r="O786" i="2"/>
  <c r="P786" i="2"/>
  <c r="Y786" i="2"/>
  <c r="Z786" i="2"/>
  <c r="AA786" i="2"/>
  <c r="AB786" i="2"/>
  <c r="AC786" i="2"/>
  <c r="AD786" i="2"/>
  <c r="AE786" i="2"/>
  <c r="AF786" i="2"/>
  <c r="AG786" i="2"/>
  <c r="A787" i="2"/>
  <c r="B787" i="2"/>
  <c r="C787" i="2"/>
  <c r="D787" i="2"/>
  <c r="E787" i="2"/>
  <c r="F787" i="2"/>
  <c r="G787" i="2"/>
  <c r="H787" i="2"/>
  <c r="I787" i="2"/>
  <c r="J787" i="2"/>
  <c r="K787" i="2"/>
  <c r="T787" i="2" s="1"/>
  <c r="L787" i="2"/>
  <c r="M787" i="2"/>
  <c r="N787" i="2"/>
  <c r="O787" i="2"/>
  <c r="P787" i="2"/>
  <c r="Q787" i="2"/>
  <c r="R787" i="2"/>
  <c r="S787" i="2"/>
  <c r="U787" i="2"/>
  <c r="V787" i="2"/>
  <c r="X787" i="2"/>
  <c r="Y787" i="2"/>
  <c r="Z787" i="2"/>
  <c r="AA787" i="2"/>
  <c r="AB787" i="2"/>
  <c r="AC787" i="2"/>
  <c r="AD787" i="2"/>
  <c r="AE787" i="2"/>
  <c r="AF787" i="2"/>
  <c r="AG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M788" i="2"/>
  <c r="N788" i="2"/>
  <c r="O788" i="2"/>
  <c r="P788" i="2"/>
  <c r="Q788" i="2"/>
  <c r="R788" i="2"/>
  <c r="S788" i="2"/>
  <c r="T788" i="2"/>
  <c r="U788" i="2"/>
  <c r="V788" i="2"/>
  <c r="W788" i="2"/>
  <c r="X788" i="2"/>
  <c r="Y788" i="2"/>
  <c r="Z788" i="2"/>
  <c r="AA788" i="2"/>
  <c r="AB788" i="2"/>
  <c r="AC788" i="2"/>
  <c r="AD788" i="2"/>
  <c r="AE788" i="2"/>
  <c r="AF788" i="2"/>
  <c r="AG788" i="2"/>
  <c r="A789" i="2"/>
  <c r="B789" i="2"/>
  <c r="C789" i="2"/>
  <c r="D789" i="2"/>
  <c r="E789" i="2"/>
  <c r="F789" i="2"/>
  <c r="G789" i="2"/>
  <c r="H789" i="2"/>
  <c r="I789" i="2"/>
  <c r="J789" i="2"/>
  <c r="K789" i="2"/>
  <c r="Q789" i="2" s="1"/>
  <c r="L789" i="2"/>
  <c r="M789" i="2"/>
  <c r="N789" i="2"/>
  <c r="O789" i="2"/>
  <c r="P789" i="2"/>
  <c r="S789" i="2"/>
  <c r="T789" i="2"/>
  <c r="V789" i="2"/>
  <c r="W789" i="2"/>
  <c r="X789" i="2"/>
  <c r="Y789" i="2"/>
  <c r="Z789" i="2"/>
  <c r="AA789" i="2"/>
  <c r="AB789" i="2"/>
  <c r="AC789" i="2"/>
  <c r="AD789" i="2"/>
  <c r="AE789" i="2"/>
  <c r="AF789" i="2"/>
  <c r="AG789" i="2"/>
  <c r="A790" i="2"/>
  <c r="B790" i="2"/>
  <c r="C790" i="2"/>
  <c r="D790" i="2"/>
  <c r="E790" i="2"/>
  <c r="F790" i="2"/>
  <c r="G790" i="2"/>
  <c r="H790" i="2"/>
  <c r="I790" i="2"/>
  <c r="J790" i="2"/>
  <c r="K790" i="2"/>
  <c r="X790" i="2" s="1"/>
  <c r="L790" i="2"/>
  <c r="M790" i="2"/>
  <c r="N790" i="2"/>
  <c r="O790" i="2"/>
  <c r="P790" i="2"/>
  <c r="S790" i="2"/>
  <c r="U790" i="2"/>
  <c r="V790" i="2"/>
  <c r="W790" i="2"/>
  <c r="Y790" i="2"/>
  <c r="Z790" i="2"/>
  <c r="AA790" i="2"/>
  <c r="AB790" i="2"/>
  <c r="AC790" i="2"/>
  <c r="AD790" i="2"/>
  <c r="AE790" i="2"/>
  <c r="AF790" i="2"/>
  <c r="AG790" i="2"/>
  <c r="A791" i="2"/>
  <c r="B791" i="2"/>
  <c r="C791" i="2"/>
  <c r="D791" i="2"/>
  <c r="E791" i="2"/>
  <c r="F791" i="2"/>
  <c r="G791" i="2"/>
  <c r="H791" i="2"/>
  <c r="I791" i="2"/>
  <c r="J791" i="2"/>
  <c r="K791" i="2"/>
  <c r="X791" i="2" s="1"/>
  <c r="L791" i="2"/>
  <c r="M791" i="2"/>
  <c r="N791" i="2"/>
  <c r="O791" i="2"/>
  <c r="P791" i="2"/>
  <c r="Q791" i="2"/>
  <c r="R791" i="2"/>
  <c r="S791" i="2"/>
  <c r="T791" i="2"/>
  <c r="U791" i="2"/>
  <c r="V791" i="2"/>
  <c r="W791" i="2"/>
  <c r="Y791" i="2"/>
  <c r="Z791" i="2"/>
  <c r="AA791" i="2"/>
  <c r="AB791" i="2"/>
  <c r="AC791" i="2"/>
  <c r="AD791" i="2"/>
  <c r="AE791" i="2"/>
  <c r="AF791" i="2"/>
  <c r="AG791" i="2"/>
  <c r="A792" i="2"/>
  <c r="B792" i="2"/>
  <c r="C792" i="2"/>
  <c r="D792" i="2"/>
  <c r="E792" i="2"/>
  <c r="F792" i="2"/>
  <c r="G792" i="2"/>
  <c r="H792" i="2"/>
  <c r="I792" i="2"/>
  <c r="J792" i="2"/>
  <c r="K792" i="2"/>
  <c r="V792" i="2" s="1"/>
  <c r="L792" i="2"/>
  <c r="M792" i="2"/>
  <c r="N792" i="2"/>
  <c r="O792" i="2"/>
  <c r="P792" i="2"/>
  <c r="S792" i="2"/>
  <c r="T792" i="2"/>
  <c r="U792" i="2"/>
  <c r="Y792" i="2"/>
  <c r="Z792" i="2"/>
  <c r="AA792" i="2"/>
  <c r="AB792" i="2"/>
  <c r="AC792" i="2"/>
  <c r="AD792" i="2"/>
  <c r="AE792" i="2"/>
  <c r="AF792" i="2"/>
  <c r="AG792" i="2"/>
  <c r="A793" i="2"/>
  <c r="B793" i="2"/>
  <c r="C793" i="2"/>
  <c r="D793" i="2"/>
  <c r="E793" i="2"/>
  <c r="F793" i="2"/>
  <c r="G793" i="2"/>
  <c r="H793" i="2"/>
  <c r="I793" i="2"/>
  <c r="J793" i="2"/>
  <c r="K793" i="2"/>
  <c r="U793" i="2" s="1"/>
  <c r="L793" i="2"/>
  <c r="M793" i="2"/>
  <c r="N793" i="2"/>
  <c r="O793" i="2"/>
  <c r="P793" i="2"/>
  <c r="S793" i="2"/>
  <c r="T793" i="2"/>
  <c r="Y793" i="2"/>
  <c r="Z793" i="2"/>
  <c r="AA793" i="2"/>
  <c r="AB793" i="2"/>
  <c r="AC793" i="2"/>
  <c r="AD793" i="2"/>
  <c r="AE793" i="2"/>
  <c r="AF793" i="2"/>
  <c r="AG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M794" i="2"/>
  <c r="N794" i="2"/>
  <c r="O794" i="2"/>
  <c r="P794" i="2"/>
  <c r="Y794" i="2"/>
  <c r="Z794" i="2"/>
  <c r="AA794" i="2"/>
  <c r="AB794" i="2"/>
  <c r="AC794" i="2"/>
  <c r="AD794" i="2"/>
  <c r="AE794" i="2"/>
  <c r="AF794" i="2"/>
  <c r="AG794" i="2"/>
  <c r="A795" i="2"/>
  <c r="B795" i="2"/>
  <c r="C795" i="2"/>
  <c r="D795" i="2"/>
  <c r="E795" i="2"/>
  <c r="F795" i="2"/>
  <c r="G795" i="2"/>
  <c r="H795" i="2"/>
  <c r="I795" i="2"/>
  <c r="J795" i="2"/>
  <c r="K795" i="2"/>
  <c r="T795" i="2" s="1"/>
  <c r="L795" i="2"/>
  <c r="M795" i="2"/>
  <c r="N795" i="2"/>
  <c r="O795" i="2"/>
  <c r="P795" i="2"/>
  <c r="Q795" i="2"/>
  <c r="R795" i="2"/>
  <c r="S795" i="2"/>
  <c r="U795" i="2"/>
  <c r="V795" i="2"/>
  <c r="X795" i="2"/>
  <c r="Y795" i="2"/>
  <c r="Z795" i="2"/>
  <c r="AA795" i="2"/>
  <c r="AB795" i="2"/>
  <c r="AC795" i="2"/>
  <c r="AD795" i="2"/>
  <c r="AE795" i="2"/>
  <c r="AF795" i="2"/>
  <c r="AG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M796" i="2"/>
  <c r="N796" i="2"/>
  <c r="O796" i="2"/>
  <c r="P796" i="2"/>
  <c r="Q796" i="2"/>
  <c r="R796" i="2"/>
  <c r="S796" i="2"/>
  <c r="T796" i="2"/>
  <c r="U796" i="2"/>
  <c r="V796" i="2"/>
  <c r="W796" i="2"/>
  <c r="X796" i="2"/>
  <c r="Y796" i="2"/>
  <c r="Z796" i="2"/>
  <c r="AA796" i="2"/>
  <c r="AB796" i="2"/>
  <c r="AC796" i="2"/>
  <c r="AD796" i="2"/>
  <c r="AE796" i="2"/>
  <c r="AF796" i="2"/>
  <c r="AG796" i="2"/>
  <c r="A797" i="2"/>
  <c r="B797" i="2"/>
  <c r="C797" i="2"/>
  <c r="D797" i="2"/>
  <c r="E797" i="2"/>
  <c r="F797" i="2"/>
  <c r="G797" i="2"/>
  <c r="H797" i="2"/>
  <c r="I797" i="2"/>
  <c r="J797" i="2"/>
  <c r="K797" i="2"/>
  <c r="Q797" i="2" s="1"/>
  <c r="L797" i="2"/>
  <c r="M797" i="2"/>
  <c r="N797" i="2"/>
  <c r="O797" i="2"/>
  <c r="P797" i="2"/>
  <c r="S797" i="2"/>
  <c r="T797" i="2"/>
  <c r="V797" i="2"/>
  <c r="W797" i="2"/>
  <c r="X797" i="2"/>
  <c r="Y797" i="2"/>
  <c r="Z797" i="2"/>
  <c r="AA797" i="2"/>
  <c r="AB797" i="2"/>
  <c r="AC797" i="2"/>
  <c r="AD797" i="2"/>
  <c r="AE797" i="2"/>
  <c r="AF797" i="2"/>
  <c r="AG797" i="2"/>
  <c r="A798" i="2"/>
  <c r="B798" i="2"/>
  <c r="C798" i="2"/>
  <c r="D798" i="2"/>
  <c r="E798" i="2"/>
  <c r="F798" i="2"/>
  <c r="G798" i="2"/>
  <c r="H798" i="2"/>
  <c r="I798" i="2"/>
  <c r="J798" i="2"/>
  <c r="K798" i="2"/>
  <c r="X798" i="2" s="1"/>
  <c r="L798" i="2"/>
  <c r="M798" i="2"/>
  <c r="N798" i="2"/>
  <c r="O798" i="2"/>
  <c r="P798" i="2"/>
  <c r="S798" i="2"/>
  <c r="U798" i="2"/>
  <c r="V798" i="2"/>
  <c r="W798" i="2"/>
  <c r="Y798" i="2"/>
  <c r="Z798" i="2"/>
  <c r="AA798" i="2"/>
  <c r="AB798" i="2"/>
  <c r="AC798" i="2"/>
  <c r="AD798" i="2"/>
  <c r="AE798" i="2"/>
  <c r="AF798" i="2"/>
  <c r="AG798" i="2"/>
  <c r="A799" i="2"/>
  <c r="B799" i="2"/>
  <c r="C799" i="2"/>
  <c r="D799" i="2"/>
  <c r="E799" i="2"/>
  <c r="F799" i="2"/>
  <c r="G799" i="2"/>
  <c r="H799" i="2"/>
  <c r="I799" i="2"/>
  <c r="J799" i="2"/>
  <c r="K799" i="2"/>
  <c r="X799" i="2" s="1"/>
  <c r="L799" i="2"/>
  <c r="M799" i="2"/>
  <c r="N799" i="2"/>
  <c r="O799" i="2"/>
  <c r="P799" i="2"/>
  <c r="Q799" i="2"/>
  <c r="R799" i="2"/>
  <c r="S799" i="2"/>
  <c r="T799" i="2"/>
  <c r="U799" i="2"/>
  <c r="V799" i="2"/>
  <c r="W799" i="2"/>
  <c r="Y799" i="2"/>
  <c r="Z799" i="2"/>
  <c r="AA799" i="2"/>
  <c r="AB799" i="2"/>
  <c r="AC799" i="2"/>
  <c r="AD799" i="2"/>
  <c r="AE799" i="2"/>
  <c r="AF799" i="2"/>
  <c r="AG799" i="2"/>
  <c r="A800" i="2"/>
  <c r="B800" i="2"/>
  <c r="C800" i="2"/>
  <c r="D800" i="2"/>
  <c r="E800" i="2"/>
  <c r="F800" i="2"/>
  <c r="G800" i="2"/>
  <c r="H800" i="2"/>
  <c r="I800" i="2"/>
  <c r="J800" i="2"/>
  <c r="K800" i="2"/>
  <c r="V800" i="2" s="1"/>
  <c r="L800" i="2"/>
  <c r="M800" i="2"/>
  <c r="N800" i="2"/>
  <c r="O800" i="2"/>
  <c r="P800" i="2"/>
  <c r="S800" i="2"/>
  <c r="T800" i="2"/>
  <c r="U800" i="2"/>
  <c r="Y800" i="2"/>
  <c r="Z800" i="2"/>
  <c r="AA800" i="2"/>
  <c r="AB800" i="2"/>
  <c r="AC800" i="2"/>
  <c r="AD800" i="2"/>
  <c r="AE800" i="2"/>
  <c r="AF800" i="2"/>
  <c r="AG800" i="2"/>
  <c r="A801" i="2"/>
  <c r="B801" i="2"/>
  <c r="C801" i="2"/>
  <c r="D801" i="2"/>
  <c r="E801" i="2"/>
  <c r="F801" i="2"/>
  <c r="G801" i="2"/>
  <c r="H801" i="2"/>
  <c r="I801" i="2"/>
  <c r="J801" i="2"/>
  <c r="K801" i="2"/>
  <c r="U801" i="2" s="1"/>
  <c r="L801" i="2"/>
  <c r="M801" i="2"/>
  <c r="N801" i="2"/>
  <c r="O801" i="2"/>
  <c r="P801" i="2"/>
  <c r="S801" i="2"/>
  <c r="T801" i="2"/>
  <c r="Y801" i="2"/>
  <c r="Z801" i="2"/>
  <c r="AA801" i="2"/>
  <c r="AB801" i="2"/>
  <c r="AC801" i="2"/>
  <c r="AD801" i="2"/>
  <c r="AE801" i="2"/>
  <c r="AF801" i="2"/>
  <c r="AG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M802" i="2"/>
  <c r="N802" i="2"/>
  <c r="O802" i="2"/>
  <c r="P802" i="2"/>
  <c r="Y802" i="2"/>
  <c r="Z802" i="2"/>
  <c r="AA802" i="2"/>
  <c r="AB802" i="2"/>
  <c r="AC802" i="2"/>
  <c r="AD802" i="2"/>
  <c r="AE802" i="2"/>
  <c r="AF802" i="2"/>
  <c r="AG802" i="2"/>
  <c r="A803" i="2"/>
  <c r="B803" i="2"/>
  <c r="C803" i="2"/>
  <c r="D803" i="2"/>
  <c r="E803" i="2"/>
  <c r="F803" i="2"/>
  <c r="G803" i="2"/>
  <c r="H803" i="2"/>
  <c r="I803" i="2"/>
  <c r="J803" i="2"/>
  <c r="K803" i="2"/>
  <c r="T803" i="2" s="1"/>
  <c r="L803" i="2"/>
  <c r="M803" i="2"/>
  <c r="N803" i="2"/>
  <c r="O803" i="2"/>
  <c r="P803" i="2"/>
  <c r="Q803" i="2"/>
  <c r="R803" i="2"/>
  <c r="S803" i="2"/>
  <c r="U803" i="2"/>
  <c r="V803" i="2"/>
  <c r="X803" i="2"/>
  <c r="Y803" i="2"/>
  <c r="Z803" i="2"/>
  <c r="AA803" i="2"/>
  <c r="AB803" i="2"/>
  <c r="AC803" i="2"/>
  <c r="AD803" i="2"/>
  <c r="AE803" i="2"/>
  <c r="AF803" i="2"/>
  <c r="AG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M804" i="2"/>
  <c r="N804" i="2"/>
  <c r="O804" i="2"/>
  <c r="P804" i="2"/>
  <c r="Q804" i="2"/>
  <c r="R804" i="2"/>
  <c r="S804" i="2"/>
  <c r="T804" i="2"/>
  <c r="U804" i="2"/>
  <c r="V804" i="2"/>
  <c r="W804" i="2"/>
  <c r="X804" i="2"/>
  <c r="Y804" i="2"/>
  <c r="Z804" i="2"/>
  <c r="AA804" i="2"/>
  <c r="AB804" i="2"/>
  <c r="AC804" i="2"/>
  <c r="AD804" i="2"/>
  <c r="AE804" i="2"/>
  <c r="AF804" i="2"/>
  <c r="AG804" i="2"/>
  <c r="A805" i="2"/>
  <c r="B805" i="2"/>
  <c r="C805" i="2"/>
  <c r="D805" i="2"/>
  <c r="E805" i="2"/>
  <c r="F805" i="2"/>
  <c r="G805" i="2"/>
  <c r="H805" i="2"/>
  <c r="I805" i="2"/>
  <c r="J805" i="2"/>
  <c r="K805" i="2"/>
  <c r="Q805" i="2" s="1"/>
  <c r="L805" i="2"/>
  <c r="M805" i="2"/>
  <c r="N805" i="2"/>
  <c r="O805" i="2"/>
  <c r="P805" i="2"/>
  <c r="S805" i="2"/>
  <c r="T805" i="2"/>
  <c r="V805" i="2"/>
  <c r="W805" i="2"/>
  <c r="X805" i="2"/>
  <c r="Y805" i="2"/>
  <c r="Z805" i="2"/>
  <c r="AA805" i="2"/>
  <c r="AB805" i="2"/>
  <c r="AC805" i="2"/>
  <c r="AD805" i="2"/>
  <c r="AE805" i="2"/>
  <c r="AF805" i="2"/>
  <c r="AG805" i="2"/>
  <c r="A806" i="2"/>
  <c r="B806" i="2"/>
  <c r="C806" i="2"/>
  <c r="D806" i="2"/>
  <c r="E806" i="2"/>
  <c r="F806" i="2"/>
  <c r="G806" i="2"/>
  <c r="H806" i="2"/>
  <c r="I806" i="2"/>
  <c r="J806" i="2"/>
  <c r="K806" i="2"/>
  <c r="X806" i="2" s="1"/>
  <c r="L806" i="2"/>
  <c r="M806" i="2"/>
  <c r="N806" i="2"/>
  <c r="O806" i="2"/>
  <c r="P806" i="2"/>
  <c r="S806" i="2"/>
  <c r="U806" i="2"/>
  <c r="V806" i="2"/>
  <c r="W806" i="2"/>
  <c r="Y806" i="2"/>
  <c r="Z806" i="2"/>
  <c r="AA806" i="2"/>
  <c r="AB806" i="2"/>
  <c r="AC806" i="2"/>
  <c r="AD806" i="2"/>
  <c r="AE806" i="2"/>
  <c r="AF806" i="2"/>
  <c r="AG806" i="2"/>
  <c r="A807" i="2"/>
  <c r="B807" i="2"/>
  <c r="C807" i="2"/>
  <c r="D807" i="2"/>
  <c r="E807" i="2"/>
  <c r="F807" i="2"/>
  <c r="G807" i="2"/>
  <c r="H807" i="2"/>
  <c r="I807" i="2"/>
  <c r="J807" i="2"/>
  <c r="K807" i="2"/>
  <c r="X807" i="2" s="1"/>
  <c r="L807" i="2"/>
  <c r="M807" i="2"/>
  <c r="N807" i="2"/>
  <c r="O807" i="2"/>
  <c r="P807" i="2"/>
  <c r="Q807" i="2"/>
  <c r="R807" i="2"/>
  <c r="S807" i="2"/>
  <c r="T807" i="2"/>
  <c r="U807" i="2"/>
  <c r="V807" i="2"/>
  <c r="W807" i="2"/>
  <c r="Y807" i="2"/>
  <c r="Z807" i="2"/>
  <c r="AA807" i="2"/>
  <c r="AB807" i="2"/>
  <c r="AC807" i="2"/>
  <c r="AD807" i="2"/>
  <c r="AE807" i="2"/>
  <c r="AF807" i="2"/>
  <c r="AG807" i="2"/>
  <c r="A808" i="2"/>
  <c r="B808" i="2"/>
  <c r="C808" i="2"/>
  <c r="D808" i="2"/>
  <c r="E808" i="2"/>
  <c r="F808" i="2"/>
  <c r="G808" i="2"/>
  <c r="H808" i="2"/>
  <c r="I808" i="2"/>
  <c r="J808" i="2"/>
  <c r="K808" i="2"/>
  <c r="V808" i="2" s="1"/>
  <c r="L808" i="2"/>
  <c r="M808" i="2"/>
  <c r="N808" i="2"/>
  <c r="O808" i="2"/>
  <c r="P808" i="2"/>
  <c r="S808" i="2"/>
  <c r="T808" i="2"/>
  <c r="U808" i="2"/>
  <c r="Y808" i="2"/>
  <c r="Z808" i="2"/>
  <c r="AA808" i="2"/>
  <c r="AB808" i="2"/>
  <c r="AC808" i="2"/>
  <c r="AD808" i="2"/>
  <c r="AE808" i="2"/>
  <c r="AF808" i="2"/>
  <c r="AG808" i="2"/>
  <c r="A809" i="2"/>
  <c r="B809" i="2"/>
  <c r="C809" i="2"/>
  <c r="D809" i="2"/>
  <c r="E809" i="2"/>
  <c r="F809" i="2"/>
  <c r="G809" i="2"/>
  <c r="H809" i="2"/>
  <c r="I809" i="2"/>
  <c r="J809" i="2"/>
  <c r="K809" i="2"/>
  <c r="U809" i="2" s="1"/>
  <c r="L809" i="2"/>
  <c r="M809" i="2"/>
  <c r="N809" i="2"/>
  <c r="O809" i="2"/>
  <c r="P809" i="2"/>
  <c r="S809" i="2"/>
  <c r="T809" i="2"/>
  <c r="Y809" i="2"/>
  <c r="Z809" i="2"/>
  <c r="AA809" i="2"/>
  <c r="AB809" i="2"/>
  <c r="AC809" i="2"/>
  <c r="AD809" i="2"/>
  <c r="AE809" i="2"/>
  <c r="AF809" i="2"/>
  <c r="AG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M810" i="2"/>
  <c r="N810" i="2"/>
  <c r="O810" i="2"/>
  <c r="P810" i="2"/>
  <c r="Y810" i="2"/>
  <c r="Z810" i="2"/>
  <c r="AA810" i="2"/>
  <c r="AB810" i="2"/>
  <c r="AC810" i="2"/>
  <c r="AD810" i="2"/>
  <c r="AE810" i="2"/>
  <c r="AF810" i="2"/>
  <c r="AG810" i="2"/>
  <c r="A811" i="2"/>
  <c r="B811" i="2"/>
  <c r="C811" i="2"/>
  <c r="D811" i="2"/>
  <c r="E811" i="2"/>
  <c r="F811" i="2"/>
  <c r="G811" i="2"/>
  <c r="H811" i="2"/>
  <c r="I811" i="2"/>
  <c r="J811" i="2"/>
  <c r="K811" i="2"/>
  <c r="T811" i="2" s="1"/>
  <c r="L811" i="2"/>
  <c r="M811" i="2"/>
  <c r="N811" i="2"/>
  <c r="O811" i="2"/>
  <c r="P811" i="2"/>
  <c r="Q811" i="2"/>
  <c r="R811" i="2"/>
  <c r="S811" i="2"/>
  <c r="U811" i="2"/>
  <c r="V811" i="2"/>
  <c r="X811" i="2"/>
  <c r="Y811" i="2"/>
  <c r="Z811" i="2"/>
  <c r="AA811" i="2"/>
  <c r="AB811" i="2"/>
  <c r="AC811" i="2"/>
  <c r="AD811" i="2"/>
  <c r="AE811" i="2"/>
  <c r="AF811" i="2"/>
  <c r="AG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Z812" i="2"/>
  <c r="AA812" i="2"/>
  <c r="AB812" i="2"/>
  <c r="AC812" i="2"/>
  <c r="AD812" i="2"/>
  <c r="AE812" i="2"/>
  <c r="AF812" i="2"/>
  <c r="AG812" i="2"/>
  <c r="A813" i="2"/>
  <c r="B813" i="2"/>
  <c r="C813" i="2"/>
  <c r="D813" i="2"/>
  <c r="E813" i="2"/>
  <c r="F813" i="2"/>
  <c r="G813" i="2"/>
  <c r="H813" i="2"/>
  <c r="I813" i="2"/>
  <c r="J813" i="2"/>
  <c r="K813" i="2"/>
  <c r="Q813" i="2" s="1"/>
  <c r="L813" i="2"/>
  <c r="M813" i="2"/>
  <c r="N813" i="2"/>
  <c r="O813" i="2"/>
  <c r="P813" i="2"/>
  <c r="S813" i="2"/>
  <c r="T813" i="2"/>
  <c r="V813" i="2"/>
  <c r="W813" i="2"/>
  <c r="X813" i="2"/>
  <c r="Y813" i="2"/>
  <c r="Z813" i="2"/>
  <c r="AA813" i="2"/>
  <c r="AB813" i="2"/>
  <c r="AC813" i="2"/>
  <c r="AD813" i="2"/>
  <c r="AE813" i="2"/>
  <c r="AF813" i="2"/>
  <c r="AG813" i="2"/>
  <c r="A814" i="2"/>
  <c r="B814" i="2"/>
  <c r="C814" i="2"/>
  <c r="D814" i="2"/>
  <c r="E814" i="2"/>
  <c r="F814" i="2"/>
  <c r="G814" i="2"/>
  <c r="H814" i="2"/>
  <c r="I814" i="2"/>
  <c r="J814" i="2"/>
  <c r="K814" i="2"/>
  <c r="X814" i="2" s="1"/>
  <c r="L814" i="2"/>
  <c r="M814" i="2"/>
  <c r="N814" i="2"/>
  <c r="O814" i="2"/>
  <c r="P814" i="2"/>
  <c r="S814" i="2"/>
  <c r="U814" i="2"/>
  <c r="V814" i="2"/>
  <c r="W814" i="2"/>
  <c r="Y814" i="2"/>
  <c r="Z814" i="2"/>
  <c r="AA814" i="2"/>
  <c r="AB814" i="2"/>
  <c r="AC814" i="2"/>
  <c r="AD814" i="2"/>
  <c r="AE814" i="2"/>
  <c r="AF814" i="2"/>
  <c r="AG814" i="2"/>
  <c r="A815" i="2"/>
  <c r="B815" i="2"/>
  <c r="C815" i="2"/>
  <c r="D815" i="2"/>
  <c r="E815" i="2"/>
  <c r="F815" i="2"/>
  <c r="G815" i="2"/>
  <c r="H815" i="2"/>
  <c r="I815" i="2"/>
  <c r="J815" i="2"/>
  <c r="K815" i="2"/>
  <c r="X815" i="2" s="1"/>
  <c r="L815" i="2"/>
  <c r="M815" i="2"/>
  <c r="N815" i="2"/>
  <c r="O815" i="2"/>
  <c r="P815" i="2"/>
  <c r="Q815" i="2"/>
  <c r="R815" i="2"/>
  <c r="S815" i="2"/>
  <c r="T815" i="2"/>
  <c r="U815" i="2"/>
  <c r="V815" i="2"/>
  <c r="W815" i="2"/>
  <c r="Y815" i="2"/>
  <c r="Z815" i="2"/>
  <c r="AA815" i="2"/>
  <c r="AB815" i="2"/>
  <c r="AC815" i="2"/>
  <c r="AD815" i="2"/>
  <c r="AE815" i="2"/>
  <c r="AF815" i="2"/>
  <c r="AG815" i="2"/>
  <c r="A816" i="2"/>
  <c r="B816" i="2"/>
  <c r="C816" i="2"/>
  <c r="D816" i="2"/>
  <c r="E816" i="2"/>
  <c r="F816" i="2"/>
  <c r="G816" i="2"/>
  <c r="H816" i="2"/>
  <c r="I816" i="2"/>
  <c r="J816" i="2"/>
  <c r="K816" i="2"/>
  <c r="V816" i="2" s="1"/>
  <c r="L816" i="2"/>
  <c r="M816" i="2"/>
  <c r="N816" i="2"/>
  <c r="O816" i="2"/>
  <c r="P816" i="2"/>
  <c r="S816" i="2"/>
  <c r="U816" i="2"/>
  <c r="Y816" i="2"/>
  <c r="Z816" i="2"/>
  <c r="AA816" i="2"/>
  <c r="AB816" i="2"/>
  <c r="AC816" i="2"/>
  <c r="AD816" i="2"/>
  <c r="AE816" i="2"/>
  <c r="AF816" i="2"/>
  <c r="AG816" i="2"/>
  <c r="A817" i="2"/>
  <c r="B817" i="2"/>
  <c r="C817" i="2"/>
  <c r="D817" i="2"/>
  <c r="E817" i="2"/>
  <c r="F817" i="2"/>
  <c r="G817" i="2"/>
  <c r="H817" i="2"/>
  <c r="I817" i="2"/>
  <c r="J817" i="2"/>
  <c r="K817" i="2"/>
  <c r="U817" i="2" s="1"/>
  <c r="L817" i="2"/>
  <c r="M817" i="2"/>
  <c r="N817" i="2"/>
  <c r="O817" i="2"/>
  <c r="P817" i="2"/>
  <c r="R817" i="2"/>
  <c r="S817" i="2"/>
  <c r="T817" i="2"/>
  <c r="Y817" i="2"/>
  <c r="Z817" i="2"/>
  <c r="AA817" i="2"/>
  <c r="AB817" i="2"/>
  <c r="AC817" i="2"/>
  <c r="AD817" i="2"/>
  <c r="AE817" i="2"/>
  <c r="AF817" i="2"/>
  <c r="AG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M818" i="2"/>
  <c r="N818" i="2"/>
  <c r="O818" i="2"/>
  <c r="P818" i="2"/>
  <c r="Y818" i="2"/>
  <c r="Z818" i="2"/>
  <c r="AA818" i="2"/>
  <c r="AB818" i="2"/>
  <c r="AC818" i="2"/>
  <c r="AD818" i="2"/>
  <c r="AE818" i="2"/>
  <c r="AF818" i="2"/>
  <c r="AG818" i="2"/>
  <c r="A819" i="2"/>
  <c r="B819" i="2"/>
  <c r="C819" i="2"/>
  <c r="D819" i="2"/>
  <c r="E819" i="2"/>
  <c r="F819" i="2"/>
  <c r="G819" i="2"/>
  <c r="H819" i="2"/>
  <c r="I819" i="2"/>
  <c r="J819" i="2"/>
  <c r="K819" i="2"/>
  <c r="T819" i="2" s="1"/>
  <c r="L819" i="2"/>
  <c r="M819" i="2"/>
  <c r="N819" i="2"/>
  <c r="O819" i="2"/>
  <c r="P819" i="2"/>
  <c r="Q819" i="2"/>
  <c r="R819" i="2"/>
  <c r="S819" i="2"/>
  <c r="U819" i="2"/>
  <c r="V819" i="2"/>
  <c r="X819" i="2"/>
  <c r="Y819" i="2"/>
  <c r="Z819" i="2"/>
  <c r="AA819" i="2"/>
  <c r="AB819" i="2"/>
  <c r="AC819" i="2"/>
  <c r="AD819" i="2"/>
  <c r="AE819" i="2"/>
  <c r="AF819" i="2"/>
  <c r="AG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N820" i="2"/>
  <c r="O820" i="2"/>
  <c r="P820" i="2"/>
  <c r="Q820" i="2"/>
  <c r="R820" i="2"/>
  <c r="S820" i="2"/>
  <c r="T820" i="2"/>
  <c r="U820" i="2"/>
  <c r="V820" i="2"/>
  <c r="W820" i="2"/>
  <c r="X820" i="2"/>
  <c r="Y820" i="2"/>
  <c r="Z820" i="2"/>
  <c r="AA820" i="2"/>
  <c r="AB820" i="2"/>
  <c r="AC820" i="2"/>
  <c r="AD820" i="2"/>
  <c r="AE820" i="2"/>
  <c r="AF820" i="2"/>
  <c r="AG820" i="2"/>
  <c r="A821" i="2"/>
  <c r="B821" i="2"/>
  <c r="C821" i="2"/>
  <c r="D821" i="2"/>
  <c r="E821" i="2"/>
  <c r="F821" i="2"/>
  <c r="G821" i="2"/>
  <c r="H821" i="2"/>
  <c r="I821" i="2"/>
  <c r="J821" i="2"/>
  <c r="K821" i="2"/>
  <c r="Q821" i="2" s="1"/>
  <c r="L821" i="2"/>
  <c r="M821" i="2"/>
  <c r="N821" i="2"/>
  <c r="O821" i="2"/>
  <c r="P821" i="2"/>
  <c r="S821" i="2"/>
  <c r="T821" i="2"/>
  <c r="V821" i="2"/>
  <c r="W821" i="2"/>
  <c r="X821" i="2"/>
  <c r="Y821" i="2"/>
  <c r="Z821" i="2"/>
  <c r="AA821" i="2"/>
  <c r="AB821" i="2"/>
  <c r="AC821" i="2"/>
  <c r="AD821" i="2"/>
  <c r="AE821" i="2"/>
  <c r="AF821" i="2"/>
  <c r="AG821" i="2"/>
  <c r="A822" i="2"/>
  <c r="B822" i="2"/>
  <c r="C822" i="2"/>
  <c r="D822" i="2"/>
  <c r="E822" i="2"/>
  <c r="F822" i="2"/>
  <c r="G822" i="2"/>
  <c r="H822" i="2"/>
  <c r="I822" i="2"/>
  <c r="J822" i="2"/>
  <c r="K822" i="2"/>
  <c r="X822" i="2" s="1"/>
  <c r="L822" i="2"/>
  <c r="M822" i="2"/>
  <c r="N822" i="2"/>
  <c r="O822" i="2"/>
  <c r="P822" i="2"/>
  <c r="S822" i="2"/>
  <c r="U822" i="2"/>
  <c r="V822" i="2"/>
  <c r="W822" i="2"/>
  <c r="Y822" i="2"/>
  <c r="Z822" i="2"/>
  <c r="AA822" i="2"/>
  <c r="AB822" i="2"/>
  <c r="AC822" i="2"/>
  <c r="AD822" i="2"/>
  <c r="AE822" i="2"/>
  <c r="AF822" i="2"/>
  <c r="AG822" i="2"/>
  <c r="A823" i="2"/>
  <c r="B823" i="2"/>
  <c r="C823" i="2"/>
  <c r="D823" i="2"/>
  <c r="E823" i="2"/>
  <c r="F823" i="2"/>
  <c r="G823" i="2"/>
  <c r="H823" i="2"/>
  <c r="I823" i="2"/>
  <c r="J823" i="2"/>
  <c r="K823" i="2"/>
  <c r="X823" i="2" s="1"/>
  <c r="L823" i="2"/>
  <c r="M823" i="2"/>
  <c r="N823" i="2"/>
  <c r="O823" i="2"/>
  <c r="P823" i="2"/>
  <c r="Q823" i="2"/>
  <c r="R823" i="2"/>
  <c r="S823" i="2"/>
  <c r="T823" i="2"/>
  <c r="U823" i="2"/>
  <c r="V823" i="2"/>
  <c r="W823" i="2"/>
  <c r="Y823" i="2"/>
  <c r="Z823" i="2"/>
  <c r="AA823" i="2"/>
  <c r="AB823" i="2"/>
  <c r="AC823" i="2"/>
  <c r="AD823" i="2"/>
  <c r="AE823" i="2"/>
  <c r="AF823" i="2"/>
  <c r="AG823" i="2"/>
  <c r="A824" i="2"/>
  <c r="B824" i="2"/>
  <c r="C824" i="2"/>
  <c r="D824" i="2"/>
  <c r="E824" i="2"/>
  <c r="F824" i="2"/>
  <c r="G824" i="2"/>
  <c r="H824" i="2"/>
  <c r="I824" i="2"/>
  <c r="J824" i="2"/>
  <c r="K824" i="2"/>
  <c r="V824" i="2" s="1"/>
  <c r="L824" i="2"/>
  <c r="M824" i="2"/>
  <c r="N824" i="2"/>
  <c r="O824" i="2"/>
  <c r="P824" i="2"/>
  <c r="S824" i="2"/>
  <c r="U824" i="2"/>
  <c r="Y824" i="2"/>
  <c r="Z824" i="2"/>
  <c r="AA824" i="2"/>
  <c r="AB824" i="2"/>
  <c r="AC824" i="2"/>
  <c r="AD824" i="2"/>
  <c r="AE824" i="2"/>
  <c r="AF824" i="2"/>
  <c r="AG824" i="2"/>
  <c r="A825" i="2"/>
  <c r="B825" i="2"/>
  <c r="C825" i="2"/>
  <c r="D825" i="2"/>
  <c r="E825" i="2"/>
  <c r="F825" i="2"/>
  <c r="G825" i="2"/>
  <c r="H825" i="2"/>
  <c r="I825" i="2"/>
  <c r="J825" i="2"/>
  <c r="K825" i="2"/>
  <c r="U825" i="2" s="1"/>
  <c r="L825" i="2"/>
  <c r="M825" i="2"/>
  <c r="N825" i="2"/>
  <c r="O825" i="2"/>
  <c r="P825" i="2"/>
  <c r="R825" i="2"/>
  <c r="S825" i="2"/>
  <c r="T825" i="2"/>
  <c r="Y825" i="2"/>
  <c r="Z825" i="2"/>
  <c r="AA825" i="2"/>
  <c r="AB825" i="2"/>
  <c r="AC825" i="2"/>
  <c r="AD825" i="2"/>
  <c r="AE825" i="2"/>
  <c r="AF825" i="2"/>
  <c r="AG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M826" i="2"/>
  <c r="N826" i="2"/>
  <c r="O826" i="2"/>
  <c r="P826" i="2"/>
  <c r="Y826" i="2"/>
  <c r="Z826" i="2"/>
  <c r="AA826" i="2"/>
  <c r="AB826" i="2"/>
  <c r="AC826" i="2"/>
  <c r="AD826" i="2"/>
  <c r="AE826" i="2"/>
  <c r="AF826" i="2"/>
  <c r="AG826" i="2"/>
  <c r="A827" i="2"/>
  <c r="B827" i="2"/>
  <c r="C827" i="2"/>
  <c r="D827" i="2"/>
  <c r="E827" i="2"/>
  <c r="F827" i="2"/>
  <c r="G827" i="2"/>
  <c r="H827" i="2"/>
  <c r="I827" i="2"/>
  <c r="J827" i="2"/>
  <c r="K827" i="2"/>
  <c r="T827" i="2" s="1"/>
  <c r="L827" i="2"/>
  <c r="M827" i="2"/>
  <c r="N827" i="2"/>
  <c r="O827" i="2"/>
  <c r="P827" i="2"/>
  <c r="Q827" i="2"/>
  <c r="R827" i="2"/>
  <c r="S827" i="2"/>
  <c r="U827" i="2"/>
  <c r="V827" i="2"/>
  <c r="W827" i="2"/>
  <c r="X827" i="2"/>
  <c r="Y827" i="2"/>
  <c r="Z827" i="2"/>
  <c r="AA827" i="2"/>
  <c r="AB827" i="2"/>
  <c r="AC827" i="2"/>
  <c r="AD827" i="2"/>
  <c r="AE827" i="2"/>
  <c r="AF827" i="2"/>
  <c r="AG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O828" i="2"/>
  <c r="P828" i="2"/>
  <c r="Q828" i="2"/>
  <c r="R828" i="2"/>
  <c r="S828" i="2"/>
  <c r="T828" i="2"/>
  <c r="U828" i="2"/>
  <c r="V828" i="2"/>
  <c r="W828" i="2"/>
  <c r="X828" i="2"/>
  <c r="Y828" i="2"/>
  <c r="Z828" i="2"/>
  <c r="AA828" i="2"/>
  <c r="AB828" i="2"/>
  <c r="AC828" i="2"/>
  <c r="AD828" i="2"/>
  <c r="AE828" i="2"/>
  <c r="AF828" i="2"/>
  <c r="AG828" i="2"/>
  <c r="A829" i="2"/>
  <c r="B829" i="2"/>
  <c r="C829" i="2"/>
  <c r="D829" i="2"/>
  <c r="E829" i="2"/>
  <c r="F829" i="2"/>
  <c r="G829" i="2"/>
  <c r="H829" i="2"/>
  <c r="I829" i="2"/>
  <c r="J829" i="2"/>
  <c r="K829" i="2"/>
  <c r="Q829" i="2" s="1"/>
  <c r="L829" i="2"/>
  <c r="M829" i="2"/>
  <c r="N829" i="2"/>
  <c r="O829" i="2"/>
  <c r="P829" i="2"/>
  <c r="S829" i="2"/>
  <c r="T829" i="2"/>
  <c r="V829" i="2"/>
  <c r="W829" i="2"/>
  <c r="X829" i="2"/>
  <c r="Y829" i="2"/>
  <c r="Z829" i="2"/>
  <c r="AA829" i="2"/>
  <c r="AB829" i="2"/>
  <c r="AC829" i="2"/>
  <c r="AD829" i="2"/>
  <c r="AE829" i="2"/>
  <c r="AF829" i="2"/>
  <c r="AG829" i="2"/>
  <c r="A830" i="2"/>
  <c r="B830" i="2"/>
  <c r="C830" i="2"/>
  <c r="D830" i="2"/>
  <c r="E830" i="2"/>
  <c r="F830" i="2"/>
  <c r="G830" i="2"/>
  <c r="H830" i="2"/>
  <c r="I830" i="2"/>
  <c r="J830" i="2"/>
  <c r="K830" i="2"/>
  <c r="X830" i="2" s="1"/>
  <c r="L830" i="2"/>
  <c r="M830" i="2"/>
  <c r="N830" i="2"/>
  <c r="O830" i="2"/>
  <c r="P830" i="2"/>
  <c r="S830" i="2"/>
  <c r="U830" i="2"/>
  <c r="V830" i="2"/>
  <c r="W830" i="2"/>
  <c r="Y830" i="2"/>
  <c r="Z830" i="2"/>
  <c r="AA830" i="2"/>
  <c r="AB830" i="2"/>
  <c r="AC830" i="2"/>
  <c r="AD830" i="2"/>
  <c r="AE830" i="2"/>
  <c r="AF830" i="2"/>
  <c r="AG830" i="2"/>
  <c r="A831" i="2"/>
  <c r="B831" i="2"/>
  <c r="C831" i="2"/>
  <c r="D831" i="2"/>
  <c r="E831" i="2"/>
  <c r="F831" i="2"/>
  <c r="G831" i="2"/>
  <c r="H831" i="2"/>
  <c r="I831" i="2"/>
  <c r="J831" i="2"/>
  <c r="K831" i="2"/>
  <c r="X831" i="2" s="1"/>
  <c r="L831" i="2"/>
  <c r="M831" i="2"/>
  <c r="N831" i="2"/>
  <c r="O831" i="2"/>
  <c r="P831" i="2"/>
  <c r="Q831" i="2"/>
  <c r="R831" i="2"/>
  <c r="S831" i="2"/>
  <c r="T831" i="2"/>
  <c r="U831" i="2"/>
  <c r="V831" i="2"/>
  <c r="W831" i="2"/>
  <c r="Y831" i="2"/>
  <c r="Z831" i="2"/>
  <c r="AA831" i="2"/>
  <c r="AB831" i="2"/>
  <c r="AC831" i="2"/>
  <c r="AD831" i="2"/>
  <c r="AE831" i="2"/>
  <c r="AF831" i="2"/>
  <c r="AG831" i="2"/>
  <c r="A832" i="2"/>
  <c r="B832" i="2"/>
  <c r="C832" i="2"/>
  <c r="D832" i="2"/>
  <c r="E832" i="2"/>
  <c r="F832" i="2"/>
  <c r="G832" i="2"/>
  <c r="H832" i="2"/>
  <c r="I832" i="2"/>
  <c r="J832" i="2"/>
  <c r="K832" i="2"/>
  <c r="V832" i="2" s="1"/>
  <c r="L832" i="2"/>
  <c r="M832" i="2"/>
  <c r="N832" i="2"/>
  <c r="O832" i="2"/>
  <c r="P832" i="2"/>
  <c r="S832" i="2"/>
  <c r="U832" i="2"/>
  <c r="Y832" i="2"/>
  <c r="Z832" i="2"/>
  <c r="AA832" i="2"/>
  <c r="AB832" i="2"/>
  <c r="AC832" i="2"/>
  <c r="AD832" i="2"/>
  <c r="AE832" i="2"/>
  <c r="AF832" i="2"/>
  <c r="AG832" i="2"/>
  <c r="A833" i="2"/>
  <c r="B833" i="2"/>
  <c r="C833" i="2"/>
  <c r="D833" i="2"/>
  <c r="E833" i="2"/>
  <c r="F833" i="2"/>
  <c r="G833" i="2"/>
  <c r="H833" i="2"/>
  <c r="I833" i="2"/>
  <c r="J833" i="2"/>
  <c r="K833" i="2"/>
  <c r="U833" i="2" s="1"/>
  <c r="L833" i="2"/>
  <c r="M833" i="2"/>
  <c r="N833" i="2"/>
  <c r="O833" i="2"/>
  <c r="P833" i="2"/>
  <c r="R833" i="2"/>
  <c r="S833" i="2"/>
  <c r="T833" i="2"/>
  <c r="Y833" i="2"/>
  <c r="Z833" i="2"/>
  <c r="AA833" i="2"/>
  <c r="AB833" i="2"/>
  <c r="AC833" i="2"/>
  <c r="AD833" i="2"/>
  <c r="AE833" i="2"/>
  <c r="AF833" i="2"/>
  <c r="AG833" i="2"/>
  <c r="A834" i="2"/>
  <c r="B834" i="2"/>
  <c r="C834" i="2"/>
  <c r="D834" i="2"/>
  <c r="E834" i="2"/>
  <c r="F834" i="2"/>
  <c r="G834" i="2"/>
  <c r="H834" i="2"/>
  <c r="I834" i="2"/>
  <c r="J834" i="2"/>
  <c r="K834" i="2"/>
  <c r="S834" i="2" s="1"/>
  <c r="L834" i="2"/>
  <c r="M834" i="2"/>
  <c r="N834" i="2"/>
  <c r="O834" i="2"/>
  <c r="P834" i="2"/>
  <c r="Y834" i="2"/>
  <c r="Z834" i="2"/>
  <c r="AA834" i="2"/>
  <c r="AB834" i="2"/>
  <c r="AC834" i="2"/>
  <c r="AD834" i="2"/>
  <c r="AE834" i="2"/>
  <c r="AF834" i="2"/>
  <c r="AG834" i="2"/>
  <c r="A835" i="2"/>
  <c r="B835" i="2"/>
  <c r="C835" i="2"/>
  <c r="D835" i="2"/>
  <c r="E835" i="2"/>
  <c r="F835" i="2"/>
  <c r="G835" i="2"/>
  <c r="H835" i="2"/>
  <c r="I835" i="2"/>
  <c r="J835" i="2"/>
  <c r="K835" i="2"/>
  <c r="T835" i="2" s="1"/>
  <c r="L835" i="2"/>
  <c r="M835" i="2"/>
  <c r="N835" i="2"/>
  <c r="O835" i="2"/>
  <c r="P835" i="2"/>
  <c r="Q835" i="2"/>
  <c r="R835" i="2"/>
  <c r="S835" i="2"/>
  <c r="U835" i="2"/>
  <c r="V835" i="2"/>
  <c r="W835" i="2"/>
  <c r="X835" i="2"/>
  <c r="Y835" i="2"/>
  <c r="Z835" i="2"/>
  <c r="AA835" i="2"/>
  <c r="AB835" i="2"/>
  <c r="AC835" i="2"/>
  <c r="AD835" i="2"/>
  <c r="AE835" i="2"/>
  <c r="AF835" i="2"/>
  <c r="AG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O836" i="2"/>
  <c r="P836" i="2"/>
  <c r="Q836" i="2"/>
  <c r="R836" i="2"/>
  <c r="S836" i="2"/>
  <c r="T836" i="2"/>
  <c r="U836" i="2"/>
  <c r="V836" i="2"/>
  <c r="W836" i="2"/>
  <c r="X836" i="2"/>
  <c r="Y836" i="2"/>
  <c r="Z836" i="2"/>
  <c r="AA836" i="2"/>
  <c r="AB836" i="2"/>
  <c r="AC836" i="2"/>
  <c r="AD836" i="2"/>
  <c r="AE836" i="2"/>
  <c r="AF836" i="2"/>
  <c r="AG836" i="2"/>
  <c r="A837" i="2"/>
  <c r="B837" i="2"/>
  <c r="C837" i="2"/>
  <c r="D837" i="2"/>
  <c r="E837" i="2"/>
  <c r="F837" i="2"/>
  <c r="G837" i="2"/>
  <c r="H837" i="2"/>
  <c r="I837" i="2"/>
  <c r="J837" i="2"/>
  <c r="K837" i="2"/>
  <c r="Q837" i="2" s="1"/>
  <c r="L837" i="2"/>
  <c r="M837" i="2"/>
  <c r="N837" i="2"/>
  <c r="O837" i="2"/>
  <c r="P837" i="2"/>
  <c r="S837" i="2"/>
  <c r="T837" i="2"/>
  <c r="V837" i="2"/>
  <c r="W837" i="2"/>
  <c r="X837" i="2"/>
  <c r="Y837" i="2"/>
  <c r="Z837" i="2"/>
  <c r="AA837" i="2"/>
  <c r="AB837" i="2"/>
  <c r="AC837" i="2"/>
  <c r="AD837" i="2"/>
  <c r="AE837" i="2"/>
  <c r="AF837" i="2"/>
  <c r="AG837" i="2"/>
  <c r="A838" i="2"/>
  <c r="B838" i="2"/>
  <c r="C838" i="2"/>
  <c r="D838" i="2"/>
  <c r="E838" i="2"/>
  <c r="F838" i="2"/>
  <c r="G838" i="2"/>
  <c r="H838" i="2"/>
  <c r="I838" i="2"/>
  <c r="J838" i="2"/>
  <c r="K838" i="2"/>
  <c r="X838" i="2" s="1"/>
  <c r="L838" i="2"/>
  <c r="M838" i="2"/>
  <c r="N838" i="2"/>
  <c r="O838" i="2"/>
  <c r="P838" i="2"/>
  <c r="S838" i="2"/>
  <c r="U838" i="2"/>
  <c r="V838" i="2"/>
  <c r="W838" i="2"/>
  <c r="Y838" i="2"/>
  <c r="Z838" i="2"/>
  <c r="AA838" i="2"/>
  <c r="AB838" i="2"/>
  <c r="AC838" i="2"/>
  <c r="AD838" i="2"/>
  <c r="AE838" i="2"/>
  <c r="AF838" i="2"/>
  <c r="AG838" i="2"/>
  <c r="A839" i="2"/>
  <c r="B839" i="2"/>
  <c r="C839" i="2"/>
  <c r="D839" i="2"/>
  <c r="E839" i="2"/>
  <c r="F839" i="2"/>
  <c r="G839" i="2"/>
  <c r="H839" i="2"/>
  <c r="I839" i="2"/>
  <c r="J839" i="2"/>
  <c r="K839" i="2"/>
  <c r="X839" i="2" s="1"/>
  <c r="L839" i="2"/>
  <c r="M839" i="2"/>
  <c r="N839" i="2"/>
  <c r="O839" i="2"/>
  <c r="P839" i="2"/>
  <c r="Q839" i="2"/>
  <c r="R839" i="2"/>
  <c r="S839" i="2"/>
  <c r="T839" i="2"/>
  <c r="U839" i="2"/>
  <c r="V839" i="2"/>
  <c r="W839" i="2"/>
  <c r="Y839" i="2"/>
  <c r="Z839" i="2"/>
  <c r="AA839" i="2"/>
  <c r="AB839" i="2"/>
  <c r="AC839" i="2"/>
  <c r="AD839" i="2"/>
  <c r="AE839" i="2"/>
  <c r="AF839" i="2"/>
  <c r="AG839" i="2"/>
  <c r="A840" i="2"/>
  <c r="B840" i="2"/>
  <c r="C840" i="2"/>
  <c r="D840" i="2"/>
  <c r="E840" i="2"/>
  <c r="F840" i="2"/>
  <c r="G840" i="2"/>
  <c r="H840" i="2"/>
  <c r="I840" i="2"/>
  <c r="J840" i="2"/>
  <c r="K840" i="2"/>
  <c r="V840" i="2" s="1"/>
  <c r="L840" i="2"/>
  <c r="M840" i="2"/>
  <c r="N840" i="2"/>
  <c r="O840" i="2"/>
  <c r="P840" i="2"/>
  <c r="S840" i="2"/>
  <c r="U840" i="2"/>
  <c r="Y840" i="2"/>
  <c r="Z840" i="2"/>
  <c r="AA840" i="2"/>
  <c r="AB840" i="2"/>
  <c r="AC840" i="2"/>
  <c r="AD840" i="2"/>
  <c r="AE840" i="2"/>
  <c r="AF840" i="2"/>
  <c r="AG840" i="2"/>
  <c r="A841" i="2"/>
  <c r="B841" i="2"/>
  <c r="C841" i="2"/>
  <c r="D841" i="2"/>
  <c r="E841" i="2"/>
  <c r="F841" i="2"/>
  <c r="G841" i="2"/>
  <c r="H841" i="2"/>
  <c r="I841" i="2"/>
  <c r="J841" i="2"/>
  <c r="K841" i="2"/>
  <c r="U841" i="2" s="1"/>
  <c r="L841" i="2"/>
  <c r="M841" i="2"/>
  <c r="N841" i="2"/>
  <c r="O841" i="2"/>
  <c r="P841" i="2"/>
  <c r="R841" i="2"/>
  <c r="S841" i="2"/>
  <c r="T841" i="2"/>
  <c r="Y841" i="2"/>
  <c r="Z841" i="2"/>
  <c r="AA841" i="2"/>
  <c r="AB841" i="2"/>
  <c r="AC841" i="2"/>
  <c r="AD841" i="2"/>
  <c r="AE841" i="2"/>
  <c r="AF841" i="2"/>
  <c r="AG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N842" i="2"/>
  <c r="O842" i="2"/>
  <c r="P842" i="2"/>
  <c r="S842" i="2"/>
  <c r="Y842" i="2"/>
  <c r="Z842" i="2"/>
  <c r="AA842" i="2"/>
  <c r="AB842" i="2"/>
  <c r="AC842" i="2"/>
  <c r="AD842" i="2"/>
  <c r="AE842" i="2"/>
  <c r="AF842" i="2"/>
  <c r="AG842" i="2"/>
  <c r="A843" i="2"/>
  <c r="B843" i="2"/>
  <c r="C843" i="2"/>
  <c r="D843" i="2"/>
  <c r="E843" i="2"/>
  <c r="F843" i="2"/>
  <c r="G843" i="2"/>
  <c r="H843" i="2"/>
  <c r="I843" i="2"/>
  <c r="J843" i="2"/>
  <c r="K843" i="2"/>
  <c r="T843" i="2" s="1"/>
  <c r="L843" i="2"/>
  <c r="M843" i="2"/>
  <c r="N843" i="2"/>
  <c r="O843" i="2"/>
  <c r="P843" i="2"/>
  <c r="Q843" i="2"/>
  <c r="R843" i="2"/>
  <c r="S843" i="2"/>
  <c r="U843" i="2"/>
  <c r="V843" i="2"/>
  <c r="W843" i="2"/>
  <c r="X843" i="2"/>
  <c r="Y843" i="2"/>
  <c r="Z843" i="2"/>
  <c r="AA843" i="2"/>
  <c r="AB843" i="2"/>
  <c r="AC843" i="2"/>
  <c r="AD843" i="2"/>
  <c r="AE843" i="2"/>
  <c r="AF843" i="2"/>
  <c r="AG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M844" i="2"/>
  <c r="N844" i="2"/>
  <c r="O844" i="2"/>
  <c r="P844" i="2"/>
  <c r="Q844" i="2"/>
  <c r="R844" i="2"/>
  <c r="S844" i="2"/>
  <c r="T844" i="2"/>
  <c r="U844" i="2"/>
  <c r="V844" i="2"/>
  <c r="W844" i="2"/>
  <c r="X844" i="2"/>
  <c r="Y844" i="2"/>
  <c r="Z844" i="2"/>
  <c r="AA844" i="2"/>
  <c r="AB844" i="2"/>
  <c r="AC844" i="2"/>
  <c r="AD844" i="2"/>
  <c r="AE844" i="2"/>
  <c r="AF844" i="2"/>
  <c r="AG844" i="2"/>
  <c r="A845" i="2"/>
  <c r="B845" i="2"/>
  <c r="C845" i="2"/>
  <c r="D845" i="2"/>
  <c r="E845" i="2"/>
  <c r="F845" i="2"/>
  <c r="G845" i="2"/>
  <c r="H845" i="2"/>
  <c r="I845" i="2"/>
  <c r="J845" i="2"/>
  <c r="K845" i="2"/>
  <c r="Q845" i="2" s="1"/>
  <c r="L845" i="2"/>
  <c r="M845" i="2"/>
  <c r="N845" i="2"/>
  <c r="O845" i="2"/>
  <c r="P845" i="2"/>
  <c r="S845" i="2"/>
  <c r="T845" i="2"/>
  <c r="V845" i="2"/>
  <c r="W845" i="2"/>
  <c r="X845" i="2"/>
  <c r="Y845" i="2"/>
  <c r="Z845" i="2"/>
  <c r="AA845" i="2"/>
  <c r="AB845" i="2"/>
  <c r="AC845" i="2"/>
  <c r="AD845" i="2"/>
  <c r="AE845" i="2"/>
  <c r="AF845" i="2"/>
  <c r="AG845" i="2"/>
  <c r="A846" i="2"/>
  <c r="B846" i="2"/>
  <c r="C846" i="2"/>
  <c r="D846" i="2"/>
  <c r="E846" i="2"/>
  <c r="F846" i="2"/>
  <c r="G846" i="2"/>
  <c r="H846" i="2"/>
  <c r="I846" i="2"/>
  <c r="J846" i="2"/>
  <c r="K846" i="2"/>
  <c r="X846" i="2" s="1"/>
  <c r="L846" i="2"/>
  <c r="M846" i="2"/>
  <c r="N846" i="2"/>
  <c r="O846" i="2"/>
  <c r="P846" i="2"/>
  <c r="S846" i="2"/>
  <c r="U846" i="2"/>
  <c r="V846" i="2"/>
  <c r="W846" i="2"/>
  <c r="Y846" i="2"/>
  <c r="Z846" i="2"/>
  <c r="AA846" i="2"/>
  <c r="AB846" i="2"/>
  <c r="AC846" i="2"/>
  <c r="AD846" i="2"/>
  <c r="AE846" i="2"/>
  <c r="AF846" i="2"/>
  <c r="AG846" i="2"/>
  <c r="A847" i="2"/>
  <c r="B847" i="2"/>
  <c r="C847" i="2"/>
  <c r="D847" i="2"/>
  <c r="E847" i="2"/>
  <c r="F847" i="2"/>
  <c r="G847" i="2"/>
  <c r="H847" i="2"/>
  <c r="I847" i="2"/>
  <c r="J847" i="2"/>
  <c r="K847" i="2"/>
  <c r="X847" i="2" s="1"/>
  <c r="L847" i="2"/>
  <c r="M847" i="2"/>
  <c r="N847" i="2"/>
  <c r="O847" i="2"/>
  <c r="P847" i="2"/>
  <c r="Q847" i="2"/>
  <c r="R847" i="2"/>
  <c r="S847" i="2"/>
  <c r="T847" i="2"/>
  <c r="U847" i="2"/>
  <c r="V847" i="2"/>
  <c r="W847" i="2"/>
  <c r="Y847" i="2"/>
  <c r="Z847" i="2"/>
  <c r="AA847" i="2"/>
  <c r="AB847" i="2"/>
  <c r="AC847" i="2"/>
  <c r="AD847" i="2"/>
  <c r="AE847" i="2"/>
  <c r="AF847" i="2"/>
  <c r="AG847" i="2"/>
  <c r="A848" i="2"/>
  <c r="B848" i="2"/>
  <c r="C848" i="2"/>
  <c r="D848" i="2"/>
  <c r="E848" i="2"/>
  <c r="F848" i="2"/>
  <c r="G848" i="2"/>
  <c r="H848" i="2"/>
  <c r="I848" i="2"/>
  <c r="J848" i="2"/>
  <c r="K848" i="2"/>
  <c r="V848" i="2" s="1"/>
  <c r="L848" i="2"/>
  <c r="M848" i="2"/>
  <c r="N848" i="2"/>
  <c r="O848" i="2"/>
  <c r="P848" i="2"/>
  <c r="S848" i="2"/>
  <c r="U848" i="2"/>
  <c r="Y848" i="2"/>
  <c r="Z848" i="2"/>
  <c r="AA848" i="2"/>
  <c r="AB848" i="2"/>
  <c r="AC848" i="2"/>
  <c r="AD848" i="2"/>
  <c r="AE848" i="2"/>
  <c r="AF848" i="2"/>
  <c r="AG848" i="2"/>
  <c r="A849" i="2"/>
  <c r="B849" i="2"/>
  <c r="C849" i="2"/>
  <c r="D849" i="2"/>
  <c r="E849" i="2"/>
  <c r="F849" i="2"/>
  <c r="G849" i="2"/>
  <c r="H849" i="2"/>
  <c r="I849" i="2"/>
  <c r="J849" i="2"/>
  <c r="K849" i="2"/>
  <c r="U849" i="2" s="1"/>
  <c r="L849" i="2"/>
  <c r="M849" i="2"/>
  <c r="N849" i="2"/>
  <c r="O849" i="2"/>
  <c r="P849" i="2"/>
  <c r="R849" i="2"/>
  <c r="S849" i="2"/>
  <c r="T849" i="2"/>
  <c r="Y849" i="2"/>
  <c r="Z849" i="2"/>
  <c r="AA849" i="2"/>
  <c r="AB849" i="2"/>
  <c r="AC849" i="2"/>
  <c r="AD849" i="2"/>
  <c r="AE849" i="2"/>
  <c r="AF849" i="2"/>
  <c r="AG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M850" i="2"/>
  <c r="N850" i="2"/>
  <c r="O850" i="2"/>
  <c r="P850" i="2"/>
  <c r="S850" i="2"/>
  <c r="Y850" i="2"/>
  <c r="Z850" i="2"/>
  <c r="AA850" i="2"/>
  <c r="AB850" i="2"/>
  <c r="AC850" i="2"/>
  <c r="AD850" i="2"/>
  <c r="AE850" i="2"/>
  <c r="AF850" i="2"/>
  <c r="AG850" i="2"/>
  <c r="A851" i="2"/>
  <c r="B851" i="2"/>
  <c r="C851" i="2"/>
  <c r="D851" i="2"/>
  <c r="E851" i="2"/>
  <c r="F851" i="2"/>
  <c r="G851" i="2"/>
  <c r="H851" i="2"/>
  <c r="I851" i="2"/>
  <c r="J851" i="2"/>
  <c r="K851" i="2"/>
  <c r="T851" i="2" s="1"/>
  <c r="L851" i="2"/>
  <c r="M851" i="2"/>
  <c r="N851" i="2"/>
  <c r="O851" i="2"/>
  <c r="P851" i="2"/>
  <c r="Q851" i="2"/>
  <c r="R851" i="2"/>
  <c r="S851" i="2"/>
  <c r="U851" i="2"/>
  <c r="V851" i="2"/>
  <c r="W851" i="2"/>
  <c r="X851" i="2"/>
  <c r="Y851" i="2"/>
  <c r="Z851" i="2"/>
  <c r="AA851" i="2"/>
  <c r="AB851" i="2"/>
  <c r="AC851" i="2"/>
  <c r="AD851" i="2"/>
  <c r="AE851" i="2"/>
  <c r="AF851" i="2"/>
  <c r="AG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M852" i="2"/>
  <c r="N852" i="2"/>
  <c r="O852" i="2"/>
  <c r="P852" i="2"/>
  <c r="Q852" i="2"/>
  <c r="R852" i="2"/>
  <c r="S852" i="2"/>
  <c r="T852" i="2"/>
  <c r="U852" i="2"/>
  <c r="V852" i="2"/>
  <c r="W852" i="2"/>
  <c r="X852" i="2"/>
  <c r="Y852" i="2"/>
  <c r="Z852" i="2"/>
  <c r="AA852" i="2"/>
  <c r="AB852" i="2"/>
  <c r="AC852" i="2"/>
  <c r="AD852" i="2"/>
  <c r="AE852" i="2"/>
  <c r="AF852" i="2"/>
  <c r="AG852" i="2"/>
  <c r="A853" i="2"/>
  <c r="B853" i="2"/>
  <c r="C853" i="2"/>
  <c r="D853" i="2"/>
  <c r="E853" i="2"/>
  <c r="F853" i="2"/>
  <c r="G853" i="2"/>
  <c r="H853" i="2"/>
  <c r="I853" i="2"/>
  <c r="J853" i="2"/>
  <c r="K853" i="2"/>
  <c r="Q853" i="2" s="1"/>
  <c r="L853" i="2"/>
  <c r="M853" i="2"/>
  <c r="N853" i="2"/>
  <c r="O853" i="2"/>
  <c r="P853" i="2"/>
  <c r="S853" i="2"/>
  <c r="T853" i="2"/>
  <c r="V853" i="2"/>
  <c r="W853" i="2"/>
  <c r="X853" i="2"/>
  <c r="Y853" i="2"/>
  <c r="Z853" i="2"/>
  <c r="AA853" i="2"/>
  <c r="AB853" i="2"/>
  <c r="AC853" i="2"/>
  <c r="AD853" i="2"/>
  <c r="AE853" i="2"/>
  <c r="AF853" i="2"/>
  <c r="AG853" i="2"/>
  <c r="A854" i="2"/>
  <c r="B854" i="2"/>
  <c r="C854" i="2"/>
  <c r="D854" i="2"/>
  <c r="E854" i="2"/>
  <c r="F854" i="2"/>
  <c r="G854" i="2"/>
  <c r="H854" i="2"/>
  <c r="I854" i="2"/>
  <c r="J854" i="2"/>
  <c r="K854" i="2"/>
  <c r="X854" i="2" s="1"/>
  <c r="L854" i="2"/>
  <c r="M854" i="2"/>
  <c r="N854" i="2"/>
  <c r="O854" i="2"/>
  <c r="P854" i="2"/>
  <c r="S854" i="2"/>
  <c r="U854" i="2"/>
  <c r="V854" i="2"/>
  <c r="W854" i="2"/>
  <c r="Y854" i="2"/>
  <c r="Z854" i="2"/>
  <c r="AA854" i="2"/>
  <c r="AB854" i="2"/>
  <c r="AC854" i="2"/>
  <c r="AD854" i="2"/>
  <c r="AE854" i="2"/>
  <c r="AF854" i="2"/>
  <c r="AG854" i="2"/>
  <c r="A855" i="2"/>
  <c r="B855" i="2"/>
  <c r="C855" i="2"/>
  <c r="D855" i="2"/>
  <c r="E855" i="2"/>
  <c r="F855" i="2"/>
  <c r="G855" i="2"/>
  <c r="H855" i="2"/>
  <c r="I855" i="2"/>
  <c r="J855" i="2"/>
  <c r="K855" i="2"/>
  <c r="X855" i="2" s="1"/>
  <c r="L855" i="2"/>
  <c r="M855" i="2"/>
  <c r="N855" i="2"/>
  <c r="O855" i="2"/>
  <c r="P855" i="2"/>
  <c r="Q855" i="2"/>
  <c r="R855" i="2"/>
  <c r="S855" i="2"/>
  <c r="T855" i="2"/>
  <c r="U855" i="2"/>
  <c r="V855" i="2"/>
  <c r="W855" i="2"/>
  <c r="Y855" i="2"/>
  <c r="Z855" i="2"/>
  <c r="AA855" i="2"/>
  <c r="AB855" i="2"/>
  <c r="AC855" i="2"/>
  <c r="AD855" i="2"/>
  <c r="AE855" i="2"/>
  <c r="AF855" i="2"/>
  <c r="AG855" i="2"/>
  <c r="A856" i="2"/>
  <c r="B856" i="2"/>
  <c r="C856" i="2"/>
  <c r="D856" i="2"/>
  <c r="E856" i="2"/>
  <c r="F856" i="2"/>
  <c r="G856" i="2"/>
  <c r="H856" i="2"/>
  <c r="I856" i="2"/>
  <c r="J856" i="2"/>
  <c r="K856" i="2"/>
  <c r="S856" i="2" s="1"/>
  <c r="L856" i="2"/>
  <c r="M856" i="2"/>
  <c r="N856" i="2"/>
  <c r="O856" i="2"/>
  <c r="P856" i="2"/>
  <c r="U856" i="2"/>
  <c r="Y856" i="2"/>
  <c r="Z856" i="2"/>
  <c r="AA856" i="2"/>
  <c r="AB856" i="2"/>
  <c r="AC856" i="2"/>
  <c r="AD856" i="2"/>
  <c r="AE856" i="2"/>
  <c r="AF856" i="2"/>
  <c r="AG856" i="2"/>
  <c r="A857" i="2"/>
  <c r="B857" i="2"/>
  <c r="C857" i="2"/>
  <c r="D857" i="2"/>
  <c r="E857" i="2"/>
  <c r="F857" i="2"/>
  <c r="G857" i="2"/>
  <c r="H857" i="2"/>
  <c r="I857" i="2"/>
  <c r="J857" i="2"/>
  <c r="K857" i="2"/>
  <c r="X857" i="2" s="1"/>
  <c r="L857" i="2"/>
  <c r="M857" i="2"/>
  <c r="N857" i="2"/>
  <c r="O857" i="2"/>
  <c r="P857" i="2"/>
  <c r="T857" i="2"/>
  <c r="Y857" i="2"/>
  <c r="Z857" i="2"/>
  <c r="AA857" i="2"/>
  <c r="AB857" i="2"/>
  <c r="AC857" i="2"/>
  <c r="AD857" i="2"/>
  <c r="AE857" i="2"/>
  <c r="AF857" i="2"/>
  <c r="AG857" i="2"/>
  <c r="A858" i="2"/>
  <c r="B858" i="2"/>
  <c r="C858" i="2"/>
  <c r="D858" i="2"/>
  <c r="E858" i="2"/>
  <c r="F858" i="2"/>
  <c r="G858" i="2"/>
  <c r="H858" i="2"/>
  <c r="I858" i="2"/>
  <c r="J858" i="2"/>
  <c r="K858" i="2"/>
  <c r="W858" i="2" s="1"/>
  <c r="L858" i="2"/>
  <c r="M858" i="2"/>
  <c r="N858" i="2"/>
  <c r="O858" i="2"/>
  <c r="P858" i="2"/>
  <c r="R858" i="2"/>
  <c r="S858" i="2"/>
  <c r="Y858" i="2"/>
  <c r="Z858" i="2"/>
  <c r="AA858" i="2"/>
  <c r="AB858" i="2"/>
  <c r="AC858" i="2"/>
  <c r="AD858" i="2"/>
  <c r="AE858" i="2"/>
  <c r="AF858" i="2"/>
  <c r="AG858" i="2"/>
  <c r="A859" i="2"/>
  <c r="B859" i="2"/>
  <c r="C859" i="2"/>
  <c r="D859" i="2"/>
  <c r="E859" i="2"/>
  <c r="F859" i="2"/>
  <c r="G859" i="2"/>
  <c r="H859" i="2"/>
  <c r="I859" i="2"/>
  <c r="J859" i="2"/>
  <c r="K859" i="2"/>
  <c r="T859" i="2" s="1"/>
  <c r="L859" i="2"/>
  <c r="M859" i="2"/>
  <c r="N859" i="2"/>
  <c r="O859" i="2"/>
  <c r="P859" i="2"/>
  <c r="Q859" i="2"/>
  <c r="R859" i="2"/>
  <c r="S859" i="2"/>
  <c r="U859" i="2"/>
  <c r="V859" i="2"/>
  <c r="W859" i="2"/>
  <c r="X859" i="2"/>
  <c r="Y859" i="2"/>
  <c r="Z859" i="2"/>
  <c r="AA859" i="2"/>
  <c r="AB859" i="2"/>
  <c r="AC859" i="2"/>
  <c r="AD859" i="2"/>
  <c r="AE859" i="2"/>
  <c r="AF859" i="2"/>
  <c r="AG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N860" i="2"/>
  <c r="O860" i="2"/>
  <c r="P860" i="2"/>
  <c r="Q860" i="2"/>
  <c r="R860" i="2"/>
  <c r="S860" i="2"/>
  <c r="T860" i="2"/>
  <c r="U860" i="2"/>
  <c r="V860" i="2"/>
  <c r="W860" i="2"/>
  <c r="X860" i="2"/>
  <c r="Y860" i="2"/>
  <c r="Z860" i="2"/>
  <c r="AA860" i="2"/>
  <c r="AB860" i="2"/>
  <c r="AC860" i="2"/>
  <c r="AD860" i="2"/>
  <c r="AE860" i="2"/>
  <c r="AF860" i="2"/>
  <c r="AG860" i="2"/>
  <c r="A861" i="2"/>
  <c r="B861" i="2"/>
  <c r="C861" i="2"/>
  <c r="D861" i="2"/>
  <c r="E861" i="2"/>
  <c r="F861" i="2"/>
  <c r="G861" i="2"/>
  <c r="H861" i="2"/>
  <c r="I861" i="2"/>
  <c r="J861" i="2"/>
  <c r="K861" i="2"/>
  <c r="Q861" i="2" s="1"/>
  <c r="L861" i="2"/>
  <c r="M861" i="2"/>
  <c r="N861" i="2"/>
  <c r="O861" i="2"/>
  <c r="P861" i="2"/>
  <c r="S861" i="2"/>
  <c r="T861" i="2"/>
  <c r="V861" i="2"/>
  <c r="W861" i="2"/>
  <c r="X861" i="2"/>
  <c r="Y861" i="2"/>
  <c r="Z861" i="2"/>
  <c r="AA861" i="2"/>
  <c r="AB861" i="2"/>
  <c r="AC861" i="2"/>
  <c r="AD861" i="2"/>
  <c r="AE861" i="2"/>
  <c r="AF861" i="2"/>
  <c r="AG861" i="2"/>
  <c r="A862" i="2"/>
  <c r="B862" i="2"/>
  <c r="C862" i="2"/>
  <c r="D862" i="2"/>
  <c r="E862" i="2"/>
  <c r="F862" i="2"/>
  <c r="G862" i="2"/>
  <c r="H862" i="2"/>
  <c r="I862" i="2"/>
  <c r="J862" i="2"/>
  <c r="K862" i="2"/>
  <c r="W862" i="2" s="1"/>
  <c r="L862" i="2"/>
  <c r="M862" i="2"/>
  <c r="N862" i="2"/>
  <c r="O862" i="2"/>
  <c r="P862" i="2"/>
  <c r="S862" i="2"/>
  <c r="U862" i="2"/>
  <c r="V862" i="2"/>
  <c r="Y862" i="2"/>
  <c r="Z862" i="2"/>
  <c r="AA862" i="2"/>
  <c r="AB862" i="2"/>
  <c r="AC862" i="2"/>
  <c r="AD862" i="2"/>
  <c r="AE862" i="2"/>
  <c r="AF862" i="2"/>
  <c r="AG862" i="2"/>
  <c r="A863" i="2"/>
  <c r="B863" i="2"/>
  <c r="C863" i="2"/>
  <c r="D863" i="2"/>
  <c r="E863" i="2"/>
  <c r="F863" i="2"/>
  <c r="G863" i="2"/>
  <c r="H863" i="2"/>
  <c r="I863" i="2"/>
  <c r="J863" i="2"/>
  <c r="K863" i="2"/>
  <c r="X863" i="2" s="1"/>
  <c r="L863" i="2"/>
  <c r="M863" i="2"/>
  <c r="N863" i="2"/>
  <c r="O863" i="2"/>
  <c r="P863" i="2"/>
  <c r="Q863" i="2"/>
  <c r="R863" i="2"/>
  <c r="S863" i="2"/>
  <c r="T863" i="2"/>
  <c r="U863" i="2"/>
  <c r="V863" i="2"/>
  <c r="W863" i="2"/>
  <c r="Y863" i="2"/>
  <c r="Z863" i="2"/>
  <c r="AA863" i="2"/>
  <c r="AB863" i="2"/>
  <c r="AC863" i="2"/>
  <c r="AD863" i="2"/>
  <c r="AE863" i="2"/>
  <c r="AF863" i="2"/>
  <c r="AG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M864" i="2"/>
  <c r="N864" i="2"/>
  <c r="O864" i="2"/>
  <c r="P864" i="2"/>
  <c r="Q864" i="2"/>
  <c r="S864" i="2"/>
  <c r="T864" i="2"/>
  <c r="U864" i="2"/>
  <c r="Y864" i="2"/>
  <c r="Z864" i="2"/>
  <c r="AA864" i="2"/>
  <c r="AB864" i="2"/>
  <c r="AC864" i="2"/>
  <c r="AD864" i="2"/>
  <c r="AE864" i="2"/>
  <c r="AF864" i="2"/>
  <c r="AG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M865" i="2"/>
  <c r="N865" i="2"/>
  <c r="O865" i="2"/>
  <c r="P865" i="2"/>
  <c r="R865" i="2"/>
  <c r="T865" i="2"/>
  <c r="W865" i="2"/>
  <c r="X865" i="2"/>
  <c r="Y865" i="2"/>
  <c r="Z865" i="2"/>
  <c r="AA865" i="2"/>
  <c r="AB865" i="2"/>
  <c r="AC865" i="2"/>
  <c r="AD865" i="2"/>
  <c r="AE865" i="2"/>
  <c r="AF865" i="2"/>
  <c r="AG865" i="2"/>
  <c r="A866" i="2"/>
  <c r="B866" i="2"/>
  <c r="C866" i="2"/>
  <c r="D866" i="2"/>
  <c r="E866" i="2"/>
  <c r="F866" i="2"/>
  <c r="G866" i="2"/>
  <c r="H866" i="2"/>
  <c r="I866" i="2"/>
  <c r="J866" i="2"/>
  <c r="K866" i="2"/>
  <c r="V866" i="2" s="1"/>
  <c r="L866" i="2"/>
  <c r="M866" i="2"/>
  <c r="N866" i="2"/>
  <c r="O866" i="2"/>
  <c r="P866" i="2"/>
  <c r="Q866" i="2"/>
  <c r="R866" i="2"/>
  <c r="S866" i="2"/>
  <c r="Y866" i="2"/>
  <c r="Z866" i="2"/>
  <c r="AA866" i="2"/>
  <c r="AB866" i="2"/>
  <c r="AC866" i="2"/>
  <c r="AD866" i="2"/>
  <c r="AE866" i="2"/>
  <c r="AF866" i="2"/>
  <c r="AG866" i="2"/>
  <c r="A867" i="2"/>
  <c r="B867" i="2"/>
  <c r="C867" i="2"/>
  <c r="D867" i="2"/>
  <c r="E867" i="2"/>
  <c r="F867" i="2"/>
  <c r="G867" i="2"/>
  <c r="H867" i="2"/>
  <c r="I867" i="2"/>
  <c r="J867" i="2"/>
  <c r="K867" i="2"/>
  <c r="T867" i="2" s="1"/>
  <c r="L867" i="2"/>
  <c r="M867" i="2"/>
  <c r="N867" i="2"/>
  <c r="O867" i="2"/>
  <c r="P867" i="2"/>
  <c r="Q867" i="2"/>
  <c r="R867" i="2"/>
  <c r="S867" i="2"/>
  <c r="U867" i="2"/>
  <c r="V867" i="2"/>
  <c r="W867" i="2"/>
  <c r="X867" i="2"/>
  <c r="Y867" i="2"/>
  <c r="Z867" i="2"/>
  <c r="AA867" i="2"/>
  <c r="AB867" i="2"/>
  <c r="AC867" i="2"/>
  <c r="AD867" i="2"/>
  <c r="AE867" i="2"/>
  <c r="AF867" i="2"/>
  <c r="AG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N868" i="2"/>
  <c r="O868" i="2"/>
  <c r="P868" i="2"/>
  <c r="Q868" i="2"/>
  <c r="R868" i="2"/>
  <c r="S868" i="2"/>
  <c r="T868" i="2"/>
  <c r="U868" i="2"/>
  <c r="V868" i="2"/>
  <c r="W868" i="2"/>
  <c r="X868" i="2"/>
  <c r="Y868" i="2"/>
  <c r="Z868" i="2"/>
  <c r="AA868" i="2"/>
  <c r="AB868" i="2"/>
  <c r="AC868" i="2"/>
  <c r="AD868" i="2"/>
  <c r="AE868" i="2"/>
  <c r="AF868" i="2"/>
  <c r="AG868" i="2"/>
  <c r="A869" i="2"/>
  <c r="B869" i="2"/>
  <c r="C869" i="2"/>
  <c r="D869" i="2"/>
  <c r="E869" i="2"/>
  <c r="F869" i="2"/>
  <c r="G869" i="2"/>
  <c r="H869" i="2"/>
  <c r="I869" i="2"/>
  <c r="J869" i="2"/>
  <c r="K869" i="2"/>
  <c r="W869" i="2" s="1"/>
  <c r="L869" i="2"/>
  <c r="M869" i="2"/>
  <c r="N869" i="2"/>
  <c r="O869" i="2"/>
  <c r="P869" i="2"/>
  <c r="V869" i="2"/>
  <c r="Y869" i="2"/>
  <c r="Z869" i="2"/>
  <c r="AA869" i="2"/>
  <c r="AB869" i="2"/>
  <c r="AC869" i="2"/>
  <c r="AD869" i="2"/>
  <c r="AE869" i="2"/>
  <c r="AF869" i="2"/>
  <c r="AG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M870" i="2"/>
  <c r="N870" i="2"/>
  <c r="O870" i="2"/>
  <c r="P870" i="2"/>
  <c r="R870" i="2"/>
  <c r="S870" i="2"/>
  <c r="U870" i="2"/>
  <c r="V870" i="2"/>
  <c r="W870" i="2"/>
  <c r="Y870" i="2"/>
  <c r="Z870" i="2"/>
  <c r="AA870" i="2"/>
  <c r="AB870" i="2"/>
  <c r="AC870" i="2"/>
  <c r="AD870" i="2"/>
  <c r="AE870" i="2"/>
  <c r="AF870" i="2"/>
  <c r="AG870" i="2"/>
  <c r="A871" i="2"/>
  <c r="B871" i="2"/>
  <c r="C871" i="2"/>
  <c r="D871" i="2"/>
  <c r="E871" i="2"/>
  <c r="F871" i="2"/>
  <c r="G871" i="2"/>
  <c r="H871" i="2"/>
  <c r="I871" i="2"/>
  <c r="J871" i="2"/>
  <c r="K871" i="2"/>
  <c r="X871" i="2" s="1"/>
  <c r="L871" i="2"/>
  <c r="M871" i="2"/>
  <c r="N871" i="2"/>
  <c r="O871" i="2"/>
  <c r="P871" i="2"/>
  <c r="Q871" i="2"/>
  <c r="R871" i="2"/>
  <c r="S871" i="2"/>
  <c r="T871" i="2"/>
  <c r="U871" i="2"/>
  <c r="V871" i="2"/>
  <c r="W871" i="2"/>
  <c r="Y871" i="2"/>
  <c r="Z871" i="2"/>
  <c r="AA871" i="2"/>
  <c r="AB871" i="2"/>
  <c r="AC871" i="2"/>
  <c r="AD871" i="2"/>
  <c r="AE871" i="2"/>
  <c r="AF871" i="2"/>
  <c r="AG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M872" i="2"/>
  <c r="N872" i="2"/>
  <c r="O872" i="2"/>
  <c r="P872" i="2"/>
  <c r="S872" i="2"/>
  <c r="Y872" i="2"/>
  <c r="Z872" i="2"/>
  <c r="AA872" i="2"/>
  <c r="AB872" i="2"/>
  <c r="AC872" i="2"/>
  <c r="AD872" i="2"/>
  <c r="AE872" i="2"/>
  <c r="AF872" i="2"/>
  <c r="AG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M873" i="2"/>
  <c r="N873" i="2"/>
  <c r="O873" i="2"/>
  <c r="P873" i="2"/>
  <c r="S873" i="2"/>
  <c r="Y873" i="2"/>
  <c r="Z873" i="2"/>
  <c r="AA873" i="2"/>
  <c r="AB873" i="2"/>
  <c r="AC873" i="2"/>
  <c r="AD873" i="2"/>
  <c r="AE873" i="2"/>
  <c r="AF873" i="2"/>
  <c r="AG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N874" i="2"/>
  <c r="O874" i="2"/>
  <c r="P874" i="2"/>
  <c r="Y874" i="2"/>
  <c r="Z874" i="2"/>
  <c r="AA874" i="2"/>
  <c r="AB874" i="2"/>
  <c r="AC874" i="2"/>
  <c r="AD874" i="2"/>
  <c r="AE874" i="2"/>
  <c r="AF874" i="2"/>
  <c r="AG874" i="2"/>
  <c r="A875" i="2"/>
  <c r="B875" i="2"/>
  <c r="C875" i="2"/>
  <c r="D875" i="2"/>
  <c r="E875" i="2"/>
  <c r="F875" i="2"/>
  <c r="G875" i="2"/>
  <c r="H875" i="2"/>
  <c r="I875" i="2"/>
  <c r="J875" i="2"/>
  <c r="K875" i="2"/>
  <c r="S875" i="2" s="1"/>
  <c r="L875" i="2"/>
  <c r="M875" i="2"/>
  <c r="N875" i="2"/>
  <c r="O875" i="2"/>
  <c r="P875" i="2"/>
  <c r="Y875" i="2"/>
  <c r="Z875" i="2"/>
  <c r="AA875" i="2"/>
  <c r="AB875" i="2"/>
  <c r="AC875" i="2"/>
  <c r="AD875" i="2"/>
  <c r="AE875" i="2"/>
  <c r="AF875" i="2"/>
  <c r="AG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M876" i="2"/>
  <c r="N876" i="2"/>
  <c r="O876" i="2"/>
  <c r="P876" i="2"/>
  <c r="S876" i="2"/>
  <c r="Y876" i="2"/>
  <c r="Z876" i="2"/>
  <c r="AA876" i="2"/>
  <c r="AB876" i="2"/>
  <c r="AC876" i="2"/>
  <c r="AD876" i="2"/>
  <c r="AE876" i="2"/>
  <c r="AF876" i="2"/>
  <c r="AG876" i="2"/>
  <c r="A877" i="2"/>
  <c r="B877" i="2"/>
  <c r="C877" i="2"/>
  <c r="D877" i="2"/>
  <c r="E877" i="2"/>
  <c r="F877" i="2"/>
  <c r="G877" i="2"/>
  <c r="H877" i="2"/>
  <c r="I877" i="2"/>
  <c r="J877" i="2"/>
  <c r="K877" i="2"/>
  <c r="T877" i="2" s="1"/>
  <c r="L877" i="2"/>
  <c r="M877" i="2"/>
  <c r="N877" i="2"/>
  <c r="O877" i="2"/>
  <c r="P877" i="2"/>
  <c r="R877" i="2"/>
  <c r="S877" i="2"/>
  <c r="V877" i="2"/>
  <c r="Y877" i="2"/>
  <c r="Z877" i="2"/>
  <c r="AA877" i="2"/>
  <c r="AB877" i="2"/>
  <c r="AC877" i="2"/>
  <c r="AD877" i="2"/>
  <c r="AE877" i="2"/>
  <c r="AF877" i="2"/>
  <c r="AG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M878" i="2"/>
  <c r="N878" i="2"/>
  <c r="O878" i="2"/>
  <c r="P878" i="2"/>
  <c r="Q878" i="2"/>
  <c r="R878" i="2"/>
  <c r="S878" i="2"/>
  <c r="T878" i="2"/>
  <c r="U878" i="2"/>
  <c r="V878" i="2"/>
  <c r="W878" i="2"/>
  <c r="X878" i="2"/>
  <c r="Y878" i="2"/>
  <c r="Z878" i="2"/>
  <c r="AA878" i="2"/>
  <c r="AB878" i="2"/>
  <c r="AC878" i="2"/>
  <c r="AD878" i="2"/>
  <c r="AE878" i="2"/>
  <c r="AF878" i="2"/>
  <c r="AG878" i="2"/>
  <c r="A879" i="2"/>
  <c r="B879" i="2"/>
  <c r="C879" i="2"/>
  <c r="D879" i="2"/>
  <c r="E879" i="2"/>
  <c r="F879" i="2"/>
  <c r="G879" i="2"/>
  <c r="H879" i="2"/>
  <c r="I879" i="2"/>
  <c r="J879" i="2"/>
  <c r="K879" i="2"/>
  <c r="R879" i="2" s="1"/>
  <c r="L879" i="2"/>
  <c r="M879" i="2"/>
  <c r="N879" i="2"/>
  <c r="O879" i="2"/>
  <c r="P879" i="2"/>
  <c r="Q879" i="2"/>
  <c r="S879" i="2"/>
  <c r="T879" i="2"/>
  <c r="U879" i="2"/>
  <c r="X879" i="2"/>
  <c r="Y879" i="2"/>
  <c r="Z879" i="2"/>
  <c r="AA879" i="2"/>
  <c r="AB879" i="2"/>
  <c r="AC879" i="2"/>
  <c r="AD879" i="2"/>
  <c r="AE879" i="2"/>
  <c r="AF879" i="2"/>
  <c r="AG879" i="2"/>
  <c r="A880" i="2"/>
  <c r="B880" i="2"/>
  <c r="C880" i="2"/>
  <c r="D880" i="2"/>
  <c r="E880" i="2"/>
  <c r="F880" i="2"/>
  <c r="G880" i="2"/>
  <c r="H880" i="2"/>
  <c r="I880" i="2"/>
  <c r="J880" i="2"/>
  <c r="K880" i="2"/>
  <c r="X880" i="2" s="1"/>
  <c r="L880" i="2"/>
  <c r="M880" i="2"/>
  <c r="N880" i="2"/>
  <c r="O880" i="2"/>
  <c r="P880" i="2"/>
  <c r="S880" i="2"/>
  <c r="W880" i="2"/>
  <c r="Y880" i="2"/>
  <c r="Z880" i="2"/>
  <c r="AA880" i="2"/>
  <c r="AB880" i="2"/>
  <c r="AC880" i="2"/>
  <c r="AD880" i="2"/>
  <c r="AE880" i="2"/>
  <c r="AF880" i="2"/>
  <c r="AG880" i="2"/>
  <c r="A881" i="2"/>
  <c r="B881" i="2"/>
  <c r="C881" i="2"/>
  <c r="D881" i="2"/>
  <c r="E881" i="2"/>
  <c r="F881" i="2"/>
  <c r="G881" i="2"/>
  <c r="H881" i="2"/>
  <c r="I881" i="2"/>
  <c r="J881" i="2"/>
  <c r="K881" i="2"/>
  <c r="X881" i="2" s="1"/>
  <c r="L881" i="2"/>
  <c r="M881" i="2"/>
  <c r="N881" i="2"/>
  <c r="O881" i="2"/>
  <c r="P881" i="2"/>
  <c r="R881" i="2"/>
  <c r="S881" i="2"/>
  <c r="V881" i="2"/>
  <c r="W881" i="2"/>
  <c r="Y881" i="2"/>
  <c r="Z881" i="2"/>
  <c r="AA881" i="2"/>
  <c r="AB881" i="2"/>
  <c r="AC881" i="2"/>
  <c r="AD881" i="2"/>
  <c r="AE881" i="2"/>
  <c r="AF881" i="2"/>
  <c r="AG881" i="2"/>
  <c r="A882" i="2"/>
  <c r="B882" i="2"/>
  <c r="C882" i="2"/>
  <c r="D882" i="2"/>
  <c r="E882" i="2"/>
  <c r="F882" i="2"/>
  <c r="G882" i="2"/>
  <c r="H882" i="2"/>
  <c r="I882" i="2"/>
  <c r="J882" i="2"/>
  <c r="K882" i="2"/>
  <c r="W882" i="2" s="1"/>
  <c r="L882" i="2"/>
  <c r="M882" i="2"/>
  <c r="N882" i="2"/>
  <c r="O882" i="2"/>
  <c r="P882" i="2"/>
  <c r="Q882" i="2"/>
  <c r="R882" i="2"/>
  <c r="S882" i="2"/>
  <c r="T882" i="2"/>
  <c r="U882" i="2"/>
  <c r="V882" i="2"/>
  <c r="X882" i="2"/>
  <c r="Y882" i="2"/>
  <c r="Z882" i="2"/>
  <c r="AA882" i="2"/>
  <c r="AB882" i="2"/>
  <c r="AC882" i="2"/>
  <c r="AD882" i="2"/>
  <c r="AE882" i="2"/>
  <c r="AF882" i="2"/>
  <c r="AG882" i="2"/>
  <c r="A883" i="2"/>
  <c r="B883" i="2"/>
  <c r="C883" i="2"/>
  <c r="D883" i="2"/>
  <c r="E883" i="2"/>
  <c r="F883" i="2"/>
  <c r="G883" i="2"/>
  <c r="H883" i="2"/>
  <c r="I883" i="2"/>
  <c r="J883" i="2"/>
  <c r="K883" i="2"/>
  <c r="V883" i="2" s="1"/>
  <c r="L883" i="2"/>
  <c r="M883" i="2"/>
  <c r="N883" i="2"/>
  <c r="O883" i="2"/>
  <c r="P883" i="2"/>
  <c r="Q883" i="2"/>
  <c r="S883" i="2"/>
  <c r="T883" i="2"/>
  <c r="U883" i="2"/>
  <c r="W883" i="2"/>
  <c r="X883" i="2"/>
  <c r="Y883" i="2"/>
  <c r="Z883" i="2"/>
  <c r="AA883" i="2"/>
  <c r="AB883" i="2"/>
  <c r="AC883" i="2"/>
  <c r="AD883" i="2"/>
  <c r="AE883" i="2"/>
  <c r="AF883" i="2"/>
  <c r="AG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M884" i="2"/>
  <c r="N884" i="2"/>
  <c r="O884" i="2"/>
  <c r="P884" i="2"/>
  <c r="Y884" i="2"/>
  <c r="Z884" i="2"/>
  <c r="AA884" i="2"/>
  <c r="AB884" i="2"/>
  <c r="AC884" i="2"/>
  <c r="AD884" i="2"/>
  <c r="AE884" i="2"/>
  <c r="AF884" i="2"/>
  <c r="AG884" i="2"/>
  <c r="A885" i="2"/>
  <c r="B885" i="2"/>
  <c r="C885" i="2"/>
  <c r="D885" i="2"/>
  <c r="E885" i="2"/>
  <c r="F885" i="2"/>
  <c r="G885" i="2"/>
  <c r="H885" i="2"/>
  <c r="I885" i="2"/>
  <c r="J885" i="2"/>
  <c r="K885" i="2"/>
  <c r="T885" i="2" s="1"/>
  <c r="L885" i="2"/>
  <c r="M885" i="2"/>
  <c r="N885" i="2"/>
  <c r="O885" i="2"/>
  <c r="P885" i="2"/>
  <c r="R885" i="2"/>
  <c r="S885" i="2"/>
  <c r="V885" i="2"/>
  <c r="Y885" i="2"/>
  <c r="Z885" i="2"/>
  <c r="AA885" i="2"/>
  <c r="AB885" i="2"/>
  <c r="AC885" i="2"/>
  <c r="AD885" i="2"/>
  <c r="AE885" i="2"/>
  <c r="AF885" i="2"/>
  <c r="AG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M886" i="2"/>
  <c r="N886" i="2"/>
  <c r="O886" i="2"/>
  <c r="P886" i="2"/>
  <c r="Q886" i="2"/>
  <c r="R886" i="2"/>
  <c r="S886" i="2"/>
  <c r="T886" i="2"/>
  <c r="U886" i="2"/>
  <c r="V886" i="2"/>
  <c r="W886" i="2"/>
  <c r="X886" i="2"/>
  <c r="Y886" i="2"/>
  <c r="Z886" i="2"/>
  <c r="AA886" i="2"/>
  <c r="AB886" i="2"/>
  <c r="AC886" i="2"/>
  <c r="AD886" i="2"/>
  <c r="AE886" i="2"/>
  <c r="AF886" i="2"/>
  <c r="AG886" i="2"/>
  <c r="A887" i="2"/>
  <c r="B887" i="2"/>
  <c r="C887" i="2"/>
  <c r="D887" i="2"/>
  <c r="E887" i="2"/>
  <c r="F887" i="2"/>
  <c r="G887" i="2"/>
  <c r="H887" i="2"/>
  <c r="I887" i="2"/>
  <c r="J887" i="2"/>
  <c r="K887" i="2"/>
  <c r="R887" i="2" s="1"/>
  <c r="L887" i="2"/>
  <c r="M887" i="2"/>
  <c r="N887" i="2"/>
  <c r="O887" i="2"/>
  <c r="P887" i="2"/>
  <c r="Q887" i="2"/>
  <c r="S887" i="2"/>
  <c r="T887" i="2"/>
  <c r="U887" i="2"/>
  <c r="X887" i="2"/>
  <c r="Y887" i="2"/>
  <c r="Z887" i="2"/>
  <c r="AA887" i="2"/>
  <c r="AB887" i="2"/>
  <c r="AC887" i="2"/>
  <c r="AD887" i="2"/>
  <c r="AE887" i="2"/>
  <c r="AF887" i="2"/>
  <c r="AG887" i="2"/>
  <c r="A888" i="2"/>
  <c r="B888" i="2"/>
  <c r="C888" i="2"/>
  <c r="D888" i="2"/>
  <c r="E888" i="2"/>
  <c r="F888" i="2"/>
  <c r="G888" i="2"/>
  <c r="H888" i="2"/>
  <c r="I888" i="2"/>
  <c r="J888" i="2"/>
  <c r="K888" i="2"/>
  <c r="X888" i="2" s="1"/>
  <c r="L888" i="2"/>
  <c r="M888" i="2"/>
  <c r="N888" i="2"/>
  <c r="O888" i="2"/>
  <c r="P888" i="2"/>
  <c r="S888" i="2"/>
  <c r="W888" i="2"/>
  <c r="Y888" i="2"/>
  <c r="Z888" i="2"/>
  <c r="AA888" i="2"/>
  <c r="AB888" i="2"/>
  <c r="AC888" i="2"/>
  <c r="AD888" i="2"/>
  <c r="AE888" i="2"/>
  <c r="AF888" i="2"/>
  <c r="AG888" i="2"/>
  <c r="A889" i="2"/>
  <c r="B889" i="2"/>
  <c r="C889" i="2"/>
  <c r="D889" i="2"/>
  <c r="E889" i="2"/>
  <c r="F889" i="2"/>
  <c r="G889" i="2"/>
  <c r="H889" i="2"/>
  <c r="I889" i="2"/>
  <c r="J889" i="2"/>
  <c r="K889" i="2"/>
  <c r="X889" i="2" s="1"/>
  <c r="L889" i="2"/>
  <c r="M889" i="2"/>
  <c r="N889" i="2"/>
  <c r="O889" i="2"/>
  <c r="P889" i="2"/>
  <c r="R889" i="2"/>
  <c r="S889" i="2"/>
  <c r="V889" i="2"/>
  <c r="W889" i="2"/>
  <c r="Y889" i="2"/>
  <c r="Z889" i="2"/>
  <c r="AA889" i="2"/>
  <c r="AB889" i="2"/>
  <c r="AC889" i="2"/>
  <c r="AD889" i="2"/>
  <c r="AE889" i="2"/>
  <c r="AF889" i="2"/>
  <c r="AG889" i="2"/>
  <c r="A890" i="2"/>
  <c r="B890" i="2"/>
  <c r="C890" i="2"/>
  <c r="D890" i="2"/>
  <c r="E890" i="2"/>
  <c r="F890" i="2"/>
  <c r="G890" i="2"/>
  <c r="H890" i="2"/>
  <c r="I890" i="2"/>
  <c r="J890" i="2"/>
  <c r="K890" i="2"/>
  <c r="W890" i="2" s="1"/>
  <c r="L890" i="2"/>
  <c r="M890" i="2"/>
  <c r="N890" i="2"/>
  <c r="O890" i="2"/>
  <c r="P890" i="2"/>
  <c r="Q890" i="2"/>
  <c r="R890" i="2"/>
  <c r="S890" i="2"/>
  <c r="T890" i="2"/>
  <c r="U890" i="2"/>
  <c r="V890" i="2"/>
  <c r="X890" i="2"/>
  <c r="Y890" i="2"/>
  <c r="Z890" i="2"/>
  <c r="AA890" i="2"/>
  <c r="AB890" i="2"/>
  <c r="AC890" i="2"/>
  <c r="AD890" i="2"/>
  <c r="AE890" i="2"/>
  <c r="AF890" i="2"/>
  <c r="AG890" i="2"/>
  <c r="A891" i="2"/>
  <c r="B891" i="2"/>
  <c r="C891" i="2"/>
  <c r="D891" i="2"/>
  <c r="E891" i="2"/>
  <c r="F891" i="2"/>
  <c r="G891" i="2"/>
  <c r="H891" i="2"/>
  <c r="I891" i="2"/>
  <c r="J891" i="2"/>
  <c r="K891" i="2"/>
  <c r="V891" i="2" s="1"/>
  <c r="L891" i="2"/>
  <c r="M891" i="2"/>
  <c r="N891" i="2"/>
  <c r="O891" i="2"/>
  <c r="P891" i="2"/>
  <c r="Q891" i="2"/>
  <c r="S891" i="2"/>
  <c r="T891" i="2"/>
  <c r="U891" i="2"/>
  <c r="W891" i="2"/>
  <c r="X891" i="2"/>
  <c r="Y891" i="2"/>
  <c r="Z891" i="2"/>
  <c r="AA891" i="2"/>
  <c r="AB891" i="2"/>
  <c r="AC891" i="2"/>
  <c r="AD891" i="2"/>
  <c r="AE891" i="2"/>
  <c r="AF891" i="2"/>
  <c r="AG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M892" i="2"/>
  <c r="N892" i="2"/>
  <c r="O892" i="2"/>
  <c r="P892" i="2"/>
  <c r="Y892" i="2"/>
  <c r="Z892" i="2"/>
  <c r="AA892" i="2"/>
  <c r="AB892" i="2"/>
  <c r="AC892" i="2"/>
  <c r="AD892" i="2"/>
  <c r="AE892" i="2"/>
  <c r="AF892" i="2"/>
  <c r="AG892" i="2"/>
  <c r="A893" i="2"/>
  <c r="B893" i="2"/>
  <c r="C893" i="2"/>
  <c r="D893" i="2"/>
  <c r="E893" i="2"/>
  <c r="F893" i="2"/>
  <c r="G893" i="2"/>
  <c r="H893" i="2"/>
  <c r="I893" i="2"/>
  <c r="J893" i="2"/>
  <c r="K893" i="2"/>
  <c r="T893" i="2" s="1"/>
  <c r="L893" i="2"/>
  <c r="M893" i="2"/>
  <c r="N893" i="2"/>
  <c r="O893" i="2"/>
  <c r="P893" i="2"/>
  <c r="R893" i="2"/>
  <c r="S893" i="2"/>
  <c r="V893" i="2"/>
  <c r="Y893" i="2"/>
  <c r="Z893" i="2"/>
  <c r="AA893" i="2"/>
  <c r="AB893" i="2"/>
  <c r="AC893" i="2"/>
  <c r="AD893" i="2"/>
  <c r="AE893" i="2"/>
  <c r="AF893" i="2"/>
  <c r="AG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M894" i="2"/>
  <c r="N894" i="2"/>
  <c r="O894" i="2"/>
  <c r="P894" i="2"/>
  <c r="Q894" i="2"/>
  <c r="R894" i="2"/>
  <c r="S894" i="2"/>
  <c r="T894" i="2"/>
  <c r="U894" i="2"/>
  <c r="V894" i="2"/>
  <c r="W894" i="2"/>
  <c r="X894" i="2"/>
  <c r="Y894" i="2"/>
  <c r="Z894" i="2"/>
  <c r="AA894" i="2"/>
  <c r="AB894" i="2"/>
  <c r="AC894" i="2"/>
  <c r="AD894" i="2"/>
  <c r="AE894" i="2"/>
  <c r="AF894" i="2"/>
  <c r="AG894" i="2"/>
  <c r="A895" i="2"/>
  <c r="B895" i="2"/>
  <c r="C895" i="2"/>
  <c r="D895" i="2"/>
  <c r="E895" i="2"/>
  <c r="F895" i="2"/>
  <c r="G895" i="2"/>
  <c r="H895" i="2"/>
  <c r="I895" i="2"/>
  <c r="J895" i="2"/>
  <c r="K895" i="2"/>
  <c r="R895" i="2" s="1"/>
  <c r="L895" i="2"/>
  <c r="M895" i="2"/>
  <c r="N895" i="2"/>
  <c r="O895" i="2"/>
  <c r="P895" i="2"/>
  <c r="Q895" i="2"/>
  <c r="S895" i="2"/>
  <c r="T895" i="2"/>
  <c r="U895" i="2"/>
  <c r="X895" i="2"/>
  <c r="Y895" i="2"/>
  <c r="Z895" i="2"/>
  <c r="AA895" i="2"/>
  <c r="AB895" i="2"/>
  <c r="AC895" i="2"/>
  <c r="AD895" i="2"/>
  <c r="AE895" i="2"/>
  <c r="AF895" i="2"/>
  <c r="AG895" i="2"/>
  <c r="A896" i="2"/>
  <c r="B896" i="2"/>
  <c r="C896" i="2"/>
  <c r="D896" i="2"/>
  <c r="E896" i="2"/>
  <c r="F896" i="2"/>
  <c r="G896" i="2"/>
  <c r="H896" i="2"/>
  <c r="I896" i="2"/>
  <c r="J896" i="2"/>
  <c r="K896" i="2"/>
  <c r="X896" i="2" s="1"/>
  <c r="L896" i="2"/>
  <c r="M896" i="2"/>
  <c r="N896" i="2"/>
  <c r="O896" i="2"/>
  <c r="P896" i="2"/>
  <c r="S896" i="2"/>
  <c r="W896" i="2"/>
  <c r="Y896" i="2"/>
  <c r="Z896" i="2"/>
  <c r="AA896" i="2"/>
  <c r="AB896" i="2"/>
  <c r="AC896" i="2"/>
  <c r="AD896" i="2"/>
  <c r="AE896" i="2"/>
  <c r="AF896" i="2"/>
  <c r="AG896" i="2"/>
  <c r="A897" i="2"/>
  <c r="B897" i="2"/>
  <c r="C897" i="2"/>
  <c r="D897" i="2"/>
  <c r="E897" i="2"/>
  <c r="F897" i="2"/>
  <c r="G897" i="2"/>
  <c r="H897" i="2"/>
  <c r="I897" i="2"/>
  <c r="J897" i="2"/>
  <c r="K897" i="2"/>
  <c r="X897" i="2" s="1"/>
  <c r="L897" i="2"/>
  <c r="M897" i="2"/>
  <c r="N897" i="2"/>
  <c r="O897" i="2"/>
  <c r="P897" i="2"/>
  <c r="R897" i="2"/>
  <c r="S897" i="2"/>
  <c r="V897" i="2"/>
  <c r="W897" i="2"/>
  <c r="Y897" i="2"/>
  <c r="Z897" i="2"/>
  <c r="AA897" i="2"/>
  <c r="AB897" i="2"/>
  <c r="AC897" i="2"/>
  <c r="AD897" i="2"/>
  <c r="AE897" i="2"/>
  <c r="AF897" i="2"/>
  <c r="AG897" i="2"/>
  <c r="A898" i="2"/>
  <c r="B898" i="2"/>
  <c r="C898" i="2"/>
  <c r="D898" i="2"/>
  <c r="E898" i="2"/>
  <c r="F898" i="2"/>
  <c r="G898" i="2"/>
  <c r="H898" i="2"/>
  <c r="I898" i="2"/>
  <c r="J898" i="2"/>
  <c r="K898" i="2"/>
  <c r="W898" i="2" s="1"/>
  <c r="L898" i="2"/>
  <c r="M898" i="2"/>
  <c r="N898" i="2"/>
  <c r="O898" i="2"/>
  <c r="P898" i="2"/>
  <c r="Q898" i="2"/>
  <c r="R898" i="2"/>
  <c r="S898" i="2"/>
  <c r="T898" i="2"/>
  <c r="U898" i="2"/>
  <c r="V898" i="2"/>
  <c r="X898" i="2"/>
  <c r="Y898" i="2"/>
  <c r="Z898" i="2"/>
  <c r="AA898" i="2"/>
  <c r="AB898" i="2"/>
  <c r="AC898" i="2"/>
  <c r="AD898" i="2"/>
  <c r="AE898" i="2"/>
  <c r="AF898" i="2"/>
  <c r="AG898" i="2"/>
  <c r="A899" i="2"/>
  <c r="B899" i="2"/>
  <c r="C899" i="2"/>
  <c r="D899" i="2"/>
  <c r="E899" i="2"/>
  <c r="F899" i="2"/>
  <c r="G899" i="2"/>
  <c r="H899" i="2"/>
  <c r="I899" i="2"/>
  <c r="J899" i="2"/>
  <c r="K899" i="2"/>
  <c r="V899" i="2" s="1"/>
  <c r="L899" i="2"/>
  <c r="M899" i="2"/>
  <c r="N899" i="2"/>
  <c r="O899" i="2"/>
  <c r="P899" i="2"/>
  <c r="Q899" i="2"/>
  <c r="S899" i="2"/>
  <c r="T899" i="2"/>
  <c r="U899" i="2"/>
  <c r="W899" i="2"/>
  <c r="X899" i="2"/>
  <c r="Y899" i="2"/>
  <c r="Z899" i="2"/>
  <c r="AA899" i="2"/>
  <c r="AB899" i="2"/>
  <c r="AC899" i="2"/>
  <c r="AD899" i="2"/>
  <c r="AE899" i="2"/>
  <c r="AF899" i="2"/>
  <c r="AG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M900" i="2"/>
  <c r="N900" i="2"/>
  <c r="O900" i="2"/>
  <c r="P900" i="2"/>
  <c r="Y900" i="2"/>
  <c r="Z900" i="2"/>
  <c r="AA900" i="2"/>
  <c r="AB900" i="2"/>
  <c r="AC900" i="2"/>
  <c r="AD900" i="2"/>
  <c r="AE900" i="2"/>
  <c r="AF900" i="2"/>
  <c r="AG900" i="2"/>
  <c r="A901" i="2"/>
  <c r="B901" i="2"/>
  <c r="C901" i="2"/>
  <c r="D901" i="2"/>
  <c r="E901" i="2"/>
  <c r="F901" i="2"/>
  <c r="G901" i="2"/>
  <c r="H901" i="2"/>
  <c r="I901" i="2"/>
  <c r="J901" i="2"/>
  <c r="K901" i="2"/>
  <c r="T901" i="2" s="1"/>
  <c r="L901" i="2"/>
  <c r="M901" i="2"/>
  <c r="N901" i="2"/>
  <c r="O901" i="2"/>
  <c r="P901" i="2"/>
  <c r="R901" i="2"/>
  <c r="S901" i="2"/>
  <c r="V901" i="2"/>
  <c r="Y901" i="2"/>
  <c r="Z901" i="2"/>
  <c r="AA901" i="2"/>
  <c r="AB901" i="2"/>
  <c r="AC901" i="2"/>
  <c r="AD901" i="2"/>
  <c r="AE901" i="2"/>
  <c r="AF901" i="2"/>
  <c r="AG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M902" i="2"/>
  <c r="N902" i="2"/>
  <c r="O902" i="2"/>
  <c r="P902" i="2"/>
  <c r="Q902" i="2"/>
  <c r="R902" i="2"/>
  <c r="S902" i="2"/>
  <c r="T902" i="2"/>
  <c r="U902" i="2"/>
  <c r="V902" i="2"/>
  <c r="W902" i="2"/>
  <c r="X902" i="2"/>
  <c r="Y902" i="2"/>
  <c r="Z902" i="2"/>
  <c r="AA902" i="2"/>
  <c r="AB902" i="2"/>
  <c r="AC902" i="2"/>
  <c r="AD902" i="2"/>
  <c r="AE902" i="2"/>
  <c r="AF902" i="2"/>
  <c r="AG902" i="2"/>
  <c r="A903" i="2"/>
  <c r="B903" i="2"/>
  <c r="C903" i="2"/>
  <c r="D903" i="2"/>
  <c r="E903" i="2"/>
  <c r="F903" i="2"/>
  <c r="G903" i="2"/>
  <c r="H903" i="2"/>
  <c r="I903" i="2"/>
  <c r="J903" i="2"/>
  <c r="K903" i="2"/>
  <c r="R903" i="2" s="1"/>
  <c r="L903" i="2"/>
  <c r="M903" i="2"/>
  <c r="N903" i="2"/>
  <c r="O903" i="2"/>
  <c r="P903" i="2"/>
  <c r="Q903" i="2"/>
  <c r="S903" i="2"/>
  <c r="T903" i="2"/>
  <c r="U903" i="2"/>
  <c r="X903" i="2"/>
  <c r="Y903" i="2"/>
  <c r="Z903" i="2"/>
  <c r="AA903" i="2"/>
  <c r="AB903" i="2"/>
  <c r="AC903" i="2"/>
  <c r="AD903" i="2"/>
  <c r="AE903" i="2"/>
  <c r="AF903" i="2"/>
  <c r="AG903" i="2"/>
  <c r="A904" i="2"/>
  <c r="B904" i="2"/>
  <c r="C904" i="2"/>
  <c r="D904" i="2"/>
  <c r="E904" i="2"/>
  <c r="F904" i="2"/>
  <c r="G904" i="2"/>
  <c r="H904" i="2"/>
  <c r="I904" i="2"/>
  <c r="J904" i="2"/>
  <c r="K904" i="2"/>
  <c r="X904" i="2" s="1"/>
  <c r="L904" i="2"/>
  <c r="M904" i="2"/>
  <c r="N904" i="2"/>
  <c r="O904" i="2"/>
  <c r="P904" i="2"/>
  <c r="S904" i="2"/>
  <c r="W904" i="2"/>
  <c r="Y904" i="2"/>
  <c r="Z904" i="2"/>
  <c r="AA904" i="2"/>
  <c r="AB904" i="2"/>
  <c r="AC904" i="2"/>
  <c r="AD904" i="2"/>
  <c r="AE904" i="2"/>
  <c r="AF904" i="2"/>
  <c r="AG904" i="2"/>
  <c r="A905" i="2"/>
  <c r="B905" i="2"/>
  <c r="C905" i="2"/>
  <c r="D905" i="2"/>
  <c r="E905" i="2"/>
  <c r="F905" i="2"/>
  <c r="G905" i="2"/>
  <c r="H905" i="2"/>
  <c r="I905" i="2"/>
  <c r="J905" i="2"/>
  <c r="K905" i="2"/>
  <c r="X905" i="2" s="1"/>
  <c r="L905" i="2"/>
  <c r="M905" i="2"/>
  <c r="N905" i="2"/>
  <c r="O905" i="2"/>
  <c r="P905" i="2"/>
  <c r="R905" i="2"/>
  <c r="S905" i="2"/>
  <c r="V905" i="2"/>
  <c r="W905" i="2"/>
  <c r="Y905" i="2"/>
  <c r="Z905" i="2"/>
  <c r="AA905" i="2"/>
  <c r="AB905" i="2"/>
  <c r="AC905" i="2"/>
  <c r="AD905" i="2"/>
  <c r="AE905" i="2"/>
  <c r="AF905" i="2"/>
  <c r="AG905" i="2"/>
  <c r="A906" i="2"/>
  <c r="B906" i="2"/>
  <c r="C906" i="2"/>
  <c r="D906" i="2"/>
  <c r="E906" i="2"/>
  <c r="F906" i="2"/>
  <c r="G906" i="2"/>
  <c r="H906" i="2"/>
  <c r="I906" i="2"/>
  <c r="J906" i="2"/>
  <c r="K906" i="2"/>
  <c r="W906" i="2" s="1"/>
  <c r="L906" i="2"/>
  <c r="M906" i="2"/>
  <c r="N906" i="2"/>
  <c r="O906" i="2"/>
  <c r="P906" i="2"/>
  <c r="Q906" i="2"/>
  <c r="R906" i="2"/>
  <c r="S906" i="2"/>
  <c r="T906" i="2"/>
  <c r="U906" i="2"/>
  <c r="V906" i="2"/>
  <c r="X906" i="2"/>
  <c r="Y906" i="2"/>
  <c r="Z906" i="2"/>
  <c r="AA906" i="2"/>
  <c r="AB906" i="2"/>
  <c r="AC906" i="2"/>
  <c r="AD906" i="2"/>
  <c r="AE906" i="2"/>
  <c r="AF906" i="2"/>
  <c r="AG906" i="2"/>
  <c r="A907" i="2"/>
  <c r="B907" i="2"/>
  <c r="C907" i="2"/>
  <c r="D907" i="2"/>
  <c r="E907" i="2"/>
  <c r="F907" i="2"/>
  <c r="G907" i="2"/>
  <c r="H907" i="2"/>
  <c r="I907" i="2"/>
  <c r="J907" i="2"/>
  <c r="K907" i="2"/>
  <c r="V907" i="2" s="1"/>
  <c r="L907" i="2"/>
  <c r="M907" i="2"/>
  <c r="N907" i="2"/>
  <c r="O907" i="2"/>
  <c r="P907" i="2"/>
  <c r="Q907" i="2"/>
  <c r="R907" i="2"/>
  <c r="S907" i="2"/>
  <c r="T907" i="2"/>
  <c r="U907" i="2"/>
  <c r="W907" i="2"/>
  <c r="X907" i="2"/>
  <c r="Y907" i="2"/>
  <c r="Z907" i="2"/>
  <c r="AA907" i="2"/>
  <c r="AB907" i="2"/>
  <c r="AC907" i="2"/>
  <c r="AD907" i="2"/>
  <c r="AE907" i="2"/>
  <c r="AF907" i="2"/>
  <c r="AG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M908" i="2"/>
  <c r="N908" i="2"/>
  <c r="O908" i="2"/>
  <c r="P908" i="2"/>
  <c r="S908" i="2"/>
  <c r="Y908" i="2"/>
  <c r="Z908" i="2"/>
  <c r="AA908" i="2"/>
  <c r="AB908" i="2"/>
  <c r="AC908" i="2"/>
  <c r="AD908" i="2"/>
  <c r="AE908" i="2"/>
  <c r="AF908" i="2"/>
  <c r="AG908" i="2"/>
  <c r="A909" i="2"/>
  <c r="B909" i="2"/>
  <c r="C909" i="2"/>
  <c r="D909" i="2"/>
  <c r="E909" i="2"/>
  <c r="F909" i="2"/>
  <c r="G909" i="2"/>
  <c r="H909" i="2"/>
  <c r="I909" i="2"/>
  <c r="J909" i="2"/>
  <c r="K909" i="2"/>
  <c r="T909" i="2" s="1"/>
  <c r="L909" i="2"/>
  <c r="M909" i="2"/>
  <c r="N909" i="2"/>
  <c r="O909" i="2"/>
  <c r="P909" i="2"/>
  <c r="R909" i="2"/>
  <c r="S909" i="2"/>
  <c r="V909" i="2"/>
  <c r="Y909" i="2"/>
  <c r="Z909" i="2"/>
  <c r="AA909" i="2"/>
  <c r="AB909" i="2"/>
  <c r="AC909" i="2"/>
  <c r="AD909" i="2"/>
  <c r="AE909" i="2"/>
  <c r="AF909" i="2"/>
  <c r="AG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M910" i="2"/>
  <c r="N910" i="2"/>
  <c r="O910" i="2"/>
  <c r="P910" i="2"/>
  <c r="Q910" i="2"/>
  <c r="R910" i="2"/>
  <c r="S910" i="2"/>
  <c r="T910" i="2"/>
  <c r="U910" i="2"/>
  <c r="V910" i="2"/>
  <c r="W910" i="2"/>
  <c r="X910" i="2"/>
  <c r="Y910" i="2"/>
  <c r="Z910" i="2"/>
  <c r="AA910" i="2"/>
  <c r="AB910" i="2"/>
  <c r="AC910" i="2"/>
  <c r="AD910" i="2"/>
  <c r="AE910" i="2"/>
  <c r="AF910" i="2"/>
  <c r="AG910" i="2"/>
  <c r="A911" i="2"/>
  <c r="B911" i="2"/>
  <c r="C911" i="2"/>
  <c r="D911" i="2"/>
  <c r="E911" i="2"/>
  <c r="F911" i="2"/>
  <c r="G911" i="2"/>
  <c r="H911" i="2"/>
  <c r="I911" i="2"/>
  <c r="J911" i="2"/>
  <c r="K911" i="2"/>
  <c r="R911" i="2" s="1"/>
  <c r="L911" i="2"/>
  <c r="M911" i="2"/>
  <c r="N911" i="2"/>
  <c r="O911" i="2"/>
  <c r="P911" i="2"/>
  <c r="Q911" i="2"/>
  <c r="S911" i="2"/>
  <c r="T911" i="2"/>
  <c r="U911" i="2"/>
  <c r="X911" i="2"/>
  <c r="Y911" i="2"/>
  <c r="Z911" i="2"/>
  <c r="AA911" i="2"/>
  <c r="AB911" i="2"/>
  <c r="AC911" i="2"/>
  <c r="AD911" i="2"/>
  <c r="AE911" i="2"/>
  <c r="AF911" i="2"/>
  <c r="AG911" i="2"/>
  <c r="A912" i="2"/>
  <c r="B912" i="2"/>
  <c r="C912" i="2"/>
  <c r="D912" i="2"/>
  <c r="E912" i="2"/>
  <c r="F912" i="2"/>
  <c r="G912" i="2"/>
  <c r="H912" i="2"/>
  <c r="I912" i="2"/>
  <c r="J912" i="2"/>
  <c r="K912" i="2"/>
  <c r="X912" i="2" s="1"/>
  <c r="L912" i="2"/>
  <c r="M912" i="2"/>
  <c r="N912" i="2"/>
  <c r="O912" i="2"/>
  <c r="P912" i="2"/>
  <c r="S912" i="2"/>
  <c r="W912" i="2"/>
  <c r="Y912" i="2"/>
  <c r="Z912" i="2"/>
  <c r="AA912" i="2"/>
  <c r="AB912" i="2"/>
  <c r="AC912" i="2"/>
  <c r="AD912" i="2"/>
  <c r="AE912" i="2"/>
  <c r="AF912" i="2"/>
  <c r="AG912" i="2"/>
  <c r="A913" i="2"/>
  <c r="B913" i="2"/>
  <c r="C913" i="2"/>
  <c r="D913" i="2"/>
  <c r="E913" i="2"/>
  <c r="F913" i="2"/>
  <c r="G913" i="2"/>
  <c r="H913" i="2"/>
  <c r="I913" i="2"/>
  <c r="J913" i="2"/>
  <c r="K913" i="2"/>
  <c r="X913" i="2" s="1"/>
  <c r="L913" i="2"/>
  <c r="M913" i="2"/>
  <c r="N913" i="2"/>
  <c r="O913" i="2"/>
  <c r="P913" i="2"/>
  <c r="R913" i="2"/>
  <c r="S913" i="2"/>
  <c r="V913" i="2"/>
  <c r="W913" i="2"/>
  <c r="Y913" i="2"/>
  <c r="Z913" i="2"/>
  <c r="AA913" i="2"/>
  <c r="AB913" i="2"/>
  <c r="AC913" i="2"/>
  <c r="AD913" i="2"/>
  <c r="AE913" i="2"/>
  <c r="AF913" i="2"/>
  <c r="AG913" i="2"/>
  <c r="A914" i="2"/>
  <c r="B914" i="2"/>
  <c r="C914" i="2"/>
  <c r="D914" i="2"/>
  <c r="E914" i="2"/>
  <c r="F914" i="2"/>
  <c r="G914" i="2"/>
  <c r="H914" i="2"/>
  <c r="I914" i="2"/>
  <c r="J914" i="2"/>
  <c r="K914" i="2"/>
  <c r="W914" i="2" s="1"/>
  <c r="L914" i="2"/>
  <c r="M914" i="2"/>
  <c r="N914" i="2"/>
  <c r="O914" i="2"/>
  <c r="P914" i="2"/>
  <c r="Q914" i="2"/>
  <c r="R914" i="2"/>
  <c r="S914" i="2"/>
  <c r="U914" i="2"/>
  <c r="V914" i="2"/>
  <c r="X914" i="2"/>
  <c r="Y914" i="2"/>
  <c r="Z914" i="2"/>
  <c r="AA914" i="2"/>
  <c r="AB914" i="2"/>
  <c r="AC914" i="2"/>
  <c r="AD914" i="2"/>
  <c r="AE914" i="2"/>
  <c r="AF914" i="2"/>
  <c r="AG914" i="2"/>
  <c r="A915" i="2"/>
  <c r="B915" i="2"/>
  <c r="C915" i="2"/>
  <c r="D915" i="2"/>
  <c r="E915" i="2"/>
  <c r="F915" i="2"/>
  <c r="G915" i="2"/>
  <c r="H915" i="2"/>
  <c r="I915" i="2"/>
  <c r="J915" i="2"/>
  <c r="K915" i="2"/>
  <c r="V915" i="2" s="1"/>
  <c r="L915" i="2"/>
  <c r="M915" i="2"/>
  <c r="N915" i="2"/>
  <c r="O915" i="2"/>
  <c r="P915" i="2"/>
  <c r="Q915" i="2"/>
  <c r="R915" i="2"/>
  <c r="S915" i="2"/>
  <c r="T915" i="2"/>
  <c r="U915" i="2"/>
  <c r="W915" i="2"/>
  <c r="X915" i="2"/>
  <c r="Y915" i="2"/>
  <c r="Z915" i="2"/>
  <c r="AA915" i="2"/>
  <c r="AB915" i="2"/>
  <c r="AC915" i="2"/>
  <c r="AD915" i="2"/>
  <c r="AE915" i="2"/>
  <c r="AF915" i="2"/>
  <c r="AG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M916" i="2"/>
  <c r="N916" i="2"/>
  <c r="O916" i="2"/>
  <c r="P916" i="2"/>
  <c r="S916" i="2"/>
  <c r="Y916" i="2"/>
  <c r="Z916" i="2"/>
  <c r="AA916" i="2"/>
  <c r="AB916" i="2"/>
  <c r="AC916" i="2"/>
  <c r="AD916" i="2"/>
  <c r="AE916" i="2"/>
  <c r="AF916" i="2"/>
  <c r="AG916" i="2"/>
  <c r="A917" i="2"/>
  <c r="B917" i="2"/>
  <c r="C917" i="2"/>
  <c r="D917" i="2"/>
  <c r="E917" i="2"/>
  <c r="F917" i="2"/>
  <c r="G917" i="2"/>
  <c r="H917" i="2"/>
  <c r="I917" i="2"/>
  <c r="J917" i="2"/>
  <c r="K917" i="2"/>
  <c r="T917" i="2" s="1"/>
  <c r="L917" i="2"/>
  <c r="M917" i="2"/>
  <c r="N917" i="2"/>
  <c r="O917" i="2"/>
  <c r="P917" i="2"/>
  <c r="R917" i="2"/>
  <c r="S917" i="2"/>
  <c r="V917" i="2"/>
  <c r="Y917" i="2"/>
  <c r="Z917" i="2"/>
  <c r="AA917" i="2"/>
  <c r="AB917" i="2"/>
  <c r="AC917" i="2"/>
  <c r="AD917" i="2"/>
  <c r="AE917" i="2"/>
  <c r="AF917" i="2"/>
  <c r="AG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M918" i="2"/>
  <c r="N918" i="2"/>
  <c r="O918" i="2"/>
  <c r="P918" i="2"/>
  <c r="Q918" i="2"/>
  <c r="R918" i="2"/>
  <c r="S918" i="2"/>
  <c r="T918" i="2"/>
  <c r="U918" i="2"/>
  <c r="V918" i="2"/>
  <c r="W918" i="2"/>
  <c r="X918" i="2"/>
  <c r="Y918" i="2"/>
  <c r="Z918" i="2"/>
  <c r="AA918" i="2"/>
  <c r="AB918" i="2"/>
  <c r="AC918" i="2"/>
  <c r="AD918" i="2"/>
  <c r="AE918" i="2"/>
  <c r="AF918" i="2"/>
  <c r="AG918" i="2"/>
  <c r="A919" i="2"/>
  <c r="B919" i="2"/>
  <c r="C919" i="2"/>
  <c r="D919" i="2"/>
  <c r="E919" i="2"/>
  <c r="F919" i="2"/>
  <c r="G919" i="2"/>
  <c r="H919" i="2"/>
  <c r="I919" i="2"/>
  <c r="J919" i="2"/>
  <c r="K919" i="2"/>
  <c r="R919" i="2" s="1"/>
  <c r="L919" i="2"/>
  <c r="M919" i="2"/>
  <c r="N919" i="2"/>
  <c r="O919" i="2"/>
  <c r="P919" i="2"/>
  <c r="Q919" i="2"/>
  <c r="S919" i="2"/>
  <c r="T919" i="2"/>
  <c r="U919" i="2"/>
  <c r="X919" i="2"/>
  <c r="Y919" i="2"/>
  <c r="Z919" i="2"/>
  <c r="AA919" i="2"/>
  <c r="AB919" i="2"/>
  <c r="AC919" i="2"/>
  <c r="AD919" i="2"/>
  <c r="AE919" i="2"/>
  <c r="AF919" i="2"/>
  <c r="AG919" i="2"/>
  <c r="A920" i="2"/>
  <c r="B920" i="2"/>
  <c r="C920" i="2"/>
  <c r="D920" i="2"/>
  <c r="E920" i="2"/>
  <c r="F920" i="2"/>
  <c r="G920" i="2"/>
  <c r="H920" i="2"/>
  <c r="I920" i="2"/>
  <c r="J920" i="2"/>
  <c r="K920" i="2"/>
  <c r="X920" i="2" s="1"/>
  <c r="L920" i="2"/>
  <c r="M920" i="2"/>
  <c r="N920" i="2"/>
  <c r="O920" i="2"/>
  <c r="P920" i="2"/>
  <c r="S920" i="2"/>
  <c r="W920" i="2"/>
  <c r="Y920" i="2"/>
  <c r="Z920" i="2"/>
  <c r="AA920" i="2"/>
  <c r="AB920" i="2"/>
  <c r="AC920" i="2"/>
  <c r="AD920" i="2"/>
  <c r="AE920" i="2"/>
  <c r="AF920" i="2"/>
  <c r="AG920" i="2"/>
  <c r="A921" i="2"/>
  <c r="B921" i="2"/>
  <c r="C921" i="2"/>
  <c r="D921" i="2"/>
  <c r="E921" i="2"/>
  <c r="F921" i="2"/>
  <c r="G921" i="2"/>
  <c r="H921" i="2"/>
  <c r="I921" i="2"/>
  <c r="J921" i="2"/>
  <c r="K921" i="2"/>
  <c r="X921" i="2" s="1"/>
  <c r="L921" i="2"/>
  <c r="M921" i="2"/>
  <c r="N921" i="2"/>
  <c r="O921" i="2"/>
  <c r="P921" i="2"/>
  <c r="R921" i="2"/>
  <c r="S921" i="2"/>
  <c r="V921" i="2"/>
  <c r="W921" i="2"/>
  <c r="Y921" i="2"/>
  <c r="Z921" i="2"/>
  <c r="AA921" i="2"/>
  <c r="AB921" i="2"/>
  <c r="AC921" i="2"/>
  <c r="AD921" i="2"/>
  <c r="AE921" i="2"/>
  <c r="AF921" i="2"/>
  <c r="AG921" i="2"/>
  <c r="A922" i="2"/>
  <c r="B922" i="2"/>
  <c r="C922" i="2"/>
  <c r="D922" i="2"/>
  <c r="E922" i="2"/>
  <c r="F922" i="2"/>
  <c r="G922" i="2"/>
  <c r="H922" i="2"/>
  <c r="I922" i="2"/>
  <c r="J922" i="2"/>
  <c r="K922" i="2"/>
  <c r="W922" i="2" s="1"/>
  <c r="L922" i="2"/>
  <c r="M922" i="2"/>
  <c r="N922" i="2"/>
  <c r="O922" i="2"/>
  <c r="P922" i="2"/>
  <c r="Q922" i="2"/>
  <c r="R922" i="2"/>
  <c r="S922" i="2"/>
  <c r="U922" i="2"/>
  <c r="V922" i="2"/>
  <c r="X922" i="2"/>
  <c r="Y922" i="2"/>
  <c r="Z922" i="2"/>
  <c r="AA922" i="2"/>
  <c r="AB922" i="2"/>
  <c r="AC922" i="2"/>
  <c r="AD922" i="2"/>
  <c r="AE922" i="2"/>
  <c r="AF922" i="2"/>
  <c r="AG922" i="2"/>
  <c r="A923" i="2"/>
  <c r="B923" i="2"/>
  <c r="C923" i="2"/>
  <c r="D923" i="2"/>
  <c r="E923" i="2"/>
  <c r="F923" i="2"/>
  <c r="G923" i="2"/>
  <c r="H923" i="2"/>
  <c r="I923" i="2"/>
  <c r="J923" i="2"/>
  <c r="K923" i="2"/>
  <c r="V923" i="2" s="1"/>
  <c r="L923" i="2"/>
  <c r="M923" i="2"/>
  <c r="N923" i="2"/>
  <c r="O923" i="2"/>
  <c r="P923" i="2"/>
  <c r="Q923" i="2"/>
  <c r="R923" i="2"/>
  <c r="S923" i="2"/>
  <c r="T923" i="2"/>
  <c r="U923" i="2"/>
  <c r="W923" i="2"/>
  <c r="X923" i="2"/>
  <c r="Y923" i="2"/>
  <c r="Z923" i="2"/>
  <c r="AA923" i="2"/>
  <c r="AB923" i="2"/>
  <c r="AC923" i="2"/>
  <c r="AD923" i="2"/>
  <c r="AE923" i="2"/>
  <c r="AF923" i="2"/>
  <c r="AG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M924" i="2"/>
  <c r="N924" i="2"/>
  <c r="O924" i="2"/>
  <c r="P924" i="2"/>
  <c r="Y924" i="2"/>
  <c r="Z924" i="2"/>
  <c r="AA924" i="2"/>
  <c r="AB924" i="2"/>
  <c r="AC924" i="2"/>
  <c r="AD924" i="2"/>
  <c r="AE924" i="2"/>
  <c r="AF924" i="2"/>
  <c r="AG924" i="2"/>
  <c r="A925" i="2"/>
  <c r="B925" i="2"/>
  <c r="C925" i="2"/>
  <c r="D925" i="2"/>
  <c r="E925" i="2"/>
  <c r="F925" i="2"/>
  <c r="G925" i="2"/>
  <c r="H925" i="2"/>
  <c r="I925" i="2"/>
  <c r="J925" i="2"/>
  <c r="K925" i="2"/>
  <c r="T925" i="2" s="1"/>
  <c r="L925" i="2"/>
  <c r="M925" i="2"/>
  <c r="N925" i="2"/>
  <c r="O925" i="2"/>
  <c r="P925" i="2"/>
  <c r="R925" i="2"/>
  <c r="S925" i="2"/>
  <c r="V925" i="2"/>
  <c r="Y925" i="2"/>
  <c r="Z925" i="2"/>
  <c r="AA925" i="2"/>
  <c r="AB925" i="2"/>
  <c r="AC925" i="2"/>
  <c r="AD925" i="2"/>
  <c r="AE925" i="2"/>
  <c r="AF925" i="2"/>
  <c r="AG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M926" i="2"/>
  <c r="N926" i="2"/>
  <c r="O926" i="2"/>
  <c r="P926" i="2"/>
  <c r="Q926" i="2"/>
  <c r="R926" i="2"/>
  <c r="S926" i="2"/>
  <c r="T926" i="2"/>
  <c r="U926" i="2"/>
  <c r="V926" i="2"/>
  <c r="W926" i="2"/>
  <c r="X926" i="2"/>
  <c r="Y926" i="2"/>
  <c r="Z926" i="2"/>
  <c r="AA926" i="2"/>
  <c r="AB926" i="2"/>
  <c r="AC926" i="2"/>
  <c r="AD926" i="2"/>
  <c r="AE926" i="2"/>
  <c r="AF926" i="2"/>
  <c r="AG926" i="2"/>
  <c r="A927" i="2"/>
  <c r="B927" i="2"/>
  <c r="C927" i="2"/>
  <c r="D927" i="2"/>
  <c r="E927" i="2"/>
  <c r="F927" i="2"/>
  <c r="G927" i="2"/>
  <c r="H927" i="2"/>
  <c r="I927" i="2"/>
  <c r="J927" i="2"/>
  <c r="K927" i="2"/>
  <c r="R927" i="2" s="1"/>
  <c r="L927" i="2"/>
  <c r="M927" i="2"/>
  <c r="N927" i="2"/>
  <c r="O927" i="2"/>
  <c r="P927" i="2"/>
  <c r="Q927" i="2"/>
  <c r="S927" i="2"/>
  <c r="T927" i="2"/>
  <c r="U927" i="2"/>
  <c r="X927" i="2"/>
  <c r="Y927" i="2"/>
  <c r="Z927" i="2"/>
  <c r="AA927" i="2"/>
  <c r="AB927" i="2"/>
  <c r="AC927" i="2"/>
  <c r="AD927" i="2"/>
  <c r="AE927" i="2"/>
  <c r="AF927" i="2"/>
  <c r="AG927" i="2"/>
  <c r="A928" i="2"/>
  <c r="B928" i="2"/>
  <c r="C928" i="2"/>
  <c r="D928" i="2"/>
  <c r="E928" i="2"/>
  <c r="F928" i="2"/>
  <c r="G928" i="2"/>
  <c r="H928" i="2"/>
  <c r="I928" i="2"/>
  <c r="J928" i="2"/>
  <c r="K928" i="2"/>
  <c r="X928" i="2" s="1"/>
  <c r="L928" i="2"/>
  <c r="M928" i="2"/>
  <c r="N928" i="2"/>
  <c r="O928" i="2"/>
  <c r="P928" i="2"/>
  <c r="S928" i="2"/>
  <c r="W928" i="2"/>
  <c r="Y928" i="2"/>
  <c r="Z928" i="2"/>
  <c r="AA928" i="2"/>
  <c r="AB928" i="2"/>
  <c r="AC928" i="2"/>
  <c r="AD928" i="2"/>
  <c r="AE928" i="2"/>
  <c r="AF928" i="2"/>
  <c r="AG928" i="2"/>
  <c r="A929" i="2"/>
  <c r="B929" i="2"/>
  <c r="C929" i="2"/>
  <c r="D929" i="2"/>
  <c r="E929" i="2"/>
  <c r="F929" i="2"/>
  <c r="G929" i="2"/>
  <c r="H929" i="2"/>
  <c r="I929" i="2"/>
  <c r="J929" i="2"/>
  <c r="K929" i="2"/>
  <c r="X929" i="2" s="1"/>
  <c r="L929" i="2"/>
  <c r="M929" i="2"/>
  <c r="N929" i="2"/>
  <c r="O929" i="2"/>
  <c r="P929" i="2"/>
  <c r="R929" i="2"/>
  <c r="S929" i="2"/>
  <c r="V929" i="2"/>
  <c r="W929" i="2"/>
  <c r="Y929" i="2"/>
  <c r="Z929" i="2"/>
  <c r="AA929" i="2"/>
  <c r="AB929" i="2"/>
  <c r="AC929" i="2"/>
  <c r="AD929" i="2"/>
  <c r="AE929" i="2"/>
  <c r="AF929" i="2"/>
  <c r="AG929" i="2"/>
  <c r="A930" i="2"/>
  <c r="B930" i="2"/>
  <c r="C930" i="2"/>
  <c r="D930" i="2"/>
  <c r="E930" i="2"/>
  <c r="F930" i="2"/>
  <c r="G930" i="2"/>
  <c r="H930" i="2"/>
  <c r="I930" i="2"/>
  <c r="J930" i="2"/>
  <c r="K930" i="2"/>
  <c r="W930" i="2" s="1"/>
  <c r="L930" i="2"/>
  <c r="M930" i="2"/>
  <c r="N930" i="2"/>
  <c r="O930" i="2"/>
  <c r="P930" i="2"/>
  <c r="Q930" i="2"/>
  <c r="R930" i="2"/>
  <c r="S930" i="2"/>
  <c r="U930" i="2"/>
  <c r="V930" i="2"/>
  <c r="X930" i="2"/>
  <c r="Y930" i="2"/>
  <c r="Z930" i="2"/>
  <c r="AA930" i="2"/>
  <c r="AB930" i="2"/>
  <c r="AC930" i="2"/>
  <c r="AD930" i="2"/>
  <c r="AE930" i="2"/>
  <c r="AF930" i="2"/>
  <c r="AG930" i="2"/>
  <c r="A931" i="2"/>
  <c r="B931" i="2"/>
  <c r="C931" i="2"/>
  <c r="D931" i="2"/>
  <c r="E931" i="2"/>
  <c r="F931" i="2"/>
  <c r="G931" i="2"/>
  <c r="H931" i="2"/>
  <c r="I931" i="2"/>
  <c r="J931" i="2"/>
  <c r="K931" i="2"/>
  <c r="V931" i="2" s="1"/>
  <c r="L931" i="2"/>
  <c r="M931" i="2"/>
  <c r="N931" i="2"/>
  <c r="O931" i="2"/>
  <c r="P931" i="2"/>
  <c r="Q931" i="2"/>
  <c r="R931" i="2"/>
  <c r="S931" i="2"/>
  <c r="T931" i="2"/>
  <c r="U931" i="2"/>
  <c r="W931" i="2"/>
  <c r="X931" i="2"/>
  <c r="Y931" i="2"/>
  <c r="Z931" i="2"/>
  <c r="AA931" i="2"/>
  <c r="AB931" i="2"/>
  <c r="AC931" i="2"/>
  <c r="AD931" i="2"/>
  <c r="AE931" i="2"/>
  <c r="AF931" i="2"/>
  <c r="AG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M932" i="2"/>
  <c r="N932" i="2"/>
  <c r="O932" i="2"/>
  <c r="P932" i="2"/>
  <c r="S932" i="2"/>
  <c r="Y932" i="2"/>
  <c r="Z932" i="2"/>
  <c r="AA932" i="2"/>
  <c r="AB932" i="2"/>
  <c r="AC932" i="2"/>
  <c r="AD932" i="2"/>
  <c r="AE932" i="2"/>
  <c r="AF932" i="2"/>
  <c r="AG932" i="2"/>
  <c r="A933" i="2"/>
  <c r="B933" i="2"/>
  <c r="C933" i="2"/>
  <c r="D933" i="2"/>
  <c r="E933" i="2"/>
  <c r="F933" i="2"/>
  <c r="G933" i="2"/>
  <c r="H933" i="2"/>
  <c r="I933" i="2"/>
  <c r="J933" i="2"/>
  <c r="K933" i="2"/>
  <c r="T933" i="2" s="1"/>
  <c r="L933" i="2"/>
  <c r="M933" i="2"/>
  <c r="N933" i="2"/>
  <c r="O933" i="2"/>
  <c r="P933" i="2"/>
  <c r="R933" i="2"/>
  <c r="S933" i="2"/>
  <c r="V933" i="2"/>
  <c r="Y933" i="2"/>
  <c r="Z933" i="2"/>
  <c r="AA933" i="2"/>
  <c r="AB933" i="2"/>
  <c r="AC933" i="2"/>
  <c r="AD933" i="2"/>
  <c r="AE933" i="2"/>
  <c r="AF933" i="2"/>
  <c r="AG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M934" i="2"/>
  <c r="N934" i="2"/>
  <c r="O934" i="2"/>
  <c r="P934" i="2"/>
  <c r="Q934" i="2"/>
  <c r="R934" i="2"/>
  <c r="S934" i="2"/>
  <c r="T934" i="2"/>
  <c r="U934" i="2"/>
  <c r="V934" i="2"/>
  <c r="W934" i="2"/>
  <c r="X934" i="2"/>
  <c r="Y934" i="2"/>
  <c r="Z934" i="2"/>
  <c r="AA934" i="2"/>
  <c r="AB934" i="2"/>
  <c r="AC934" i="2"/>
  <c r="AD934" i="2"/>
  <c r="AE934" i="2"/>
  <c r="AF934" i="2"/>
  <c r="AG934" i="2"/>
  <c r="A935" i="2"/>
  <c r="B935" i="2"/>
  <c r="C935" i="2"/>
  <c r="D935" i="2"/>
  <c r="E935" i="2"/>
  <c r="F935" i="2"/>
  <c r="G935" i="2"/>
  <c r="H935" i="2"/>
  <c r="I935" i="2"/>
  <c r="J935" i="2"/>
  <c r="K935" i="2"/>
  <c r="R935" i="2" s="1"/>
  <c r="L935" i="2"/>
  <c r="M935" i="2"/>
  <c r="N935" i="2"/>
  <c r="O935" i="2"/>
  <c r="P935" i="2"/>
  <c r="Q935" i="2"/>
  <c r="S935" i="2"/>
  <c r="T935" i="2"/>
  <c r="U935" i="2"/>
  <c r="X935" i="2"/>
  <c r="Y935" i="2"/>
  <c r="Z935" i="2"/>
  <c r="AA935" i="2"/>
  <c r="AB935" i="2"/>
  <c r="AC935" i="2"/>
  <c r="AD935" i="2"/>
  <c r="AE935" i="2"/>
  <c r="AF935" i="2"/>
  <c r="AG935" i="2"/>
  <c r="A936" i="2"/>
  <c r="B936" i="2"/>
  <c r="C936" i="2"/>
  <c r="D936" i="2"/>
  <c r="E936" i="2"/>
  <c r="F936" i="2"/>
  <c r="G936" i="2"/>
  <c r="H936" i="2"/>
  <c r="I936" i="2"/>
  <c r="J936" i="2"/>
  <c r="K936" i="2"/>
  <c r="X936" i="2" s="1"/>
  <c r="L936" i="2"/>
  <c r="M936" i="2"/>
  <c r="N936" i="2"/>
  <c r="O936" i="2"/>
  <c r="P936" i="2"/>
  <c r="S936" i="2"/>
  <c r="W936" i="2"/>
  <c r="Y936" i="2"/>
  <c r="Z936" i="2"/>
  <c r="AA936" i="2"/>
  <c r="AB936" i="2"/>
  <c r="AC936" i="2"/>
  <c r="AD936" i="2"/>
  <c r="AE936" i="2"/>
  <c r="AF936" i="2"/>
  <c r="AG936" i="2"/>
  <c r="A937" i="2"/>
  <c r="B937" i="2"/>
  <c r="C937" i="2"/>
  <c r="D937" i="2"/>
  <c r="E937" i="2"/>
  <c r="F937" i="2"/>
  <c r="G937" i="2"/>
  <c r="H937" i="2"/>
  <c r="I937" i="2"/>
  <c r="J937" i="2"/>
  <c r="K937" i="2"/>
  <c r="X937" i="2" s="1"/>
  <c r="L937" i="2"/>
  <c r="M937" i="2"/>
  <c r="N937" i="2"/>
  <c r="O937" i="2"/>
  <c r="P937" i="2"/>
  <c r="R937" i="2"/>
  <c r="S937" i="2"/>
  <c r="V937" i="2"/>
  <c r="W937" i="2"/>
  <c r="Y937" i="2"/>
  <c r="Z937" i="2"/>
  <c r="AA937" i="2"/>
  <c r="AB937" i="2"/>
  <c r="AC937" i="2"/>
  <c r="AD937" i="2"/>
  <c r="AE937" i="2"/>
  <c r="AF937" i="2"/>
  <c r="AG937" i="2"/>
  <c r="A938" i="2"/>
  <c r="B938" i="2"/>
  <c r="C938" i="2"/>
  <c r="D938" i="2"/>
  <c r="E938" i="2"/>
  <c r="F938" i="2"/>
  <c r="G938" i="2"/>
  <c r="H938" i="2"/>
  <c r="I938" i="2"/>
  <c r="J938" i="2"/>
  <c r="K938" i="2"/>
  <c r="W938" i="2" s="1"/>
  <c r="L938" i="2"/>
  <c r="M938" i="2"/>
  <c r="N938" i="2"/>
  <c r="O938" i="2"/>
  <c r="P938" i="2"/>
  <c r="Q938" i="2"/>
  <c r="R938" i="2"/>
  <c r="S938" i="2"/>
  <c r="U938" i="2"/>
  <c r="V938" i="2"/>
  <c r="X938" i="2"/>
  <c r="Y938" i="2"/>
  <c r="Z938" i="2"/>
  <c r="AA938" i="2"/>
  <c r="AB938" i="2"/>
  <c r="AC938" i="2"/>
  <c r="AD938" i="2"/>
  <c r="AE938" i="2"/>
  <c r="AF938" i="2"/>
  <c r="AG938" i="2"/>
  <c r="A939" i="2"/>
  <c r="B939" i="2"/>
  <c r="C939" i="2"/>
  <c r="D939" i="2"/>
  <c r="E939" i="2"/>
  <c r="F939" i="2"/>
  <c r="G939" i="2"/>
  <c r="H939" i="2"/>
  <c r="I939" i="2"/>
  <c r="J939" i="2"/>
  <c r="K939" i="2"/>
  <c r="V939" i="2" s="1"/>
  <c r="L939" i="2"/>
  <c r="M939" i="2"/>
  <c r="N939" i="2"/>
  <c r="O939" i="2"/>
  <c r="P939" i="2"/>
  <c r="Q939" i="2"/>
  <c r="R939" i="2"/>
  <c r="S939" i="2"/>
  <c r="T939" i="2"/>
  <c r="U939" i="2"/>
  <c r="W939" i="2"/>
  <c r="X939" i="2"/>
  <c r="Y939" i="2"/>
  <c r="Z939" i="2"/>
  <c r="AA939" i="2"/>
  <c r="AB939" i="2"/>
  <c r="AC939" i="2"/>
  <c r="AD939" i="2"/>
  <c r="AE939" i="2"/>
  <c r="AF939" i="2"/>
  <c r="AG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M940" i="2"/>
  <c r="N940" i="2"/>
  <c r="O940" i="2"/>
  <c r="P940" i="2"/>
  <c r="Y940" i="2"/>
  <c r="Z940" i="2"/>
  <c r="AA940" i="2"/>
  <c r="AB940" i="2"/>
  <c r="AC940" i="2"/>
  <c r="AD940" i="2"/>
  <c r="AE940" i="2"/>
  <c r="AF940" i="2"/>
  <c r="AG940" i="2"/>
  <c r="A941" i="2"/>
  <c r="B941" i="2"/>
  <c r="C941" i="2"/>
  <c r="D941" i="2"/>
  <c r="E941" i="2"/>
  <c r="F941" i="2"/>
  <c r="G941" i="2"/>
  <c r="H941" i="2"/>
  <c r="I941" i="2"/>
  <c r="J941" i="2"/>
  <c r="K941" i="2"/>
  <c r="T941" i="2" s="1"/>
  <c r="L941" i="2"/>
  <c r="M941" i="2"/>
  <c r="N941" i="2"/>
  <c r="O941" i="2"/>
  <c r="P941" i="2"/>
  <c r="R941" i="2"/>
  <c r="S941" i="2"/>
  <c r="V941" i="2"/>
  <c r="Y941" i="2"/>
  <c r="Z941" i="2"/>
  <c r="AA941" i="2"/>
  <c r="AB941" i="2"/>
  <c r="AC941" i="2"/>
  <c r="AD941" i="2"/>
  <c r="AE941" i="2"/>
  <c r="AF941" i="2"/>
  <c r="AG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M942" i="2"/>
  <c r="N942" i="2"/>
  <c r="O942" i="2"/>
  <c r="P942" i="2"/>
  <c r="Q942" i="2"/>
  <c r="R942" i="2"/>
  <c r="S942" i="2"/>
  <c r="T942" i="2"/>
  <c r="U942" i="2"/>
  <c r="V942" i="2"/>
  <c r="W942" i="2"/>
  <c r="X942" i="2"/>
  <c r="Y942" i="2"/>
  <c r="Z942" i="2"/>
  <c r="AA942" i="2"/>
  <c r="AB942" i="2"/>
  <c r="AC942" i="2"/>
  <c r="AD942" i="2"/>
  <c r="AE942" i="2"/>
  <c r="AF942" i="2"/>
  <c r="AG942" i="2"/>
  <c r="A943" i="2"/>
  <c r="B943" i="2"/>
  <c r="C943" i="2"/>
  <c r="D943" i="2"/>
  <c r="E943" i="2"/>
  <c r="F943" i="2"/>
  <c r="G943" i="2"/>
  <c r="H943" i="2"/>
  <c r="I943" i="2"/>
  <c r="J943" i="2"/>
  <c r="K943" i="2"/>
  <c r="R943" i="2" s="1"/>
  <c r="L943" i="2"/>
  <c r="M943" i="2"/>
  <c r="N943" i="2"/>
  <c r="O943" i="2"/>
  <c r="P943" i="2"/>
  <c r="Q943" i="2"/>
  <c r="S943" i="2"/>
  <c r="T943" i="2"/>
  <c r="U943" i="2"/>
  <c r="X943" i="2"/>
  <c r="Y943" i="2"/>
  <c r="Z943" i="2"/>
  <c r="AA943" i="2"/>
  <c r="AB943" i="2"/>
  <c r="AC943" i="2"/>
  <c r="AD943" i="2"/>
  <c r="AE943" i="2"/>
  <c r="AF943" i="2"/>
  <c r="AG943" i="2"/>
  <c r="A944" i="2"/>
  <c r="B944" i="2"/>
  <c r="C944" i="2"/>
  <c r="D944" i="2"/>
  <c r="E944" i="2"/>
  <c r="F944" i="2"/>
  <c r="G944" i="2"/>
  <c r="H944" i="2"/>
  <c r="I944" i="2"/>
  <c r="J944" i="2"/>
  <c r="K944" i="2"/>
  <c r="X944" i="2" s="1"/>
  <c r="L944" i="2"/>
  <c r="M944" i="2"/>
  <c r="N944" i="2"/>
  <c r="O944" i="2"/>
  <c r="P944" i="2"/>
  <c r="S944" i="2"/>
  <c r="W944" i="2"/>
  <c r="Y944" i="2"/>
  <c r="Z944" i="2"/>
  <c r="AA944" i="2"/>
  <c r="AB944" i="2"/>
  <c r="AC944" i="2"/>
  <c r="AD944" i="2"/>
  <c r="AE944" i="2"/>
  <c r="AF944" i="2"/>
  <c r="AG944" i="2"/>
  <c r="A945" i="2"/>
  <c r="B945" i="2"/>
  <c r="C945" i="2"/>
  <c r="D945" i="2"/>
  <c r="E945" i="2"/>
  <c r="F945" i="2"/>
  <c r="G945" i="2"/>
  <c r="H945" i="2"/>
  <c r="I945" i="2"/>
  <c r="J945" i="2"/>
  <c r="K945" i="2"/>
  <c r="X945" i="2" s="1"/>
  <c r="L945" i="2"/>
  <c r="M945" i="2"/>
  <c r="N945" i="2"/>
  <c r="O945" i="2"/>
  <c r="P945" i="2"/>
  <c r="R945" i="2"/>
  <c r="S945" i="2"/>
  <c r="V945" i="2"/>
  <c r="W945" i="2"/>
  <c r="Y945" i="2"/>
  <c r="Z945" i="2"/>
  <c r="AA945" i="2"/>
  <c r="AB945" i="2"/>
  <c r="AC945" i="2"/>
  <c r="AD945" i="2"/>
  <c r="AE945" i="2"/>
  <c r="AF945" i="2"/>
  <c r="AG945" i="2"/>
  <c r="A946" i="2"/>
  <c r="B946" i="2"/>
  <c r="C946" i="2"/>
  <c r="D946" i="2"/>
  <c r="E946" i="2"/>
  <c r="F946" i="2"/>
  <c r="G946" i="2"/>
  <c r="H946" i="2"/>
  <c r="I946" i="2"/>
  <c r="J946" i="2"/>
  <c r="K946" i="2"/>
  <c r="W946" i="2" s="1"/>
  <c r="L946" i="2"/>
  <c r="M946" i="2"/>
  <c r="N946" i="2"/>
  <c r="O946" i="2"/>
  <c r="P946" i="2"/>
  <c r="Q946" i="2"/>
  <c r="R946" i="2"/>
  <c r="S946" i="2"/>
  <c r="U946" i="2"/>
  <c r="V946" i="2"/>
  <c r="X946" i="2"/>
  <c r="Y946" i="2"/>
  <c r="Z946" i="2"/>
  <c r="AA946" i="2"/>
  <c r="AB946" i="2"/>
  <c r="AC946" i="2"/>
  <c r="AD946" i="2"/>
  <c r="AE946" i="2"/>
  <c r="AF946" i="2"/>
  <c r="AG946" i="2"/>
  <c r="A947" i="2"/>
  <c r="B947" i="2"/>
  <c r="C947" i="2"/>
  <c r="D947" i="2"/>
  <c r="E947" i="2"/>
  <c r="F947" i="2"/>
  <c r="G947" i="2"/>
  <c r="H947" i="2"/>
  <c r="I947" i="2"/>
  <c r="J947" i="2"/>
  <c r="K947" i="2"/>
  <c r="V947" i="2" s="1"/>
  <c r="L947" i="2"/>
  <c r="M947" i="2"/>
  <c r="N947" i="2"/>
  <c r="O947" i="2"/>
  <c r="P947" i="2"/>
  <c r="Q947" i="2"/>
  <c r="R947" i="2"/>
  <c r="S947" i="2"/>
  <c r="T947" i="2"/>
  <c r="U947" i="2"/>
  <c r="W947" i="2"/>
  <c r="X947" i="2"/>
  <c r="Y947" i="2"/>
  <c r="Z947" i="2"/>
  <c r="AA947" i="2"/>
  <c r="AB947" i="2"/>
  <c r="AC947" i="2"/>
  <c r="AD947" i="2"/>
  <c r="AE947" i="2"/>
  <c r="AF947" i="2"/>
  <c r="AG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M948" i="2"/>
  <c r="N948" i="2"/>
  <c r="O948" i="2"/>
  <c r="P948" i="2"/>
  <c r="S948" i="2"/>
  <c r="Y948" i="2"/>
  <c r="Z948" i="2"/>
  <c r="AA948" i="2"/>
  <c r="AB948" i="2"/>
  <c r="AC948" i="2"/>
  <c r="AD948" i="2"/>
  <c r="AE948" i="2"/>
  <c r="AF948" i="2"/>
  <c r="AG948" i="2"/>
  <c r="A949" i="2"/>
  <c r="B949" i="2"/>
  <c r="C949" i="2"/>
  <c r="D949" i="2"/>
  <c r="E949" i="2"/>
  <c r="F949" i="2"/>
  <c r="G949" i="2"/>
  <c r="H949" i="2"/>
  <c r="I949" i="2"/>
  <c r="J949" i="2"/>
  <c r="K949" i="2"/>
  <c r="T949" i="2" s="1"/>
  <c r="L949" i="2"/>
  <c r="M949" i="2"/>
  <c r="N949" i="2"/>
  <c r="O949" i="2"/>
  <c r="P949" i="2"/>
  <c r="R949" i="2"/>
  <c r="S949" i="2"/>
  <c r="V949" i="2"/>
  <c r="Y949" i="2"/>
  <c r="Z949" i="2"/>
  <c r="AA949" i="2"/>
  <c r="AB949" i="2"/>
  <c r="AC949" i="2"/>
  <c r="AD949" i="2"/>
  <c r="AE949" i="2"/>
  <c r="AF949" i="2"/>
  <c r="AG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M950" i="2"/>
  <c r="N950" i="2"/>
  <c r="O950" i="2"/>
  <c r="P950" i="2"/>
  <c r="Q950" i="2"/>
  <c r="R950" i="2"/>
  <c r="S950" i="2"/>
  <c r="T950" i="2"/>
  <c r="U950" i="2"/>
  <c r="V950" i="2"/>
  <c r="W950" i="2"/>
  <c r="X950" i="2"/>
  <c r="Y950" i="2"/>
  <c r="Z950" i="2"/>
  <c r="AA950" i="2"/>
  <c r="AB950" i="2"/>
  <c r="AC950" i="2"/>
  <c r="AD950" i="2"/>
  <c r="AE950" i="2"/>
  <c r="AF950" i="2"/>
  <c r="AG950" i="2"/>
  <c r="A951" i="2"/>
  <c r="B951" i="2"/>
  <c r="C951" i="2"/>
  <c r="D951" i="2"/>
  <c r="E951" i="2"/>
  <c r="F951" i="2"/>
  <c r="G951" i="2"/>
  <c r="H951" i="2"/>
  <c r="I951" i="2"/>
  <c r="J951" i="2"/>
  <c r="K951" i="2"/>
  <c r="R951" i="2" s="1"/>
  <c r="L951" i="2"/>
  <c r="M951" i="2"/>
  <c r="N951" i="2"/>
  <c r="O951" i="2"/>
  <c r="P951" i="2"/>
  <c r="Q951" i="2"/>
  <c r="S951" i="2"/>
  <c r="T951" i="2"/>
  <c r="U951" i="2"/>
  <c r="X951" i="2"/>
  <c r="Y951" i="2"/>
  <c r="Z951" i="2"/>
  <c r="AA951" i="2"/>
  <c r="AB951" i="2"/>
  <c r="AC951" i="2"/>
  <c r="AD951" i="2"/>
  <c r="AE951" i="2"/>
  <c r="AF951" i="2"/>
  <c r="AG951" i="2"/>
  <c r="A952" i="2"/>
  <c r="B952" i="2"/>
  <c r="C952" i="2"/>
  <c r="D952" i="2"/>
  <c r="E952" i="2"/>
  <c r="F952" i="2"/>
  <c r="G952" i="2"/>
  <c r="H952" i="2"/>
  <c r="I952" i="2"/>
  <c r="J952" i="2"/>
  <c r="K952" i="2"/>
  <c r="X952" i="2" s="1"/>
  <c r="L952" i="2"/>
  <c r="M952" i="2"/>
  <c r="N952" i="2"/>
  <c r="O952" i="2"/>
  <c r="P952" i="2"/>
  <c r="S952" i="2"/>
  <c r="W952" i="2"/>
  <c r="Y952" i="2"/>
  <c r="Z952" i="2"/>
  <c r="AA952" i="2"/>
  <c r="AB952" i="2"/>
  <c r="AC952" i="2"/>
  <c r="AD952" i="2"/>
  <c r="AE952" i="2"/>
  <c r="AF952" i="2"/>
  <c r="AG952" i="2"/>
  <c r="A953" i="2"/>
  <c r="B953" i="2"/>
  <c r="C953" i="2"/>
  <c r="D953" i="2"/>
  <c r="E953" i="2"/>
  <c r="F953" i="2"/>
  <c r="G953" i="2"/>
  <c r="H953" i="2"/>
  <c r="I953" i="2"/>
  <c r="J953" i="2"/>
  <c r="K953" i="2"/>
  <c r="X953" i="2" s="1"/>
  <c r="L953" i="2"/>
  <c r="M953" i="2"/>
  <c r="N953" i="2"/>
  <c r="O953" i="2"/>
  <c r="P953" i="2"/>
  <c r="R953" i="2"/>
  <c r="S953" i="2"/>
  <c r="V953" i="2"/>
  <c r="W953" i="2"/>
  <c r="Y953" i="2"/>
  <c r="Z953" i="2"/>
  <c r="AA953" i="2"/>
  <c r="AB953" i="2"/>
  <c r="AC953" i="2"/>
  <c r="AD953" i="2"/>
  <c r="AE953" i="2"/>
  <c r="AF953" i="2"/>
  <c r="AG953" i="2"/>
  <c r="A954" i="2"/>
  <c r="B954" i="2"/>
  <c r="C954" i="2"/>
  <c r="D954" i="2"/>
  <c r="E954" i="2"/>
  <c r="F954" i="2"/>
  <c r="G954" i="2"/>
  <c r="H954" i="2"/>
  <c r="I954" i="2"/>
  <c r="J954" i="2"/>
  <c r="K954" i="2"/>
  <c r="W954" i="2" s="1"/>
  <c r="L954" i="2"/>
  <c r="M954" i="2"/>
  <c r="N954" i="2"/>
  <c r="O954" i="2"/>
  <c r="P954" i="2"/>
  <c r="Q954" i="2"/>
  <c r="R954" i="2"/>
  <c r="S954" i="2"/>
  <c r="U954" i="2"/>
  <c r="V954" i="2"/>
  <c r="X954" i="2"/>
  <c r="Y954" i="2"/>
  <c r="Z954" i="2"/>
  <c r="AA954" i="2"/>
  <c r="AB954" i="2"/>
  <c r="AC954" i="2"/>
  <c r="AD954" i="2"/>
  <c r="AE954" i="2"/>
  <c r="AF954" i="2"/>
  <c r="AG954" i="2"/>
  <c r="A955" i="2"/>
  <c r="B955" i="2"/>
  <c r="C955" i="2"/>
  <c r="D955" i="2"/>
  <c r="E955" i="2"/>
  <c r="F955" i="2"/>
  <c r="G955" i="2"/>
  <c r="H955" i="2"/>
  <c r="I955" i="2"/>
  <c r="J955" i="2"/>
  <c r="K955" i="2"/>
  <c r="V955" i="2" s="1"/>
  <c r="L955" i="2"/>
  <c r="M955" i="2"/>
  <c r="N955" i="2"/>
  <c r="O955" i="2"/>
  <c r="P955" i="2"/>
  <c r="Q955" i="2"/>
  <c r="R955" i="2"/>
  <c r="S955" i="2"/>
  <c r="T955" i="2"/>
  <c r="U955" i="2"/>
  <c r="W955" i="2"/>
  <c r="X955" i="2"/>
  <c r="Y955" i="2"/>
  <c r="Z955" i="2"/>
  <c r="AA955" i="2"/>
  <c r="AB955" i="2"/>
  <c r="AC955" i="2"/>
  <c r="AD955" i="2"/>
  <c r="AE955" i="2"/>
  <c r="AF955" i="2"/>
  <c r="AG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M956" i="2"/>
  <c r="N956" i="2"/>
  <c r="O956" i="2"/>
  <c r="P956" i="2"/>
  <c r="Y956" i="2"/>
  <c r="Z956" i="2"/>
  <c r="AA956" i="2"/>
  <c r="AB956" i="2"/>
  <c r="AC956" i="2"/>
  <c r="AD956" i="2"/>
  <c r="AE956" i="2"/>
  <c r="AF956" i="2"/>
  <c r="AG956" i="2"/>
  <c r="A957" i="2"/>
  <c r="B957" i="2"/>
  <c r="C957" i="2"/>
  <c r="D957" i="2"/>
  <c r="E957" i="2"/>
  <c r="F957" i="2"/>
  <c r="G957" i="2"/>
  <c r="H957" i="2"/>
  <c r="I957" i="2"/>
  <c r="J957" i="2"/>
  <c r="K957" i="2"/>
  <c r="T957" i="2" s="1"/>
  <c r="L957" i="2"/>
  <c r="M957" i="2"/>
  <c r="N957" i="2"/>
  <c r="O957" i="2"/>
  <c r="P957" i="2"/>
  <c r="R957" i="2"/>
  <c r="S957" i="2"/>
  <c r="V957" i="2"/>
  <c r="Y957" i="2"/>
  <c r="Z957" i="2"/>
  <c r="AA957" i="2"/>
  <c r="AB957" i="2"/>
  <c r="AC957" i="2"/>
  <c r="AD957" i="2"/>
  <c r="AE957" i="2"/>
  <c r="AF957" i="2"/>
  <c r="AG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M958" i="2"/>
  <c r="N958" i="2"/>
  <c r="O958" i="2"/>
  <c r="P958" i="2"/>
  <c r="Q958" i="2"/>
  <c r="R958" i="2"/>
  <c r="S958" i="2"/>
  <c r="T958" i="2"/>
  <c r="U958" i="2"/>
  <c r="V958" i="2"/>
  <c r="W958" i="2"/>
  <c r="X958" i="2"/>
  <c r="Y958" i="2"/>
  <c r="Z958" i="2"/>
  <c r="AA958" i="2"/>
  <c r="AB958" i="2"/>
  <c r="AC958" i="2"/>
  <c r="AD958" i="2"/>
  <c r="AE958" i="2"/>
  <c r="AF958" i="2"/>
  <c r="AG958" i="2"/>
  <c r="A959" i="2"/>
  <c r="B959" i="2"/>
  <c r="C959" i="2"/>
  <c r="D959" i="2"/>
  <c r="E959" i="2"/>
  <c r="F959" i="2"/>
  <c r="G959" i="2"/>
  <c r="H959" i="2"/>
  <c r="I959" i="2"/>
  <c r="J959" i="2"/>
  <c r="K959" i="2"/>
  <c r="R959" i="2" s="1"/>
  <c r="L959" i="2"/>
  <c r="M959" i="2"/>
  <c r="N959" i="2"/>
  <c r="O959" i="2"/>
  <c r="P959" i="2"/>
  <c r="Q959" i="2"/>
  <c r="S959" i="2"/>
  <c r="T959" i="2"/>
  <c r="U959" i="2"/>
  <c r="X959" i="2"/>
  <c r="Y959" i="2"/>
  <c r="Z959" i="2"/>
  <c r="AA959" i="2"/>
  <c r="AB959" i="2"/>
  <c r="AC959" i="2"/>
  <c r="AD959" i="2"/>
  <c r="AE959" i="2"/>
  <c r="AF959" i="2"/>
  <c r="AG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N960" i="2"/>
  <c r="O960" i="2"/>
  <c r="P960" i="2"/>
  <c r="S960" i="2"/>
  <c r="W960" i="2"/>
  <c r="Y960" i="2"/>
  <c r="Z960" i="2"/>
  <c r="AA960" i="2"/>
  <c r="AB960" i="2"/>
  <c r="AC960" i="2"/>
  <c r="AD960" i="2"/>
  <c r="AE960" i="2"/>
  <c r="AF960" i="2"/>
  <c r="AG960" i="2"/>
  <c r="A961" i="2"/>
  <c r="B961" i="2"/>
  <c r="C961" i="2"/>
  <c r="D961" i="2"/>
  <c r="E961" i="2"/>
  <c r="F961" i="2"/>
  <c r="G961" i="2"/>
  <c r="H961" i="2"/>
  <c r="I961" i="2"/>
  <c r="J961" i="2"/>
  <c r="K961" i="2"/>
  <c r="X961" i="2" s="1"/>
  <c r="L961" i="2"/>
  <c r="M961" i="2"/>
  <c r="N961" i="2"/>
  <c r="O961" i="2"/>
  <c r="P961" i="2"/>
  <c r="R961" i="2"/>
  <c r="S961" i="2"/>
  <c r="V961" i="2"/>
  <c r="W961" i="2"/>
  <c r="Y961" i="2"/>
  <c r="Z961" i="2"/>
  <c r="AA961" i="2"/>
  <c r="AB961" i="2"/>
  <c r="AC961" i="2"/>
  <c r="AD961" i="2"/>
  <c r="AE961" i="2"/>
  <c r="AF961" i="2"/>
  <c r="AG961" i="2"/>
  <c r="A962" i="2"/>
  <c r="B962" i="2"/>
  <c r="C962" i="2"/>
  <c r="D962" i="2"/>
  <c r="E962" i="2"/>
  <c r="F962" i="2"/>
  <c r="G962" i="2"/>
  <c r="H962" i="2"/>
  <c r="I962" i="2"/>
  <c r="J962" i="2"/>
  <c r="K962" i="2"/>
  <c r="W962" i="2" s="1"/>
  <c r="L962" i="2"/>
  <c r="M962" i="2"/>
  <c r="N962" i="2"/>
  <c r="O962" i="2"/>
  <c r="P962" i="2"/>
  <c r="Q962" i="2"/>
  <c r="R962" i="2"/>
  <c r="S962" i="2"/>
  <c r="U962" i="2"/>
  <c r="V962" i="2"/>
  <c r="X962" i="2"/>
  <c r="Y962" i="2"/>
  <c r="Z962" i="2"/>
  <c r="AA962" i="2"/>
  <c r="AB962" i="2"/>
  <c r="AC962" i="2"/>
  <c r="AD962" i="2"/>
  <c r="AE962" i="2"/>
  <c r="AF962" i="2"/>
  <c r="AG962" i="2"/>
  <c r="A963" i="2"/>
  <c r="B963" i="2"/>
  <c r="C963" i="2"/>
  <c r="D963" i="2"/>
  <c r="E963" i="2"/>
  <c r="F963" i="2"/>
  <c r="G963" i="2"/>
  <c r="H963" i="2"/>
  <c r="I963" i="2"/>
  <c r="J963" i="2"/>
  <c r="K963" i="2"/>
  <c r="V963" i="2" s="1"/>
  <c r="L963" i="2"/>
  <c r="M963" i="2"/>
  <c r="N963" i="2"/>
  <c r="O963" i="2"/>
  <c r="P963" i="2"/>
  <c r="Q963" i="2"/>
  <c r="R963" i="2"/>
  <c r="S963" i="2"/>
  <c r="T963" i="2"/>
  <c r="U963" i="2"/>
  <c r="W963" i="2"/>
  <c r="X963" i="2"/>
  <c r="Y963" i="2"/>
  <c r="Z963" i="2"/>
  <c r="AA963" i="2"/>
  <c r="AB963" i="2"/>
  <c r="AC963" i="2"/>
  <c r="AD963" i="2"/>
  <c r="AE963" i="2"/>
  <c r="AF963" i="2"/>
  <c r="AG963" i="2"/>
  <c r="A964" i="2"/>
  <c r="B964" i="2"/>
  <c r="C964" i="2"/>
  <c r="D964" i="2"/>
  <c r="E964" i="2"/>
  <c r="F964" i="2"/>
  <c r="G964" i="2"/>
  <c r="H964" i="2"/>
  <c r="I964" i="2"/>
  <c r="J964" i="2"/>
  <c r="K964" i="2"/>
  <c r="S964" i="2" s="1"/>
  <c r="L964" i="2"/>
  <c r="M964" i="2"/>
  <c r="N964" i="2"/>
  <c r="O964" i="2"/>
  <c r="P964" i="2"/>
  <c r="W964" i="2"/>
  <c r="Y964" i="2"/>
  <c r="Z964" i="2"/>
  <c r="AA964" i="2"/>
  <c r="AB964" i="2"/>
  <c r="AC964" i="2"/>
  <c r="AD964" i="2"/>
  <c r="AE964" i="2"/>
  <c r="AF964" i="2"/>
  <c r="AG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M965" i="2"/>
  <c r="N965" i="2"/>
  <c r="O965" i="2"/>
  <c r="P965" i="2"/>
  <c r="R965" i="2"/>
  <c r="S965" i="2"/>
  <c r="V965" i="2"/>
  <c r="Y965" i="2"/>
  <c r="Z965" i="2"/>
  <c r="AA965" i="2"/>
  <c r="AB965" i="2"/>
  <c r="AC965" i="2"/>
  <c r="AD965" i="2"/>
  <c r="AE965" i="2"/>
  <c r="AF965" i="2"/>
  <c r="AG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M966" i="2"/>
  <c r="N966" i="2"/>
  <c r="O966" i="2"/>
  <c r="P966" i="2"/>
  <c r="Q966" i="2"/>
  <c r="R966" i="2"/>
  <c r="S966" i="2"/>
  <c r="T966" i="2"/>
  <c r="U966" i="2"/>
  <c r="V966" i="2"/>
  <c r="W966" i="2"/>
  <c r="X966" i="2"/>
  <c r="Y966" i="2"/>
  <c r="Z966" i="2"/>
  <c r="AA966" i="2"/>
  <c r="AB966" i="2"/>
  <c r="AC966" i="2"/>
  <c r="AD966" i="2"/>
  <c r="AE966" i="2"/>
  <c r="AF966" i="2"/>
  <c r="AG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M967" i="2"/>
  <c r="N967" i="2"/>
  <c r="O967" i="2"/>
  <c r="P967" i="2"/>
  <c r="Q967" i="2"/>
  <c r="S967" i="2"/>
  <c r="T967" i="2"/>
  <c r="U967" i="2"/>
  <c r="X967" i="2"/>
  <c r="Y967" i="2"/>
  <c r="Z967" i="2"/>
  <c r="AA967" i="2"/>
  <c r="AB967" i="2"/>
  <c r="AC967" i="2"/>
  <c r="AD967" i="2"/>
  <c r="AE967" i="2"/>
  <c r="AF967" i="2"/>
  <c r="AG967" i="2"/>
  <c r="A968" i="2"/>
  <c r="B968" i="2"/>
  <c r="C968" i="2"/>
  <c r="D968" i="2"/>
  <c r="E968" i="2"/>
  <c r="F968" i="2"/>
  <c r="G968" i="2"/>
  <c r="H968" i="2"/>
  <c r="I968" i="2"/>
  <c r="J968" i="2"/>
  <c r="K968" i="2"/>
  <c r="W968" i="2" s="1"/>
  <c r="L968" i="2"/>
  <c r="M968" i="2"/>
  <c r="N968" i="2"/>
  <c r="O968" i="2"/>
  <c r="P968" i="2"/>
  <c r="R968" i="2"/>
  <c r="T968" i="2"/>
  <c r="Y968" i="2"/>
  <c r="Z968" i="2"/>
  <c r="AA968" i="2"/>
  <c r="AB968" i="2"/>
  <c r="AC968" i="2"/>
  <c r="AD968" i="2"/>
  <c r="AE968" i="2"/>
  <c r="AF968" i="2"/>
  <c r="AG968" i="2"/>
  <c r="A969" i="2"/>
  <c r="B969" i="2"/>
  <c r="C969" i="2"/>
  <c r="D969" i="2"/>
  <c r="E969" i="2"/>
  <c r="F969" i="2"/>
  <c r="G969" i="2"/>
  <c r="H969" i="2"/>
  <c r="I969" i="2"/>
  <c r="J969" i="2"/>
  <c r="K969" i="2"/>
  <c r="S969" i="2" s="1"/>
  <c r="L969" i="2"/>
  <c r="M969" i="2"/>
  <c r="N969" i="2"/>
  <c r="O969" i="2"/>
  <c r="P969" i="2"/>
  <c r="Y969" i="2"/>
  <c r="Z969" i="2"/>
  <c r="AA969" i="2"/>
  <c r="AB969" i="2"/>
  <c r="AC969" i="2"/>
  <c r="AD969" i="2"/>
  <c r="AE969" i="2"/>
  <c r="AF969" i="2"/>
  <c r="AG969" i="2"/>
  <c r="A970" i="2"/>
  <c r="B970" i="2"/>
  <c r="C970" i="2"/>
  <c r="D970" i="2"/>
  <c r="E970" i="2"/>
  <c r="F970" i="2"/>
  <c r="G970" i="2"/>
  <c r="H970" i="2"/>
  <c r="I970" i="2"/>
  <c r="J970" i="2"/>
  <c r="K970" i="2"/>
  <c r="W970" i="2" s="1"/>
  <c r="L970" i="2"/>
  <c r="M970" i="2"/>
  <c r="N970" i="2"/>
  <c r="O970" i="2"/>
  <c r="P970" i="2"/>
  <c r="Q970" i="2"/>
  <c r="R970" i="2"/>
  <c r="S970" i="2"/>
  <c r="U970" i="2"/>
  <c r="V970" i="2"/>
  <c r="X970" i="2"/>
  <c r="Y970" i="2"/>
  <c r="Z970" i="2"/>
  <c r="AA970" i="2"/>
  <c r="AB970" i="2"/>
  <c r="AC970" i="2"/>
  <c r="AD970" i="2"/>
  <c r="AE970" i="2"/>
  <c r="AF970" i="2"/>
  <c r="AG970" i="2"/>
  <c r="A971" i="2"/>
  <c r="B971" i="2"/>
  <c r="C971" i="2"/>
  <c r="D971" i="2"/>
  <c r="E971" i="2"/>
  <c r="F971" i="2"/>
  <c r="G971" i="2"/>
  <c r="H971" i="2"/>
  <c r="I971" i="2"/>
  <c r="J971" i="2"/>
  <c r="K971" i="2"/>
  <c r="V971" i="2" s="1"/>
  <c r="L971" i="2"/>
  <c r="M971" i="2"/>
  <c r="N971" i="2"/>
  <c r="O971" i="2"/>
  <c r="P971" i="2"/>
  <c r="Q971" i="2"/>
  <c r="R971" i="2"/>
  <c r="S971" i="2"/>
  <c r="T971" i="2"/>
  <c r="U971" i="2"/>
  <c r="W971" i="2"/>
  <c r="X971" i="2"/>
  <c r="Y971" i="2"/>
  <c r="Z971" i="2"/>
  <c r="AA971" i="2"/>
  <c r="AB971" i="2"/>
  <c r="AC971" i="2"/>
  <c r="AD971" i="2"/>
  <c r="AE971" i="2"/>
  <c r="AF971" i="2"/>
  <c r="AG971" i="2"/>
  <c r="A972" i="2"/>
  <c r="B972" i="2"/>
  <c r="C972" i="2"/>
  <c r="D972" i="2"/>
  <c r="E972" i="2"/>
  <c r="F972" i="2"/>
  <c r="G972" i="2"/>
  <c r="H972" i="2"/>
  <c r="I972" i="2"/>
  <c r="J972" i="2"/>
  <c r="K972" i="2"/>
  <c r="X972" i="2" s="1"/>
  <c r="L972" i="2"/>
  <c r="M972" i="2"/>
  <c r="N972" i="2"/>
  <c r="O972" i="2"/>
  <c r="P972" i="2"/>
  <c r="S972" i="2"/>
  <c r="V972" i="2"/>
  <c r="W972" i="2"/>
  <c r="Y972" i="2"/>
  <c r="Z972" i="2"/>
  <c r="AA972" i="2"/>
  <c r="AB972" i="2"/>
  <c r="AC972" i="2"/>
  <c r="AD972" i="2"/>
  <c r="AE972" i="2"/>
  <c r="AF972" i="2"/>
  <c r="AG972" i="2"/>
  <c r="A973" i="2"/>
  <c r="B973" i="2"/>
  <c r="C973" i="2"/>
  <c r="D973" i="2"/>
  <c r="E973" i="2"/>
  <c r="F973" i="2"/>
  <c r="G973" i="2"/>
  <c r="H973" i="2"/>
  <c r="I973" i="2"/>
  <c r="J973" i="2"/>
  <c r="K973" i="2"/>
  <c r="V973" i="2" s="1"/>
  <c r="L973" i="2"/>
  <c r="M973" i="2"/>
  <c r="N973" i="2"/>
  <c r="O973" i="2"/>
  <c r="P973" i="2"/>
  <c r="S973" i="2"/>
  <c r="U973" i="2"/>
  <c r="Y973" i="2"/>
  <c r="Z973" i="2"/>
  <c r="AA973" i="2"/>
  <c r="AB973" i="2"/>
  <c r="AC973" i="2"/>
  <c r="AD973" i="2"/>
  <c r="AE973" i="2"/>
  <c r="AF973" i="2"/>
  <c r="AG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M974" i="2"/>
  <c r="N974" i="2"/>
  <c r="O974" i="2"/>
  <c r="P974" i="2"/>
  <c r="Q974" i="2"/>
  <c r="R974" i="2"/>
  <c r="S974" i="2"/>
  <c r="T974" i="2"/>
  <c r="U974" i="2"/>
  <c r="V974" i="2"/>
  <c r="W974" i="2"/>
  <c r="X974" i="2"/>
  <c r="Y974" i="2"/>
  <c r="Z974" i="2"/>
  <c r="AA974" i="2"/>
  <c r="AB974" i="2"/>
  <c r="AC974" i="2"/>
  <c r="AD974" i="2"/>
  <c r="AE974" i="2"/>
  <c r="AF974" i="2"/>
  <c r="AG974" i="2"/>
  <c r="A975" i="2"/>
  <c r="B975" i="2"/>
  <c r="C975" i="2"/>
  <c r="D975" i="2"/>
  <c r="E975" i="2"/>
  <c r="F975" i="2"/>
  <c r="G975" i="2"/>
  <c r="H975" i="2"/>
  <c r="I975" i="2"/>
  <c r="J975" i="2"/>
  <c r="K975" i="2"/>
  <c r="U975" i="2" s="1"/>
  <c r="L975" i="2"/>
  <c r="M975" i="2"/>
  <c r="N975" i="2"/>
  <c r="O975" i="2"/>
  <c r="P975" i="2"/>
  <c r="Q975" i="2"/>
  <c r="T975" i="2"/>
  <c r="Y975" i="2"/>
  <c r="Z975" i="2"/>
  <c r="AA975" i="2"/>
  <c r="AB975" i="2"/>
  <c r="AC975" i="2"/>
  <c r="AD975" i="2"/>
  <c r="AE975" i="2"/>
  <c r="AF975" i="2"/>
  <c r="AG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M976" i="2"/>
  <c r="N976" i="2"/>
  <c r="O976" i="2"/>
  <c r="P976" i="2"/>
  <c r="S976" i="2"/>
  <c r="T976" i="2"/>
  <c r="U976" i="2"/>
  <c r="W976" i="2"/>
  <c r="Y976" i="2"/>
  <c r="Z976" i="2"/>
  <c r="AA976" i="2"/>
  <c r="AB976" i="2"/>
  <c r="AC976" i="2"/>
  <c r="AD976" i="2"/>
  <c r="AE976" i="2"/>
  <c r="AF976" i="2"/>
  <c r="AG976" i="2"/>
  <c r="A977" i="2"/>
  <c r="B977" i="2"/>
  <c r="C977" i="2"/>
  <c r="D977" i="2"/>
  <c r="E977" i="2"/>
  <c r="F977" i="2"/>
  <c r="G977" i="2"/>
  <c r="H977" i="2"/>
  <c r="I977" i="2"/>
  <c r="J977" i="2"/>
  <c r="K977" i="2"/>
  <c r="T977" i="2" s="1"/>
  <c r="L977" i="2"/>
  <c r="M977" i="2"/>
  <c r="N977" i="2"/>
  <c r="O977" i="2"/>
  <c r="P977" i="2"/>
  <c r="Y977" i="2"/>
  <c r="Z977" i="2"/>
  <c r="AA977" i="2"/>
  <c r="AB977" i="2"/>
  <c r="AC977" i="2"/>
  <c r="AD977" i="2"/>
  <c r="AE977" i="2"/>
  <c r="AF977" i="2"/>
  <c r="AG977" i="2"/>
  <c r="A978" i="2"/>
  <c r="B978" i="2"/>
  <c r="C978" i="2"/>
  <c r="D978" i="2"/>
  <c r="E978" i="2"/>
  <c r="F978" i="2"/>
  <c r="G978" i="2"/>
  <c r="H978" i="2"/>
  <c r="I978" i="2"/>
  <c r="J978" i="2"/>
  <c r="K978" i="2"/>
  <c r="W978" i="2" s="1"/>
  <c r="L978" i="2"/>
  <c r="M978" i="2"/>
  <c r="N978" i="2"/>
  <c r="O978" i="2"/>
  <c r="P978" i="2"/>
  <c r="R978" i="2"/>
  <c r="S978" i="2"/>
  <c r="T978" i="2"/>
  <c r="U978" i="2"/>
  <c r="V978" i="2"/>
  <c r="X978" i="2"/>
  <c r="Y978" i="2"/>
  <c r="Z978" i="2"/>
  <c r="AA978" i="2"/>
  <c r="AB978" i="2"/>
  <c r="AC978" i="2"/>
  <c r="AD978" i="2"/>
  <c r="AE978" i="2"/>
  <c r="AF978" i="2"/>
  <c r="AG978" i="2"/>
  <c r="A979" i="2"/>
  <c r="B979" i="2"/>
  <c r="C979" i="2"/>
  <c r="D979" i="2"/>
  <c r="E979" i="2"/>
  <c r="F979" i="2"/>
  <c r="G979" i="2"/>
  <c r="H979" i="2"/>
  <c r="I979" i="2"/>
  <c r="J979" i="2"/>
  <c r="K979" i="2"/>
  <c r="V979" i="2" s="1"/>
  <c r="L979" i="2"/>
  <c r="M979" i="2"/>
  <c r="N979" i="2"/>
  <c r="O979" i="2"/>
  <c r="P979" i="2"/>
  <c r="R979" i="2"/>
  <c r="S979" i="2"/>
  <c r="T979" i="2"/>
  <c r="U979" i="2"/>
  <c r="W979" i="2"/>
  <c r="X979" i="2"/>
  <c r="Y979" i="2"/>
  <c r="Z979" i="2"/>
  <c r="AA979" i="2"/>
  <c r="AB979" i="2"/>
  <c r="AC979" i="2"/>
  <c r="AD979" i="2"/>
  <c r="AE979" i="2"/>
  <c r="AF979" i="2"/>
  <c r="AG979" i="2"/>
  <c r="A980" i="2"/>
  <c r="B980" i="2"/>
  <c r="C980" i="2"/>
  <c r="D980" i="2"/>
  <c r="E980" i="2"/>
  <c r="F980" i="2"/>
  <c r="G980" i="2"/>
  <c r="H980" i="2"/>
  <c r="I980" i="2"/>
  <c r="J980" i="2"/>
  <c r="K980" i="2"/>
  <c r="U980" i="2" s="1"/>
  <c r="L980" i="2"/>
  <c r="M980" i="2"/>
  <c r="N980" i="2"/>
  <c r="O980" i="2"/>
  <c r="P980" i="2"/>
  <c r="R980" i="2"/>
  <c r="S980" i="2"/>
  <c r="T980" i="2"/>
  <c r="W980" i="2"/>
  <c r="X980" i="2"/>
  <c r="Y980" i="2"/>
  <c r="Z980" i="2"/>
  <c r="AA980" i="2"/>
  <c r="AB980" i="2"/>
  <c r="AC980" i="2"/>
  <c r="AD980" i="2"/>
  <c r="AE980" i="2"/>
  <c r="AF980" i="2"/>
  <c r="AG980" i="2"/>
  <c r="A981" i="2"/>
  <c r="B981" i="2"/>
  <c r="C981" i="2"/>
  <c r="D981" i="2"/>
  <c r="E981" i="2"/>
  <c r="F981" i="2"/>
  <c r="G981" i="2"/>
  <c r="H981" i="2"/>
  <c r="I981" i="2"/>
  <c r="J981" i="2"/>
  <c r="K981" i="2"/>
  <c r="T981" i="2" s="1"/>
  <c r="L981" i="2"/>
  <c r="M981" i="2"/>
  <c r="N981" i="2"/>
  <c r="O981" i="2"/>
  <c r="P981" i="2"/>
  <c r="R981" i="2"/>
  <c r="S981" i="2"/>
  <c r="U981" i="2"/>
  <c r="W981" i="2"/>
  <c r="X981" i="2"/>
  <c r="Y981" i="2"/>
  <c r="Z981" i="2"/>
  <c r="AA981" i="2"/>
  <c r="AB981" i="2"/>
  <c r="AC981" i="2"/>
  <c r="AD981" i="2"/>
  <c r="AE981" i="2"/>
  <c r="AF981" i="2"/>
  <c r="AG981" i="2"/>
  <c r="A982" i="2"/>
  <c r="B982" i="2"/>
  <c r="C982" i="2"/>
  <c r="D982" i="2"/>
  <c r="E982" i="2"/>
  <c r="F982" i="2"/>
  <c r="G982" i="2"/>
  <c r="H982" i="2"/>
  <c r="I982" i="2"/>
  <c r="J982" i="2"/>
  <c r="K982" i="2"/>
  <c r="Q982" i="2" s="1"/>
  <c r="L982" i="2"/>
  <c r="M982" i="2"/>
  <c r="N982" i="2"/>
  <c r="O982" i="2"/>
  <c r="P982" i="2"/>
  <c r="R982" i="2"/>
  <c r="S982" i="2"/>
  <c r="T982" i="2"/>
  <c r="V982" i="2"/>
  <c r="W982" i="2"/>
  <c r="X982" i="2"/>
  <c r="Y982" i="2"/>
  <c r="Z982" i="2"/>
  <c r="AA982" i="2"/>
  <c r="AB982" i="2"/>
  <c r="AC982" i="2"/>
  <c r="AD982" i="2"/>
  <c r="AE982" i="2"/>
  <c r="AF982" i="2"/>
  <c r="AG982" i="2"/>
  <c r="A983" i="2"/>
  <c r="B983" i="2"/>
  <c r="C983" i="2"/>
  <c r="D983" i="2"/>
  <c r="E983" i="2"/>
  <c r="F983" i="2"/>
  <c r="G983" i="2"/>
  <c r="H983" i="2"/>
  <c r="I983" i="2"/>
  <c r="J983" i="2"/>
  <c r="K983" i="2"/>
  <c r="U983" i="2" s="1"/>
  <c r="L983" i="2"/>
  <c r="M983" i="2"/>
  <c r="N983" i="2"/>
  <c r="O983" i="2"/>
  <c r="P983" i="2"/>
  <c r="Y983" i="2"/>
  <c r="Z983" i="2"/>
  <c r="AA983" i="2"/>
  <c r="AB983" i="2"/>
  <c r="AC983" i="2"/>
  <c r="AD983" i="2"/>
  <c r="AE983" i="2"/>
  <c r="AF983" i="2"/>
  <c r="AG983" i="2"/>
  <c r="A984" i="2"/>
  <c r="B984" i="2"/>
  <c r="C984" i="2"/>
  <c r="D984" i="2"/>
  <c r="E984" i="2"/>
  <c r="F984" i="2"/>
  <c r="G984" i="2"/>
  <c r="H984" i="2"/>
  <c r="I984" i="2"/>
  <c r="J984" i="2"/>
  <c r="K984" i="2"/>
  <c r="W984" i="2" s="1"/>
  <c r="L984" i="2"/>
  <c r="M984" i="2"/>
  <c r="N984" i="2"/>
  <c r="O984" i="2"/>
  <c r="P984" i="2"/>
  <c r="Q984" i="2"/>
  <c r="R984" i="2"/>
  <c r="S984" i="2"/>
  <c r="T984" i="2"/>
  <c r="U984" i="2"/>
  <c r="V984" i="2"/>
  <c r="X984" i="2"/>
  <c r="Y984" i="2"/>
  <c r="Z984" i="2"/>
  <c r="AA984" i="2"/>
  <c r="AB984" i="2"/>
  <c r="AC984" i="2"/>
  <c r="AD984" i="2"/>
  <c r="AE984" i="2"/>
  <c r="AF984" i="2"/>
  <c r="AG984" i="2"/>
  <c r="A985" i="2"/>
  <c r="B985" i="2"/>
  <c r="C985" i="2"/>
  <c r="D985" i="2"/>
  <c r="E985" i="2"/>
  <c r="F985" i="2"/>
  <c r="G985" i="2"/>
  <c r="H985" i="2"/>
  <c r="I985" i="2"/>
  <c r="J985" i="2"/>
  <c r="K985" i="2"/>
  <c r="T985" i="2" s="1"/>
  <c r="L985" i="2"/>
  <c r="M985" i="2"/>
  <c r="N985" i="2"/>
  <c r="O985" i="2"/>
  <c r="P985" i="2"/>
  <c r="Q985" i="2"/>
  <c r="S985" i="2"/>
  <c r="W985" i="2"/>
  <c r="Y985" i="2"/>
  <c r="Z985" i="2"/>
  <c r="AA985" i="2"/>
  <c r="AB985" i="2"/>
  <c r="AC985" i="2"/>
  <c r="AD985" i="2"/>
  <c r="AE985" i="2"/>
  <c r="AF985" i="2"/>
  <c r="AG985" i="2"/>
  <c r="A986" i="2"/>
  <c r="B986" i="2"/>
  <c r="C986" i="2"/>
  <c r="D986" i="2"/>
  <c r="E986" i="2"/>
  <c r="F986" i="2"/>
  <c r="G986" i="2"/>
  <c r="H986" i="2"/>
  <c r="I986" i="2"/>
  <c r="J986" i="2"/>
  <c r="K986" i="2"/>
  <c r="T986" i="2" s="1"/>
  <c r="L986" i="2"/>
  <c r="M986" i="2"/>
  <c r="N986" i="2"/>
  <c r="O986" i="2"/>
  <c r="P986" i="2"/>
  <c r="R986" i="2"/>
  <c r="S986" i="2"/>
  <c r="V986" i="2"/>
  <c r="X986" i="2"/>
  <c r="Y986" i="2"/>
  <c r="Z986" i="2"/>
  <c r="AA986" i="2"/>
  <c r="AB986" i="2"/>
  <c r="AC986" i="2"/>
  <c r="AD986" i="2"/>
  <c r="AE986" i="2"/>
  <c r="AF986" i="2"/>
  <c r="AG986" i="2"/>
  <c r="A987" i="2"/>
  <c r="B987" i="2"/>
  <c r="C987" i="2"/>
  <c r="D987" i="2"/>
  <c r="E987" i="2"/>
  <c r="F987" i="2"/>
  <c r="G987" i="2"/>
  <c r="H987" i="2"/>
  <c r="I987" i="2"/>
  <c r="J987" i="2"/>
  <c r="K987" i="2"/>
  <c r="T987" i="2" s="1"/>
  <c r="L987" i="2"/>
  <c r="M987" i="2"/>
  <c r="N987" i="2"/>
  <c r="O987" i="2"/>
  <c r="P987" i="2"/>
  <c r="Q987" i="2"/>
  <c r="R987" i="2"/>
  <c r="S987" i="2"/>
  <c r="U987" i="2"/>
  <c r="V987" i="2"/>
  <c r="W987" i="2"/>
  <c r="Y987" i="2"/>
  <c r="Z987" i="2"/>
  <c r="AA987" i="2"/>
  <c r="AB987" i="2"/>
  <c r="AC987" i="2"/>
  <c r="AD987" i="2"/>
  <c r="AE987" i="2"/>
  <c r="AF987" i="2"/>
  <c r="AG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M988" i="2"/>
  <c r="N988" i="2"/>
  <c r="O988" i="2"/>
  <c r="P988" i="2"/>
  <c r="Q988" i="2"/>
  <c r="R988" i="2"/>
  <c r="S988" i="2"/>
  <c r="T988" i="2"/>
  <c r="U988" i="2"/>
  <c r="V988" i="2"/>
  <c r="W988" i="2"/>
  <c r="X988" i="2"/>
  <c r="Y988" i="2"/>
  <c r="Z988" i="2"/>
  <c r="AA988" i="2"/>
  <c r="AB988" i="2"/>
  <c r="AC988" i="2"/>
  <c r="AD988" i="2"/>
  <c r="AE988" i="2"/>
  <c r="AF988" i="2"/>
  <c r="AG988" i="2"/>
  <c r="A989" i="2"/>
  <c r="B989" i="2"/>
  <c r="C989" i="2"/>
  <c r="D989" i="2"/>
  <c r="E989" i="2"/>
  <c r="F989" i="2"/>
  <c r="G989" i="2"/>
  <c r="H989" i="2"/>
  <c r="I989" i="2"/>
  <c r="J989" i="2"/>
  <c r="K989" i="2"/>
  <c r="W989" i="2" s="1"/>
  <c r="L989" i="2"/>
  <c r="M989" i="2"/>
  <c r="N989" i="2"/>
  <c r="O989" i="2"/>
  <c r="P989" i="2"/>
  <c r="S989" i="2"/>
  <c r="U989" i="2"/>
  <c r="Y989" i="2"/>
  <c r="Z989" i="2"/>
  <c r="AA989" i="2"/>
  <c r="AB989" i="2"/>
  <c r="AC989" i="2"/>
  <c r="AD989" i="2"/>
  <c r="AE989" i="2"/>
  <c r="AF989" i="2"/>
  <c r="AG989" i="2"/>
  <c r="A990" i="2"/>
  <c r="B990" i="2"/>
  <c r="C990" i="2"/>
  <c r="D990" i="2"/>
  <c r="E990" i="2"/>
  <c r="F990" i="2"/>
  <c r="G990" i="2"/>
  <c r="H990" i="2"/>
  <c r="I990" i="2"/>
  <c r="J990" i="2"/>
  <c r="K990" i="2"/>
  <c r="Q990" i="2" s="1"/>
  <c r="L990" i="2"/>
  <c r="M990" i="2"/>
  <c r="N990" i="2"/>
  <c r="O990" i="2"/>
  <c r="P990" i="2"/>
  <c r="R990" i="2"/>
  <c r="S990" i="2"/>
  <c r="T990" i="2"/>
  <c r="V990" i="2"/>
  <c r="W990" i="2"/>
  <c r="X990" i="2"/>
  <c r="Y990" i="2"/>
  <c r="Z990" i="2"/>
  <c r="AA990" i="2"/>
  <c r="AB990" i="2"/>
  <c r="AC990" i="2"/>
  <c r="AD990" i="2"/>
  <c r="AE990" i="2"/>
  <c r="AF990" i="2"/>
  <c r="AG990" i="2"/>
  <c r="A991" i="2"/>
  <c r="B991" i="2"/>
  <c r="C991" i="2"/>
  <c r="D991" i="2"/>
  <c r="E991" i="2"/>
  <c r="F991" i="2"/>
  <c r="G991" i="2"/>
  <c r="H991" i="2"/>
  <c r="I991" i="2"/>
  <c r="J991" i="2"/>
  <c r="K991" i="2"/>
  <c r="U991" i="2" s="1"/>
  <c r="L991" i="2"/>
  <c r="M991" i="2"/>
  <c r="N991" i="2"/>
  <c r="O991" i="2"/>
  <c r="P991" i="2"/>
  <c r="S991" i="2"/>
  <c r="Y991" i="2"/>
  <c r="Z991" i="2"/>
  <c r="AA991" i="2"/>
  <c r="AB991" i="2"/>
  <c r="AC991" i="2"/>
  <c r="AD991" i="2"/>
  <c r="AE991" i="2"/>
  <c r="AF991" i="2"/>
  <c r="AG991" i="2"/>
  <c r="A992" i="2"/>
  <c r="B992" i="2"/>
  <c r="C992" i="2"/>
  <c r="D992" i="2"/>
  <c r="E992" i="2"/>
  <c r="F992" i="2"/>
  <c r="G992" i="2"/>
  <c r="H992" i="2"/>
  <c r="I992" i="2"/>
  <c r="J992" i="2"/>
  <c r="K992" i="2"/>
  <c r="W992" i="2" s="1"/>
  <c r="L992" i="2"/>
  <c r="M992" i="2"/>
  <c r="N992" i="2"/>
  <c r="O992" i="2"/>
  <c r="P992" i="2"/>
  <c r="Q992" i="2"/>
  <c r="R992" i="2"/>
  <c r="S992" i="2"/>
  <c r="T992" i="2"/>
  <c r="U992" i="2"/>
  <c r="V992" i="2"/>
  <c r="X992" i="2"/>
  <c r="Y992" i="2"/>
  <c r="Z992" i="2"/>
  <c r="AA992" i="2"/>
  <c r="AB992" i="2"/>
  <c r="AC992" i="2"/>
  <c r="AD992" i="2"/>
  <c r="AE992" i="2"/>
  <c r="AF992" i="2"/>
  <c r="AG992" i="2"/>
  <c r="A993" i="2"/>
  <c r="B993" i="2"/>
  <c r="C993" i="2"/>
  <c r="D993" i="2"/>
  <c r="E993" i="2"/>
  <c r="F993" i="2"/>
  <c r="G993" i="2"/>
  <c r="H993" i="2"/>
  <c r="I993" i="2"/>
  <c r="J993" i="2"/>
  <c r="K993" i="2"/>
  <c r="T993" i="2" s="1"/>
  <c r="L993" i="2"/>
  <c r="M993" i="2"/>
  <c r="N993" i="2"/>
  <c r="O993" i="2"/>
  <c r="P993" i="2"/>
  <c r="Q993" i="2"/>
  <c r="S993" i="2"/>
  <c r="W993" i="2"/>
  <c r="Y993" i="2"/>
  <c r="Z993" i="2"/>
  <c r="AA993" i="2"/>
  <c r="AB993" i="2"/>
  <c r="AC993" i="2"/>
  <c r="AD993" i="2"/>
  <c r="AE993" i="2"/>
  <c r="AF993" i="2"/>
  <c r="AG993" i="2"/>
  <c r="A994" i="2"/>
  <c r="B994" i="2"/>
  <c r="C994" i="2"/>
  <c r="D994" i="2"/>
  <c r="E994" i="2"/>
  <c r="F994" i="2"/>
  <c r="G994" i="2"/>
  <c r="H994" i="2"/>
  <c r="I994" i="2"/>
  <c r="J994" i="2"/>
  <c r="K994" i="2"/>
  <c r="T994" i="2" s="1"/>
  <c r="L994" i="2"/>
  <c r="M994" i="2"/>
  <c r="N994" i="2"/>
  <c r="O994" i="2"/>
  <c r="P994" i="2"/>
  <c r="R994" i="2"/>
  <c r="S994" i="2"/>
  <c r="V994" i="2"/>
  <c r="X994" i="2"/>
  <c r="Y994" i="2"/>
  <c r="Z994" i="2"/>
  <c r="AA994" i="2"/>
  <c r="AB994" i="2"/>
  <c r="AC994" i="2"/>
  <c r="AD994" i="2"/>
  <c r="AE994" i="2"/>
  <c r="AF994" i="2"/>
  <c r="AG994" i="2"/>
  <c r="A995" i="2"/>
  <c r="B995" i="2"/>
  <c r="C995" i="2"/>
  <c r="D995" i="2"/>
  <c r="E995" i="2"/>
  <c r="F995" i="2"/>
  <c r="G995" i="2"/>
  <c r="H995" i="2"/>
  <c r="I995" i="2"/>
  <c r="J995" i="2"/>
  <c r="K995" i="2"/>
  <c r="T995" i="2" s="1"/>
  <c r="L995" i="2"/>
  <c r="M995" i="2"/>
  <c r="N995" i="2"/>
  <c r="O995" i="2"/>
  <c r="P995" i="2"/>
  <c r="Q995" i="2"/>
  <c r="R995" i="2"/>
  <c r="S995" i="2"/>
  <c r="U995" i="2"/>
  <c r="V995" i="2"/>
  <c r="W995" i="2"/>
  <c r="Y995" i="2"/>
  <c r="Z995" i="2"/>
  <c r="AA995" i="2"/>
  <c r="AB995" i="2"/>
  <c r="AC995" i="2"/>
  <c r="AD995" i="2"/>
  <c r="AE995" i="2"/>
  <c r="AF995" i="2"/>
  <c r="AG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M996" i="2"/>
  <c r="N996" i="2"/>
  <c r="O996" i="2"/>
  <c r="P996" i="2"/>
  <c r="Q996" i="2"/>
  <c r="R996" i="2"/>
  <c r="S996" i="2"/>
  <c r="T996" i="2"/>
  <c r="U996" i="2"/>
  <c r="V996" i="2"/>
  <c r="W996" i="2"/>
  <c r="X996" i="2"/>
  <c r="Y996" i="2"/>
  <c r="Z996" i="2"/>
  <c r="AA996" i="2"/>
  <c r="AB996" i="2"/>
  <c r="AC996" i="2"/>
  <c r="AD996" i="2"/>
  <c r="AE996" i="2"/>
  <c r="AF996" i="2"/>
  <c r="AG996" i="2"/>
  <c r="A997" i="2"/>
  <c r="B997" i="2"/>
  <c r="C997" i="2"/>
  <c r="D997" i="2"/>
  <c r="E997" i="2"/>
  <c r="F997" i="2"/>
  <c r="G997" i="2"/>
  <c r="H997" i="2"/>
  <c r="I997" i="2"/>
  <c r="J997" i="2"/>
  <c r="K997" i="2"/>
  <c r="W997" i="2" s="1"/>
  <c r="L997" i="2"/>
  <c r="M997" i="2"/>
  <c r="N997" i="2"/>
  <c r="O997" i="2"/>
  <c r="P997" i="2"/>
  <c r="U997" i="2"/>
  <c r="Y997" i="2"/>
  <c r="Z997" i="2"/>
  <c r="AA997" i="2"/>
  <c r="AB997" i="2"/>
  <c r="AC997" i="2"/>
  <c r="AD997" i="2"/>
  <c r="AE997" i="2"/>
  <c r="AF997" i="2"/>
  <c r="AG997" i="2"/>
  <c r="A998" i="2"/>
  <c r="B998" i="2"/>
  <c r="C998" i="2"/>
  <c r="D998" i="2"/>
  <c r="E998" i="2"/>
  <c r="F998" i="2"/>
  <c r="G998" i="2"/>
  <c r="H998" i="2"/>
  <c r="I998" i="2"/>
  <c r="J998" i="2"/>
  <c r="K998" i="2"/>
  <c r="Q998" i="2" s="1"/>
  <c r="L998" i="2"/>
  <c r="M998" i="2"/>
  <c r="N998" i="2"/>
  <c r="O998" i="2"/>
  <c r="P998" i="2"/>
  <c r="R998" i="2"/>
  <c r="S998" i="2"/>
  <c r="T998" i="2"/>
  <c r="V998" i="2"/>
  <c r="W998" i="2"/>
  <c r="X998" i="2"/>
  <c r="Y998" i="2"/>
  <c r="Z998" i="2"/>
  <c r="AA998" i="2"/>
  <c r="AB998" i="2"/>
  <c r="AC998" i="2"/>
  <c r="AD998" i="2"/>
  <c r="AE998" i="2"/>
  <c r="AF998" i="2"/>
  <c r="AG998" i="2"/>
  <c r="A999" i="2"/>
  <c r="B999" i="2"/>
  <c r="C999" i="2"/>
  <c r="D999" i="2"/>
  <c r="E999" i="2"/>
  <c r="F999" i="2"/>
  <c r="G999" i="2"/>
  <c r="H999" i="2"/>
  <c r="I999" i="2"/>
  <c r="J999" i="2"/>
  <c r="K999" i="2"/>
  <c r="V999" i="2" s="1"/>
  <c r="L999" i="2"/>
  <c r="M999" i="2"/>
  <c r="N999" i="2"/>
  <c r="O999" i="2"/>
  <c r="P999" i="2"/>
  <c r="Y999" i="2"/>
  <c r="Z999" i="2"/>
  <c r="AA999" i="2"/>
  <c r="AB999" i="2"/>
  <c r="AC999" i="2"/>
  <c r="AD999" i="2"/>
  <c r="AE999" i="2"/>
  <c r="AF999" i="2"/>
  <c r="AG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N1000" i="2"/>
  <c r="O1000" i="2"/>
  <c r="P1000" i="2"/>
  <c r="Q1000" i="2"/>
  <c r="R1000" i="2"/>
  <c r="S1000" i="2"/>
  <c r="T1000" i="2"/>
  <c r="U1000" i="2"/>
  <c r="V1000" i="2"/>
  <c r="W1000" i="2"/>
  <c r="X1000" i="2"/>
  <c r="Y1000" i="2"/>
  <c r="Z1000" i="2"/>
  <c r="AA1000" i="2"/>
  <c r="AB1000" i="2"/>
  <c r="AC1000" i="2"/>
  <c r="AD1000" i="2"/>
  <c r="AE1000" i="2"/>
  <c r="AF1000" i="2"/>
  <c r="AG1000" i="2"/>
  <c r="BU995" i="6"/>
  <c r="BU996" i="6"/>
  <c r="BU997" i="6"/>
  <c r="BU998" i="6"/>
  <c r="BU999" i="6"/>
  <c r="BU1000" i="6"/>
  <c r="BU263" i="6"/>
  <c r="BU264" i="6"/>
  <c r="BU265" i="6"/>
  <c r="BU266" i="6"/>
  <c r="BU267" i="6"/>
  <c r="BU268" i="6"/>
  <c r="BU269" i="6"/>
  <c r="BU270" i="6"/>
  <c r="BU271" i="6"/>
  <c r="BU272" i="6"/>
  <c r="BU273" i="6"/>
  <c r="BU274" i="6"/>
  <c r="BU275" i="6"/>
  <c r="BU276" i="6"/>
  <c r="BU277" i="6"/>
  <c r="BU278" i="6"/>
  <c r="BU279" i="6"/>
  <c r="BU280" i="6"/>
  <c r="BU281" i="6"/>
  <c r="BU282" i="6"/>
  <c r="BU283" i="6"/>
  <c r="BU284" i="6"/>
  <c r="BU285" i="6"/>
  <c r="BU286" i="6"/>
  <c r="BU287" i="6"/>
  <c r="BU288" i="6"/>
  <c r="BU289" i="6"/>
  <c r="BU290" i="6"/>
  <c r="BU291" i="6"/>
  <c r="BU292" i="6"/>
  <c r="BU293" i="6"/>
  <c r="BU294" i="6"/>
  <c r="BU295" i="6"/>
  <c r="BU296" i="6"/>
  <c r="BU297" i="6"/>
  <c r="BU298" i="6"/>
  <c r="BU299" i="6"/>
  <c r="BU300" i="6"/>
  <c r="BU301" i="6"/>
  <c r="BU302" i="6"/>
  <c r="BU303" i="6"/>
  <c r="BU304" i="6"/>
  <c r="BU305" i="6"/>
  <c r="BU306" i="6"/>
  <c r="BU307" i="6"/>
  <c r="BU308" i="6"/>
  <c r="BU309" i="6"/>
  <c r="BU310" i="6"/>
  <c r="BU311" i="6"/>
  <c r="BU312" i="6"/>
  <c r="BU313" i="6"/>
  <c r="BU314" i="6"/>
  <c r="BU315" i="6"/>
  <c r="BU316" i="6"/>
  <c r="BU317" i="6"/>
  <c r="BU318" i="6"/>
  <c r="BU319" i="6"/>
  <c r="BU320" i="6"/>
  <c r="BU321" i="6"/>
  <c r="BU322" i="6"/>
  <c r="BU323" i="6"/>
  <c r="BU324" i="6"/>
  <c r="BU325" i="6"/>
  <c r="BU326" i="6"/>
  <c r="BU327" i="6"/>
  <c r="BU328" i="6"/>
  <c r="BU329" i="6"/>
  <c r="BU330" i="6"/>
  <c r="BU331" i="6"/>
  <c r="BU332" i="6"/>
  <c r="BU333" i="6"/>
  <c r="BU334" i="6"/>
  <c r="BU335" i="6"/>
  <c r="BU336" i="6"/>
  <c r="BU337" i="6"/>
  <c r="BU338" i="6"/>
  <c r="BU339" i="6"/>
  <c r="BU340" i="6"/>
  <c r="BU341" i="6"/>
  <c r="BU342" i="6"/>
  <c r="BU343" i="6"/>
  <c r="BU344" i="6"/>
  <c r="BU345" i="6"/>
  <c r="BU346" i="6"/>
  <c r="BU347" i="6"/>
  <c r="BU348" i="6"/>
  <c r="BU349" i="6"/>
  <c r="BU350" i="6"/>
  <c r="BU351" i="6"/>
  <c r="BU352" i="6"/>
  <c r="BU353" i="6"/>
  <c r="BU354" i="6"/>
  <c r="BU355" i="6"/>
  <c r="BU356" i="6"/>
  <c r="BU357" i="6"/>
  <c r="BU358" i="6"/>
  <c r="BU359" i="6"/>
  <c r="BU360" i="6"/>
  <c r="BU361" i="6"/>
  <c r="BU362" i="6"/>
  <c r="BU363" i="6"/>
  <c r="BU364" i="6"/>
  <c r="BU365" i="6"/>
  <c r="BU366" i="6"/>
  <c r="BU367" i="6"/>
  <c r="BU368" i="6"/>
  <c r="BU369" i="6"/>
  <c r="BU370" i="6"/>
  <c r="BU371" i="6"/>
  <c r="BU372" i="6"/>
  <c r="BU373" i="6"/>
  <c r="BU374" i="6"/>
  <c r="BU375" i="6"/>
  <c r="BU376" i="6"/>
  <c r="BU377" i="6"/>
  <c r="BU378" i="6"/>
  <c r="BU379" i="6"/>
  <c r="BU380" i="6"/>
  <c r="BU381" i="6"/>
  <c r="BU382" i="6"/>
  <c r="BU383" i="6"/>
  <c r="BU384" i="6"/>
  <c r="BU385" i="6"/>
  <c r="BU386" i="6"/>
  <c r="BU387" i="6"/>
  <c r="BU388" i="6"/>
  <c r="BU389" i="6"/>
  <c r="BU390" i="6"/>
  <c r="BU391" i="6"/>
  <c r="BU392" i="6"/>
  <c r="BU393" i="6"/>
  <c r="BU394" i="6"/>
  <c r="BU395" i="6"/>
  <c r="BU396" i="6"/>
  <c r="BU397" i="6"/>
  <c r="BU398" i="6"/>
  <c r="BU399" i="6"/>
  <c r="BU400" i="6"/>
  <c r="BU401" i="6"/>
  <c r="BU402" i="6"/>
  <c r="BU403" i="6"/>
  <c r="BU404" i="6"/>
  <c r="BU405" i="6"/>
  <c r="BU406" i="6"/>
  <c r="BU407" i="6"/>
  <c r="BU408" i="6"/>
  <c r="BU409" i="6"/>
  <c r="BU410" i="6"/>
  <c r="BU411" i="6"/>
  <c r="BU412" i="6"/>
  <c r="BU413" i="6"/>
  <c r="BU414" i="6"/>
  <c r="BU415" i="6"/>
  <c r="BU416" i="6"/>
  <c r="BU417" i="6"/>
  <c r="BU418" i="6"/>
  <c r="BU419" i="6"/>
  <c r="BU420" i="6"/>
  <c r="BU421" i="6"/>
  <c r="BU422" i="6"/>
  <c r="BU423" i="6"/>
  <c r="BU424" i="6"/>
  <c r="BU425" i="6"/>
  <c r="BU426" i="6"/>
  <c r="BU427" i="6"/>
  <c r="BU428" i="6"/>
  <c r="BU429" i="6"/>
  <c r="BU430" i="6"/>
  <c r="BU431" i="6"/>
  <c r="BU432" i="6"/>
  <c r="BU433" i="6"/>
  <c r="BU434" i="6"/>
  <c r="BU435" i="6"/>
  <c r="BU436" i="6"/>
  <c r="BU437" i="6"/>
  <c r="BU438" i="6"/>
  <c r="BU439" i="6"/>
  <c r="BU440" i="6"/>
  <c r="BU441" i="6"/>
  <c r="BU442" i="6"/>
  <c r="BU443" i="6"/>
  <c r="BU444" i="6"/>
  <c r="BU445" i="6"/>
  <c r="BU446" i="6"/>
  <c r="BU447" i="6"/>
  <c r="BU448" i="6"/>
  <c r="BU449" i="6"/>
  <c r="BU450" i="6"/>
  <c r="BU451" i="6"/>
  <c r="BU452" i="6"/>
  <c r="BU453" i="6"/>
  <c r="BU454" i="6"/>
  <c r="BU455" i="6"/>
  <c r="BU456" i="6"/>
  <c r="BU457" i="6"/>
  <c r="BU458" i="6"/>
  <c r="BU459" i="6"/>
  <c r="BU460" i="6"/>
  <c r="BU461" i="6"/>
  <c r="BU462" i="6"/>
  <c r="BU463" i="6"/>
  <c r="BU464" i="6"/>
  <c r="BU465" i="6"/>
  <c r="BU466" i="6"/>
  <c r="BU467" i="6"/>
  <c r="BU468" i="6"/>
  <c r="BU469" i="6"/>
  <c r="BU470" i="6"/>
  <c r="BU471" i="6"/>
  <c r="BU472" i="6"/>
  <c r="BU473" i="6"/>
  <c r="BU474" i="6"/>
  <c r="BU475" i="6"/>
  <c r="BU476" i="6"/>
  <c r="BU477" i="6"/>
  <c r="BU478" i="6"/>
  <c r="BU479" i="6"/>
  <c r="BU480" i="6"/>
  <c r="BU481" i="6"/>
  <c r="BU482" i="6"/>
  <c r="BU483" i="6"/>
  <c r="BU484" i="6"/>
  <c r="BU485" i="6"/>
  <c r="BU486" i="6"/>
  <c r="BU487" i="6"/>
  <c r="BU488" i="6"/>
  <c r="BU489" i="6"/>
  <c r="BU490" i="6"/>
  <c r="BU491" i="6"/>
  <c r="BU492" i="6"/>
  <c r="BU493" i="6"/>
  <c r="BU494" i="6"/>
  <c r="BU495" i="6"/>
  <c r="BU496" i="6"/>
  <c r="BU497" i="6"/>
  <c r="BU498" i="6"/>
  <c r="BU499" i="6"/>
  <c r="BU500" i="6"/>
  <c r="BU501" i="6"/>
  <c r="BU502" i="6"/>
  <c r="BU503" i="6"/>
  <c r="BU504" i="6"/>
  <c r="BU505" i="6"/>
  <c r="BU506" i="6"/>
  <c r="BU507" i="6"/>
  <c r="BU508" i="6"/>
  <c r="BU509" i="6"/>
  <c r="BU510" i="6"/>
  <c r="BU511" i="6"/>
  <c r="BU512" i="6"/>
  <c r="BU513" i="6"/>
  <c r="BU514" i="6"/>
  <c r="BU515" i="6"/>
  <c r="BU516" i="6"/>
  <c r="BU517" i="6"/>
  <c r="BU518" i="6"/>
  <c r="BU519" i="6"/>
  <c r="BU520" i="6"/>
  <c r="BU521" i="6"/>
  <c r="BU522" i="6"/>
  <c r="BU523" i="6"/>
  <c r="BU524" i="6"/>
  <c r="BU525" i="6"/>
  <c r="BU526" i="6"/>
  <c r="BU527" i="6"/>
  <c r="BU528" i="6"/>
  <c r="BU529" i="6"/>
  <c r="BU530" i="6"/>
  <c r="BU531" i="6"/>
  <c r="BU532" i="6"/>
  <c r="BU533" i="6"/>
  <c r="BU534" i="6"/>
  <c r="BU535" i="6"/>
  <c r="BU536" i="6"/>
  <c r="BU537" i="6"/>
  <c r="BU538" i="6"/>
  <c r="BU539" i="6"/>
  <c r="BU540" i="6"/>
  <c r="BU541" i="6"/>
  <c r="BU542" i="6"/>
  <c r="BU543" i="6"/>
  <c r="BU544" i="6"/>
  <c r="BU545" i="6"/>
  <c r="BU546" i="6"/>
  <c r="BU547" i="6"/>
  <c r="BU548" i="6"/>
  <c r="BU549" i="6"/>
  <c r="BU550" i="6"/>
  <c r="BU551" i="6"/>
  <c r="BU552" i="6"/>
  <c r="BU553" i="6"/>
  <c r="BU554" i="6"/>
  <c r="BU555" i="6"/>
  <c r="BU556" i="6"/>
  <c r="BU557" i="6"/>
  <c r="BU558" i="6"/>
  <c r="BU559" i="6"/>
  <c r="BU560" i="6"/>
  <c r="BU561" i="6"/>
  <c r="BU562" i="6"/>
  <c r="BU563" i="6"/>
  <c r="BU564" i="6"/>
  <c r="BU565" i="6"/>
  <c r="BU566" i="6"/>
  <c r="BU567" i="6"/>
  <c r="BU568" i="6"/>
  <c r="BU569" i="6"/>
  <c r="BU570" i="6"/>
  <c r="BU571" i="6"/>
  <c r="BU572" i="6"/>
  <c r="BU573" i="6"/>
  <c r="BU574" i="6"/>
  <c r="BU575" i="6"/>
  <c r="BU576" i="6"/>
  <c r="BU577" i="6"/>
  <c r="BU578" i="6"/>
  <c r="BU579" i="6"/>
  <c r="BU580" i="6"/>
  <c r="BU581" i="6"/>
  <c r="BU582" i="6"/>
  <c r="BU583" i="6"/>
  <c r="BU584" i="6"/>
  <c r="BU585" i="6"/>
  <c r="BU586" i="6"/>
  <c r="BU587" i="6"/>
  <c r="BU588" i="6"/>
  <c r="BU589" i="6"/>
  <c r="BU590" i="6"/>
  <c r="BU591" i="6"/>
  <c r="BU592" i="6"/>
  <c r="BU593" i="6"/>
  <c r="BU594" i="6"/>
  <c r="BU595" i="6"/>
  <c r="BU596" i="6"/>
  <c r="BU597" i="6"/>
  <c r="BU598" i="6"/>
  <c r="BU599" i="6"/>
  <c r="BU600" i="6"/>
  <c r="BU601" i="6"/>
  <c r="BU602" i="6"/>
  <c r="BU603" i="6"/>
  <c r="BU604" i="6"/>
  <c r="BU605" i="6"/>
  <c r="BU606" i="6"/>
  <c r="BU607" i="6"/>
  <c r="BU608" i="6"/>
  <c r="BU609" i="6"/>
  <c r="BU610" i="6"/>
  <c r="BU611" i="6"/>
  <c r="BU612" i="6"/>
  <c r="BU613" i="6"/>
  <c r="BU614" i="6"/>
  <c r="BU615" i="6"/>
  <c r="BU616" i="6"/>
  <c r="BU617" i="6"/>
  <c r="BU618" i="6"/>
  <c r="BU619" i="6"/>
  <c r="BU620" i="6"/>
  <c r="BU621" i="6"/>
  <c r="BU622" i="6"/>
  <c r="BU623" i="6"/>
  <c r="BU624" i="6"/>
  <c r="BU625" i="6"/>
  <c r="BU626" i="6"/>
  <c r="BU627" i="6"/>
  <c r="BU628" i="6"/>
  <c r="BU629" i="6"/>
  <c r="BU630" i="6"/>
  <c r="BU631" i="6"/>
  <c r="BU632" i="6"/>
  <c r="BU633" i="6"/>
  <c r="BU634" i="6"/>
  <c r="BU635" i="6"/>
  <c r="BU636" i="6"/>
  <c r="BU637" i="6"/>
  <c r="BU638" i="6"/>
  <c r="BU639" i="6"/>
  <c r="BU640" i="6"/>
  <c r="BU641" i="6"/>
  <c r="BU642" i="6"/>
  <c r="BU643" i="6"/>
  <c r="BU644" i="6"/>
  <c r="BU645" i="6"/>
  <c r="BU646" i="6"/>
  <c r="BU647" i="6"/>
  <c r="BU648" i="6"/>
  <c r="BU649" i="6"/>
  <c r="BU650" i="6"/>
  <c r="BU651" i="6"/>
  <c r="BU652" i="6"/>
  <c r="BU653" i="6"/>
  <c r="BU654" i="6"/>
  <c r="BU655" i="6"/>
  <c r="BU656" i="6"/>
  <c r="BU657" i="6"/>
  <c r="BU658" i="6"/>
  <c r="BU659" i="6"/>
  <c r="BU660" i="6"/>
  <c r="BU661" i="6"/>
  <c r="BU662" i="6"/>
  <c r="BU663" i="6"/>
  <c r="BU664" i="6"/>
  <c r="BU665" i="6"/>
  <c r="BU666" i="6"/>
  <c r="BU667" i="6"/>
  <c r="BU668" i="6"/>
  <c r="BU669" i="6"/>
  <c r="BU670" i="6"/>
  <c r="BU671" i="6"/>
  <c r="BU672" i="6"/>
  <c r="BU673" i="6"/>
  <c r="BU674" i="6"/>
  <c r="BU675" i="6"/>
  <c r="BU676" i="6"/>
  <c r="BU677" i="6"/>
  <c r="BU678" i="6"/>
  <c r="BU679" i="6"/>
  <c r="BU680" i="6"/>
  <c r="BU681" i="6"/>
  <c r="BU682" i="6"/>
  <c r="BU683" i="6"/>
  <c r="BU684" i="6"/>
  <c r="BU685" i="6"/>
  <c r="BU686" i="6"/>
  <c r="BU687" i="6"/>
  <c r="BU688" i="6"/>
  <c r="BU689" i="6"/>
  <c r="BU690" i="6"/>
  <c r="BU691" i="6"/>
  <c r="BU692" i="6"/>
  <c r="BU693" i="6"/>
  <c r="BU694" i="6"/>
  <c r="BU695" i="6"/>
  <c r="BU696" i="6"/>
  <c r="BU697" i="6"/>
  <c r="BU698" i="6"/>
  <c r="BU699" i="6"/>
  <c r="BU700" i="6"/>
  <c r="BU701" i="6"/>
  <c r="BU702" i="6"/>
  <c r="BU703" i="6"/>
  <c r="BU704" i="6"/>
  <c r="BU705" i="6"/>
  <c r="BU706" i="6"/>
  <c r="BU707" i="6"/>
  <c r="BU708" i="6"/>
  <c r="BU709" i="6"/>
  <c r="BU710" i="6"/>
  <c r="BU711" i="6"/>
  <c r="BU712" i="6"/>
  <c r="BU713" i="6"/>
  <c r="BU714" i="6"/>
  <c r="BU715" i="6"/>
  <c r="BU716" i="6"/>
  <c r="BU717" i="6"/>
  <c r="BU718" i="6"/>
  <c r="BU719" i="6"/>
  <c r="BU720" i="6"/>
  <c r="BU721" i="6"/>
  <c r="BU722" i="6"/>
  <c r="BU723" i="6"/>
  <c r="BU724" i="6"/>
  <c r="BU725" i="6"/>
  <c r="BU726" i="6"/>
  <c r="BU727" i="6"/>
  <c r="BU728" i="6"/>
  <c r="BU729" i="6"/>
  <c r="BU730" i="6"/>
  <c r="BU731" i="6"/>
  <c r="BU732" i="6"/>
  <c r="BU733" i="6"/>
  <c r="BU734" i="6"/>
  <c r="BU735" i="6"/>
  <c r="BU736" i="6"/>
  <c r="BU737" i="6"/>
  <c r="BU738" i="6"/>
  <c r="BU739" i="6"/>
  <c r="BU740" i="6"/>
  <c r="BU741" i="6"/>
  <c r="BU742" i="6"/>
  <c r="BU743" i="6"/>
  <c r="BU744" i="6"/>
  <c r="BU745" i="6"/>
  <c r="BU746" i="6"/>
  <c r="BU747" i="6"/>
  <c r="BU748" i="6"/>
  <c r="BU749" i="6"/>
  <c r="BU750" i="6"/>
  <c r="BU751" i="6"/>
  <c r="BU752" i="6"/>
  <c r="BU753" i="6"/>
  <c r="BU754" i="6"/>
  <c r="BU755" i="6"/>
  <c r="BU756" i="6"/>
  <c r="BU757" i="6"/>
  <c r="BU758" i="6"/>
  <c r="BU759" i="6"/>
  <c r="BU760" i="6"/>
  <c r="BU761" i="6"/>
  <c r="BU762" i="6"/>
  <c r="BU763" i="6"/>
  <c r="BU764" i="6"/>
  <c r="BU765" i="6"/>
  <c r="BU766" i="6"/>
  <c r="BU767" i="6"/>
  <c r="BU768" i="6"/>
  <c r="BU769" i="6"/>
  <c r="BU770" i="6"/>
  <c r="BU771" i="6"/>
  <c r="BU772" i="6"/>
  <c r="BU773" i="6"/>
  <c r="BU774" i="6"/>
  <c r="BU775" i="6"/>
  <c r="BU776" i="6"/>
  <c r="BU777" i="6"/>
  <c r="BU778" i="6"/>
  <c r="BU779" i="6"/>
  <c r="BU780" i="6"/>
  <c r="BU781" i="6"/>
  <c r="BU782" i="6"/>
  <c r="BU783" i="6"/>
  <c r="BU784" i="6"/>
  <c r="BU785" i="6"/>
  <c r="BU786" i="6"/>
  <c r="BU787" i="6"/>
  <c r="BU788" i="6"/>
  <c r="BU789" i="6"/>
  <c r="BU790" i="6"/>
  <c r="BU791" i="6"/>
  <c r="BU792" i="6"/>
  <c r="BU793" i="6"/>
  <c r="BU794" i="6"/>
  <c r="BU795" i="6"/>
  <c r="BU796" i="6"/>
  <c r="BU797" i="6"/>
  <c r="BU798" i="6"/>
  <c r="BU799" i="6"/>
  <c r="BU800" i="6"/>
  <c r="BU801" i="6"/>
  <c r="BU802" i="6"/>
  <c r="BU803" i="6"/>
  <c r="BU804" i="6"/>
  <c r="BU805" i="6"/>
  <c r="BU806" i="6"/>
  <c r="BU807" i="6"/>
  <c r="BU808" i="6"/>
  <c r="BU809" i="6"/>
  <c r="BU810" i="6"/>
  <c r="BU811" i="6"/>
  <c r="BU812" i="6"/>
  <c r="BU813" i="6"/>
  <c r="BU814" i="6"/>
  <c r="BU815" i="6"/>
  <c r="BU816" i="6"/>
  <c r="BU817" i="6"/>
  <c r="BU818" i="6"/>
  <c r="BU819" i="6"/>
  <c r="BU820" i="6"/>
  <c r="BU821" i="6"/>
  <c r="BU822" i="6"/>
  <c r="BU823" i="6"/>
  <c r="BU824" i="6"/>
  <c r="BU825" i="6"/>
  <c r="BU826" i="6"/>
  <c r="BU827" i="6"/>
  <c r="BU828" i="6"/>
  <c r="BU829" i="6"/>
  <c r="BU830" i="6"/>
  <c r="BU831" i="6"/>
  <c r="BU832" i="6"/>
  <c r="BU833" i="6"/>
  <c r="BU834" i="6"/>
  <c r="BU835" i="6"/>
  <c r="BU836" i="6"/>
  <c r="BU837" i="6"/>
  <c r="BU838" i="6"/>
  <c r="BU839" i="6"/>
  <c r="BU840" i="6"/>
  <c r="BU841" i="6"/>
  <c r="BU842" i="6"/>
  <c r="BU843" i="6"/>
  <c r="BU844" i="6"/>
  <c r="BU845" i="6"/>
  <c r="BU846" i="6"/>
  <c r="BU847" i="6"/>
  <c r="BU848" i="6"/>
  <c r="BU849" i="6"/>
  <c r="BU850" i="6"/>
  <c r="BU851" i="6"/>
  <c r="BU852" i="6"/>
  <c r="BU853" i="6"/>
  <c r="BU854" i="6"/>
  <c r="BU855" i="6"/>
  <c r="BU856" i="6"/>
  <c r="BU857" i="6"/>
  <c r="BU858" i="6"/>
  <c r="BU859" i="6"/>
  <c r="BU860" i="6"/>
  <c r="BU861" i="6"/>
  <c r="BU862" i="6"/>
  <c r="BU863" i="6"/>
  <c r="BU864" i="6"/>
  <c r="BU865" i="6"/>
  <c r="BU866" i="6"/>
  <c r="BU867" i="6"/>
  <c r="BU868" i="6"/>
  <c r="BU869" i="6"/>
  <c r="BU870" i="6"/>
  <c r="BU871" i="6"/>
  <c r="BU872" i="6"/>
  <c r="BU873" i="6"/>
  <c r="BU874" i="6"/>
  <c r="BU875" i="6"/>
  <c r="BU876" i="6"/>
  <c r="BU877" i="6"/>
  <c r="BU878" i="6"/>
  <c r="BU879" i="6"/>
  <c r="BU880" i="6"/>
  <c r="BU881" i="6"/>
  <c r="BU882" i="6"/>
  <c r="BU883" i="6"/>
  <c r="BU884" i="6"/>
  <c r="BU885" i="6"/>
  <c r="BU886" i="6"/>
  <c r="BU887" i="6"/>
  <c r="BU888" i="6"/>
  <c r="BU889" i="6"/>
  <c r="BU890" i="6"/>
  <c r="BU891" i="6"/>
  <c r="BU892" i="6"/>
  <c r="BU893" i="6"/>
  <c r="BU894" i="6"/>
  <c r="BU895" i="6"/>
  <c r="BU896" i="6"/>
  <c r="BU897" i="6"/>
  <c r="BU898" i="6"/>
  <c r="BU899" i="6"/>
  <c r="BU900" i="6"/>
  <c r="BU901" i="6"/>
  <c r="BU902" i="6"/>
  <c r="BU903" i="6"/>
  <c r="BU904" i="6"/>
  <c r="BU905" i="6"/>
  <c r="BU906" i="6"/>
  <c r="BU907" i="6"/>
  <c r="BU908" i="6"/>
  <c r="BU909" i="6"/>
  <c r="BU910" i="6"/>
  <c r="BU911" i="6"/>
  <c r="BU912" i="6"/>
  <c r="BU913" i="6"/>
  <c r="BU914" i="6"/>
  <c r="BU915" i="6"/>
  <c r="BU916" i="6"/>
  <c r="BU917" i="6"/>
  <c r="BU918" i="6"/>
  <c r="BU919" i="6"/>
  <c r="BU920" i="6"/>
  <c r="BU921" i="6"/>
  <c r="BU922" i="6"/>
  <c r="BU923" i="6"/>
  <c r="BU924" i="6"/>
  <c r="BU925" i="6"/>
  <c r="BU926" i="6"/>
  <c r="BU927" i="6"/>
  <c r="BU928" i="6"/>
  <c r="BU929" i="6"/>
  <c r="BU930" i="6"/>
  <c r="BU931" i="6"/>
  <c r="BU932" i="6"/>
  <c r="BU933" i="6"/>
  <c r="BU934" i="6"/>
  <c r="BU935" i="6"/>
  <c r="BU936" i="6"/>
  <c r="BU937" i="6"/>
  <c r="BU938" i="6"/>
  <c r="BU939" i="6"/>
  <c r="BU940" i="6"/>
  <c r="BU941" i="6"/>
  <c r="BU942" i="6"/>
  <c r="BU943" i="6"/>
  <c r="BU944" i="6"/>
  <c r="BU945" i="6"/>
  <c r="BU946" i="6"/>
  <c r="BU947" i="6"/>
  <c r="BU948" i="6"/>
  <c r="BU949" i="6"/>
  <c r="BU950" i="6"/>
  <c r="BU951" i="6"/>
  <c r="BU952" i="6"/>
  <c r="BU953" i="6"/>
  <c r="BU954" i="6"/>
  <c r="BU955" i="6"/>
  <c r="BU956" i="6"/>
  <c r="BU957" i="6"/>
  <c r="BU958" i="6"/>
  <c r="BU959" i="6"/>
  <c r="BU960" i="6"/>
  <c r="BU961" i="6"/>
  <c r="BU962" i="6"/>
  <c r="BU963" i="6"/>
  <c r="BU964" i="6"/>
  <c r="BU965" i="6"/>
  <c r="BU966" i="6"/>
  <c r="BU967" i="6"/>
  <c r="BU968" i="6"/>
  <c r="BU969" i="6"/>
  <c r="BU970" i="6"/>
  <c r="BU971" i="6"/>
  <c r="BU972" i="6"/>
  <c r="BU973" i="6"/>
  <c r="BU974" i="6"/>
  <c r="BU975" i="6"/>
  <c r="BU976" i="6"/>
  <c r="BU977" i="6"/>
  <c r="BU978" i="6"/>
  <c r="BU979" i="6"/>
  <c r="BU980" i="6"/>
  <c r="BU981" i="6"/>
  <c r="BU982" i="6"/>
  <c r="BU983" i="6"/>
  <c r="BU984" i="6"/>
  <c r="BU985" i="6"/>
  <c r="BU986" i="6"/>
  <c r="BU987" i="6"/>
  <c r="BU988" i="6"/>
  <c r="BU989" i="6"/>
  <c r="BU990" i="6"/>
  <c r="BU991" i="6"/>
  <c r="BU992" i="6"/>
  <c r="BU993" i="6"/>
  <c r="BU994" i="6"/>
  <c r="BU101" i="6"/>
  <c r="BU102" i="6"/>
  <c r="BU103" i="6"/>
  <c r="BU104" i="6"/>
  <c r="BU105" i="6"/>
  <c r="BU106" i="6"/>
  <c r="BU107" i="6"/>
  <c r="BU108" i="6"/>
  <c r="BU109" i="6"/>
  <c r="BU110" i="6"/>
  <c r="BU111" i="6"/>
  <c r="BU112" i="6"/>
  <c r="BU113" i="6"/>
  <c r="BU114" i="6"/>
  <c r="BU115" i="6"/>
  <c r="BU116" i="6"/>
  <c r="BU117" i="6"/>
  <c r="BU118" i="6"/>
  <c r="BU119" i="6"/>
  <c r="BU120" i="6"/>
  <c r="BU121" i="6"/>
  <c r="BU122" i="6"/>
  <c r="BU123" i="6"/>
  <c r="BU124" i="6"/>
  <c r="BU125" i="6"/>
  <c r="BU126" i="6"/>
  <c r="BU127" i="6"/>
  <c r="BU128" i="6"/>
  <c r="BU129" i="6"/>
  <c r="BU130" i="6"/>
  <c r="BU131" i="6"/>
  <c r="BU132" i="6"/>
  <c r="BU133" i="6"/>
  <c r="BU134" i="6"/>
  <c r="BU135" i="6"/>
  <c r="BU136" i="6"/>
  <c r="BU137" i="6"/>
  <c r="BU138" i="6"/>
  <c r="BU139" i="6"/>
  <c r="BU140" i="6"/>
  <c r="BU141" i="6"/>
  <c r="BU142" i="6"/>
  <c r="BU143" i="6"/>
  <c r="BU144" i="6"/>
  <c r="BU145" i="6"/>
  <c r="BU146" i="6"/>
  <c r="BU147" i="6"/>
  <c r="BU148" i="6"/>
  <c r="BU149" i="6"/>
  <c r="BU150" i="6"/>
  <c r="BU151" i="6"/>
  <c r="BU152" i="6"/>
  <c r="BU153" i="6"/>
  <c r="BU154" i="6"/>
  <c r="BU155" i="6"/>
  <c r="BU156" i="6"/>
  <c r="BU157" i="6"/>
  <c r="BU158" i="6"/>
  <c r="BU159" i="6"/>
  <c r="BU160" i="6"/>
  <c r="BU161" i="6"/>
  <c r="BU162" i="6"/>
  <c r="BU163" i="6"/>
  <c r="BU164" i="6"/>
  <c r="BU165" i="6"/>
  <c r="BU166" i="6"/>
  <c r="BU167" i="6"/>
  <c r="BU168" i="6"/>
  <c r="BU169" i="6"/>
  <c r="BU170" i="6"/>
  <c r="BU171" i="6"/>
  <c r="BU172" i="6"/>
  <c r="BU173" i="6"/>
  <c r="BU174" i="6"/>
  <c r="BU175" i="6"/>
  <c r="BU176" i="6"/>
  <c r="BU177" i="6"/>
  <c r="BU178" i="6"/>
  <c r="BU179" i="6"/>
  <c r="BU180" i="6"/>
  <c r="BU181" i="6"/>
  <c r="BU182" i="6"/>
  <c r="BU183" i="6"/>
  <c r="BU184" i="6"/>
  <c r="BU185" i="6"/>
  <c r="BU186" i="6"/>
  <c r="BU187" i="6"/>
  <c r="BU188" i="6"/>
  <c r="BU189" i="6"/>
  <c r="BU190" i="6"/>
  <c r="BU191" i="6"/>
  <c r="BU192" i="6"/>
  <c r="BU193" i="6"/>
  <c r="BU194" i="6"/>
  <c r="BU195" i="6"/>
  <c r="BU196" i="6"/>
  <c r="BU197" i="6"/>
  <c r="BU198" i="6"/>
  <c r="BU199" i="6"/>
  <c r="BU200" i="6"/>
  <c r="BU201" i="6"/>
  <c r="BU202" i="6"/>
  <c r="BU203" i="6"/>
  <c r="BU204" i="6"/>
  <c r="BU205" i="6"/>
  <c r="BU206" i="6"/>
  <c r="BU207" i="6"/>
  <c r="BU208" i="6"/>
  <c r="BU209" i="6"/>
  <c r="BU210" i="6"/>
  <c r="BU211" i="6"/>
  <c r="BU212" i="6"/>
  <c r="BU213" i="6"/>
  <c r="BU214" i="6"/>
  <c r="BU215" i="6"/>
  <c r="BU216" i="6"/>
  <c r="BU217" i="6"/>
  <c r="BU218" i="6"/>
  <c r="BU219" i="6"/>
  <c r="BU220" i="6"/>
  <c r="BU221" i="6"/>
  <c r="BU222" i="6"/>
  <c r="BU223" i="6"/>
  <c r="BU224" i="6"/>
  <c r="BU225" i="6"/>
  <c r="BU226" i="6"/>
  <c r="BU227" i="6"/>
  <c r="BU228" i="6"/>
  <c r="BU229" i="6"/>
  <c r="BU230" i="6"/>
  <c r="BU231" i="6"/>
  <c r="BU232" i="6"/>
  <c r="BU233" i="6"/>
  <c r="BU234" i="6"/>
  <c r="BU235" i="6"/>
  <c r="BU236" i="6"/>
  <c r="BU237" i="6"/>
  <c r="BU238" i="6"/>
  <c r="BU239" i="6"/>
  <c r="BU240" i="6"/>
  <c r="BU241" i="6"/>
  <c r="BU242" i="6"/>
  <c r="BU243" i="6"/>
  <c r="BU244" i="6"/>
  <c r="BU245" i="6"/>
  <c r="BU246" i="6"/>
  <c r="BU247" i="6"/>
  <c r="BU248" i="6"/>
  <c r="BU249" i="6"/>
  <c r="BU250" i="6"/>
  <c r="BU251" i="6"/>
  <c r="BU252" i="6"/>
  <c r="BU253" i="6"/>
  <c r="BU254" i="6"/>
  <c r="BU255" i="6"/>
  <c r="BU256" i="6"/>
  <c r="BU257" i="6"/>
  <c r="BU258" i="6"/>
  <c r="BU259" i="6"/>
  <c r="BU260" i="6"/>
  <c r="BU261" i="6"/>
  <c r="BU262" i="6"/>
  <c r="S977" i="2" l="1"/>
  <c r="U999" i="2"/>
  <c r="T999" i="2"/>
  <c r="U998" i="2"/>
  <c r="V997" i="2"/>
  <c r="X995" i="2"/>
  <c r="Q994" i="2"/>
  <c r="R993" i="2"/>
  <c r="T991" i="2"/>
  <c r="U990" i="2"/>
  <c r="V989" i="2"/>
  <c r="X987" i="2"/>
  <c r="Q986" i="2"/>
  <c r="R985" i="2"/>
  <c r="T983" i="2"/>
  <c r="U982" i="2"/>
  <c r="V981" i="2"/>
  <c r="V980" i="2"/>
  <c r="Q976" i="2"/>
  <c r="V976" i="2"/>
  <c r="S975" i="2"/>
  <c r="R973" i="2"/>
  <c r="V969" i="2"/>
  <c r="S968" i="2"/>
  <c r="T900" i="2"/>
  <c r="U900" i="2"/>
  <c r="V900" i="2"/>
  <c r="W900" i="2"/>
  <c r="X900" i="2"/>
  <c r="Q900" i="2"/>
  <c r="R900" i="2"/>
  <c r="T884" i="2"/>
  <c r="U884" i="2"/>
  <c r="V884" i="2"/>
  <c r="W884" i="2"/>
  <c r="X884" i="2"/>
  <c r="Q884" i="2"/>
  <c r="R884" i="2"/>
  <c r="U874" i="2"/>
  <c r="T874" i="2"/>
  <c r="V874" i="2"/>
  <c r="W874" i="2"/>
  <c r="X874" i="2"/>
  <c r="Q874" i="2"/>
  <c r="R874" i="2"/>
  <c r="X977" i="2"/>
  <c r="U977" i="2"/>
  <c r="R999" i="2"/>
  <c r="T997" i="2"/>
  <c r="W994" i="2"/>
  <c r="X993" i="2"/>
  <c r="R991" i="2"/>
  <c r="T989" i="2"/>
  <c r="W986" i="2"/>
  <c r="X985" i="2"/>
  <c r="R983" i="2"/>
  <c r="R977" i="2"/>
  <c r="R976" i="2"/>
  <c r="R969" i="2"/>
  <c r="T965" i="2"/>
  <c r="U965" i="2"/>
  <c r="W965" i="2"/>
  <c r="X965" i="2"/>
  <c r="Q965" i="2"/>
  <c r="S900" i="2"/>
  <c r="S884" i="2"/>
  <c r="S874" i="2"/>
  <c r="V873" i="2"/>
  <c r="T873" i="2"/>
  <c r="U873" i="2"/>
  <c r="W873" i="2"/>
  <c r="X873" i="2"/>
  <c r="Q873" i="2"/>
  <c r="R873" i="2"/>
  <c r="S999" i="2"/>
  <c r="Q999" i="2"/>
  <c r="Q991" i="2"/>
  <c r="Q983" i="2"/>
  <c r="Q977" i="2"/>
  <c r="Q969" i="2"/>
  <c r="T956" i="2"/>
  <c r="U956" i="2"/>
  <c r="V956" i="2"/>
  <c r="X956" i="2"/>
  <c r="Q956" i="2"/>
  <c r="R956" i="2"/>
  <c r="T940" i="2"/>
  <c r="U940" i="2"/>
  <c r="V940" i="2"/>
  <c r="W940" i="2"/>
  <c r="X940" i="2"/>
  <c r="Q940" i="2"/>
  <c r="R940" i="2"/>
  <c r="T924" i="2"/>
  <c r="U924" i="2"/>
  <c r="V924" i="2"/>
  <c r="W924" i="2"/>
  <c r="X924" i="2"/>
  <c r="Q924" i="2"/>
  <c r="R924" i="2"/>
  <c r="T908" i="2"/>
  <c r="U908" i="2"/>
  <c r="V908" i="2"/>
  <c r="W908" i="2"/>
  <c r="X908" i="2"/>
  <c r="Q908" i="2"/>
  <c r="R908" i="2"/>
  <c r="T818" i="2"/>
  <c r="U818" i="2"/>
  <c r="V818" i="2"/>
  <c r="W818" i="2"/>
  <c r="X818" i="2"/>
  <c r="Q818" i="2"/>
  <c r="R818" i="2"/>
  <c r="S818" i="2"/>
  <c r="T802" i="2"/>
  <c r="U802" i="2"/>
  <c r="V802" i="2"/>
  <c r="W802" i="2"/>
  <c r="X802" i="2"/>
  <c r="Q802" i="2"/>
  <c r="R802" i="2"/>
  <c r="S802" i="2"/>
  <c r="S997" i="2"/>
  <c r="X999" i="2"/>
  <c r="R997" i="2"/>
  <c r="U994" i="2"/>
  <c r="V993" i="2"/>
  <c r="X991" i="2"/>
  <c r="R989" i="2"/>
  <c r="U986" i="2"/>
  <c r="V985" i="2"/>
  <c r="X983" i="2"/>
  <c r="Q981" i="2"/>
  <c r="Q980" i="2"/>
  <c r="Q979" i="2"/>
  <c r="Q978" i="2"/>
  <c r="X975" i="2"/>
  <c r="W973" i="2"/>
  <c r="U972" i="2"/>
  <c r="Q972" i="2"/>
  <c r="R972" i="2"/>
  <c r="W956" i="2"/>
  <c r="T892" i="2"/>
  <c r="U892" i="2"/>
  <c r="V892" i="2"/>
  <c r="W892" i="2"/>
  <c r="X892" i="2"/>
  <c r="Q892" i="2"/>
  <c r="R892" i="2"/>
  <c r="T876" i="2"/>
  <c r="U876" i="2"/>
  <c r="V876" i="2"/>
  <c r="W876" i="2"/>
  <c r="X876" i="2"/>
  <c r="Q876" i="2"/>
  <c r="R876" i="2"/>
  <c r="W872" i="2"/>
  <c r="T872" i="2"/>
  <c r="U872" i="2"/>
  <c r="V872" i="2"/>
  <c r="X872" i="2"/>
  <c r="Q872" i="2"/>
  <c r="R872" i="2"/>
  <c r="S983" i="2"/>
  <c r="W999" i="2"/>
  <c r="Q997" i="2"/>
  <c r="U993" i="2"/>
  <c r="W991" i="2"/>
  <c r="Q989" i="2"/>
  <c r="U985" i="2"/>
  <c r="W983" i="2"/>
  <c r="X976" i="2"/>
  <c r="V975" i="2"/>
  <c r="T972" i="2"/>
  <c r="X968" i="2"/>
  <c r="R967" i="2"/>
  <c r="V967" i="2"/>
  <c r="W967" i="2"/>
  <c r="X960" i="2"/>
  <c r="Q960" i="2"/>
  <c r="R960" i="2"/>
  <c r="T960" i="2"/>
  <c r="U960" i="2"/>
  <c r="V960" i="2"/>
  <c r="S956" i="2"/>
  <c r="S940" i="2"/>
  <c r="S924" i="2"/>
  <c r="X969" i="2"/>
  <c r="T969" i="2"/>
  <c r="U969" i="2"/>
  <c r="X997" i="2"/>
  <c r="V991" i="2"/>
  <c r="X989" i="2"/>
  <c r="V983" i="2"/>
  <c r="W977" i="2"/>
  <c r="T973" i="2"/>
  <c r="X973" i="2"/>
  <c r="Q973" i="2"/>
  <c r="U964" i="2"/>
  <c r="V964" i="2"/>
  <c r="X964" i="2"/>
  <c r="Q964" i="2"/>
  <c r="R964" i="2"/>
  <c r="S892" i="2"/>
  <c r="T875" i="2"/>
  <c r="U875" i="2"/>
  <c r="V875" i="2"/>
  <c r="W875" i="2"/>
  <c r="X875" i="2"/>
  <c r="Q875" i="2"/>
  <c r="R875" i="2"/>
  <c r="V977" i="2"/>
  <c r="R975" i="2"/>
  <c r="W975" i="2"/>
  <c r="W969" i="2"/>
  <c r="Q968" i="2"/>
  <c r="U968" i="2"/>
  <c r="V968" i="2"/>
  <c r="T964" i="2"/>
  <c r="T948" i="2"/>
  <c r="U948" i="2"/>
  <c r="V948" i="2"/>
  <c r="W948" i="2"/>
  <c r="X948" i="2"/>
  <c r="Q948" i="2"/>
  <c r="R948" i="2"/>
  <c r="T932" i="2"/>
  <c r="U932" i="2"/>
  <c r="V932" i="2"/>
  <c r="W932" i="2"/>
  <c r="X932" i="2"/>
  <c r="Q932" i="2"/>
  <c r="R932" i="2"/>
  <c r="T916" i="2"/>
  <c r="U916" i="2"/>
  <c r="V916" i="2"/>
  <c r="W916" i="2"/>
  <c r="X916" i="2"/>
  <c r="Q916" i="2"/>
  <c r="R916" i="2"/>
  <c r="T786" i="2"/>
  <c r="U786" i="2"/>
  <c r="V786" i="2"/>
  <c r="W786" i="2"/>
  <c r="X786" i="2"/>
  <c r="Q786" i="2"/>
  <c r="R786" i="2"/>
  <c r="S786" i="2"/>
  <c r="T970" i="2"/>
  <c r="T962" i="2"/>
  <c r="U961" i="2"/>
  <c r="W959" i="2"/>
  <c r="Q957" i="2"/>
  <c r="T954" i="2"/>
  <c r="U953" i="2"/>
  <c r="V952" i="2"/>
  <c r="W951" i="2"/>
  <c r="Q949" i="2"/>
  <c r="T946" i="2"/>
  <c r="U945" i="2"/>
  <c r="V944" i="2"/>
  <c r="W943" i="2"/>
  <c r="Q941" i="2"/>
  <c r="T938" i="2"/>
  <c r="U937" i="2"/>
  <c r="V936" i="2"/>
  <c r="W935" i="2"/>
  <c r="Q933" i="2"/>
  <c r="T930" i="2"/>
  <c r="U929" i="2"/>
  <c r="V928" i="2"/>
  <c r="W927" i="2"/>
  <c r="Q925" i="2"/>
  <c r="T922" i="2"/>
  <c r="U921" i="2"/>
  <c r="V920" i="2"/>
  <c r="W919" i="2"/>
  <c r="Q917" i="2"/>
  <c r="T914" i="2"/>
  <c r="U913" i="2"/>
  <c r="V912" i="2"/>
  <c r="W911" i="2"/>
  <c r="Q909" i="2"/>
  <c r="U905" i="2"/>
  <c r="V904" i="2"/>
  <c r="W903" i="2"/>
  <c r="Q901" i="2"/>
  <c r="U897" i="2"/>
  <c r="V896" i="2"/>
  <c r="W895" i="2"/>
  <c r="Q893" i="2"/>
  <c r="U889" i="2"/>
  <c r="V888" i="2"/>
  <c r="W887" i="2"/>
  <c r="Q885" i="2"/>
  <c r="U881" i="2"/>
  <c r="V880" i="2"/>
  <c r="W879" i="2"/>
  <c r="Q877" i="2"/>
  <c r="W866" i="2"/>
  <c r="U865" i="2"/>
  <c r="V865" i="2"/>
  <c r="Q865" i="2"/>
  <c r="Q858" i="2"/>
  <c r="T961" i="2"/>
  <c r="V959" i="2"/>
  <c r="X957" i="2"/>
  <c r="T953" i="2"/>
  <c r="U952" i="2"/>
  <c r="V951" i="2"/>
  <c r="X949" i="2"/>
  <c r="T945" i="2"/>
  <c r="U944" i="2"/>
  <c r="V943" i="2"/>
  <c r="X941" i="2"/>
  <c r="T937" i="2"/>
  <c r="U936" i="2"/>
  <c r="V935" i="2"/>
  <c r="X933" i="2"/>
  <c r="T929" i="2"/>
  <c r="U928" i="2"/>
  <c r="V927" i="2"/>
  <c r="X925" i="2"/>
  <c r="T921" i="2"/>
  <c r="U920" i="2"/>
  <c r="V919" i="2"/>
  <c r="X917" i="2"/>
  <c r="T913" i="2"/>
  <c r="U912" i="2"/>
  <c r="V911" i="2"/>
  <c r="X909" i="2"/>
  <c r="T905" i="2"/>
  <c r="U904" i="2"/>
  <c r="V903" i="2"/>
  <c r="X901" i="2"/>
  <c r="R899" i="2"/>
  <c r="T897" i="2"/>
  <c r="U896" i="2"/>
  <c r="V895" i="2"/>
  <c r="X893" i="2"/>
  <c r="R891" i="2"/>
  <c r="T889" i="2"/>
  <c r="U888" i="2"/>
  <c r="V887" i="2"/>
  <c r="X885" i="2"/>
  <c r="R883" i="2"/>
  <c r="T881" i="2"/>
  <c r="U880" i="2"/>
  <c r="V879" i="2"/>
  <c r="X877" i="2"/>
  <c r="X869" i="2"/>
  <c r="S865" i="2"/>
  <c r="T842" i="2"/>
  <c r="U842" i="2"/>
  <c r="V842" i="2"/>
  <c r="W842" i="2"/>
  <c r="X842" i="2"/>
  <c r="Q842" i="2"/>
  <c r="R842" i="2"/>
  <c r="T770" i="2"/>
  <c r="U770" i="2"/>
  <c r="V770" i="2"/>
  <c r="W770" i="2"/>
  <c r="X770" i="2"/>
  <c r="Q770" i="2"/>
  <c r="R770" i="2"/>
  <c r="W957" i="2"/>
  <c r="T952" i="2"/>
  <c r="W949" i="2"/>
  <c r="T944" i="2"/>
  <c r="W941" i="2"/>
  <c r="T936" i="2"/>
  <c r="W933" i="2"/>
  <c r="T928" i="2"/>
  <c r="W925" i="2"/>
  <c r="T920" i="2"/>
  <c r="W917" i="2"/>
  <c r="T912" i="2"/>
  <c r="W909" i="2"/>
  <c r="T904" i="2"/>
  <c r="W901" i="2"/>
  <c r="T896" i="2"/>
  <c r="W893" i="2"/>
  <c r="T888" i="2"/>
  <c r="W885" i="2"/>
  <c r="T880" i="2"/>
  <c r="W877" i="2"/>
  <c r="T866" i="2"/>
  <c r="U866" i="2"/>
  <c r="X866" i="2"/>
  <c r="X862" i="2"/>
  <c r="Q862" i="2"/>
  <c r="R862" i="2"/>
  <c r="T862" i="2"/>
  <c r="T754" i="2"/>
  <c r="U754" i="2"/>
  <c r="V754" i="2"/>
  <c r="W754" i="2"/>
  <c r="X754" i="2"/>
  <c r="Q754" i="2"/>
  <c r="R754" i="2"/>
  <c r="T738" i="2"/>
  <c r="U738" i="2"/>
  <c r="V738" i="2"/>
  <c r="W738" i="2"/>
  <c r="X738" i="2"/>
  <c r="Q738" i="2"/>
  <c r="R738" i="2"/>
  <c r="T722" i="2"/>
  <c r="U722" i="2"/>
  <c r="V722" i="2"/>
  <c r="W722" i="2"/>
  <c r="X722" i="2"/>
  <c r="Q722" i="2"/>
  <c r="R722" i="2"/>
  <c r="Q869" i="2"/>
  <c r="R869" i="2"/>
  <c r="U869" i="2"/>
  <c r="U857" i="2"/>
  <c r="V857" i="2"/>
  <c r="W857" i="2"/>
  <c r="Q857" i="2"/>
  <c r="T826" i="2"/>
  <c r="U826" i="2"/>
  <c r="V826" i="2"/>
  <c r="W826" i="2"/>
  <c r="X826" i="2"/>
  <c r="Q826" i="2"/>
  <c r="R826" i="2"/>
  <c r="T810" i="2"/>
  <c r="U810" i="2"/>
  <c r="V810" i="2"/>
  <c r="W810" i="2"/>
  <c r="X810" i="2"/>
  <c r="Q810" i="2"/>
  <c r="R810" i="2"/>
  <c r="T794" i="2"/>
  <c r="U794" i="2"/>
  <c r="V794" i="2"/>
  <c r="W794" i="2"/>
  <c r="X794" i="2"/>
  <c r="Q794" i="2"/>
  <c r="R794" i="2"/>
  <c r="Q961" i="2"/>
  <c r="U957" i="2"/>
  <c r="Q953" i="2"/>
  <c r="R952" i="2"/>
  <c r="U949" i="2"/>
  <c r="Q945" i="2"/>
  <c r="R944" i="2"/>
  <c r="U941" i="2"/>
  <c r="Q937" i="2"/>
  <c r="R936" i="2"/>
  <c r="U933" i="2"/>
  <c r="Q929" i="2"/>
  <c r="R928" i="2"/>
  <c r="U925" i="2"/>
  <c r="Q921" i="2"/>
  <c r="R920" i="2"/>
  <c r="U917" i="2"/>
  <c r="Q913" i="2"/>
  <c r="R912" i="2"/>
  <c r="U909" i="2"/>
  <c r="Q905" i="2"/>
  <c r="R904" i="2"/>
  <c r="U901" i="2"/>
  <c r="Q897" i="2"/>
  <c r="R896" i="2"/>
  <c r="U893" i="2"/>
  <c r="Q889" i="2"/>
  <c r="R888" i="2"/>
  <c r="U885" i="2"/>
  <c r="Q881" i="2"/>
  <c r="R880" i="2"/>
  <c r="U877" i="2"/>
  <c r="T869" i="2"/>
  <c r="S857" i="2"/>
  <c r="T850" i="2"/>
  <c r="U850" i="2"/>
  <c r="V850" i="2"/>
  <c r="W850" i="2"/>
  <c r="X850" i="2"/>
  <c r="Q850" i="2"/>
  <c r="R850" i="2"/>
  <c r="T778" i="2"/>
  <c r="U778" i="2"/>
  <c r="V778" i="2"/>
  <c r="W778" i="2"/>
  <c r="X778" i="2"/>
  <c r="Q778" i="2"/>
  <c r="R778" i="2"/>
  <c r="S754" i="2"/>
  <c r="S738" i="2"/>
  <c r="S722" i="2"/>
  <c r="Q952" i="2"/>
  <c r="Q944" i="2"/>
  <c r="Q936" i="2"/>
  <c r="Q928" i="2"/>
  <c r="Q920" i="2"/>
  <c r="Q912" i="2"/>
  <c r="Q904" i="2"/>
  <c r="Q896" i="2"/>
  <c r="Q888" i="2"/>
  <c r="Q880" i="2"/>
  <c r="X870" i="2"/>
  <c r="Q870" i="2"/>
  <c r="T870" i="2"/>
  <c r="S869" i="2"/>
  <c r="V864" i="2"/>
  <c r="W864" i="2"/>
  <c r="X864" i="2"/>
  <c r="R864" i="2"/>
  <c r="R857" i="2"/>
  <c r="S826" i="2"/>
  <c r="S810" i="2"/>
  <c r="S794" i="2"/>
  <c r="T858" i="2"/>
  <c r="U858" i="2"/>
  <c r="V858" i="2"/>
  <c r="X858" i="2"/>
  <c r="V856" i="2"/>
  <c r="W856" i="2"/>
  <c r="X856" i="2"/>
  <c r="Q856" i="2"/>
  <c r="R856" i="2"/>
  <c r="T856" i="2"/>
  <c r="T834" i="2"/>
  <c r="U834" i="2"/>
  <c r="V834" i="2"/>
  <c r="W834" i="2"/>
  <c r="X834" i="2"/>
  <c r="Q834" i="2"/>
  <c r="R834" i="2"/>
  <c r="T762" i="2"/>
  <c r="U762" i="2"/>
  <c r="V762" i="2"/>
  <c r="W762" i="2"/>
  <c r="X762" i="2"/>
  <c r="Q762" i="2"/>
  <c r="R762" i="2"/>
  <c r="T746" i="2"/>
  <c r="U746" i="2"/>
  <c r="V746" i="2"/>
  <c r="W746" i="2"/>
  <c r="X746" i="2"/>
  <c r="Q746" i="2"/>
  <c r="R746" i="2"/>
  <c r="T730" i="2"/>
  <c r="U730" i="2"/>
  <c r="V730" i="2"/>
  <c r="W730" i="2"/>
  <c r="X730" i="2"/>
  <c r="Q730" i="2"/>
  <c r="R730" i="2"/>
  <c r="T714" i="2"/>
  <c r="U714" i="2"/>
  <c r="V714" i="2"/>
  <c r="W714" i="2"/>
  <c r="X714" i="2"/>
  <c r="Q714" i="2"/>
  <c r="R714" i="2"/>
  <c r="T680" i="2"/>
  <c r="X680" i="2"/>
  <c r="T848" i="2"/>
  <c r="T840" i="2"/>
  <c r="T832" i="2"/>
  <c r="T824" i="2"/>
  <c r="T816" i="2"/>
  <c r="R706" i="2"/>
  <c r="R698" i="2"/>
  <c r="R682" i="2"/>
  <c r="V682" i="2"/>
  <c r="R680" i="2"/>
  <c r="T672" i="2"/>
  <c r="U672" i="2"/>
  <c r="V672" i="2"/>
  <c r="X672" i="2"/>
  <c r="X668" i="2"/>
  <c r="Q668" i="2"/>
  <c r="R668" i="2"/>
  <c r="T668" i="2"/>
  <c r="T656" i="2"/>
  <c r="U656" i="2"/>
  <c r="V656" i="2"/>
  <c r="W656" i="2"/>
  <c r="X656" i="2"/>
  <c r="Q656" i="2"/>
  <c r="R656" i="2"/>
  <c r="R809" i="2"/>
  <c r="R801" i="2"/>
  <c r="R793" i="2"/>
  <c r="R785" i="2"/>
  <c r="R777" i="2"/>
  <c r="R769" i="2"/>
  <c r="R761" i="2"/>
  <c r="R753" i="2"/>
  <c r="R745" i="2"/>
  <c r="R737" i="2"/>
  <c r="R729" i="2"/>
  <c r="R721" i="2"/>
  <c r="R713" i="2"/>
  <c r="Q706" i="2"/>
  <c r="R705" i="2"/>
  <c r="Q698" i="2"/>
  <c r="R697" i="2"/>
  <c r="Q683" i="2"/>
  <c r="U683" i="2"/>
  <c r="S682" i="2"/>
  <c r="Q680" i="2"/>
  <c r="R672" i="2"/>
  <c r="U668" i="2"/>
  <c r="U861" i="2"/>
  <c r="T854" i="2"/>
  <c r="U853" i="2"/>
  <c r="Q849" i="2"/>
  <c r="R848" i="2"/>
  <c r="T846" i="2"/>
  <c r="U845" i="2"/>
  <c r="Q841" i="2"/>
  <c r="R840" i="2"/>
  <c r="T838" i="2"/>
  <c r="U837" i="2"/>
  <c r="Q833" i="2"/>
  <c r="R832" i="2"/>
  <c r="T830" i="2"/>
  <c r="U829" i="2"/>
  <c r="Q825" i="2"/>
  <c r="R824" i="2"/>
  <c r="T822" i="2"/>
  <c r="U821" i="2"/>
  <c r="W819" i="2"/>
  <c r="Q817" i="2"/>
  <c r="R816" i="2"/>
  <c r="T814" i="2"/>
  <c r="U813" i="2"/>
  <c r="W811" i="2"/>
  <c r="Q809" i="2"/>
  <c r="R808" i="2"/>
  <c r="T806" i="2"/>
  <c r="U805" i="2"/>
  <c r="W803" i="2"/>
  <c r="Q801" i="2"/>
  <c r="R800" i="2"/>
  <c r="T798" i="2"/>
  <c r="U797" i="2"/>
  <c r="W795" i="2"/>
  <c r="Q793" i="2"/>
  <c r="R792" i="2"/>
  <c r="T790" i="2"/>
  <c r="U789" i="2"/>
  <c r="W787" i="2"/>
  <c r="Q785" i="2"/>
  <c r="R784" i="2"/>
  <c r="T782" i="2"/>
  <c r="U781" i="2"/>
  <c r="Q777" i="2"/>
  <c r="R776" i="2"/>
  <c r="T774" i="2"/>
  <c r="U773" i="2"/>
  <c r="Q769" i="2"/>
  <c r="R768" i="2"/>
  <c r="T766" i="2"/>
  <c r="U765" i="2"/>
  <c r="Q761" i="2"/>
  <c r="R760" i="2"/>
  <c r="T758" i="2"/>
  <c r="U757" i="2"/>
  <c r="W755" i="2"/>
  <c r="Q753" i="2"/>
  <c r="R752" i="2"/>
  <c r="T750" i="2"/>
  <c r="U749" i="2"/>
  <c r="W747" i="2"/>
  <c r="Q745" i="2"/>
  <c r="R744" i="2"/>
  <c r="T742" i="2"/>
  <c r="U741" i="2"/>
  <c r="W739" i="2"/>
  <c r="Q737" i="2"/>
  <c r="R736" i="2"/>
  <c r="T734" i="2"/>
  <c r="U733" i="2"/>
  <c r="W731" i="2"/>
  <c r="Q729" i="2"/>
  <c r="R728" i="2"/>
  <c r="T726" i="2"/>
  <c r="U725" i="2"/>
  <c r="W723" i="2"/>
  <c r="Q721" i="2"/>
  <c r="R720" i="2"/>
  <c r="T718" i="2"/>
  <c r="U717" i="2"/>
  <c r="W715" i="2"/>
  <c r="Q713" i="2"/>
  <c r="R712" i="2"/>
  <c r="T710" i="2"/>
  <c r="U709" i="2"/>
  <c r="W707" i="2"/>
  <c r="X706" i="2"/>
  <c r="Q705" i="2"/>
  <c r="R704" i="2"/>
  <c r="T702" i="2"/>
  <c r="U701" i="2"/>
  <c r="W699" i="2"/>
  <c r="X698" i="2"/>
  <c r="Q697" i="2"/>
  <c r="R696" i="2"/>
  <c r="T694" i="2"/>
  <c r="U693" i="2"/>
  <c r="W691" i="2"/>
  <c r="V688" i="2"/>
  <c r="V686" i="2"/>
  <c r="R686" i="2"/>
  <c r="X684" i="2"/>
  <c r="T684" i="2"/>
  <c r="S683" i="2"/>
  <c r="Q682" i="2"/>
  <c r="Q672" i="2"/>
  <c r="V670" i="2"/>
  <c r="W670" i="2"/>
  <c r="X670" i="2"/>
  <c r="R670" i="2"/>
  <c r="S668" i="2"/>
  <c r="T664" i="2"/>
  <c r="U664" i="2"/>
  <c r="V664" i="2"/>
  <c r="X664" i="2"/>
  <c r="R664" i="2"/>
  <c r="S656" i="2"/>
  <c r="T640" i="2"/>
  <c r="U640" i="2"/>
  <c r="V640" i="2"/>
  <c r="W640" i="2"/>
  <c r="X640" i="2"/>
  <c r="Q640" i="2"/>
  <c r="R640" i="2"/>
  <c r="T624" i="2"/>
  <c r="U624" i="2"/>
  <c r="V624" i="2"/>
  <c r="W624" i="2"/>
  <c r="X624" i="2"/>
  <c r="Q624" i="2"/>
  <c r="R624" i="2"/>
  <c r="T608" i="2"/>
  <c r="U608" i="2"/>
  <c r="V608" i="2"/>
  <c r="W608" i="2"/>
  <c r="X608" i="2"/>
  <c r="Q608" i="2"/>
  <c r="R608" i="2"/>
  <c r="T592" i="2"/>
  <c r="U592" i="2"/>
  <c r="V592" i="2"/>
  <c r="W592" i="2"/>
  <c r="X592" i="2"/>
  <c r="Q592" i="2"/>
  <c r="R592" i="2"/>
  <c r="T576" i="2"/>
  <c r="U576" i="2"/>
  <c r="V576" i="2"/>
  <c r="W576" i="2"/>
  <c r="X576" i="2"/>
  <c r="Q576" i="2"/>
  <c r="R576" i="2"/>
  <c r="T560" i="2"/>
  <c r="U560" i="2"/>
  <c r="V560" i="2"/>
  <c r="W560" i="2"/>
  <c r="X560" i="2"/>
  <c r="Q560" i="2"/>
  <c r="R560" i="2"/>
  <c r="T544" i="2"/>
  <c r="U544" i="2"/>
  <c r="V544" i="2"/>
  <c r="W544" i="2"/>
  <c r="X544" i="2"/>
  <c r="Q544" i="2"/>
  <c r="R544" i="2"/>
  <c r="T528" i="2"/>
  <c r="U528" i="2"/>
  <c r="V528" i="2"/>
  <c r="W528" i="2"/>
  <c r="X528" i="2"/>
  <c r="Q528" i="2"/>
  <c r="R528" i="2"/>
  <c r="T512" i="2"/>
  <c r="U512" i="2"/>
  <c r="V512" i="2"/>
  <c r="W512" i="2"/>
  <c r="X512" i="2"/>
  <c r="Q512" i="2"/>
  <c r="R512" i="2"/>
  <c r="X849" i="2"/>
  <c r="Q848" i="2"/>
  <c r="X841" i="2"/>
  <c r="Q840" i="2"/>
  <c r="X833" i="2"/>
  <c r="Q832" i="2"/>
  <c r="X825" i="2"/>
  <c r="Q824" i="2"/>
  <c r="X817" i="2"/>
  <c r="Q816" i="2"/>
  <c r="X809" i="2"/>
  <c r="Q808" i="2"/>
  <c r="X801" i="2"/>
  <c r="Q800" i="2"/>
  <c r="X793" i="2"/>
  <c r="Q792" i="2"/>
  <c r="X785" i="2"/>
  <c r="Q784" i="2"/>
  <c r="X777" i="2"/>
  <c r="Q776" i="2"/>
  <c r="X769" i="2"/>
  <c r="Q768" i="2"/>
  <c r="X761" i="2"/>
  <c r="Q760" i="2"/>
  <c r="X753" i="2"/>
  <c r="Q752" i="2"/>
  <c r="X745" i="2"/>
  <c r="Q744" i="2"/>
  <c r="X737" i="2"/>
  <c r="Q736" i="2"/>
  <c r="X729" i="2"/>
  <c r="Q728" i="2"/>
  <c r="X721" i="2"/>
  <c r="Q720" i="2"/>
  <c r="X713" i="2"/>
  <c r="Q712" i="2"/>
  <c r="W706" i="2"/>
  <c r="X705" i="2"/>
  <c r="Q704" i="2"/>
  <c r="W698" i="2"/>
  <c r="X697" i="2"/>
  <c r="Q696" i="2"/>
  <c r="U687" i="2"/>
  <c r="Q687" i="2"/>
  <c r="R683" i="2"/>
  <c r="V662" i="2"/>
  <c r="W662" i="2"/>
  <c r="X662" i="2"/>
  <c r="R662" i="2"/>
  <c r="T662" i="2"/>
  <c r="R496" i="2"/>
  <c r="V496" i="2"/>
  <c r="X496" i="2"/>
  <c r="U496" i="2"/>
  <c r="W496" i="2"/>
  <c r="Q496" i="2"/>
  <c r="S496" i="2"/>
  <c r="R854" i="2"/>
  <c r="W849" i="2"/>
  <c r="X848" i="2"/>
  <c r="R846" i="2"/>
  <c r="W841" i="2"/>
  <c r="X840" i="2"/>
  <c r="R838" i="2"/>
  <c r="W833" i="2"/>
  <c r="X832" i="2"/>
  <c r="R830" i="2"/>
  <c r="W825" i="2"/>
  <c r="X824" i="2"/>
  <c r="R822" i="2"/>
  <c r="W817" i="2"/>
  <c r="X816" i="2"/>
  <c r="R814" i="2"/>
  <c r="W809" i="2"/>
  <c r="X808" i="2"/>
  <c r="R806" i="2"/>
  <c r="W801" i="2"/>
  <c r="X800" i="2"/>
  <c r="R798" i="2"/>
  <c r="W793" i="2"/>
  <c r="X792" i="2"/>
  <c r="R790" i="2"/>
  <c r="W785" i="2"/>
  <c r="X784" i="2"/>
  <c r="R782" i="2"/>
  <c r="W777" i="2"/>
  <c r="X776" i="2"/>
  <c r="R774" i="2"/>
  <c r="W769" i="2"/>
  <c r="X768" i="2"/>
  <c r="R766" i="2"/>
  <c r="W761" i="2"/>
  <c r="X760" i="2"/>
  <c r="R758" i="2"/>
  <c r="W753" i="2"/>
  <c r="X752" i="2"/>
  <c r="R750" i="2"/>
  <c r="W745" i="2"/>
  <c r="X744" i="2"/>
  <c r="R742" i="2"/>
  <c r="W737" i="2"/>
  <c r="X736" i="2"/>
  <c r="R734" i="2"/>
  <c r="W729" i="2"/>
  <c r="X728" i="2"/>
  <c r="R726" i="2"/>
  <c r="W721" i="2"/>
  <c r="X720" i="2"/>
  <c r="R718" i="2"/>
  <c r="W713" i="2"/>
  <c r="X712" i="2"/>
  <c r="R710" i="2"/>
  <c r="V706" i="2"/>
  <c r="W705" i="2"/>
  <c r="X704" i="2"/>
  <c r="R702" i="2"/>
  <c r="V698" i="2"/>
  <c r="W697" i="2"/>
  <c r="X696" i="2"/>
  <c r="R694" i="2"/>
  <c r="T688" i="2"/>
  <c r="X688" i="2"/>
  <c r="S687" i="2"/>
  <c r="W680" i="2"/>
  <c r="S662" i="2"/>
  <c r="S592" i="2"/>
  <c r="S576" i="2"/>
  <c r="S560" i="2"/>
  <c r="S544" i="2"/>
  <c r="S528" i="2"/>
  <c r="S512" i="2"/>
  <c r="R861" i="2"/>
  <c r="Q854" i="2"/>
  <c r="R853" i="2"/>
  <c r="V849" i="2"/>
  <c r="W848" i="2"/>
  <c r="Q846" i="2"/>
  <c r="R845" i="2"/>
  <c r="V841" i="2"/>
  <c r="W840" i="2"/>
  <c r="Q838" i="2"/>
  <c r="R837" i="2"/>
  <c r="V833" i="2"/>
  <c r="W832" i="2"/>
  <c r="Q830" i="2"/>
  <c r="R829" i="2"/>
  <c r="V825" i="2"/>
  <c r="W824" i="2"/>
  <c r="Q822" i="2"/>
  <c r="R821" i="2"/>
  <c r="V817" i="2"/>
  <c r="W816" i="2"/>
  <c r="Q814" i="2"/>
  <c r="R813" i="2"/>
  <c r="V809" i="2"/>
  <c r="W808" i="2"/>
  <c r="Q806" i="2"/>
  <c r="R805" i="2"/>
  <c r="V801" i="2"/>
  <c r="W800" i="2"/>
  <c r="Q798" i="2"/>
  <c r="R797" i="2"/>
  <c r="V793" i="2"/>
  <c r="W792" i="2"/>
  <c r="Q790" i="2"/>
  <c r="R789" i="2"/>
  <c r="V785" i="2"/>
  <c r="W784" i="2"/>
  <c r="Q782" i="2"/>
  <c r="R781" i="2"/>
  <c r="V777" i="2"/>
  <c r="W776" i="2"/>
  <c r="Q774" i="2"/>
  <c r="R773" i="2"/>
  <c r="V769" i="2"/>
  <c r="W768" i="2"/>
  <c r="Q766" i="2"/>
  <c r="R765" i="2"/>
  <c r="V761" i="2"/>
  <c r="W760" i="2"/>
  <c r="Q758" i="2"/>
  <c r="R757" i="2"/>
  <c r="V753" i="2"/>
  <c r="W752" i="2"/>
  <c r="Q750" i="2"/>
  <c r="R749" i="2"/>
  <c r="V745" i="2"/>
  <c r="W744" i="2"/>
  <c r="Q742" i="2"/>
  <c r="R741" i="2"/>
  <c r="V737" i="2"/>
  <c r="W736" i="2"/>
  <c r="Q734" i="2"/>
  <c r="R733" i="2"/>
  <c r="V729" i="2"/>
  <c r="W728" i="2"/>
  <c r="Q726" i="2"/>
  <c r="R725" i="2"/>
  <c r="V721" i="2"/>
  <c r="W720" i="2"/>
  <c r="Q718" i="2"/>
  <c r="R717" i="2"/>
  <c r="V713" i="2"/>
  <c r="W712" i="2"/>
  <c r="Q710" i="2"/>
  <c r="R709" i="2"/>
  <c r="U706" i="2"/>
  <c r="V705" i="2"/>
  <c r="W704" i="2"/>
  <c r="Q702" i="2"/>
  <c r="R701" i="2"/>
  <c r="U698" i="2"/>
  <c r="V697" i="2"/>
  <c r="W696" i="2"/>
  <c r="Q694" i="2"/>
  <c r="R693" i="2"/>
  <c r="R690" i="2"/>
  <c r="V690" i="2"/>
  <c r="R688" i="2"/>
  <c r="R687" i="2"/>
  <c r="X682" i="2"/>
  <c r="V680" i="2"/>
  <c r="V678" i="2"/>
  <c r="R678" i="2"/>
  <c r="X676" i="2"/>
  <c r="T676" i="2"/>
  <c r="U671" i="2"/>
  <c r="V671" i="2"/>
  <c r="W671" i="2"/>
  <c r="Q671" i="2"/>
  <c r="Q662" i="2"/>
  <c r="T648" i="2"/>
  <c r="U648" i="2"/>
  <c r="V648" i="2"/>
  <c r="W648" i="2"/>
  <c r="X648" i="2"/>
  <c r="Q648" i="2"/>
  <c r="R648" i="2"/>
  <c r="T496" i="2"/>
  <c r="Q688" i="2"/>
  <c r="X683" i="2"/>
  <c r="W682" i="2"/>
  <c r="U680" i="2"/>
  <c r="U679" i="2"/>
  <c r="Q679" i="2"/>
  <c r="T632" i="2"/>
  <c r="U632" i="2"/>
  <c r="V632" i="2"/>
  <c r="W632" i="2"/>
  <c r="X632" i="2"/>
  <c r="Q632" i="2"/>
  <c r="R632" i="2"/>
  <c r="T616" i="2"/>
  <c r="U616" i="2"/>
  <c r="V616" i="2"/>
  <c r="W616" i="2"/>
  <c r="X616" i="2"/>
  <c r="Q616" i="2"/>
  <c r="R616" i="2"/>
  <c r="T600" i="2"/>
  <c r="U600" i="2"/>
  <c r="V600" i="2"/>
  <c r="W600" i="2"/>
  <c r="X600" i="2"/>
  <c r="Q600" i="2"/>
  <c r="R600" i="2"/>
  <c r="T584" i="2"/>
  <c r="U584" i="2"/>
  <c r="V584" i="2"/>
  <c r="W584" i="2"/>
  <c r="X584" i="2"/>
  <c r="Q584" i="2"/>
  <c r="R584" i="2"/>
  <c r="T568" i="2"/>
  <c r="U568" i="2"/>
  <c r="V568" i="2"/>
  <c r="W568" i="2"/>
  <c r="X568" i="2"/>
  <c r="Q568" i="2"/>
  <c r="R568" i="2"/>
  <c r="T552" i="2"/>
  <c r="U552" i="2"/>
  <c r="V552" i="2"/>
  <c r="W552" i="2"/>
  <c r="X552" i="2"/>
  <c r="Q552" i="2"/>
  <c r="R552" i="2"/>
  <c r="T536" i="2"/>
  <c r="U536" i="2"/>
  <c r="V536" i="2"/>
  <c r="W536" i="2"/>
  <c r="X536" i="2"/>
  <c r="Q536" i="2"/>
  <c r="R536" i="2"/>
  <c r="T520" i="2"/>
  <c r="U520" i="2"/>
  <c r="V520" i="2"/>
  <c r="W520" i="2"/>
  <c r="X520" i="2"/>
  <c r="Q520" i="2"/>
  <c r="R520" i="2"/>
  <c r="V660" i="2"/>
  <c r="T654" i="2"/>
  <c r="V652" i="2"/>
  <c r="T646" i="2"/>
  <c r="V644" i="2"/>
  <c r="T638" i="2"/>
  <c r="V636" i="2"/>
  <c r="T630" i="2"/>
  <c r="V628" i="2"/>
  <c r="T622" i="2"/>
  <c r="V620" i="2"/>
  <c r="T614" i="2"/>
  <c r="V612" i="2"/>
  <c r="T606" i="2"/>
  <c r="V604" i="2"/>
  <c r="T598" i="2"/>
  <c r="V596" i="2"/>
  <c r="T590" i="2"/>
  <c r="V588" i="2"/>
  <c r="T582" i="2"/>
  <c r="T574" i="2"/>
  <c r="T566" i="2"/>
  <c r="T558" i="2"/>
  <c r="T550" i="2"/>
  <c r="T542" i="2"/>
  <c r="T534" i="2"/>
  <c r="T526" i="2"/>
  <c r="T518" i="2"/>
  <c r="T510" i="2"/>
  <c r="W498" i="2"/>
  <c r="T331" i="2"/>
  <c r="U331" i="2"/>
  <c r="V331" i="2"/>
  <c r="W331" i="2"/>
  <c r="X331" i="2"/>
  <c r="Q331" i="2"/>
  <c r="R331" i="2"/>
  <c r="S331" i="2"/>
  <c r="Q497" i="2"/>
  <c r="U497" i="2"/>
  <c r="W497" i="2"/>
  <c r="T486" i="2"/>
  <c r="U486" i="2"/>
  <c r="V486" i="2"/>
  <c r="W486" i="2"/>
  <c r="X486" i="2"/>
  <c r="Q486" i="2"/>
  <c r="R486" i="2"/>
  <c r="T470" i="2"/>
  <c r="U470" i="2"/>
  <c r="V470" i="2"/>
  <c r="W470" i="2"/>
  <c r="X470" i="2"/>
  <c r="Q470" i="2"/>
  <c r="R470" i="2"/>
  <c r="T454" i="2"/>
  <c r="U454" i="2"/>
  <c r="V454" i="2"/>
  <c r="W454" i="2"/>
  <c r="X454" i="2"/>
  <c r="Q454" i="2"/>
  <c r="R454" i="2"/>
  <c r="T438" i="2"/>
  <c r="U438" i="2"/>
  <c r="V438" i="2"/>
  <c r="W438" i="2"/>
  <c r="X438" i="2"/>
  <c r="Q438" i="2"/>
  <c r="R438" i="2"/>
  <c r="T422" i="2"/>
  <c r="U422" i="2"/>
  <c r="V422" i="2"/>
  <c r="W422" i="2"/>
  <c r="X422" i="2"/>
  <c r="Q422" i="2"/>
  <c r="R422" i="2"/>
  <c r="U675" i="2"/>
  <c r="V674" i="2"/>
  <c r="U667" i="2"/>
  <c r="V666" i="2"/>
  <c r="Q663" i="2"/>
  <c r="T660" i="2"/>
  <c r="U659" i="2"/>
  <c r="V658" i="2"/>
  <c r="Q655" i="2"/>
  <c r="R654" i="2"/>
  <c r="T652" i="2"/>
  <c r="U651" i="2"/>
  <c r="V650" i="2"/>
  <c r="Q647" i="2"/>
  <c r="R646" i="2"/>
  <c r="T644" i="2"/>
  <c r="U643" i="2"/>
  <c r="V642" i="2"/>
  <c r="Q639" i="2"/>
  <c r="R638" i="2"/>
  <c r="T636" i="2"/>
  <c r="U635" i="2"/>
  <c r="V634" i="2"/>
  <c r="Q631" i="2"/>
  <c r="R630" i="2"/>
  <c r="T628" i="2"/>
  <c r="U627" i="2"/>
  <c r="V626" i="2"/>
  <c r="Q623" i="2"/>
  <c r="R622" i="2"/>
  <c r="T620" i="2"/>
  <c r="U619" i="2"/>
  <c r="V618" i="2"/>
  <c r="Q615" i="2"/>
  <c r="R614" i="2"/>
  <c r="T612" i="2"/>
  <c r="U611" i="2"/>
  <c r="V610" i="2"/>
  <c r="Q607" i="2"/>
  <c r="R606" i="2"/>
  <c r="T604" i="2"/>
  <c r="U603" i="2"/>
  <c r="V602" i="2"/>
  <c r="Q599" i="2"/>
  <c r="R598" i="2"/>
  <c r="T596" i="2"/>
  <c r="U595" i="2"/>
  <c r="V594" i="2"/>
  <c r="Q591" i="2"/>
  <c r="R590" i="2"/>
  <c r="T588" i="2"/>
  <c r="U587" i="2"/>
  <c r="V586" i="2"/>
  <c r="Q583" i="2"/>
  <c r="R582" i="2"/>
  <c r="T580" i="2"/>
  <c r="U579" i="2"/>
  <c r="V578" i="2"/>
  <c r="Q575" i="2"/>
  <c r="R574" i="2"/>
  <c r="T572" i="2"/>
  <c r="U571" i="2"/>
  <c r="V570" i="2"/>
  <c r="Q567" i="2"/>
  <c r="R566" i="2"/>
  <c r="T564" i="2"/>
  <c r="U563" i="2"/>
  <c r="V562" i="2"/>
  <c r="Q559" i="2"/>
  <c r="R558" i="2"/>
  <c r="T556" i="2"/>
  <c r="U555" i="2"/>
  <c r="V554" i="2"/>
  <c r="Q551" i="2"/>
  <c r="R550" i="2"/>
  <c r="T548" i="2"/>
  <c r="U547" i="2"/>
  <c r="V546" i="2"/>
  <c r="Q543" i="2"/>
  <c r="R542" i="2"/>
  <c r="T540" i="2"/>
  <c r="U539" i="2"/>
  <c r="V538" i="2"/>
  <c r="Q535" i="2"/>
  <c r="R534" i="2"/>
  <c r="T532" i="2"/>
  <c r="U531" i="2"/>
  <c r="V530" i="2"/>
  <c r="Q527" i="2"/>
  <c r="R526" i="2"/>
  <c r="T524" i="2"/>
  <c r="U523" i="2"/>
  <c r="V522" i="2"/>
  <c r="Q519" i="2"/>
  <c r="R518" i="2"/>
  <c r="T516" i="2"/>
  <c r="U515" i="2"/>
  <c r="V514" i="2"/>
  <c r="Q511" i="2"/>
  <c r="R510" i="2"/>
  <c r="T508" i="2"/>
  <c r="U507" i="2"/>
  <c r="U506" i="2"/>
  <c r="V505" i="2"/>
  <c r="V504" i="2"/>
  <c r="W502" i="2"/>
  <c r="W501" i="2"/>
  <c r="W500" i="2"/>
  <c r="S497" i="2"/>
  <c r="Q654" i="2"/>
  <c r="Q646" i="2"/>
  <c r="Q638" i="2"/>
  <c r="Q630" i="2"/>
  <c r="Q622" i="2"/>
  <c r="Q614" i="2"/>
  <c r="Q606" i="2"/>
  <c r="Q598" i="2"/>
  <c r="Q590" i="2"/>
  <c r="X583" i="2"/>
  <c r="Q582" i="2"/>
  <c r="X575" i="2"/>
  <c r="Q574" i="2"/>
  <c r="X567" i="2"/>
  <c r="Q566" i="2"/>
  <c r="X559" i="2"/>
  <c r="Q558" i="2"/>
  <c r="X551" i="2"/>
  <c r="Q550" i="2"/>
  <c r="X543" i="2"/>
  <c r="Q542" i="2"/>
  <c r="X535" i="2"/>
  <c r="Q534" i="2"/>
  <c r="X527" i="2"/>
  <c r="Q526" i="2"/>
  <c r="X519" i="2"/>
  <c r="Q518" i="2"/>
  <c r="X511" i="2"/>
  <c r="Q510" i="2"/>
  <c r="X498" i="2"/>
  <c r="V498" i="2"/>
  <c r="R497" i="2"/>
  <c r="S438" i="2"/>
  <c r="S422" i="2"/>
  <c r="T395" i="2"/>
  <c r="U395" i="2"/>
  <c r="V395" i="2"/>
  <c r="W395" i="2"/>
  <c r="X395" i="2"/>
  <c r="Q395" i="2"/>
  <c r="R395" i="2"/>
  <c r="S395" i="2"/>
  <c r="W663" i="2"/>
  <c r="R660" i="2"/>
  <c r="W655" i="2"/>
  <c r="X654" i="2"/>
  <c r="R652" i="2"/>
  <c r="W647" i="2"/>
  <c r="X646" i="2"/>
  <c r="R644" i="2"/>
  <c r="W639" i="2"/>
  <c r="X638" i="2"/>
  <c r="R636" i="2"/>
  <c r="T634" i="2"/>
  <c r="W631" i="2"/>
  <c r="X630" i="2"/>
  <c r="R628" i="2"/>
  <c r="T626" i="2"/>
  <c r="W623" i="2"/>
  <c r="X622" i="2"/>
  <c r="R620" i="2"/>
  <c r="W615" i="2"/>
  <c r="X614" i="2"/>
  <c r="R612" i="2"/>
  <c r="W607" i="2"/>
  <c r="X606" i="2"/>
  <c r="R604" i="2"/>
  <c r="W599" i="2"/>
  <c r="X598" i="2"/>
  <c r="R596" i="2"/>
  <c r="W591" i="2"/>
  <c r="X590" i="2"/>
  <c r="R588" i="2"/>
  <c r="W583" i="2"/>
  <c r="X582" i="2"/>
  <c r="R580" i="2"/>
  <c r="W575" i="2"/>
  <c r="X574" i="2"/>
  <c r="R572" i="2"/>
  <c r="W567" i="2"/>
  <c r="X566" i="2"/>
  <c r="R564" i="2"/>
  <c r="W559" i="2"/>
  <c r="X558" i="2"/>
  <c r="R556" i="2"/>
  <c r="W551" i="2"/>
  <c r="X550" i="2"/>
  <c r="R548" i="2"/>
  <c r="W543" i="2"/>
  <c r="X542" i="2"/>
  <c r="R540" i="2"/>
  <c r="W535" i="2"/>
  <c r="X534" i="2"/>
  <c r="R532" i="2"/>
  <c r="W527" i="2"/>
  <c r="X526" i="2"/>
  <c r="R524" i="2"/>
  <c r="W519" i="2"/>
  <c r="X518" i="2"/>
  <c r="R516" i="2"/>
  <c r="W511" i="2"/>
  <c r="X510" i="2"/>
  <c r="R508" i="2"/>
  <c r="W499" i="2"/>
  <c r="U499" i="2"/>
  <c r="R498" i="2"/>
  <c r="T494" i="2"/>
  <c r="U494" i="2"/>
  <c r="X494" i="2"/>
  <c r="Q494" i="2"/>
  <c r="R494" i="2"/>
  <c r="V663" i="2"/>
  <c r="Q660" i="2"/>
  <c r="V655" i="2"/>
  <c r="W654" i="2"/>
  <c r="Q652" i="2"/>
  <c r="V647" i="2"/>
  <c r="W646" i="2"/>
  <c r="Q644" i="2"/>
  <c r="V639" i="2"/>
  <c r="W638" i="2"/>
  <c r="Q636" i="2"/>
  <c r="V631" i="2"/>
  <c r="W630" i="2"/>
  <c r="Q628" i="2"/>
  <c r="V623" i="2"/>
  <c r="W622" i="2"/>
  <c r="Q620" i="2"/>
  <c r="R619" i="2"/>
  <c r="V615" i="2"/>
  <c r="W614" i="2"/>
  <c r="Q612" i="2"/>
  <c r="R611" i="2"/>
  <c r="V607" i="2"/>
  <c r="W606" i="2"/>
  <c r="Q604" i="2"/>
  <c r="R603" i="2"/>
  <c r="V599" i="2"/>
  <c r="W598" i="2"/>
  <c r="Q596" i="2"/>
  <c r="R595" i="2"/>
  <c r="V591" i="2"/>
  <c r="W590" i="2"/>
  <c r="Q588" i="2"/>
  <c r="R587" i="2"/>
  <c r="V583" i="2"/>
  <c r="W582" i="2"/>
  <c r="Q580" i="2"/>
  <c r="R579" i="2"/>
  <c r="V575" i="2"/>
  <c r="W574" i="2"/>
  <c r="Q572" i="2"/>
  <c r="R571" i="2"/>
  <c r="V567" i="2"/>
  <c r="W566" i="2"/>
  <c r="Q564" i="2"/>
  <c r="R563" i="2"/>
  <c r="V559" i="2"/>
  <c r="W558" i="2"/>
  <c r="Q556" i="2"/>
  <c r="R555" i="2"/>
  <c r="V551" i="2"/>
  <c r="W550" i="2"/>
  <c r="Q548" i="2"/>
  <c r="R547" i="2"/>
  <c r="V543" i="2"/>
  <c r="W542" i="2"/>
  <c r="Q540" i="2"/>
  <c r="R539" i="2"/>
  <c r="V535" i="2"/>
  <c r="W534" i="2"/>
  <c r="Q532" i="2"/>
  <c r="R531" i="2"/>
  <c r="V527" i="2"/>
  <c r="W526" i="2"/>
  <c r="Q524" i="2"/>
  <c r="R523" i="2"/>
  <c r="V519" i="2"/>
  <c r="W518" i="2"/>
  <c r="Q516" i="2"/>
  <c r="R515" i="2"/>
  <c r="V511" i="2"/>
  <c r="W510" i="2"/>
  <c r="Q508" i="2"/>
  <c r="R507" i="2"/>
  <c r="R506" i="2"/>
  <c r="S505" i="2"/>
  <c r="S504" i="2"/>
  <c r="R499" i="2"/>
  <c r="Q498" i="2"/>
  <c r="V494" i="2"/>
  <c r="T478" i="2"/>
  <c r="U478" i="2"/>
  <c r="V478" i="2"/>
  <c r="W478" i="2"/>
  <c r="X478" i="2"/>
  <c r="Q478" i="2"/>
  <c r="R478" i="2"/>
  <c r="T462" i="2"/>
  <c r="U462" i="2"/>
  <c r="V462" i="2"/>
  <c r="W462" i="2"/>
  <c r="X462" i="2"/>
  <c r="Q462" i="2"/>
  <c r="R462" i="2"/>
  <c r="T446" i="2"/>
  <c r="U446" i="2"/>
  <c r="V446" i="2"/>
  <c r="W446" i="2"/>
  <c r="X446" i="2"/>
  <c r="Q446" i="2"/>
  <c r="R446" i="2"/>
  <c r="T430" i="2"/>
  <c r="U430" i="2"/>
  <c r="V430" i="2"/>
  <c r="W430" i="2"/>
  <c r="X430" i="2"/>
  <c r="Q430" i="2"/>
  <c r="R430" i="2"/>
  <c r="Q506" i="2"/>
  <c r="R505" i="2"/>
  <c r="Q504" i="2"/>
  <c r="R502" i="2"/>
  <c r="R501" i="2"/>
  <c r="R500" i="2"/>
  <c r="Q499" i="2"/>
  <c r="S494" i="2"/>
  <c r="T492" i="2"/>
  <c r="U491" i="2"/>
  <c r="V490" i="2"/>
  <c r="W489" i="2"/>
  <c r="X488" i="2"/>
  <c r="T484" i="2"/>
  <c r="U483" i="2"/>
  <c r="V482" i="2"/>
  <c r="W481" i="2"/>
  <c r="X480" i="2"/>
  <c r="T476" i="2"/>
  <c r="U475" i="2"/>
  <c r="V474" i="2"/>
  <c r="W473" i="2"/>
  <c r="X472" i="2"/>
  <c r="T468" i="2"/>
  <c r="U467" i="2"/>
  <c r="V466" i="2"/>
  <c r="W465" i="2"/>
  <c r="X464" i="2"/>
  <c r="T460" i="2"/>
  <c r="U459" i="2"/>
  <c r="V458" i="2"/>
  <c r="W457" i="2"/>
  <c r="X456" i="2"/>
  <c r="T452" i="2"/>
  <c r="U451" i="2"/>
  <c r="V450" i="2"/>
  <c r="W449" i="2"/>
  <c r="X448" i="2"/>
  <c r="T444" i="2"/>
  <c r="U443" i="2"/>
  <c r="V442" i="2"/>
  <c r="W441" i="2"/>
  <c r="X440" i="2"/>
  <c r="T436" i="2"/>
  <c r="U435" i="2"/>
  <c r="V434" i="2"/>
  <c r="W433" i="2"/>
  <c r="X432" i="2"/>
  <c r="T428" i="2"/>
  <c r="U427" i="2"/>
  <c r="V426" i="2"/>
  <c r="W425" i="2"/>
  <c r="X424" i="2"/>
  <c r="T420" i="2"/>
  <c r="U419" i="2"/>
  <c r="V418" i="2"/>
  <c r="W417" i="2"/>
  <c r="X416" i="2"/>
  <c r="T412" i="2"/>
  <c r="U412" i="2"/>
  <c r="W412" i="2"/>
  <c r="X412" i="2"/>
  <c r="Q412" i="2"/>
  <c r="U490" i="2"/>
  <c r="V489" i="2"/>
  <c r="U482" i="2"/>
  <c r="V481" i="2"/>
  <c r="W480" i="2"/>
  <c r="U474" i="2"/>
  <c r="V473" i="2"/>
  <c r="W472" i="2"/>
  <c r="U466" i="2"/>
  <c r="V465" i="2"/>
  <c r="W464" i="2"/>
  <c r="U458" i="2"/>
  <c r="V457" i="2"/>
  <c r="W456" i="2"/>
  <c r="U450" i="2"/>
  <c r="V449" i="2"/>
  <c r="W448" i="2"/>
  <c r="U442" i="2"/>
  <c r="V441" i="2"/>
  <c r="W440" i="2"/>
  <c r="U434" i="2"/>
  <c r="V433" i="2"/>
  <c r="W432" i="2"/>
  <c r="U426" i="2"/>
  <c r="V425" i="2"/>
  <c r="W424" i="2"/>
  <c r="U418" i="2"/>
  <c r="V417" i="2"/>
  <c r="W416" i="2"/>
  <c r="X415" i="2"/>
  <c r="T371" i="2"/>
  <c r="U371" i="2"/>
  <c r="V371" i="2"/>
  <c r="W371" i="2"/>
  <c r="X371" i="2"/>
  <c r="Q371" i="2"/>
  <c r="R371" i="2"/>
  <c r="T339" i="2"/>
  <c r="U339" i="2"/>
  <c r="V339" i="2"/>
  <c r="W339" i="2"/>
  <c r="X339" i="2"/>
  <c r="Q339" i="2"/>
  <c r="R339" i="2"/>
  <c r="T315" i="2"/>
  <c r="U315" i="2"/>
  <c r="V315" i="2"/>
  <c r="W315" i="2"/>
  <c r="X315" i="2"/>
  <c r="Q315" i="2"/>
  <c r="R315" i="2"/>
  <c r="R492" i="2"/>
  <c r="T490" i="2"/>
  <c r="U489" i="2"/>
  <c r="V488" i="2"/>
  <c r="R484" i="2"/>
  <c r="T482" i="2"/>
  <c r="U481" i="2"/>
  <c r="V480" i="2"/>
  <c r="R476" i="2"/>
  <c r="T474" i="2"/>
  <c r="U473" i="2"/>
  <c r="V472" i="2"/>
  <c r="R468" i="2"/>
  <c r="T466" i="2"/>
  <c r="U465" i="2"/>
  <c r="V464" i="2"/>
  <c r="R460" i="2"/>
  <c r="T458" i="2"/>
  <c r="U457" i="2"/>
  <c r="V456" i="2"/>
  <c r="R452" i="2"/>
  <c r="T450" i="2"/>
  <c r="U449" i="2"/>
  <c r="V448" i="2"/>
  <c r="R444" i="2"/>
  <c r="T442" i="2"/>
  <c r="U441" i="2"/>
  <c r="V440" i="2"/>
  <c r="R436" i="2"/>
  <c r="T434" i="2"/>
  <c r="U433" i="2"/>
  <c r="V432" i="2"/>
  <c r="R428" i="2"/>
  <c r="T426" i="2"/>
  <c r="U425" i="2"/>
  <c r="V424" i="2"/>
  <c r="R420" i="2"/>
  <c r="T418" i="2"/>
  <c r="U417" i="2"/>
  <c r="V416" i="2"/>
  <c r="W415" i="2"/>
  <c r="T403" i="2"/>
  <c r="U403" i="2"/>
  <c r="V403" i="2"/>
  <c r="X403" i="2"/>
  <c r="Q403" i="2"/>
  <c r="R403" i="2"/>
  <c r="X399" i="2"/>
  <c r="Q399" i="2"/>
  <c r="R399" i="2"/>
  <c r="T399" i="2"/>
  <c r="U399" i="2"/>
  <c r="V399" i="2"/>
  <c r="T489" i="2"/>
  <c r="T481" i="2"/>
  <c r="T473" i="2"/>
  <c r="T465" i="2"/>
  <c r="T457" i="2"/>
  <c r="T449" i="2"/>
  <c r="T441" i="2"/>
  <c r="U440" i="2"/>
  <c r="T433" i="2"/>
  <c r="U432" i="2"/>
  <c r="T425" i="2"/>
  <c r="U424" i="2"/>
  <c r="T417" i="2"/>
  <c r="U416" i="2"/>
  <c r="V415" i="2"/>
  <c r="T379" i="2"/>
  <c r="U379" i="2"/>
  <c r="V379" i="2"/>
  <c r="W379" i="2"/>
  <c r="X379" i="2"/>
  <c r="Q379" i="2"/>
  <c r="R379" i="2"/>
  <c r="T347" i="2"/>
  <c r="U347" i="2"/>
  <c r="V347" i="2"/>
  <c r="W347" i="2"/>
  <c r="X347" i="2"/>
  <c r="Q347" i="2"/>
  <c r="R347" i="2"/>
  <c r="T258" i="2"/>
  <c r="U258" i="2"/>
  <c r="V258" i="2"/>
  <c r="W258" i="2"/>
  <c r="X258" i="2"/>
  <c r="Q258" i="2"/>
  <c r="R258" i="2"/>
  <c r="S258" i="2"/>
  <c r="U411" i="2"/>
  <c r="V411" i="2"/>
  <c r="X411" i="2"/>
  <c r="Q411" i="2"/>
  <c r="R411" i="2"/>
  <c r="X407" i="2"/>
  <c r="Q407" i="2"/>
  <c r="R407" i="2"/>
  <c r="T407" i="2"/>
  <c r="U407" i="2"/>
  <c r="V407" i="2"/>
  <c r="T323" i="2"/>
  <c r="U323" i="2"/>
  <c r="V323" i="2"/>
  <c r="W323" i="2"/>
  <c r="X323" i="2"/>
  <c r="Q323" i="2"/>
  <c r="R323" i="2"/>
  <c r="Q490" i="2"/>
  <c r="R489" i="2"/>
  <c r="Q482" i="2"/>
  <c r="R481" i="2"/>
  <c r="Q474" i="2"/>
  <c r="R473" i="2"/>
  <c r="Q466" i="2"/>
  <c r="R465" i="2"/>
  <c r="Q458" i="2"/>
  <c r="R457" i="2"/>
  <c r="Q450" i="2"/>
  <c r="R449" i="2"/>
  <c r="R441" i="2"/>
  <c r="R433" i="2"/>
  <c r="R425" i="2"/>
  <c r="R417" i="2"/>
  <c r="T411" i="2"/>
  <c r="W407" i="2"/>
  <c r="T387" i="2"/>
  <c r="U387" i="2"/>
  <c r="V387" i="2"/>
  <c r="W387" i="2"/>
  <c r="X387" i="2"/>
  <c r="Q387" i="2"/>
  <c r="R387" i="2"/>
  <c r="T355" i="2"/>
  <c r="U355" i="2"/>
  <c r="V355" i="2"/>
  <c r="W355" i="2"/>
  <c r="X355" i="2"/>
  <c r="Q355" i="2"/>
  <c r="R355" i="2"/>
  <c r="S347" i="2"/>
  <c r="T307" i="2"/>
  <c r="U307" i="2"/>
  <c r="V307" i="2"/>
  <c r="W307" i="2"/>
  <c r="X307" i="2"/>
  <c r="Q307" i="2"/>
  <c r="R307" i="2"/>
  <c r="S415" i="2"/>
  <c r="S411" i="2"/>
  <c r="S407" i="2"/>
  <c r="T363" i="2"/>
  <c r="U363" i="2"/>
  <c r="V363" i="2"/>
  <c r="W363" i="2"/>
  <c r="X363" i="2"/>
  <c r="Q363" i="2"/>
  <c r="R363" i="2"/>
  <c r="S323" i="2"/>
  <c r="U297" i="2"/>
  <c r="V297" i="2"/>
  <c r="Q297" i="2"/>
  <c r="W297" i="2"/>
  <c r="X297" i="2"/>
  <c r="R297" i="2"/>
  <c r="S297" i="2"/>
  <c r="X413" i="2"/>
  <c r="T409" i="2"/>
  <c r="U408" i="2"/>
  <c r="X405" i="2"/>
  <c r="Q404" i="2"/>
  <c r="T401" i="2"/>
  <c r="U400" i="2"/>
  <c r="X397" i="2"/>
  <c r="Q396" i="2"/>
  <c r="T393" i="2"/>
  <c r="U392" i="2"/>
  <c r="V391" i="2"/>
  <c r="X389" i="2"/>
  <c r="Q388" i="2"/>
  <c r="T385" i="2"/>
  <c r="U384" i="2"/>
  <c r="V383" i="2"/>
  <c r="X381" i="2"/>
  <c r="Q380" i="2"/>
  <c r="T377" i="2"/>
  <c r="U376" i="2"/>
  <c r="V375" i="2"/>
  <c r="X373" i="2"/>
  <c r="Q372" i="2"/>
  <c r="T369" i="2"/>
  <c r="U368" i="2"/>
  <c r="V367" i="2"/>
  <c r="X365" i="2"/>
  <c r="Q364" i="2"/>
  <c r="U360" i="2"/>
  <c r="V359" i="2"/>
  <c r="X357" i="2"/>
  <c r="Q356" i="2"/>
  <c r="U352" i="2"/>
  <c r="V351" i="2"/>
  <c r="X349" i="2"/>
  <c r="Q348" i="2"/>
  <c r="U344" i="2"/>
  <c r="V343" i="2"/>
  <c r="Q340" i="2"/>
  <c r="U336" i="2"/>
  <c r="V335" i="2"/>
  <c r="Q332" i="2"/>
  <c r="U328" i="2"/>
  <c r="V327" i="2"/>
  <c r="Q324" i="2"/>
  <c r="U320" i="2"/>
  <c r="V319" i="2"/>
  <c r="Q316" i="2"/>
  <c r="U312" i="2"/>
  <c r="V311" i="2"/>
  <c r="W310" i="2"/>
  <c r="X309" i="2"/>
  <c r="Q308" i="2"/>
  <c r="U304" i="2"/>
  <c r="V303" i="2"/>
  <c r="W302" i="2"/>
  <c r="W301" i="2"/>
  <c r="T282" i="2"/>
  <c r="U282" i="2"/>
  <c r="V282" i="2"/>
  <c r="W282" i="2"/>
  <c r="X282" i="2"/>
  <c r="Q282" i="2"/>
  <c r="R282" i="2"/>
  <c r="T242" i="2"/>
  <c r="U242" i="2"/>
  <c r="V242" i="2"/>
  <c r="W242" i="2"/>
  <c r="X242" i="2"/>
  <c r="Q242" i="2"/>
  <c r="R242" i="2"/>
  <c r="T210" i="2"/>
  <c r="U210" i="2"/>
  <c r="V210" i="2"/>
  <c r="W210" i="2"/>
  <c r="X210" i="2"/>
  <c r="Q210" i="2"/>
  <c r="R210" i="2"/>
  <c r="T408" i="2"/>
  <c r="X404" i="2"/>
  <c r="T400" i="2"/>
  <c r="X396" i="2"/>
  <c r="T392" i="2"/>
  <c r="U391" i="2"/>
  <c r="X388" i="2"/>
  <c r="T384" i="2"/>
  <c r="U383" i="2"/>
  <c r="X380" i="2"/>
  <c r="T376" i="2"/>
  <c r="U375" i="2"/>
  <c r="X372" i="2"/>
  <c r="T368" i="2"/>
  <c r="U367" i="2"/>
  <c r="W365" i="2"/>
  <c r="X364" i="2"/>
  <c r="T360" i="2"/>
  <c r="U359" i="2"/>
  <c r="W357" i="2"/>
  <c r="X356" i="2"/>
  <c r="T352" i="2"/>
  <c r="U351" i="2"/>
  <c r="W349" i="2"/>
  <c r="X348" i="2"/>
  <c r="R346" i="2"/>
  <c r="T344" i="2"/>
  <c r="U343" i="2"/>
  <c r="W341" i="2"/>
  <c r="X340" i="2"/>
  <c r="R338" i="2"/>
  <c r="T336" i="2"/>
  <c r="U335" i="2"/>
  <c r="W333" i="2"/>
  <c r="X332" i="2"/>
  <c r="R330" i="2"/>
  <c r="T328" i="2"/>
  <c r="U327" i="2"/>
  <c r="W325" i="2"/>
  <c r="X324" i="2"/>
  <c r="R322" i="2"/>
  <c r="T320" i="2"/>
  <c r="U319" i="2"/>
  <c r="W317" i="2"/>
  <c r="X316" i="2"/>
  <c r="T312" i="2"/>
  <c r="U311" i="2"/>
  <c r="W309" i="2"/>
  <c r="X308" i="2"/>
  <c r="T304" i="2"/>
  <c r="U303" i="2"/>
  <c r="V302" i="2"/>
  <c r="T298" i="2"/>
  <c r="U298" i="2"/>
  <c r="X298" i="2"/>
  <c r="X294" i="2"/>
  <c r="Q294" i="2"/>
  <c r="R294" i="2"/>
  <c r="T294" i="2"/>
  <c r="U294" i="2"/>
  <c r="W404" i="2"/>
  <c r="W396" i="2"/>
  <c r="T391" i="2"/>
  <c r="W388" i="2"/>
  <c r="T383" i="2"/>
  <c r="W380" i="2"/>
  <c r="T375" i="2"/>
  <c r="W372" i="2"/>
  <c r="T367" i="2"/>
  <c r="W364" i="2"/>
  <c r="T359" i="2"/>
  <c r="W356" i="2"/>
  <c r="T351" i="2"/>
  <c r="W348" i="2"/>
  <c r="T343" i="2"/>
  <c r="W340" i="2"/>
  <c r="T335" i="2"/>
  <c r="W332" i="2"/>
  <c r="T327" i="2"/>
  <c r="W324" i="2"/>
  <c r="T319" i="2"/>
  <c r="W316" i="2"/>
  <c r="T311" i="2"/>
  <c r="W308" i="2"/>
  <c r="Q301" i="2"/>
  <c r="R301" i="2"/>
  <c r="T266" i="2"/>
  <c r="U266" i="2"/>
  <c r="V266" i="2"/>
  <c r="W266" i="2"/>
  <c r="X266" i="2"/>
  <c r="Q266" i="2"/>
  <c r="R266" i="2"/>
  <c r="T218" i="2"/>
  <c r="U218" i="2"/>
  <c r="V218" i="2"/>
  <c r="W218" i="2"/>
  <c r="X218" i="2"/>
  <c r="Q218" i="2"/>
  <c r="R218" i="2"/>
  <c r="R304" i="2"/>
  <c r="T301" i="2"/>
  <c r="T290" i="2"/>
  <c r="U290" i="2"/>
  <c r="V290" i="2"/>
  <c r="X290" i="2"/>
  <c r="Q290" i="2"/>
  <c r="R290" i="2"/>
  <c r="T250" i="2"/>
  <c r="U250" i="2"/>
  <c r="V250" i="2"/>
  <c r="W250" i="2"/>
  <c r="X250" i="2"/>
  <c r="Q250" i="2"/>
  <c r="R250" i="2"/>
  <c r="Q408" i="2"/>
  <c r="U404" i="2"/>
  <c r="Q400" i="2"/>
  <c r="U396" i="2"/>
  <c r="Q392" i="2"/>
  <c r="R391" i="2"/>
  <c r="U388" i="2"/>
  <c r="Q384" i="2"/>
  <c r="R383" i="2"/>
  <c r="U380" i="2"/>
  <c r="Q376" i="2"/>
  <c r="R375" i="2"/>
  <c r="U372" i="2"/>
  <c r="Q368" i="2"/>
  <c r="R367" i="2"/>
  <c r="U364" i="2"/>
  <c r="Q360" i="2"/>
  <c r="R359" i="2"/>
  <c r="U356" i="2"/>
  <c r="Q352" i="2"/>
  <c r="R351" i="2"/>
  <c r="U348" i="2"/>
  <c r="Q344" i="2"/>
  <c r="R343" i="2"/>
  <c r="U340" i="2"/>
  <c r="Q336" i="2"/>
  <c r="R335" i="2"/>
  <c r="U332" i="2"/>
  <c r="Q328" i="2"/>
  <c r="R327" i="2"/>
  <c r="U324" i="2"/>
  <c r="Q320" i="2"/>
  <c r="R319" i="2"/>
  <c r="U316" i="2"/>
  <c r="Q312" i="2"/>
  <c r="R311" i="2"/>
  <c r="U308" i="2"/>
  <c r="Q304" i="2"/>
  <c r="R303" i="2"/>
  <c r="S302" i="2"/>
  <c r="S301" i="2"/>
  <c r="W290" i="2"/>
  <c r="S218" i="2"/>
  <c r="T202" i="2"/>
  <c r="U202" i="2"/>
  <c r="V202" i="2"/>
  <c r="W202" i="2"/>
  <c r="X202" i="2"/>
  <c r="Q202" i="2"/>
  <c r="R202" i="2"/>
  <c r="Q391" i="2"/>
  <c r="Q383" i="2"/>
  <c r="Q375" i="2"/>
  <c r="Q367" i="2"/>
  <c r="Q359" i="2"/>
  <c r="Q351" i="2"/>
  <c r="Q343" i="2"/>
  <c r="Q335" i="2"/>
  <c r="Q327" i="2"/>
  <c r="Q319" i="2"/>
  <c r="Q311" i="2"/>
  <c r="R302" i="2"/>
  <c r="S290" i="2"/>
  <c r="T274" i="2"/>
  <c r="U274" i="2"/>
  <c r="V274" i="2"/>
  <c r="W274" i="2"/>
  <c r="X274" i="2"/>
  <c r="Q274" i="2"/>
  <c r="R274" i="2"/>
  <c r="S250" i="2"/>
  <c r="T226" i="2"/>
  <c r="U226" i="2"/>
  <c r="V226" i="2"/>
  <c r="W226" i="2"/>
  <c r="X226" i="2"/>
  <c r="Q226" i="2"/>
  <c r="R226" i="2"/>
  <c r="T234" i="2"/>
  <c r="U234" i="2"/>
  <c r="V234" i="2"/>
  <c r="W234" i="2"/>
  <c r="X234" i="2"/>
  <c r="Q234" i="2"/>
  <c r="R234" i="2"/>
  <c r="S202" i="2"/>
  <c r="V286" i="2"/>
  <c r="V278" i="2"/>
  <c r="V270" i="2"/>
  <c r="V262" i="2"/>
  <c r="V254" i="2"/>
  <c r="V246" i="2"/>
  <c r="R196" i="2"/>
  <c r="V196" i="2"/>
  <c r="V192" i="2"/>
  <c r="W192" i="2"/>
  <c r="X192" i="2"/>
  <c r="R192" i="2"/>
  <c r="U185" i="2"/>
  <c r="V185" i="2"/>
  <c r="W185" i="2"/>
  <c r="X185" i="2"/>
  <c r="Q185" i="2"/>
  <c r="R185" i="2"/>
  <c r="T185" i="2"/>
  <c r="R289" i="2"/>
  <c r="U286" i="2"/>
  <c r="V285" i="2"/>
  <c r="R281" i="2"/>
  <c r="U278" i="2"/>
  <c r="V277" i="2"/>
  <c r="R273" i="2"/>
  <c r="U270" i="2"/>
  <c r="V269" i="2"/>
  <c r="R265" i="2"/>
  <c r="U262" i="2"/>
  <c r="V261" i="2"/>
  <c r="R257" i="2"/>
  <c r="U254" i="2"/>
  <c r="V253" i="2"/>
  <c r="R249" i="2"/>
  <c r="U246" i="2"/>
  <c r="V245" i="2"/>
  <c r="R241" i="2"/>
  <c r="U238" i="2"/>
  <c r="V237" i="2"/>
  <c r="R233" i="2"/>
  <c r="U230" i="2"/>
  <c r="V229" i="2"/>
  <c r="R225" i="2"/>
  <c r="U222" i="2"/>
  <c r="V221" i="2"/>
  <c r="X219" i="2"/>
  <c r="R217" i="2"/>
  <c r="U214" i="2"/>
  <c r="V213" i="2"/>
  <c r="X211" i="2"/>
  <c r="R209" i="2"/>
  <c r="U206" i="2"/>
  <c r="V205" i="2"/>
  <c r="W204" i="2"/>
  <c r="X203" i="2"/>
  <c r="R201" i="2"/>
  <c r="Q197" i="2"/>
  <c r="U197" i="2"/>
  <c r="S196" i="2"/>
  <c r="S192" i="2"/>
  <c r="U169" i="2"/>
  <c r="V169" i="2"/>
  <c r="W169" i="2"/>
  <c r="X169" i="2"/>
  <c r="Q169" i="2"/>
  <c r="R169" i="2"/>
  <c r="T169" i="2"/>
  <c r="U153" i="2"/>
  <c r="V153" i="2"/>
  <c r="W153" i="2"/>
  <c r="X153" i="2"/>
  <c r="Q153" i="2"/>
  <c r="R153" i="2"/>
  <c r="T153" i="2"/>
  <c r="U137" i="2"/>
  <c r="V137" i="2"/>
  <c r="W137" i="2"/>
  <c r="X137" i="2"/>
  <c r="Q137" i="2"/>
  <c r="R137" i="2"/>
  <c r="T137" i="2"/>
  <c r="R296" i="2"/>
  <c r="U293" i="2"/>
  <c r="Q289" i="2"/>
  <c r="R288" i="2"/>
  <c r="T286" i="2"/>
  <c r="U285" i="2"/>
  <c r="Q281" i="2"/>
  <c r="R280" i="2"/>
  <c r="T278" i="2"/>
  <c r="U277" i="2"/>
  <c r="Q273" i="2"/>
  <c r="R272" i="2"/>
  <c r="T270" i="2"/>
  <c r="U269" i="2"/>
  <c r="Q265" i="2"/>
  <c r="R264" i="2"/>
  <c r="T262" i="2"/>
  <c r="U261" i="2"/>
  <c r="Q257" i="2"/>
  <c r="R256" i="2"/>
  <c r="T254" i="2"/>
  <c r="U253" i="2"/>
  <c r="W251" i="2"/>
  <c r="Q249" i="2"/>
  <c r="R248" i="2"/>
  <c r="T246" i="2"/>
  <c r="U245" i="2"/>
  <c r="W243" i="2"/>
  <c r="Q241" i="2"/>
  <c r="R240" i="2"/>
  <c r="T238" i="2"/>
  <c r="U237" i="2"/>
  <c r="W235" i="2"/>
  <c r="Q233" i="2"/>
  <c r="R232" i="2"/>
  <c r="T230" i="2"/>
  <c r="U229" i="2"/>
  <c r="W227" i="2"/>
  <c r="Q225" i="2"/>
  <c r="R224" i="2"/>
  <c r="T222" i="2"/>
  <c r="U221" i="2"/>
  <c r="W219" i="2"/>
  <c r="Q217" i="2"/>
  <c r="T214" i="2"/>
  <c r="U213" i="2"/>
  <c r="W211" i="2"/>
  <c r="Q209" i="2"/>
  <c r="T206" i="2"/>
  <c r="U205" i="2"/>
  <c r="W203" i="2"/>
  <c r="Q201" i="2"/>
  <c r="S197" i="2"/>
  <c r="Q196" i="2"/>
  <c r="Q192" i="2"/>
  <c r="S185" i="2"/>
  <c r="X225" i="2"/>
  <c r="X217" i="2"/>
  <c r="T213" i="2"/>
  <c r="X209" i="2"/>
  <c r="T205" i="2"/>
  <c r="X201" i="2"/>
  <c r="U193" i="2"/>
  <c r="V193" i="2"/>
  <c r="W193" i="2"/>
  <c r="Q193" i="2"/>
  <c r="S169" i="2"/>
  <c r="S153" i="2"/>
  <c r="S137" i="2"/>
  <c r="U113" i="2"/>
  <c r="V113" i="2"/>
  <c r="W113" i="2"/>
  <c r="X113" i="2"/>
  <c r="Q113" i="2"/>
  <c r="R113" i="2"/>
  <c r="T113" i="2"/>
  <c r="U105" i="2"/>
  <c r="V105" i="2"/>
  <c r="W105" i="2"/>
  <c r="X105" i="2"/>
  <c r="Q105" i="2"/>
  <c r="R105" i="2"/>
  <c r="T105" i="2"/>
  <c r="W289" i="2"/>
  <c r="R286" i="2"/>
  <c r="W281" i="2"/>
  <c r="R278" i="2"/>
  <c r="W273" i="2"/>
  <c r="R270" i="2"/>
  <c r="W265" i="2"/>
  <c r="R262" i="2"/>
  <c r="W257" i="2"/>
  <c r="R254" i="2"/>
  <c r="W249" i="2"/>
  <c r="R246" i="2"/>
  <c r="W241" i="2"/>
  <c r="R238" i="2"/>
  <c r="W233" i="2"/>
  <c r="R230" i="2"/>
  <c r="W225" i="2"/>
  <c r="R222" i="2"/>
  <c r="W217" i="2"/>
  <c r="W209" i="2"/>
  <c r="W201" i="2"/>
  <c r="U121" i="2"/>
  <c r="V121" i="2"/>
  <c r="W121" i="2"/>
  <c r="X121" i="2"/>
  <c r="Q121" i="2"/>
  <c r="R121" i="2"/>
  <c r="T121" i="2"/>
  <c r="W296" i="2"/>
  <c r="R293" i="2"/>
  <c r="V289" i="2"/>
  <c r="W288" i="2"/>
  <c r="Q286" i="2"/>
  <c r="R285" i="2"/>
  <c r="V281" i="2"/>
  <c r="W280" i="2"/>
  <c r="Q278" i="2"/>
  <c r="R277" i="2"/>
  <c r="V273" i="2"/>
  <c r="W272" i="2"/>
  <c r="Q270" i="2"/>
  <c r="R269" i="2"/>
  <c r="V265" i="2"/>
  <c r="W264" i="2"/>
  <c r="Q262" i="2"/>
  <c r="R261" i="2"/>
  <c r="V257" i="2"/>
  <c r="W256" i="2"/>
  <c r="Q254" i="2"/>
  <c r="R253" i="2"/>
  <c r="V249" i="2"/>
  <c r="W248" i="2"/>
  <c r="Q246" i="2"/>
  <c r="R245" i="2"/>
  <c r="V241" i="2"/>
  <c r="W240" i="2"/>
  <c r="Q238" i="2"/>
  <c r="R237" i="2"/>
  <c r="V233" i="2"/>
  <c r="Q230" i="2"/>
  <c r="R229" i="2"/>
  <c r="V225" i="2"/>
  <c r="Q222" i="2"/>
  <c r="R221" i="2"/>
  <c r="V217" i="2"/>
  <c r="Q214" i="2"/>
  <c r="R213" i="2"/>
  <c r="V209" i="2"/>
  <c r="Q206" i="2"/>
  <c r="R205" i="2"/>
  <c r="V201" i="2"/>
  <c r="X196" i="2"/>
  <c r="R193" i="2"/>
  <c r="U177" i="2"/>
  <c r="V177" i="2"/>
  <c r="W177" i="2"/>
  <c r="X177" i="2"/>
  <c r="Q177" i="2"/>
  <c r="R177" i="2"/>
  <c r="T177" i="2"/>
  <c r="U161" i="2"/>
  <c r="V161" i="2"/>
  <c r="W161" i="2"/>
  <c r="X161" i="2"/>
  <c r="Q161" i="2"/>
  <c r="R161" i="2"/>
  <c r="T161" i="2"/>
  <c r="U145" i="2"/>
  <c r="V145" i="2"/>
  <c r="W145" i="2"/>
  <c r="X145" i="2"/>
  <c r="Q145" i="2"/>
  <c r="R145" i="2"/>
  <c r="T145" i="2"/>
  <c r="W196" i="2"/>
  <c r="T194" i="2"/>
  <c r="U194" i="2"/>
  <c r="X194" i="2"/>
  <c r="X190" i="2"/>
  <c r="Q190" i="2"/>
  <c r="R190" i="2"/>
  <c r="T190" i="2"/>
  <c r="U129" i="2"/>
  <c r="V129" i="2"/>
  <c r="W129" i="2"/>
  <c r="X129" i="2"/>
  <c r="Q129" i="2"/>
  <c r="R129" i="2"/>
  <c r="T129" i="2"/>
  <c r="S121" i="2"/>
  <c r="Q108" i="2"/>
  <c r="W102" i="2"/>
  <c r="X101" i="2"/>
  <c r="Q186" i="2"/>
  <c r="Q178" i="2"/>
  <c r="Q170" i="2"/>
  <c r="Q162" i="2"/>
  <c r="Q154" i="2"/>
  <c r="Q146" i="2"/>
  <c r="Q138" i="2"/>
  <c r="Q130" i="2"/>
  <c r="Q122" i="2"/>
  <c r="Q114" i="2"/>
  <c r="Q106" i="2"/>
  <c r="U189" i="2"/>
  <c r="V188" i="2"/>
  <c r="X186" i="2"/>
  <c r="R184" i="2"/>
  <c r="T182" i="2"/>
  <c r="U181" i="2"/>
  <c r="V180" i="2"/>
  <c r="X178" i="2"/>
  <c r="R176" i="2"/>
  <c r="T174" i="2"/>
  <c r="U173" i="2"/>
  <c r="V172" i="2"/>
  <c r="X170" i="2"/>
  <c r="R168" i="2"/>
  <c r="T166" i="2"/>
  <c r="U165" i="2"/>
  <c r="V164" i="2"/>
  <c r="X162" i="2"/>
  <c r="R160" i="2"/>
  <c r="T158" i="2"/>
  <c r="U157" i="2"/>
  <c r="V156" i="2"/>
  <c r="X154" i="2"/>
  <c r="R152" i="2"/>
  <c r="T150" i="2"/>
  <c r="U149" i="2"/>
  <c r="V148" i="2"/>
  <c r="X146" i="2"/>
  <c r="R144" i="2"/>
  <c r="T142" i="2"/>
  <c r="U141" i="2"/>
  <c r="V140" i="2"/>
  <c r="X138" i="2"/>
  <c r="R136" i="2"/>
  <c r="T134" i="2"/>
  <c r="U133" i="2"/>
  <c r="V132" i="2"/>
  <c r="X130" i="2"/>
  <c r="R128" i="2"/>
  <c r="T126" i="2"/>
  <c r="U125" i="2"/>
  <c r="V124" i="2"/>
  <c r="X122" i="2"/>
  <c r="R120" i="2"/>
  <c r="T118" i="2"/>
  <c r="U117" i="2"/>
  <c r="V116" i="2"/>
  <c r="X114" i="2"/>
  <c r="R112" i="2"/>
  <c r="T110" i="2"/>
  <c r="U109" i="2"/>
  <c r="V108" i="2"/>
  <c r="X106" i="2"/>
  <c r="R104" i="2"/>
  <c r="T102" i="2"/>
  <c r="U101" i="2"/>
  <c r="W186" i="2"/>
  <c r="Q184" i="2"/>
  <c r="W178" i="2"/>
  <c r="Q176" i="2"/>
  <c r="W170" i="2"/>
  <c r="Q168" i="2"/>
  <c r="W162" i="2"/>
  <c r="Q160" i="2"/>
  <c r="W154" i="2"/>
  <c r="Q152" i="2"/>
  <c r="W146" i="2"/>
  <c r="Q144" i="2"/>
  <c r="W138" i="2"/>
  <c r="Q136" i="2"/>
  <c r="Q128" i="2"/>
  <c r="Q120" i="2"/>
  <c r="Q112" i="2"/>
  <c r="Q104" i="2"/>
  <c r="V186" i="2"/>
  <c r="X184" i="2"/>
  <c r="R182" i="2"/>
  <c r="V178" i="2"/>
  <c r="X176" i="2"/>
  <c r="R174" i="2"/>
  <c r="V170" i="2"/>
  <c r="X168" i="2"/>
  <c r="R166" i="2"/>
  <c r="V162" i="2"/>
  <c r="X160" i="2"/>
  <c r="R158" i="2"/>
  <c r="V154" i="2"/>
  <c r="X152" i="2"/>
  <c r="R150" i="2"/>
  <c r="V146" i="2"/>
  <c r="X144" i="2"/>
  <c r="R142" i="2"/>
  <c r="V138" i="2"/>
  <c r="X136" i="2"/>
  <c r="R134" i="2"/>
  <c r="V130" i="2"/>
  <c r="X128" i="2"/>
  <c r="R126" i="2"/>
  <c r="R118" i="2"/>
  <c r="R189" i="2"/>
  <c r="U186" i="2"/>
  <c r="W184" i="2"/>
  <c r="Q182" i="2"/>
  <c r="R181" i="2"/>
  <c r="U178" i="2"/>
  <c r="W176" i="2"/>
  <c r="Q174" i="2"/>
  <c r="R173" i="2"/>
  <c r="U170" i="2"/>
  <c r="W168" i="2"/>
  <c r="Q166" i="2"/>
  <c r="R165" i="2"/>
  <c r="U162" i="2"/>
  <c r="W160" i="2"/>
  <c r="Q158" i="2"/>
  <c r="R157" i="2"/>
  <c r="U154" i="2"/>
  <c r="W152" i="2"/>
  <c r="Q150" i="2"/>
  <c r="R149" i="2"/>
  <c r="U146" i="2"/>
  <c r="W144" i="2"/>
  <c r="Q142" i="2"/>
  <c r="R141" i="2"/>
  <c r="U138" i="2"/>
  <c r="W136" i="2"/>
  <c r="Q134" i="2"/>
  <c r="R133" i="2"/>
  <c r="U130" i="2"/>
  <c r="W128" i="2"/>
  <c r="Q126" i="2"/>
  <c r="R125" i="2"/>
  <c r="U122" i="2"/>
  <c r="W120" i="2"/>
  <c r="Q118" i="2"/>
  <c r="R117" i="2"/>
  <c r="U114" i="2"/>
  <c r="W112" i="2"/>
  <c r="Q110" i="2"/>
  <c r="R109" i="2"/>
  <c r="Q102" i="2"/>
  <c r="R101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2" i="2"/>
  <c r="AG3" i="2" l="1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G62" i="2"/>
  <c r="AG63" i="2"/>
  <c r="AG64" i="2"/>
  <c r="AG65" i="2"/>
  <c r="AG66" i="2"/>
  <c r="AG67" i="2"/>
  <c r="AG68" i="2"/>
  <c r="AG69" i="2"/>
  <c r="AG70" i="2"/>
  <c r="AG71" i="2"/>
  <c r="AG72" i="2"/>
  <c r="AG73" i="2"/>
  <c r="AG74" i="2"/>
  <c r="AG75" i="2"/>
  <c r="AG76" i="2"/>
  <c r="AG77" i="2"/>
  <c r="AG78" i="2"/>
  <c r="AG79" i="2"/>
  <c r="AG80" i="2"/>
  <c r="AG81" i="2"/>
  <c r="AG82" i="2"/>
  <c r="AG83" i="2"/>
  <c r="AG84" i="2"/>
  <c r="AG85" i="2"/>
  <c r="AG86" i="2"/>
  <c r="AG87" i="2"/>
  <c r="AG88" i="2"/>
  <c r="AG89" i="2"/>
  <c r="AG90" i="2"/>
  <c r="AG91" i="2"/>
  <c r="AG92" i="2"/>
  <c r="AG93" i="2"/>
  <c r="AG94" i="2"/>
  <c r="AG95" i="2"/>
  <c r="AG96" i="2"/>
  <c r="AG97" i="2"/>
  <c r="AG98" i="2"/>
  <c r="AG99" i="2"/>
  <c r="AG100" i="2"/>
  <c r="AG2" i="2"/>
  <c r="BU3" i="6"/>
  <c r="BU4" i="6"/>
  <c r="BU5" i="6"/>
  <c r="BU6" i="6"/>
  <c r="BU7" i="6"/>
  <c r="BU8" i="6"/>
  <c r="BU9" i="6"/>
  <c r="BU10" i="6"/>
  <c r="BU11" i="6"/>
  <c r="BU12" i="6"/>
  <c r="BU13" i="6"/>
  <c r="BU14" i="6"/>
  <c r="BU15" i="6"/>
  <c r="BU16" i="6"/>
  <c r="BU17" i="6"/>
  <c r="BU18" i="6"/>
  <c r="BU19" i="6"/>
  <c r="BU20" i="6"/>
  <c r="BU21" i="6"/>
  <c r="BU22" i="6"/>
  <c r="BU23" i="6"/>
  <c r="BU24" i="6"/>
  <c r="BU25" i="6"/>
  <c r="BU26" i="6"/>
  <c r="BU27" i="6"/>
  <c r="BU28" i="6"/>
  <c r="BU29" i="6"/>
  <c r="BU30" i="6"/>
  <c r="BU31" i="6"/>
  <c r="BU32" i="6"/>
  <c r="BU33" i="6"/>
  <c r="BU34" i="6"/>
  <c r="BU35" i="6"/>
  <c r="BU36" i="6"/>
  <c r="BU37" i="6"/>
  <c r="BU38" i="6"/>
  <c r="BU39" i="6"/>
  <c r="BU40" i="6"/>
  <c r="BU41" i="6"/>
  <c r="BU42" i="6"/>
  <c r="BU43" i="6"/>
  <c r="BU44" i="6"/>
  <c r="BU45" i="6"/>
  <c r="BU46" i="6"/>
  <c r="BU47" i="6"/>
  <c r="BU48" i="6"/>
  <c r="BU49" i="6"/>
  <c r="BU50" i="6"/>
  <c r="BU51" i="6"/>
  <c r="BU52" i="6"/>
  <c r="BU53" i="6"/>
  <c r="BU54" i="6"/>
  <c r="BU55" i="6"/>
  <c r="BU56" i="6"/>
  <c r="BU57" i="6"/>
  <c r="BU58" i="6"/>
  <c r="BU59" i="6"/>
  <c r="BU60" i="6"/>
  <c r="BU61" i="6"/>
  <c r="BU62" i="6"/>
  <c r="BU63" i="6"/>
  <c r="BU64" i="6"/>
  <c r="BU65" i="6"/>
  <c r="BU66" i="6"/>
  <c r="BU67" i="6"/>
  <c r="BU68" i="6"/>
  <c r="BU69" i="6"/>
  <c r="BU70" i="6"/>
  <c r="BU71" i="6"/>
  <c r="BU72" i="6"/>
  <c r="BU73" i="6"/>
  <c r="BU74" i="6"/>
  <c r="BU75" i="6"/>
  <c r="BU76" i="6"/>
  <c r="BU77" i="6"/>
  <c r="BU78" i="6"/>
  <c r="BU79" i="6"/>
  <c r="BU80" i="6"/>
  <c r="BU81" i="6"/>
  <c r="BU82" i="6"/>
  <c r="BU83" i="6"/>
  <c r="BU84" i="6"/>
  <c r="BU85" i="6"/>
  <c r="BU86" i="6"/>
  <c r="BU87" i="6"/>
  <c r="BU88" i="6"/>
  <c r="BU89" i="6"/>
  <c r="BU90" i="6"/>
  <c r="BU91" i="6"/>
  <c r="BU92" i="6"/>
  <c r="BU93" i="6"/>
  <c r="BU94" i="6"/>
  <c r="BU95" i="6"/>
  <c r="BU96" i="6"/>
  <c r="BU97" i="6"/>
  <c r="BU98" i="6"/>
  <c r="BU99" i="6"/>
  <c r="BU100" i="6"/>
  <c r="BU2" i="6"/>
  <c r="AF3" i="2" l="1"/>
  <c r="AF4" i="2"/>
  <c r="AF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2" i="2"/>
  <c r="B21" i="2" l="1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Y21" i="2"/>
  <c r="Z21" i="2"/>
  <c r="AA21" i="2"/>
  <c r="AB21" i="2"/>
  <c r="AC21" i="2"/>
  <c r="AD21" i="2"/>
  <c r="AE21" i="2"/>
  <c r="B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Y22" i="2"/>
  <c r="Z22" i="2"/>
  <c r="AA22" i="2"/>
  <c r="AB22" i="2"/>
  <c r="AC22" i="2"/>
  <c r="AD22" i="2"/>
  <c r="AE22" i="2"/>
  <c r="B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Y23" i="2"/>
  <c r="Z23" i="2"/>
  <c r="AA23" i="2"/>
  <c r="AB23" i="2"/>
  <c r="AC23" i="2"/>
  <c r="AD23" i="2"/>
  <c r="AE23" i="2"/>
  <c r="B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Y24" i="2"/>
  <c r="Z24" i="2"/>
  <c r="AA24" i="2"/>
  <c r="AB24" i="2"/>
  <c r="AC24" i="2"/>
  <c r="AD24" i="2"/>
  <c r="AE24" i="2"/>
  <c r="B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Y25" i="2"/>
  <c r="Z25" i="2"/>
  <c r="AA25" i="2"/>
  <c r="AB25" i="2"/>
  <c r="AC25" i="2"/>
  <c r="AD25" i="2"/>
  <c r="AE25" i="2"/>
  <c r="B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Y26" i="2"/>
  <c r="Z26" i="2"/>
  <c r="AA26" i="2"/>
  <c r="AB26" i="2"/>
  <c r="AC26" i="2"/>
  <c r="AD26" i="2"/>
  <c r="AE26" i="2"/>
  <c r="B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Y27" i="2"/>
  <c r="Z27" i="2"/>
  <c r="AA27" i="2"/>
  <c r="AB27" i="2"/>
  <c r="AC27" i="2"/>
  <c r="AD27" i="2"/>
  <c r="AE27" i="2"/>
  <c r="B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Y28" i="2"/>
  <c r="Z28" i="2"/>
  <c r="AA28" i="2"/>
  <c r="AB28" i="2"/>
  <c r="AC28" i="2"/>
  <c r="AD28" i="2"/>
  <c r="AE28" i="2"/>
  <c r="B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Y29" i="2"/>
  <c r="Z29" i="2"/>
  <c r="AA29" i="2"/>
  <c r="AB29" i="2"/>
  <c r="AC29" i="2"/>
  <c r="AD29" i="2"/>
  <c r="AE29" i="2"/>
  <c r="B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Y30" i="2"/>
  <c r="Z30" i="2"/>
  <c r="AA30" i="2"/>
  <c r="AB30" i="2"/>
  <c r="AC30" i="2"/>
  <c r="AD30" i="2"/>
  <c r="AE30" i="2"/>
  <c r="B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Y31" i="2"/>
  <c r="Z31" i="2"/>
  <c r="AA31" i="2"/>
  <c r="AB31" i="2"/>
  <c r="AC31" i="2"/>
  <c r="AD31" i="2"/>
  <c r="AE31" i="2"/>
  <c r="B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Y32" i="2"/>
  <c r="Z32" i="2"/>
  <c r="AA32" i="2"/>
  <c r="AB32" i="2"/>
  <c r="AC32" i="2"/>
  <c r="AD32" i="2"/>
  <c r="AE32" i="2"/>
  <c r="B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Y33" i="2"/>
  <c r="Z33" i="2"/>
  <c r="AA33" i="2"/>
  <c r="AB33" i="2"/>
  <c r="AC33" i="2"/>
  <c r="AD33" i="2"/>
  <c r="AE33" i="2"/>
  <c r="B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Y34" i="2"/>
  <c r="Z34" i="2"/>
  <c r="AA34" i="2"/>
  <c r="AB34" i="2"/>
  <c r="AC34" i="2"/>
  <c r="AD34" i="2"/>
  <c r="AE34" i="2"/>
  <c r="B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Y35" i="2"/>
  <c r="Z35" i="2"/>
  <c r="AA35" i="2"/>
  <c r="AB35" i="2"/>
  <c r="AC35" i="2"/>
  <c r="AD35" i="2"/>
  <c r="AE35" i="2"/>
  <c r="B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Y36" i="2"/>
  <c r="Z36" i="2"/>
  <c r="AA36" i="2"/>
  <c r="AB36" i="2"/>
  <c r="AC36" i="2"/>
  <c r="AD36" i="2"/>
  <c r="AE36" i="2"/>
  <c r="B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Y37" i="2"/>
  <c r="Z37" i="2"/>
  <c r="AA37" i="2"/>
  <c r="AB37" i="2"/>
  <c r="AC37" i="2"/>
  <c r="AD37" i="2"/>
  <c r="AE37" i="2"/>
  <c r="B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Y38" i="2"/>
  <c r="Z38" i="2"/>
  <c r="AA38" i="2"/>
  <c r="AB38" i="2"/>
  <c r="AC38" i="2"/>
  <c r="AD38" i="2"/>
  <c r="AE38" i="2"/>
  <c r="B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Y39" i="2"/>
  <c r="Z39" i="2"/>
  <c r="AA39" i="2"/>
  <c r="AB39" i="2"/>
  <c r="AC39" i="2"/>
  <c r="AD39" i="2"/>
  <c r="AE39" i="2"/>
  <c r="B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Y40" i="2"/>
  <c r="Z40" i="2"/>
  <c r="AA40" i="2"/>
  <c r="AB40" i="2"/>
  <c r="AC40" i="2"/>
  <c r="AD40" i="2"/>
  <c r="AE40" i="2"/>
  <c r="B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Y41" i="2"/>
  <c r="Z41" i="2"/>
  <c r="AA41" i="2"/>
  <c r="AB41" i="2"/>
  <c r="AC41" i="2"/>
  <c r="AD41" i="2"/>
  <c r="AE41" i="2"/>
  <c r="B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Y42" i="2"/>
  <c r="Z42" i="2"/>
  <c r="AA42" i="2"/>
  <c r="AB42" i="2"/>
  <c r="AC42" i="2"/>
  <c r="AD42" i="2"/>
  <c r="AE42" i="2"/>
  <c r="B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Y43" i="2"/>
  <c r="Z43" i="2"/>
  <c r="AA43" i="2"/>
  <c r="AB43" i="2"/>
  <c r="AC43" i="2"/>
  <c r="AD43" i="2"/>
  <c r="AE43" i="2"/>
  <c r="B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Y44" i="2"/>
  <c r="Z44" i="2"/>
  <c r="AA44" i="2"/>
  <c r="AB44" i="2"/>
  <c r="AC44" i="2"/>
  <c r="AD44" i="2"/>
  <c r="AE44" i="2"/>
  <c r="B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Y45" i="2"/>
  <c r="Z45" i="2"/>
  <c r="AA45" i="2"/>
  <c r="AB45" i="2"/>
  <c r="AC45" i="2"/>
  <c r="AD45" i="2"/>
  <c r="AE45" i="2"/>
  <c r="B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Y46" i="2"/>
  <c r="Z46" i="2"/>
  <c r="AA46" i="2"/>
  <c r="AB46" i="2"/>
  <c r="AC46" i="2"/>
  <c r="AD46" i="2"/>
  <c r="AE46" i="2"/>
  <c r="B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Y47" i="2"/>
  <c r="Z47" i="2"/>
  <c r="AA47" i="2"/>
  <c r="AB47" i="2"/>
  <c r="AC47" i="2"/>
  <c r="AD47" i="2"/>
  <c r="AE47" i="2"/>
  <c r="B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Y48" i="2"/>
  <c r="Z48" i="2"/>
  <c r="AA48" i="2"/>
  <c r="AB48" i="2"/>
  <c r="AC48" i="2"/>
  <c r="AD48" i="2"/>
  <c r="AE48" i="2"/>
  <c r="B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Y49" i="2"/>
  <c r="Z49" i="2"/>
  <c r="AA49" i="2"/>
  <c r="AB49" i="2"/>
  <c r="AC49" i="2"/>
  <c r="AD49" i="2"/>
  <c r="AE49" i="2"/>
  <c r="B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Y50" i="2"/>
  <c r="Z50" i="2"/>
  <c r="AA50" i="2"/>
  <c r="AB50" i="2"/>
  <c r="AC50" i="2"/>
  <c r="AD50" i="2"/>
  <c r="AE50" i="2"/>
  <c r="B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Y51" i="2"/>
  <c r="Z51" i="2"/>
  <c r="AA51" i="2"/>
  <c r="AB51" i="2"/>
  <c r="AC51" i="2"/>
  <c r="AD51" i="2"/>
  <c r="AE51" i="2"/>
  <c r="B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Y52" i="2"/>
  <c r="Z52" i="2"/>
  <c r="AA52" i="2"/>
  <c r="AB52" i="2"/>
  <c r="AC52" i="2"/>
  <c r="AD52" i="2"/>
  <c r="AE52" i="2"/>
  <c r="B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Y53" i="2"/>
  <c r="Z53" i="2"/>
  <c r="AA53" i="2"/>
  <c r="AB53" i="2"/>
  <c r="AC53" i="2"/>
  <c r="AD53" i="2"/>
  <c r="AE53" i="2"/>
  <c r="B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Y54" i="2"/>
  <c r="Z54" i="2"/>
  <c r="AA54" i="2"/>
  <c r="AB54" i="2"/>
  <c r="AC54" i="2"/>
  <c r="AD54" i="2"/>
  <c r="AE54" i="2"/>
  <c r="B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Y55" i="2"/>
  <c r="Z55" i="2"/>
  <c r="AA55" i="2"/>
  <c r="AB55" i="2"/>
  <c r="AC55" i="2"/>
  <c r="AD55" i="2"/>
  <c r="AE55" i="2"/>
  <c r="B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Y56" i="2"/>
  <c r="Z56" i="2"/>
  <c r="AA56" i="2"/>
  <c r="AB56" i="2"/>
  <c r="AC56" i="2"/>
  <c r="AD56" i="2"/>
  <c r="AE56" i="2"/>
  <c r="B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Y57" i="2"/>
  <c r="Z57" i="2"/>
  <c r="AA57" i="2"/>
  <c r="AB57" i="2"/>
  <c r="AC57" i="2"/>
  <c r="AD57" i="2"/>
  <c r="AE57" i="2"/>
  <c r="B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Y58" i="2"/>
  <c r="Z58" i="2"/>
  <c r="AA58" i="2"/>
  <c r="AB58" i="2"/>
  <c r="AC58" i="2"/>
  <c r="AD58" i="2"/>
  <c r="AE58" i="2"/>
  <c r="B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Y59" i="2"/>
  <c r="Z59" i="2"/>
  <c r="AA59" i="2"/>
  <c r="AB59" i="2"/>
  <c r="AC59" i="2"/>
  <c r="AD59" i="2"/>
  <c r="AE59" i="2"/>
  <c r="B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Y60" i="2"/>
  <c r="Z60" i="2"/>
  <c r="AA60" i="2"/>
  <c r="AB60" i="2"/>
  <c r="AC60" i="2"/>
  <c r="AD60" i="2"/>
  <c r="AE60" i="2"/>
  <c r="B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Y61" i="2"/>
  <c r="Z61" i="2"/>
  <c r="AA61" i="2"/>
  <c r="AB61" i="2"/>
  <c r="AC61" i="2"/>
  <c r="AD61" i="2"/>
  <c r="AE61" i="2"/>
  <c r="B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Y62" i="2"/>
  <c r="Z62" i="2"/>
  <c r="AA62" i="2"/>
  <c r="AB62" i="2"/>
  <c r="AC62" i="2"/>
  <c r="AD62" i="2"/>
  <c r="AE62" i="2"/>
  <c r="B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Y63" i="2"/>
  <c r="Z63" i="2"/>
  <c r="AA63" i="2"/>
  <c r="AB63" i="2"/>
  <c r="AC63" i="2"/>
  <c r="AD63" i="2"/>
  <c r="AE63" i="2"/>
  <c r="B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Y64" i="2"/>
  <c r="Z64" i="2"/>
  <c r="AA64" i="2"/>
  <c r="AB64" i="2"/>
  <c r="AC64" i="2"/>
  <c r="AD64" i="2"/>
  <c r="AE64" i="2"/>
  <c r="B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Y65" i="2"/>
  <c r="Z65" i="2"/>
  <c r="AA65" i="2"/>
  <c r="AB65" i="2"/>
  <c r="AC65" i="2"/>
  <c r="AD65" i="2"/>
  <c r="AE65" i="2"/>
  <c r="B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Y66" i="2"/>
  <c r="Z66" i="2"/>
  <c r="AA66" i="2"/>
  <c r="AB66" i="2"/>
  <c r="AC66" i="2"/>
  <c r="AD66" i="2"/>
  <c r="AE66" i="2"/>
  <c r="B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Y67" i="2"/>
  <c r="Z67" i="2"/>
  <c r="AA67" i="2"/>
  <c r="AB67" i="2"/>
  <c r="AC67" i="2"/>
  <c r="AD67" i="2"/>
  <c r="AE67" i="2"/>
  <c r="B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Y68" i="2"/>
  <c r="Z68" i="2"/>
  <c r="AA68" i="2"/>
  <c r="AB68" i="2"/>
  <c r="AC68" i="2"/>
  <c r="AD68" i="2"/>
  <c r="AE68" i="2"/>
  <c r="B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Y69" i="2"/>
  <c r="Z69" i="2"/>
  <c r="AA69" i="2"/>
  <c r="AB69" i="2"/>
  <c r="AC69" i="2"/>
  <c r="AD69" i="2"/>
  <c r="AE69" i="2"/>
  <c r="B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Y70" i="2"/>
  <c r="Z70" i="2"/>
  <c r="AA70" i="2"/>
  <c r="AB70" i="2"/>
  <c r="AC70" i="2"/>
  <c r="AD70" i="2"/>
  <c r="AE70" i="2"/>
  <c r="B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Y71" i="2"/>
  <c r="Z71" i="2"/>
  <c r="AA71" i="2"/>
  <c r="AB71" i="2"/>
  <c r="AC71" i="2"/>
  <c r="AD71" i="2"/>
  <c r="AE71" i="2"/>
  <c r="B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Y72" i="2"/>
  <c r="Z72" i="2"/>
  <c r="AA72" i="2"/>
  <c r="AB72" i="2"/>
  <c r="AC72" i="2"/>
  <c r="AD72" i="2"/>
  <c r="AE72" i="2"/>
  <c r="B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Y73" i="2"/>
  <c r="Z73" i="2"/>
  <c r="AA73" i="2"/>
  <c r="AB73" i="2"/>
  <c r="AC73" i="2"/>
  <c r="AD73" i="2"/>
  <c r="AE73" i="2"/>
  <c r="B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Y74" i="2"/>
  <c r="Z74" i="2"/>
  <c r="AA74" i="2"/>
  <c r="AB74" i="2"/>
  <c r="AC74" i="2"/>
  <c r="AD74" i="2"/>
  <c r="AE74" i="2"/>
  <c r="B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Y75" i="2"/>
  <c r="Z75" i="2"/>
  <c r="AA75" i="2"/>
  <c r="AB75" i="2"/>
  <c r="AC75" i="2"/>
  <c r="AD75" i="2"/>
  <c r="AE75" i="2"/>
  <c r="B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Y76" i="2"/>
  <c r="Z76" i="2"/>
  <c r="AA76" i="2"/>
  <c r="AB76" i="2"/>
  <c r="AC76" i="2"/>
  <c r="AD76" i="2"/>
  <c r="AE76" i="2"/>
  <c r="B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Y77" i="2"/>
  <c r="Z77" i="2"/>
  <c r="AA77" i="2"/>
  <c r="AB77" i="2"/>
  <c r="AC77" i="2"/>
  <c r="AD77" i="2"/>
  <c r="AE77" i="2"/>
  <c r="B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Y78" i="2"/>
  <c r="Z78" i="2"/>
  <c r="AA78" i="2"/>
  <c r="AB78" i="2"/>
  <c r="AC78" i="2"/>
  <c r="AD78" i="2"/>
  <c r="AE78" i="2"/>
  <c r="B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Y79" i="2"/>
  <c r="Z79" i="2"/>
  <c r="AA79" i="2"/>
  <c r="AB79" i="2"/>
  <c r="AC79" i="2"/>
  <c r="AD79" i="2"/>
  <c r="AE79" i="2"/>
  <c r="B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Y80" i="2"/>
  <c r="Z80" i="2"/>
  <c r="AA80" i="2"/>
  <c r="AB80" i="2"/>
  <c r="AC80" i="2"/>
  <c r="AD80" i="2"/>
  <c r="AE80" i="2"/>
  <c r="B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Y81" i="2"/>
  <c r="Z81" i="2"/>
  <c r="AA81" i="2"/>
  <c r="AB81" i="2"/>
  <c r="AC81" i="2"/>
  <c r="AD81" i="2"/>
  <c r="AE81" i="2"/>
  <c r="B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Y82" i="2"/>
  <c r="Z82" i="2"/>
  <c r="AA82" i="2"/>
  <c r="AB82" i="2"/>
  <c r="AC82" i="2"/>
  <c r="AD82" i="2"/>
  <c r="AE82" i="2"/>
  <c r="B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Y83" i="2"/>
  <c r="Z83" i="2"/>
  <c r="AA83" i="2"/>
  <c r="AB83" i="2"/>
  <c r="AC83" i="2"/>
  <c r="AD83" i="2"/>
  <c r="AE83" i="2"/>
  <c r="B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Y84" i="2"/>
  <c r="Z84" i="2"/>
  <c r="AA84" i="2"/>
  <c r="AB84" i="2"/>
  <c r="AC84" i="2"/>
  <c r="AD84" i="2"/>
  <c r="AE84" i="2"/>
  <c r="B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Y85" i="2"/>
  <c r="Z85" i="2"/>
  <c r="AA85" i="2"/>
  <c r="AB85" i="2"/>
  <c r="AC85" i="2"/>
  <c r="AD85" i="2"/>
  <c r="AE85" i="2"/>
  <c r="B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Y86" i="2"/>
  <c r="Z86" i="2"/>
  <c r="AA86" i="2"/>
  <c r="AB86" i="2"/>
  <c r="AC86" i="2"/>
  <c r="AD86" i="2"/>
  <c r="AE86" i="2"/>
  <c r="B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Y87" i="2"/>
  <c r="Z87" i="2"/>
  <c r="AA87" i="2"/>
  <c r="AB87" i="2"/>
  <c r="AC87" i="2"/>
  <c r="AD87" i="2"/>
  <c r="AE87" i="2"/>
  <c r="B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Y88" i="2"/>
  <c r="Z88" i="2"/>
  <c r="AA88" i="2"/>
  <c r="AB88" i="2"/>
  <c r="AC88" i="2"/>
  <c r="AD88" i="2"/>
  <c r="AE88" i="2"/>
  <c r="B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Y89" i="2"/>
  <c r="Z89" i="2"/>
  <c r="AA89" i="2"/>
  <c r="AB89" i="2"/>
  <c r="AC89" i="2"/>
  <c r="AD89" i="2"/>
  <c r="AE89" i="2"/>
  <c r="B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Y90" i="2"/>
  <c r="Z90" i="2"/>
  <c r="AA90" i="2"/>
  <c r="AB90" i="2"/>
  <c r="AC90" i="2"/>
  <c r="AD90" i="2"/>
  <c r="AE90" i="2"/>
  <c r="B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Y91" i="2"/>
  <c r="Z91" i="2"/>
  <c r="AA91" i="2"/>
  <c r="AB91" i="2"/>
  <c r="AC91" i="2"/>
  <c r="AD91" i="2"/>
  <c r="AE91" i="2"/>
  <c r="B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Y92" i="2"/>
  <c r="Z92" i="2"/>
  <c r="AA92" i="2"/>
  <c r="AB92" i="2"/>
  <c r="AC92" i="2"/>
  <c r="AD92" i="2"/>
  <c r="AE92" i="2"/>
  <c r="B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Y93" i="2"/>
  <c r="Z93" i="2"/>
  <c r="AA93" i="2"/>
  <c r="AB93" i="2"/>
  <c r="AC93" i="2"/>
  <c r="AD93" i="2"/>
  <c r="AE93" i="2"/>
  <c r="B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Y94" i="2"/>
  <c r="Z94" i="2"/>
  <c r="AA94" i="2"/>
  <c r="AB94" i="2"/>
  <c r="AC94" i="2"/>
  <c r="AD94" i="2"/>
  <c r="AE94" i="2"/>
  <c r="B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Y95" i="2"/>
  <c r="Z95" i="2"/>
  <c r="AA95" i="2"/>
  <c r="AB95" i="2"/>
  <c r="AC95" i="2"/>
  <c r="AD95" i="2"/>
  <c r="AE95" i="2"/>
  <c r="B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Y96" i="2"/>
  <c r="Z96" i="2"/>
  <c r="AA96" i="2"/>
  <c r="AB96" i="2"/>
  <c r="AC96" i="2"/>
  <c r="AD96" i="2"/>
  <c r="AE96" i="2"/>
  <c r="B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Y97" i="2"/>
  <c r="Z97" i="2"/>
  <c r="AA97" i="2"/>
  <c r="AB97" i="2"/>
  <c r="AC97" i="2"/>
  <c r="AD97" i="2"/>
  <c r="AE97" i="2"/>
  <c r="B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Y98" i="2"/>
  <c r="Z98" i="2"/>
  <c r="AA98" i="2"/>
  <c r="AB98" i="2"/>
  <c r="AC98" i="2"/>
  <c r="AD98" i="2"/>
  <c r="AE98" i="2"/>
  <c r="B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Y99" i="2"/>
  <c r="Z99" i="2"/>
  <c r="AA99" i="2"/>
  <c r="AB99" i="2"/>
  <c r="AC99" i="2"/>
  <c r="AD99" i="2"/>
  <c r="AE99" i="2"/>
  <c r="B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Y100" i="2"/>
  <c r="Z100" i="2"/>
  <c r="AA100" i="2"/>
  <c r="AB100" i="2"/>
  <c r="AC100" i="2"/>
  <c r="AD100" i="2"/>
  <c r="AE100" i="2"/>
  <c r="Z3" i="2"/>
  <c r="AA3" i="2"/>
  <c r="AB3" i="2"/>
  <c r="AC3" i="2"/>
  <c r="AD3" i="2"/>
  <c r="Z4" i="2"/>
  <c r="AA4" i="2"/>
  <c r="AB4" i="2"/>
  <c r="AC4" i="2"/>
  <c r="AD4" i="2"/>
  <c r="Z5" i="2"/>
  <c r="AA5" i="2"/>
  <c r="AB5" i="2"/>
  <c r="AC5" i="2"/>
  <c r="AD5" i="2"/>
  <c r="Z6" i="2"/>
  <c r="AA6" i="2"/>
  <c r="AB6" i="2"/>
  <c r="AC6" i="2"/>
  <c r="AD6" i="2"/>
  <c r="Z7" i="2"/>
  <c r="AA7" i="2"/>
  <c r="AB7" i="2"/>
  <c r="AC7" i="2"/>
  <c r="AD7" i="2"/>
  <c r="Z8" i="2"/>
  <c r="AA8" i="2"/>
  <c r="AB8" i="2"/>
  <c r="AC8" i="2"/>
  <c r="AD8" i="2"/>
  <c r="Z9" i="2"/>
  <c r="AA9" i="2"/>
  <c r="AB9" i="2"/>
  <c r="AC9" i="2"/>
  <c r="AD9" i="2"/>
  <c r="Z10" i="2"/>
  <c r="AA10" i="2"/>
  <c r="AB10" i="2"/>
  <c r="AC10" i="2"/>
  <c r="AD10" i="2"/>
  <c r="Z11" i="2"/>
  <c r="AA11" i="2"/>
  <c r="AB11" i="2"/>
  <c r="AC11" i="2"/>
  <c r="AD11" i="2"/>
  <c r="Z12" i="2"/>
  <c r="AA12" i="2"/>
  <c r="AB12" i="2"/>
  <c r="AC12" i="2"/>
  <c r="AD12" i="2"/>
  <c r="Z13" i="2"/>
  <c r="AA13" i="2"/>
  <c r="AB13" i="2"/>
  <c r="AC13" i="2"/>
  <c r="AD13" i="2"/>
  <c r="Z14" i="2"/>
  <c r="AA14" i="2"/>
  <c r="AB14" i="2"/>
  <c r="AC14" i="2"/>
  <c r="AD14" i="2"/>
  <c r="Z15" i="2"/>
  <c r="AA15" i="2"/>
  <c r="AB15" i="2"/>
  <c r="AC15" i="2"/>
  <c r="AD15" i="2"/>
  <c r="Z16" i="2"/>
  <c r="AA16" i="2"/>
  <c r="AB16" i="2"/>
  <c r="AC16" i="2"/>
  <c r="AD16" i="2"/>
  <c r="Z17" i="2"/>
  <c r="AA17" i="2"/>
  <c r="AB17" i="2"/>
  <c r="AC17" i="2"/>
  <c r="AD17" i="2"/>
  <c r="Z18" i="2"/>
  <c r="AA18" i="2"/>
  <c r="AB18" i="2"/>
  <c r="AC18" i="2"/>
  <c r="AD18" i="2"/>
  <c r="Z19" i="2"/>
  <c r="AA19" i="2"/>
  <c r="AB19" i="2"/>
  <c r="AC19" i="2"/>
  <c r="AD19" i="2"/>
  <c r="Z20" i="2"/>
  <c r="AA20" i="2"/>
  <c r="AB20" i="2"/>
  <c r="AC20" i="2"/>
  <c r="AD20" i="2"/>
  <c r="AD2" i="2"/>
  <c r="AC2" i="2"/>
  <c r="AB2" i="2"/>
  <c r="AA2" i="2"/>
  <c r="Z2" i="2"/>
  <c r="Q100" i="2" l="1"/>
  <c r="R100" i="2"/>
  <c r="S100" i="2"/>
  <c r="T100" i="2"/>
  <c r="W100" i="2"/>
  <c r="X100" i="2"/>
  <c r="U100" i="2"/>
  <c r="V100" i="2"/>
  <c r="Q99" i="2"/>
  <c r="R99" i="2"/>
  <c r="S99" i="2"/>
  <c r="T99" i="2"/>
  <c r="U99" i="2"/>
  <c r="V99" i="2"/>
  <c r="W99" i="2"/>
  <c r="X99" i="2"/>
  <c r="Q98" i="2"/>
  <c r="R98" i="2"/>
  <c r="S98" i="2"/>
  <c r="T98" i="2"/>
  <c r="W98" i="2"/>
  <c r="X98" i="2"/>
  <c r="U98" i="2"/>
  <c r="V98" i="2"/>
  <c r="Q97" i="2"/>
  <c r="R97" i="2"/>
  <c r="S97" i="2"/>
  <c r="T97" i="2"/>
  <c r="U97" i="2"/>
  <c r="V97" i="2"/>
  <c r="W97" i="2"/>
  <c r="X97" i="2"/>
  <c r="Q96" i="2"/>
  <c r="R96" i="2"/>
  <c r="S96" i="2"/>
  <c r="T96" i="2"/>
  <c r="W96" i="2"/>
  <c r="X96" i="2"/>
  <c r="U96" i="2"/>
  <c r="V96" i="2"/>
  <c r="Q95" i="2"/>
  <c r="R95" i="2"/>
  <c r="S95" i="2"/>
  <c r="T95" i="2"/>
  <c r="U95" i="2"/>
  <c r="V95" i="2"/>
  <c r="W95" i="2"/>
  <c r="X95" i="2"/>
  <c r="Q94" i="2"/>
  <c r="R94" i="2"/>
  <c r="S94" i="2"/>
  <c r="T94" i="2"/>
  <c r="W94" i="2"/>
  <c r="X94" i="2"/>
  <c r="U94" i="2"/>
  <c r="V94" i="2"/>
  <c r="Q93" i="2"/>
  <c r="R93" i="2"/>
  <c r="S93" i="2"/>
  <c r="T93" i="2"/>
  <c r="U93" i="2"/>
  <c r="V93" i="2"/>
  <c r="W93" i="2"/>
  <c r="X93" i="2"/>
  <c r="Q92" i="2"/>
  <c r="R92" i="2"/>
  <c r="S92" i="2"/>
  <c r="T92" i="2"/>
  <c r="W92" i="2"/>
  <c r="X92" i="2"/>
  <c r="U92" i="2"/>
  <c r="V92" i="2"/>
  <c r="Q91" i="2"/>
  <c r="R91" i="2"/>
  <c r="S91" i="2"/>
  <c r="T91" i="2"/>
  <c r="U91" i="2"/>
  <c r="V91" i="2"/>
  <c r="W91" i="2"/>
  <c r="X91" i="2"/>
  <c r="Q90" i="2"/>
  <c r="R90" i="2"/>
  <c r="S90" i="2"/>
  <c r="T90" i="2"/>
  <c r="W90" i="2"/>
  <c r="X90" i="2"/>
  <c r="U90" i="2"/>
  <c r="V90" i="2"/>
  <c r="Q89" i="2"/>
  <c r="R89" i="2"/>
  <c r="S89" i="2"/>
  <c r="T89" i="2"/>
  <c r="U89" i="2"/>
  <c r="V89" i="2"/>
  <c r="W89" i="2"/>
  <c r="X89" i="2"/>
  <c r="Q88" i="2"/>
  <c r="R88" i="2"/>
  <c r="S88" i="2"/>
  <c r="T88" i="2"/>
  <c r="W88" i="2"/>
  <c r="X88" i="2"/>
  <c r="U88" i="2"/>
  <c r="V88" i="2"/>
  <c r="Q87" i="2"/>
  <c r="R87" i="2"/>
  <c r="S87" i="2"/>
  <c r="T87" i="2"/>
  <c r="U87" i="2"/>
  <c r="V87" i="2"/>
  <c r="W87" i="2"/>
  <c r="X87" i="2"/>
  <c r="Q86" i="2"/>
  <c r="R86" i="2"/>
  <c r="S86" i="2"/>
  <c r="T86" i="2"/>
  <c r="U86" i="2"/>
  <c r="V86" i="2"/>
  <c r="W86" i="2"/>
  <c r="X86" i="2"/>
  <c r="Q85" i="2"/>
  <c r="R85" i="2"/>
  <c r="S85" i="2"/>
  <c r="T85" i="2"/>
  <c r="U85" i="2"/>
  <c r="V85" i="2"/>
  <c r="W85" i="2"/>
  <c r="X85" i="2"/>
  <c r="Q84" i="2"/>
  <c r="R84" i="2"/>
  <c r="S84" i="2"/>
  <c r="T84" i="2"/>
  <c r="U84" i="2"/>
  <c r="V84" i="2"/>
  <c r="W84" i="2"/>
  <c r="X84" i="2"/>
  <c r="Q83" i="2"/>
  <c r="R83" i="2"/>
  <c r="S83" i="2"/>
  <c r="T83" i="2"/>
  <c r="U83" i="2"/>
  <c r="V83" i="2"/>
  <c r="W83" i="2"/>
  <c r="X83" i="2"/>
  <c r="Q82" i="2"/>
  <c r="R82" i="2"/>
  <c r="S82" i="2"/>
  <c r="T82" i="2"/>
  <c r="U82" i="2"/>
  <c r="V82" i="2"/>
  <c r="W82" i="2"/>
  <c r="X82" i="2"/>
  <c r="Q81" i="2"/>
  <c r="R81" i="2"/>
  <c r="S81" i="2"/>
  <c r="T81" i="2"/>
  <c r="U81" i="2"/>
  <c r="V81" i="2"/>
  <c r="W81" i="2"/>
  <c r="X81" i="2"/>
  <c r="Q80" i="2"/>
  <c r="R80" i="2"/>
  <c r="S80" i="2"/>
  <c r="T80" i="2"/>
  <c r="U80" i="2"/>
  <c r="V80" i="2"/>
  <c r="W80" i="2"/>
  <c r="X80" i="2"/>
  <c r="Q79" i="2"/>
  <c r="R79" i="2"/>
  <c r="S79" i="2"/>
  <c r="T79" i="2"/>
  <c r="U79" i="2"/>
  <c r="V79" i="2"/>
  <c r="W79" i="2"/>
  <c r="X79" i="2"/>
  <c r="Q78" i="2"/>
  <c r="R78" i="2"/>
  <c r="S78" i="2"/>
  <c r="T78" i="2"/>
  <c r="U78" i="2"/>
  <c r="V78" i="2"/>
  <c r="W78" i="2"/>
  <c r="X78" i="2"/>
  <c r="Q77" i="2"/>
  <c r="R77" i="2"/>
  <c r="S77" i="2"/>
  <c r="T77" i="2"/>
  <c r="U77" i="2"/>
  <c r="V77" i="2"/>
  <c r="W77" i="2"/>
  <c r="X77" i="2"/>
  <c r="Q76" i="2"/>
  <c r="R76" i="2"/>
  <c r="S76" i="2"/>
  <c r="T76" i="2"/>
  <c r="U76" i="2"/>
  <c r="V76" i="2"/>
  <c r="W76" i="2"/>
  <c r="X76" i="2"/>
  <c r="Q75" i="2"/>
  <c r="R75" i="2"/>
  <c r="S75" i="2"/>
  <c r="T75" i="2"/>
  <c r="U75" i="2"/>
  <c r="V75" i="2"/>
  <c r="W75" i="2"/>
  <c r="X75" i="2"/>
  <c r="Q74" i="2"/>
  <c r="R74" i="2"/>
  <c r="S74" i="2"/>
  <c r="T74" i="2"/>
  <c r="U74" i="2"/>
  <c r="V74" i="2"/>
  <c r="W74" i="2"/>
  <c r="X74" i="2"/>
  <c r="Q73" i="2"/>
  <c r="R73" i="2"/>
  <c r="S73" i="2"/>
  <c r="T73" i="2"/>
  <c r="U73" i="2"/>
  <c r="V73" i="2"/>
  <c r="W73" i="2"/>
  <c r="X73" i="2"/>
  <c r="Q72" i="2"/>
  <c r="R72" i="2"/>
  <c r="S72" i="2"/>
  <c r="T72" i="2"/>
  <c r="U72" i="2"/>
  <c r="V72" i="2"/>
  <c r="W72" i="2"/>
  <c r="X72" i="2"/>
  <c r="Q71" i="2"/>
  <c r="R71" i="2"/>
  <c r="S71" i="2"/>
  <c r="T71" i="2"/>
  <c r="U71" i="2"/>
  <c r="V71" i="2"/>
  <c r="W71" i="2"/>
  <c r="X71" i="2"/>
  <c r="Q70" i="2"/>
  <c r="R70" i="2"/>
  <c r="S70" i="2"/>
  <c r="T70" i="2"/>
  <c r="U70" i="2"/>
  <c r="V70" i="2"/>
  <c r="W70" i="2"/>
  <c r="X70" i="2"/>
  <c r="Q69" i="2"/>
  <c r="R69" i="2"/>
  <c r="S69" i="2"/>
  <c r="T69" i="2"/>
  <c r="U69" i="2"/>
  <c r="V69" i="2"/>
  <c r="W69" i="2"/>
  <c r="X69" i="2"/>
  <c r="Q68" i="2"/>
  <c r="R68" i="2"/>
  <c r="S68" i="2"/>
  <c r="T68" i="2"/>
  <c r="U68" i="2"/>
  <c r="V68" i="2"/>
  <c r="W68" i="2"/>
  <c r="X68" i="2"/>
  <c r="Q67" i="2"/>
  <c r="R67" i="2"/>
  <c r="S67" i="2"/>
  <c r="T67" i="2"/>
  <c r="U67" i="2"/>
  <c r="V67" i="2"/>
  <c r="W67" i="2"/>
  <c r="X67" i="2"/>
  <c r="Q66" i="2"/>
  <c r="R66" i="2"/>
  <c r="S66" i="2"/>
  <c r="T66" i="2"/>
  <c r="U66" i="2"/>
  <c r="V66" i="2"/>
  <c r="W66" i="2"/>
  <c r="X66" i="2"/>
  <c r="Q65" i="2"/>
  <c r="R65" i="2"/>
  <c r="S65" i="2"/>
  <c r="T65" i="2"/>
  <c r="U65" i="2"/>
  <c r="V65" i="2"/>
  <c r="W65" i="2"/>
  <c r="X65" i="2"/>
  <c r="Q64" i="2"/>
  <c r="R64" i="2"/>
  <c r="S64" i="2"/>
  <c r="T64" i="2"/>
  <c r="U64" i="2"/>
  <c r="V64" i="2"/>
  <c r="W64" i="2"/>
  <c r="X64" i="2"/>
  <c r="Q63" i="2"/>
  <c r="R63" i="2"/>
  <c r="S63" i="2"/>
  <c r="T63" i="2"/>
  <c r="U63" i="2"/>
  <c r="V63" i="2"/>
  <c r="W63" i="2"/>
  <c r="X63" i="2"/>
  <c r="Q62" i="2"/>
  <c r="R62" i="2"/>
  <c r="S62" i="2"/>
  <c r="T62" i="2"/>
  <c r="U62" i="2"/>
  <c r="V62" i="2"/>
  <c r="W62" i="2"/>
  <c r="X62" i="2"/>
  <c r="Q61" i="2"/>
  <c r="R61" i="2"/>
  <c r="S61" i="2"/>
  <c r="T61" i="2"/>
  <c r="U61" i="2"/>
  <c r="V61" i="2"/>
  <c r="W61" i="2"/>
  <c r="X61" i="2"/>
  <c r="Q60" i="2"/>
  <c r="R60" i="2"/>
  <c r="S60" i="2"/>
  <c r="T60" i="2"/>
  <c r="U60" i="2"/>
  <c r="V60" i="2"/>
  <c r="W60" i="2"/>
  <c r="X60" i="2"/>
  <c r="Q59" i="2"/>
  <c r="R59" i="2"/>
  <c r="S59" i="2"/>
  <c r="T59" i="2"/>
  <c r="U59" i="2"/>
  <c r="V59" i="2"/>
  <c r="W59" i="2"/>
  <c r="X59" i="2"/>
  <c r="Q58" i="2"/>
  <c r="R58" i="2"/>
  <c r="S58" i="2"/>
  <c r="T58" i="2"/>
  <c r="U58" i="2"/>
  <c r="V58" i="2"/>
  <c r="W58" i="2"/>
  <c r="X58" i="2"/>
  <c r="Q57" i="2"/>
  <c r="R57" i="2"/>
  <c r="S57" i="2"/>
  <c r="T57" i="2"/>
  <c r="U57" i="2"/>
  <c r="V57" i="2"/>
  <c r="W57" i="2"/>
  <c r="X57" i="2"/>
  <c r="Q56" i="2"/>
  <c r="R56" i="2"/>
  <c r="S56" i="2"/>
  <c r="T56" i="2"/>
  <c r="U56" i="2"/>
  <c r="V56" i="2"/>
  <c r="W56" i="2"/>
  <c r="X56" i="2"/>
  <c r="Q55" i="2"/>
  <c r="R55" i="2"/>
  <c r="S55" i="2"/>
  <c r="T55" i="2"/>
  <c r="U55" i="2"/>
  <c r="V55" i="2"/>
  <c r="W55" i="2"/>
  <c r="X55" i="2"/>
  <c r="Q54" i="2"/>
  <c r="R54" i="2"/>
  <c r="S54" i="2"/>
  <c r="T54" i="2"/>
  <c r="U54" i="2"/>
  <c r="V54" i="2"/>
  <c r="W54" i="2"/>
  <c r="X54" i="2"/>
  <c r="Q53" i="2"/>
  <c r="R53" i="2"/>
  <c r="S53" i="2"/>
  <c r="T53" i="2"/>
  <c r="U53" i="2"/>
  <c r="V53" i="2"/>
  <c r="W53" i="2"/>
  <c r="X53" i="2"/>
  <c r="Q52" i="2"/>
  <c r="R52" i="2"/>
  <c r="S52" i="2"/>
  <c r="T52" i="2"/>
  <c r="U52" i="2"/>
  <c r="V52" i="2"/>
  <c r="W52" i="2"/>
  <c r="X52" i="2"/>
  <c r="Q51" i="2"/>
  <c r="R51" i="2"/>
  <c r="S51" i="2"/>
  <c r="T51" i="2"/>
  <c r="U51" i="2"/>
  <c r="V51" i="2"/>
  <c r="W51" i="2"/>
  <c r="X51" i="2"/>
  <c r="Q50" i="2"/>
  <c r="R50" i="2"/>
  <c r="S50" i="2"/>
  <c r="T50" i="2"/>
  <c r="U50" i="2"/>
  <c r="V50" i="2"/>
  <c r="W50" i="2"/>
  <c r="X50" i="2"/>
  <c r="Q49" i="2"/>
  <c r="R49" i="2"/>
  <c r="S49" i="2"/>
  <c r="T49" i="2"/>
  <c r="U49" i="2"/>
  <c r="V49" i="2"/>
  <c r="W49" i="2"/>
  <c r="X49" i="2"/>
  <c r="Q48" i="2"/>
  <c r="R48" i="2"/>
  <c r="S48" i="2"/>
  <c r="T48" i="2"/>
  <c r="U48" i="2"/>
  <c r="V48" i="2"/>
  <c r="W48" i="2"/>
  <c r="X48" i="2"/>
  <c r="Q47" i="2"/>
  <c r="R47" i="2"/>
  <c r="S47" i="2"/>
  <c r="T47" i="2"/>
  <c r="U47" i="2"/>
  <c r="V47" i="2"/>
  <c r="W47" i="2"/>
  <c r="X47" i="2"/>
  <c r="Q46" i="2"/>
  <c r="R46" i="2"/>
  <c r="S46" i="2"/>
  <c r="T46" i="2"/>
  <c r="U46" i="2"/>
  <c r="V46" i="2"/>
  <c r="W46" i="2"/>
  <c r="X46" i="2"/>
  <c r="Q45" i="2"/>
  <c r="R45" i="2"/>
  <c r="S45" i="2"/>
  <c r="T45" i="2"/>
  <c r="U45" i="2"/>
  <c r="V45" i="2"/>
  <c r="W45" i="2"/>
  <c r="X45" i="2"/>
  <c r="Q44" i="2"/>
  <c r="R44" i="2"/>
  <c r="S44" i="2"/>
  <c r="T44" i="2"/>
  <c r="U44" i="2"/>
  <c r="V44" i="2"/>
  <c r="W44" i="2"/>
  <c r="X44" i="2"/>
  <c r="Q43" i="2"/>
  <c r="R43" i="2"/>
  <c r="S43" i="2"/>
  <c r="T43" i="2"/>
  <c r="U43" i="2"/>
  <c r="V43" i="2"/>
  <c r="W43" i="2"/>
  <c r="X43" i="2"/>
  <c r="Q42" i="2"/>
  <c r="R42" i="2"/>
  <c r="S42" i="2"/>
  <c r="T42" i="2"/>
  <c r="U42" i="2"/>
  <c r="V42" i="2"/>
  <c r="W42" i="2"/>
  <c r="X42" i="2"/>
  <c r="Q41" i="2"/>
  <c r="R41" i="2"/>
  <c r="S41" i="2"/>
  <c r="T41" i="2"/>
  <c r="U41" i="2"/>
  <c r="V41" i="2"/>
  <c r="W41" i="2"/>
  <c r="X41" i="2"/>
  <c r="Q40" i="2"/>
  <c r="R40" i="2"/>
  <c r="S40" i="2"/>
  <c r="T40" i="2"/>
  <c r="U40" i="2"/>
  <c r="V40" i="2"/>
  <c r="W40" i="2"/>
  <c r="X40" i="2"/>
  <c r="Q39" i="2"/>
  <c r="R39" i="2"/>
  <c r="S39" i="2"/>
  <c r="T39" i="2"/>
  <c r="U39" i="2"/>
  <c r="V39" i="2"/>
  <c r="W39" i="2"/>
  <c r="X39" i="2"/>
  <c r="Q38" i="2"/>
  <c r="R38" i="2"/>
  <c r="S38" i="2"/>
  <c r="T38" i="2"/>
  <c r="U38" i="2"/>
  <c r="V38" i="2"/>
  <c r="W38" i="2"/>
  <c r="X38" i="2"/>
  <c r="Q37" i="2"/>
  <c r="R37" i="2"/>
  <c r="S37" i="2"/>
  <c r="T37" i="2"/>
  <c r="U37" i="2"/>
  <c r="V37" i="2"/>
  <c r="W37" i="2"/>
  <c r="X37" i="2"/>
  <c r="Q36" i="2"/>
  <c r="R36" i="2"/>
  <c r="S36" i="2"/>
  <c r="T36" i="2"/>
  <c r="U36" i="2"/>
  <c r="V36" i="2"/>
  <c r="W36" i="2"/>
  <c r="X36" i="2"/>
  <c r="Q35" i="2"/>
  <c r="R35" i="2"/>
  <c r="S35" i="2"/>
  <c r="T35" i="2"/>
  <c r="U35" i="2"/>
  <c r="V35" i="2"/>
  <c r="W35" i="2"/>
  <c r="X35" i="2"/>
  <c r="Q34" i="2"/>
  <c r="R34" i="2"/>
  <c r="S34" i="2"/>
  <c r="T34" i="2"/>
  <c r="U34" i="2"/>
  <c r="V34" i="2"/>
  <c r="W34" i="2"/>
  <c r="X34" i="2"/>
  <c r="Q33" i="2"/>
  <c r="R33" i="2"/>
  <c r="S33" i="2"/>
  <c r="T33" i="2"/>
  <c r="U33" i="2"/>
  <c r="V33" i="2"/>
  <c r="W33" i="2"/>
  <c r="X33" i="2"/>
  <c r="Q32" i="2"/>
  <c r="R32" i="2"/>
  <c r="S32" i="2"/>
  <c r="T32" i="2"/>
  <c r="U32" i="2"/>
  <c r="V32" i="2"/>
  <c r="W32" i="2"/>
  <c r="X32" i="2"/>
  <c r="Q31" i="2"/>
  <c r="R31" i="2"/>
  <c r="S31" i="2"/>
  <c r="T31" i="2"/>
  <c r="U31" i="2"/>
  <c r="V31" i="2"/>
  <c r="W31" i="2"/>
  <c r="X31" i="2"/>
  <c r="Q30" i="2"/>
  <c r="R30" i="2"/>
  <c r="S30" i="2"/>
  <c r="T30" i="2"/>
  <c r="U30" i="2"/>
  <c r="V30" i="2"/>
  <c r="W30" i="2"/>
  <c r="X30" i="2"/>
  <c r="Q29" i="2"/>
  <c r="R29" i="2"/>
  <c r="S29" i="2"/>
  <c r="T29" i="2"/>
  <c r="U29" i="2"/>
  <c r="V29" i="2"/>
  <c r="W29" i="2"/>
  <c r="X29" i="2"/>
  <c r="Q28" i="2"/>
  <c r="R28" i="2"/>
  <c r="S28" i="2"/>
  <c r="T28" i="2"/>
  <c r="U28" i="2"/>
  <c r="V28" i="2"/>
  <c r="W28" i="2"/>
  <c r="X28" i="2"/>
  <c r="Q27" i="2"/>
  <c r="R27" i="2"/>
  <c r="S27" i="2"/>
  <c r="T27" i="2"/>
  <c r="U27" i="2"/>
  <c r="V27" i="2"/>
  <c r="W27" i="2"/>
  <c r="X27" i="2"/>
  <c r="Q26" i="2"/>
  <c r="R26" i="2"/>
  <c r="S26" i="2"/>
  <c r="T26" i="2"/>
  <c r="U26" i="2"/>
  <c r="V26" i="2"/>
  <c r="W26" i="2"/>
  <c r="X26" i="2"/>
  <c r="Q25" i="2"/>
  <c r="R25" i="2"/>
  <c r="S25" i="2"/>
  <c r="T25" i="2"/>
  <c r="U25" i="2"/>
  <c r="V25" i="2"/>
  <c r="W25" i="2"/>
  <c r="X25" i="2"/>
  <c r="Q24" i="2"/>
  <c r="R24" i="2"/>
  <c r="S24" i="2"/>
  <c r="T24" i="2"/>
  <c r="U24" i="2"/>
  <c r="V24" i="2"/>
  <c r="W24" i="2"/>
  <c r="X24" i="2"/>
  <c r="Q23" i="2"/>
  <c r="R23" i="2"/>
  <c r="S23" i="2"/>
  <c r="T23" i="2"/>
  <c r="U23" i="2"/>
  <c r="V23" i="2"/>
  <c r="W23" i="2"/>
  <c r="X23" i="2"/>
  <c r="Q22" i="2"/>
  <c r="R22" i="2"/>
  <c r="S22" i="2"/>
  <c r="T22" i="2"/>
  <c r="U22" i="2"/>
  <c r="V22" i="2"/>
  <c r="W22" i="2"/>
  <c r="X22" i="2"/>
  <c r="Q21" i="2"/>
  <c r="R21" i="2"/>
  <c r="S21" i="2"/>
  <c r="T21" i="2"/>
  <c r="U21" i="2"/>
  <c r="V21" i="2"/>
  <c r="W21" i="2"/>
  <c r="X21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" i="2"/>
  <c r="AE3" i="2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" i="2"/>
  <c r="M3" i="2"/>
  <c r="N3" i="2"/>
  <c r="M4" i="2"/>
  <c r="N4" i="2"/>
  <c r="M5" i="2"/>
  <c r="N5" i="2"/>
  <c r="M6" i="2"/>
  <c r="N6" i="2"/>
  <c r="M7" i="2"/>
  <c r="N7" i="2"/>
  <c r="M8" i="2"/>
  <c r="N8" i="2"/>
  <c r="M9" i="2"/>
  <c r="N9" i="2"/>
  <c r="M10" i="2"/>
  <c r="N10" i="2"/>
  <c r="M11" i="2"/>
  <c r="N11" i="2"/>
  <c r="M12" i="2"/>
  <c r="N12" i="2"/>
  <c r="M13" i="2"/>
  <c r="N13" i="2"/>
  <c r="M14" i="2"/>
  <c r="N14" i="2"/>
  <c r="M15" i="2"/>
  <c r="N15" i="2"/>
  <c r="M16" i="2"/>
  <c r="N16" i="2"/>
  <c r="M17" i="2"/>
  <c r="N17" i="2"/>
  <c r="M18" i="2"/>
  <c r="N18" i="2"/>
  <c r="M19" i="2"/>
  <c r="N19" i="2"/>
  <c r="M20" i="2"/>
  <c r="N20" i="2"/>
  <c r="N2" i="2"/>
  <c r="M2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" i="2"/>
  <c r="Q18" i="2" l="1"/>
  <c r="R18" i="2"/>
  <c r="S18" i="2"/>
  <c r="T18" i="2"/>
  <c r="U18" i="2"/>
  <c r="V18" i="2"/>
  <c r="W18" i="2"/>
  <c r="X18" i="2"/>
  <c r="Q10" i="2"/>
  <c r="R10" i="2"/>
  <c r="S10" i="2"/>
  <c r="T10" i="2"/>
  <c r="U10" i="2"/>
  <c r="V10" i="2"/>
  <c r="W10" i="2"/>
  <c r="X10" i="2"/>
  <c r="V2" i="2"/>
  <c r="U2" i="2"/>
  <c r="S2" i="2"/>
  <c r="R2" i="2"/>
  <c r="X2" i="2"/>
  <c r="Q2" i="2"/>
  <c r="T2" i="2"/>
  <c r="W2" i="2"/>
  <c r="Q17" i="2"/>
  <c r="R17" i="2"/>
  <c r="S17" i="2"/>
  <c r="T17" i="2"/>
  <c r="U17" i="2"/>
  <c r="V17" i="2"/>
  <c r="W17" i="2"/>
  <c r="X17" i="2"/>
  <c r="Q9" i="2"/>
  <c r="R9" i="2"/>
  <c r="S9" i="2"/>
  <c r="T9" i="2"/>
  <c r="U9" i="2"/>
  <c r="V9" i="2"/>
  <c r="W9" i="2"/>
  <c r="X9" i="2"/>
  <c r="Q16" i="2"/>
  <c r="R16" i="2"/>
  <c r="S16" i="2"/>
  <c r="T16" i="2"/>
  <c r="U16" i="2"/>
  <c r="V16" i="2"/>
  <c r="W16" i="2"/>
  <c r="X16" i="2"/>
  <c r="Q8" i="2"/>
  <c r="R8" i="2"/>
  <c r="S8" i="2"/>
  <c r="T8" i="2"/>
  <c r="U8" i="2"/>
  <c r="V8" i="2"/>
  <c r="W8" i="2"/>
  <c r="X8" i="2"/>
  <c r="Q15" i="2"/>
  <c r="R15" i="2"/>
  <c r="S15" i="2"/>
  <c r="T15" i="2"/>
  <c r="U15" i="2"/>
  <c r="V15" i="2"/>
  <c r="W15" i="2"/>
  <c r="X15" i="2"/>
  <c r="Q7" i="2"/>
  <c r="R7" i="2"/>
  <c r="S7" i="2"/>
  <c r="T7" i="2"/>
  <c r="U7" i="2"/>
  <c r="V7" i="2"/>
  <c r="W7" i="2"/>
  <c r="X7" i="2"/>
  <c r="Q13" i="2"/>
  <c r="R13" i="2"/>
  <c r="S13" i="2"/>
  <c r="T13" i="2"/>
  <c r="U13" i="2"/>
  <c r="V13" i="2"/>
  <c r="W13" i="2"/>
  <c r="X13" i="2"/>
  <c r="Q14" i="2"/>
  <c r="R14" i="2"/>
  <c r="S14" i="2"/>
  <c r="T14" i="2"/>
  <c r="U14" i="2"/>
  <c r="V14" i="2"/>
  <c r="W14" i="2"/>
  <c r="X14" i="2"/>
  <c r="Q6" i="2"/>
  <c r="R6" i="2"/>
  <c r="S6" i="2"/>
  <c r="T6" i="2"/>
  <c r="U6" i="2"/>
  <c r="V6" i="2"/>
  <c r="W6" i="2"/>
  <c r="X6" i="2"/>
  <c r="Q5" i="2"/>
  <c r="R5" i="2"/>
  <c r="S5" i="2"/>
  <c r="T5" i="2"/>
  <c r="U5" i="2"/>
  <c r="V5" i="2"/>
  <c r="W5" i="2"/>
  <c r="X5" i="2"/>
  <c r="Q20" i="2"/>
  <c r="R20" i="2"/>
  <c r="S20" i="2"/>
  <c r="T20" i="2"/>
  <c r="U20" i="2"/>
  <c r="V20" i="2"/>
  <c r="W20" i="2"/>
  <c r="X20" i="2"/>
  <c r="Q12" i="2"/>
  <c r="R12" i="2"/>
  <c r="S12" i="2"/>
  <c r="T12" i="2"/>
  <c r="U12" i="2"/>
  <c r="V12" i="2"/>
  <c r="W12" i="2"/>
  <c r="X12" i="2"/>
  <c r="Q4" i="2"/>
  <c r="R4" i="2"/>
  <c r="S4" i="2"/>
  <c r="T4" i="2"/>
  <c r="U4" i="2"/>
  <c r="V4" i="2"/>
  <c r="W4" i="2"/>
  <c r="X4" i="2"/>
  <c r="Q19" i="2"/>
  <c r="R19" i="2"/>
  <c r="S19" i="2"/>
  <c r="T19" i="2"/>
  <c r="U19" i="2"/>
  <c r="V19" i="2"/>
  <c r="W19" i="2"/>
  <c r="X19" i="2"/>
  <c r="Q11" i="2"/>
  <c r="R11" i="2"/>
  <c r="S11" i="2"/>
  <c r="T11" i="2"/>
  <c r="U11" i="2"/>
  <c r="V11" i="2"/>
  <c r="W11" i="2"/>
  <c r="X11" i="2"/>
  <c r="Q3" i="2"/>
  <c r="R3" i="2"/>
  <c r="S3" i="2"/>
  <c r="T3" i="2"/>
  <c r="U3" i="2"/>
  <c r="V3" i="2"/>
  <c r="W3" i="2"/>
  <c r="X3" i="2"/>
  <c r="G3" i="2"/>
  <c r="G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" i="2"/>
  <c r="B3" i="2"/>
  <c r="B2" i="2"/>
  <c r="D3" i="2"/>
  <c r="D2" i="2" l="1"/>
</calcChain>
</file>

<file path=xl/sharedStrings.xml><?xml version="1.0" encoding="utf-8"?>
<sst xmlns="http://schemas.openxmlformats.org/spreadsheetml/2006/main" count="1029" uniqueCount="873">
  <si>
    <t>ID</t>
  </si>
  <si>
    <t>error_ID</t>
  </si>
  <si>
    <t>First name</t>
  </si>
  <si>
    <t>error_First name</t>
  </si>
  <si>
    <t>Surname</t>
  </si>
  <si>
    <t>error_Surname</t>
  </si>
  <si>
    <t>SLK 581</t>
  </si>
  <si>
    <t>error_SLK 581</t>
  </si>
  <si>
    <t>Sex</t>
  </si>
  <si>
    <t>error_Sex</t>
  </si>
  <si>
    <t>DOB</t>
  </si>
  <si>
    <t>error_DOB</t>
  </si>
  <si>
    <t>Date accuracy indicator</t>
  </si>
  <si>
    <t>error_Date accuracy indicator</t>
  </si>
  <si>
    <t>Country of birth</t>
  </si>
  <si>
    <t>error_Country of birth</t>
  </si>
  <si>
    <t>Indigenous status</t>
  </si>
  <si>
    <t>error_Indigenous status</t>
  </si>
  <si>
    <t>Preferred language</t>
  </si>
  <si>
    <t>error_Preferred language</t>
  </si>
  <si>
    <t>Postcode (Australian)</t>
  </si>
  <si>
    <t>error_Postcode (Australian)</t>
  </si>
  <si>
    <t>Usual accommodation</t>
  </si>
  <si>
    <t>error_Usual accommodation</t>
  </si>
  <si>
    <t>Client type</t>
  </si>
  <si>
    <t>error_Client type</t>
  </si>
  <si>
    <t>Source of referral</t>
  </si>
  <si>
    <t>error_Source of referral</t>
  </si>
  <si>
    <t>Commencement date</t>
  </si>
  <si>
    <t>error_Commencement date</t>
  </si>
  <si>
    <t>End date</t>
  </si>
  <si>
    <t>error_End date</t>
  </si>
  <si>
    <t>Reason for cessation</t>
  </si>
  <si>
    <t>error_Reason for cessation</t>
  </si>
  <si>
    <t>Treatment delivery setting</t>
  </si>
  <si>
    <t>error_Treatment delivery setting</t>
  </si>
  <si>
    <t>Method of use for PDC</t>
  </si>
  <si>
    <t>error_Method of use for PDC</t>
  </si>
  <si>
    <t>Injecting drug use status</t>
  </si>
  <si>
    <t>error_Injecting drug use status</t>
  </si>
  <si>
    <t>Principle drug of concern</t>
  </si>
  <si>
    <t>error_Principle drug of concern</t>
  </si>
  <si>
    <t>ODC1</t>
  </si>
  <si>
    <t>error_ODC1</t>
  </si>
  <si>
    <t>ODC2</t>
  </si>
  <si>
    <t>error_ODC2</t>
  </si>
  <si>
    <t>ODC3</t>
  </si>
  <si>
    <t>error_ODC3</t>
  </si>
  <si>
    <t>ODC4</t>
  </si>
  <si>
    <t>error_ODC4</t>
  </si>
  <si>
    <t>ODC5</t>
  </si>
  <si>
    <t>error_ODC5</t>
  </si>
  <si>
    <t>Main treatment type</t>
  </si>
  <si>
    <t>error_Main treatment type</t>
  </si>
  <si>
    <t>OTT1</t>
  </si>
  <si>
    <t>error_OTT1</t>
  </si>
  <si>
    <t>OTT2</t>
  </si>
  <si>
    <t>error_OTT2</t>
  </si>
  <si>
    <t>OTT3</t>
  </si>
  <si>
    <t>error_OTT3</t>
  </si>
  <si>
    <t>OTT4</t>
  </si>
  <si>
    <t>error_OTT4</t>
  </si>
  <si>
    <t>OTT5</t>
  </si>
  <si>
    <t>error_OTT5</t>
  </si>
  <si>
    <t>Living arrangements</t>
  </si>
  <si>
    <t>error_Living arrangements</t>
  </si>
  <si>
    <t>Previous alcohol and other drug treatment received</t>
  </si>
  <si>
    <t>error_Previous alcohol and other drug treatment received</t>
  </si>
  <si>
    <t>Mental health</t>
  </si>
  <si>
    <t>error_Mental health</t>
  </si>
  <si>
    <t>Australia</t>
  </si>
  <si>
    <t>England</t>
  </si>
  <si>
    <t>has error</t>
  </si>
  <si>
    <t>ENROLLING PROVIDER</t>
  </si>
  <si>
    <t>error_ENROLLING PROVIDER</t>
  </si>
  <si>
    <t>Adelie Land (France)</t>
  </si>
  <si>
    <t>Afghanistan</t>
  </si>
  <si>
    <t>Aland Islands</t>
  </si>
  <si>
    <t>Albania</t>
  </si>
  <si>
    <t>Algeria</t>
  </si>
  <si>
    <t>Andorra</t>
  </si>
  <si>
    <t>Angola</t>
  </si>
  <si>
    <t>Anguilla</t>
  </si>
  <si>
    <t>Antigua and Barbuda</t>
  </si>
  <si>
    <t>Argentina</t>
  </si>
  <si>
    <t>Argentinian Antarctic Territory</t>
  </si>
  <si>
    <t>Armenia</t>
  </si>
  <si>
    <t>Aruba</t>
  </si>
  <si>
    <t>Australian Antarctic Territory</t>
  </si>
  <si>
    <t>Australian External Territories, nec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</si>
  <si>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</si>
  <si>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</si>
  <si>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</si>
  <si>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</si>
  <si>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</si>
  <si>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</si>
  <si>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</si>
  <si>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</si>
  <si>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</si>
  <si>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</si>
  <si>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</si>
  <si>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</si>
  <si>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</si>
  <si>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Bonaire, Sint Eustatius and Saba</t>
  </si>
  <si>
    <t>Bosnia and Herzegovina</t>
  </si>
  <si>
    <t>Botswana</t>
  </si>
  <si>
    <t>Brazil</t>
  </si>
  <si>
    <t>British Antarctic Territory</t>
  </si>
  <si>
    <t>Brunei Darussalam</t>
  </si>
  <si>
    <t>Bulgaria</t>
  </si>
  <si>
    <t>Burkina Faso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</si>
  <si>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</si>
  <si>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</si>
  <si>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</si>
  <si>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</si>
  <si>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</si>
  <si>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</si>
  <si>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</si>
  <si>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</si>
  <si>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</si>
  <si>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Chilean Antarctic Territory</t>
  </si>
  <si>
    <t xml:space="preserve">China (excludes SARs and Taiwan) </t>
  </si>
  <si>
    <t>Colombia</t>
  </si>
  <si>
    <t>Comoros</t>
  </si>
  <si>
    <t>Congo, Democratic Republic of</t>
  </si>
  <si>
    <t>Congo, Republic of</t>
  </si>
  <si>
    <t>Cook Islands</t>
  </si>
  <si>
    <t>Costa Rica</t>
  </si>
  <si>
    <t>Cote d'Ivoire</t>
  </si>
  <si>
    <t>Croatia</t>
  </si>
  <si>
    <t>Cuba</t>
  </si>
  <si>
    <t>Curacao</t>
  </si>
  <si>
    <t>Cyprus</t>
  </si>
  <si>
    <t>Czech Republic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</si>
  <si>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</si>
  <si>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</si>
  <si>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</si>
  <si>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</si>
  <si>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</si>
  <si>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</si>
  <si>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</si>
  <si>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</si>
  <si>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</si>
  <si>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</si>
  <si>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</si>
  <si>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Falkland Islands</t>
  </si>
  <si>
    <t>Faroe Islands</t>
  </si>
  <si>
    <t>Fiji</t>
  </si>
  <si>
    <t>Finland</t>
  </si>
  <si>
    <t>France</t>
  </si>
  <si>
    <t>French Guiana</t>
  </si>
  <si>
    <t>French Polynesia</t>
  </si>
  <si>
    <t>Gabon</t>
  </si>
  <si>
    <t>Gambia</t>
  </si>
  <si>
    <t>Gaza Strip and West Bank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</si>
  <si>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</si>
  <si>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</si>
  <si>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</si>
  <si>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</si>
  <si>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</si>
  <si>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</si>
  <si>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</si>
  <si>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</si>
  <si>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</si>
  <si>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</si>
  <si>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</si>
  <si>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</si>
  <si>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</si>
  <si>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</si>
  <si>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</si>
  <si>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Holy See</t>
  </si>
  <si>
    <t>Honduras</t>
  </si>
  <si>
    <t>Hong Kong (SAR of China)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</si>
  <si>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</si>
  <si>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</si>
  <si>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</si>
  <si>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</si>
  <si>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</si>
  <si>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</si>
  <si>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</si>
  <si>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</si>
  <si>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</si>
  <si>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</si>
  <si>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Jamaica</t>
  </si>
  <si>
    <t>Japan</t>
  </si>
  <si>
    <t>Jersey</t>
  </si>
  <si>
    <t>Jordan</t>
  </si>
  <si>
    <t>Kazakhstan</t>
  </si>
  <si>
    <t>Kenya</t>
  </si>
  <si>
    <t>Kiribati</t>
  </si>
  <si>
    <t>Korea, Democratic People's Republic of (North)</t>
  </si>
  <si>
    <t>Korea, Republic of (South)</t>
  </si>
  <si>
    <t>Kosovo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</si>
  <si>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</si>
  <si>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</si>
  <si>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</si>
  <si>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</si>
  <si>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</si>
  <si>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</si>
  <si>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</si>
  <si>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</si>
  <si>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</si>
  <si>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</si>
  <si>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</si>
  <si>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Macau (SAR of China)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</si>
  <si>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</si>
  <si>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</si>
  <si>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</si>
  <si>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</si>
  <si>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</si>
  <si>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</si>
  <si>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</si>
  <si>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</si>
  <si>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</si>
  <si>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</si>
  <si>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</si>
  <si>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</si>
  <si>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Micronesia, Federated States of</t>
  </si>
  <si>
    <t>Moldova</t>
  </si>
  <si>
    <t>Monaco</t>
  </si>
  <si>
    <t>Mongolia</t>
  </si>
  <si>
    <t>Montenegro</t>
  </si>
  <si>
    <t>Montserrat</t>
  </si>
  <si>
    <t>Morocco</t>
  </si>
  <si>
    <t>Myanmar</t>
  </si>
  <si>
    <t>Mozambique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</si>
  <si>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</si>
  <si>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</si>
  <si>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</si>
  <si>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</si>
  <si>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</si>
  <si>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</si>
  <si>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</si>
  <si>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</si>
  <si>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</si>
  <si>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</si>
  <si>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</si>
  <si>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Northern Ireland</t>
  </si>
  <si>
    <t>Northern Mariana Islands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</si>
  <si>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</si>
  <si>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</si>
  <si>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</si>
  <si>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</si>
  <si>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</si>
  <si>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</si>
  <si>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</si>
  <si>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</si>
  <si>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</si>
  <si>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Pitcairn Islands</t>
  </si>
  <si>
    <t>Poland</t>
  </si>
  <si>
    <t>Polynesia (excludes Hawaii), nec</t>
  </si>
  <si>
    <t>Portugal</t>
  </si>
  <si>
    <t>Puerto Rico</t>
  </si>
  <si>
    <t>Qatar</t>
  </si>
  <si>
    <t>Queen Maud Land (Norway)</t>
  </si>
  <si>
    <t>Reunion</t>
  </si>
  <si>
    <t>Romania</t>
  </si>
  <si>
    <t>Ross Dependency (New Zealand)</t>
  </si>
  <si>
    <t>Russian Federation</t>
  </si>
  <si>
    <t>Rwanda</t>
  </si>
  <si>
    <t>Samoa</t>
  </si>
  <si>
    <t>Samoa, American</t>
  </si>
  <si>
    <t>San Marino</t>
  </si>
  <si>
    <t>Sao Tome and Principe</t>
  </si>
  <si>
    <t>Saudi Arabia</t>
  </si>
  <si>
    <t>Scotland</t>
  </si>
  <si>
    <t>Senegal</t>
  </si>
  <si>
    <t>Serbia</t>
  </si>
  <si>
    <t>Seychelles</t>
  </si>
  <si>
    <t>Sierra Leone</t>
  </si>
  <si>
    <t>Singapore</t>
  </si>
  <si>
    <t>Sint Maarten (Dutch part)</t>
  </si>
  <si>
    <t>Slovakia</t>
  </si>
  <si>
    <t>Slovenia</t>
  </si>
  <si>
    <t>Solomon Islands</t>
  </si>
  <si>
    <t>Somalia</t>
  </si>
  <si>
    <t>South Africa</t>
  </si>
  <si>
    <t>South America, nec</t>
  </si>
  <si>
    <t>South Sudan</t>
  </si>
  <si>
    <t>Southern and East Africa, nec</t>
  </si>
  <si>
    <t>Spain</t>
  </si>
  <si>
    <t>Spanish North Africa</t>
  </si>
  <si>
    <t>Sri Lanka</t>
  </si>
  <si>
    <t>St Barthelemy</t>
  </si>
  <si>
    <t>St Helena</t>
  </si>
  <si>
    <t>St Kitts and Nevis</t>
  </si>
  <si>
    <t>St Lucia</t>
  </si>
  <si>
    <t>St Martin (French part)</t>
  </si>
  <si>
    <t>St Pierre and Miquelon</t>
  </si>
  <si>
    <t>St Vincent and the Grenadines</t>
  </si>
  <si>
    <t>Sudan</t>
  </si>
  <si>
    <t>Suriname</t>
  </si>
  <si>
    <t>Swaziland</t>
  </si>
  <si>
    <t>Sweden</t>
  </si>
  <si>
    <t>Switzerland</t>
  </si>
  <si>
    <t>Syria</t>
  </si>
  <si>
    <t xml:space="preserve">Taiwan </t>
  </si>
  <si>
    <t>Tajikistan</t>
  </si>
  <si>
    <t>Tanzania</t>
  </si>
  <si>
    <t>The former Yugoslav Republic of Macedonia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</si>
  <si>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</si>
  <si>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</si>
  <si>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</si>
  <si>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</si>
  <si>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</si>
  <si>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</si>
  <si>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</si>
  <si>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</si>
  <si>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</si>
  <si>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</si>
  <si>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</si>
  <si>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</si>
  <si>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</si>
  <si>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</si>
  <si>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States of America</t>
  </si>
  <si>
    <t>Uruguay</t>
  </si>
  <si>
    <t>Uzbekistan</t>
  </si>
  <si>
    <t>Vanuatu</t>
  </si>
  <si>
    <t>Venezuela</t>
  </si>
  <si>
    <t>Vietnam</t>
  </si>
  <si>
    <t xml:space="preserve">Virgin Islands, British </t>
  </si>
  <si>
    <t>Virgin Islands, United States</t>
  </si>
  <si>
    <t>Wales</t>
  </si>
  <si>
    <t>Wallis and Futuna</t>
  </si>
  <si>
    <t>Western Sahara</t>
  </si>
  <si>
    <t>Yemen</t>
  </si>
  <si>
    <t>Zambia</t>
  </si>
  <si>
    <t>Zimbabwe</t>
  </si>
  <si>
    <t>Inadequately Described</t>
  </si>
  <si>
    <t>At Sea</t>
  </si>
  <si>
    <t>Not Stated</t>
  </si>
  <si>
    <t>Code</t>
  </si>
  <si>
    <t>Country</t>
  </si>
  <si>
    <t>0001</t>
  </si>
  <si>
    <t>0000</t>
  </si>
  <si>
    <t>0003</t>
  </si>
  <si>
    <t>Non Verbal, so described</t>
  </si>
  <si>
    <t xml:space="preserve">Not Stated </t>
  </si>
  <si>
    <t>Australian Indigenous Languages, nfd</t>
  </si>
  <si>
    <t>Other Languages, nfd</t>
  </si>
  <si>
    <t>Acehnese</t>
  </si>
  <si>
    <t>Acholi</t>
  </si>
  <si>
    <t>African Languages, nec</t>
  </si>
  <si>
    <t>Afrikaans</t>
  </si>
  <si>
    <t>Akan</t>
  </si>
  <si>
    <t>Albanian</t>
  </si>
  <si>
    <t>American Languages</t>
  </si>
  <si>
    <t>Amharic</t>
  </si>
  <si>
    <t>Anuak</t>
  </si>
  <si>
    <t>Arabic</t>
  </si>
  <si>
    <t>Armenian</t>
  </si>
  <si>
    <t>Aromunian (Macedo-Romanian)</t>
  </si>
  <si>
    <t>Assamese</t>
  </si>
  <si>
    <t>Assyrian Neo-Aramaic</t>
  </si>
  <si>
    <t>Azeri</t>
  </si>
  <si>
    <t>Balinese</t>
  </si>
  <si>
    <t>Balochi</t>
  </si>
  <si>
    <t>Bari</t>
  </si>
  <si>
    <t>Basque</t>
  </si>
  <si>
    <t>Bassa</t>
  </si>
  <si>
    <t>Belarusian</t>
  </si>
  <si>
    <t>Bemba</t>
  </si>
  <si>
    <t>Bengali</t>
  </si>
  <si>
    <t>Bikol</t>
  </si>
  <si>
    <t>Bililuna Dialect</t>
  </si>
  <si>
    <t>Bisaya</t>
  </si>
  <si>
    <t>Bislama</t>
  </si>
  <si>
    <t>Bosnian</t>
  </si>
  <si>
    <t>Bulgarian</t>
  </si>
  <si>
    <t>Burmese</t>
  </si>
  <si>
    <t>Burmese and Related Languages, nec</t>
  </si>
  <si>
    <t>Cantonese</t>
  </si>
  <si>
    <t>Catalan</t>
  </si>
  <si>
    <t>Cebuano</t>
  </si>
  <si>
    <t>Celtic, nec</t>
  </si>
  <si>
    <t>Chaldean Neo-Aramaic</t>
  </si>
  <si>
    <t>Chin Haka</t>
  </si>
  <si>
    <t>Chinese, nec</t>
  </si>
  <si>
    <t>Croatian</t>
  </si>
  <si>
    <t>Croatian Serbian</t>
  </si>
  <si>
    <t>Czech</t>
  </si>
  <si>
    <t>Czechoslovakian, so described</t>
  </si>
  <si>
    <t>Dan (Gio-Dan)</t>
  </si>
  <si>
    <t>Danish</t>
  </si>
  <si>
    <t>Dari</t>
  </si>
  <si>
    <t>Dhivehi</t>
  </si>
  <si>
    <t>Dinka</t>
  </si>
  <si>
    <t>Dravidian, nec</t>
  </si>
  <si>
    <t>Dutch</t>
  </si>
  <si>
    <t>English</t>
  </si>
  <si>
    <t>Estonian</t>
  </si>
  <si>
    <t>Ewe</t>
  </si>
  <si>
    <t>Fijian</t>
  </si>
  <si>
    <t>Fijian Hindustani</t>
  </si>
  <si>
    <t>Filipino</t>
  </si>
  <si>
    <t>Finnish</t>
  </si>
  <si>
    <t>Finnish and Related Languages, nec</t>
  </si>
  <si>
    <t>French</t>
  </si>
  <si>
    <t>Frisian</t>
  </si>
  <si>
    <t>Fulfulde</t>
  </si>
  <si>
    <t>Ga</t>
  </si>
  <si>
    <t>Gaelic (Scotland)</t>
  </si>
  <si>
    <t>Georgian</t>
  </si>
  <si>
    <t>German</t>
  </si>
  <si>
    <t>Gilbertese</t>
  </si>
  <si>
    <t>Greek</t>
  </si>
  <si>
    <t>Gujarati</t>
  </si>
  <si>
    <t>Hakkah</t>
  </si>
  <si>
    <t>Harari</t>
  </si>
  <si>
    <t>Hausa</t>
  </si>
  <si>
    <t>Hawaiian English</t>
  </si>
  <si>
    <t>Hazaraghi</t>
  </si>
  <si>
    <t>Hebrew</t>
  </si>
  <si>
    <t>Hindi</t>
  </si>
  <si>
    <t>Hmong</t>
  </si>
  <si>
    <t>Hmong-Mien, nec</t>
  </si>
  <si>
    <t>Hungarian</t>
  </si>
  <si>
    <t>Iban</t>
  </si>
  <si>
    <t>Iberian Romance, nec</t>
  </si>
  <si>
    <t>Icelandic</t>
  </si>
  <si>
    <t>Igbo</t>
  </si>
  <si>
    <t>IIokano</t>
  </si>
  <si>
    <t>Ilonggo (Hiligaynon)</t>
  </si>
  <si>
    <t>Indo-Aryan, nec</t>
  </si>
  <si>
    <t>Indonesian</t>
  </si>
  <si>
    <t>Iranic, nec</t>
  </si>
  <si>
    <t>Irish</t>
  </si>
  <si>
    <t>Italian</t>
  </si>
  <si>
    <t>Japanese</t>
  </si>
  <si>
    <t>Javanese</t>
  </si>
  <si>
    <t>Kannada</t>
  </si>
  <si>
    <t>Karen</t>
  </si>
  <si>
    <t>Kashmiri</t>
  </si>
  <si>
    <t>Khmer</t>
  </si>
  <si>
    <t>Kikuyu</t>
  </si>
  <si>
    <t>Kinyarwanda (Rwanda)</t>
  </si>
  <si>
    <t>Kirundi (Rundi)</t>
  </si>
  <si>
    <t>Kiwai</t>
  </si>
  <si>
    <t>Konkani</t>
  </si>
  <si>
    <t>Korean</t>
  </si>
  <si>
    <t>Kpelle</t>
  </si>
  <si>
    <t>Krahn</t>
  </si>
  <si>
    <t>Krio</t>
  </si>
  <si>
    <t>Kurdish</t>
  </si>
  <si>
    <t>Lao</t>
  </si>
  <si>
    <t>Latin</t>
  </si>
  <si>
    <t>Latvian</t>
  </si>
  <si>
    <t>Letzeburgish</t>
  </si>
  <si>
    <t>Liberian (Liberian English)</t>
  </si>
  <si>
    <t>Lithuanian</t>
  </si>
  <si>
    <t>Loma (Lorma)</t>
  </si>
  <si>
    <t>Luganda</t>
  </si>
  <si>
    <t>Lumun (Kuku Lumun)</t>
  </si>
  <si>
    <t>Luo</t>
  </si>
  <si>
    <t>Macedonian</t>
  </si>
  <si>
    <t>Madi</t>
  </si>
  <si>
    <t>Malay</t>
  </si>
  <si>
    <t>Malayalam</t>
  </si>
  <si>
    <t>Maltese</t>
  </si>
  <si>
    <t>Manaean (Mandaic)</t>
  </si>
  <si>
    <t>Mandarin</t>
  </si>
  <si>
    <t>Mandinka</t>
  </si>
  <si>
    <t>Mann</t>
  </si>
  <si>
    <t>Maori (Cook Island)</t>
  </si>
  <si>
    <t>Maori (New Zealand)</t>
  </si>
  <si>
    <t>Marathi</t>
  </si>
  <si>
    <t>Mauritian Creole</t>
  </si>
  <si>
    <t>Middle Eastern Semitic Languages, nec</t>
  </si>
  <si>
    <t>Min Nan</t>
  </si>
  <si>
    <t>Mon</t>
  </si>
  <si>
    <t>Mongolian</t>
  </si>
  <si>
    <t>Mon-Khmer, nec</t>
  </si>
  <si>
    <t>Moro (Nuba Moro)</t>
  </si>
  <si>
    <t>Motu (Hiri Motu)</t>
  </si>
  <si>
    <t>Nauruan</t>
  </si>
  <si>
    <t>Ndebele</t>
  </si>
  <si>
    <t>Nepali</t>
  </si>
  <si>
    <t>Norwegian</t>
  </si>
  <si>
    <t>Nuer</t>
  </si>
  <si>
    <t>Nyanja (Chichewa)</t>
  </si>
  <si>
    <t>Oceanian Pidgins and Creoles, nec</t>
  </si>
  <si>
    <t>Oriya</t>
  </si>
  <si>
    <t>Oromo</t>
  </si>
  <si>
    <t>Other Eastern Asian Languages, nec</t>
  </si>
  <si>
    <t>Other Eastern European Languages, nec</t>
  </si>
  <si>
    <t>Other Southeast Asian Languages</t>
  </si>
  <si>
    <t>Other Southern Asian Languages</t>
  </si>
  <si>
    <t>Other Southern European Languages, nec</t>
  </si>
  <si>
    <t>Other Southwest and Central Asian Languages, nec</t>
  </si>
  <si>
    <t>Pacific Austronesian Languages, nec</t>
  </si>
  <si>
    <t>Pampangan</t>
  </si>
  <si>
    <t>Papua New Guinea Languages, nec</t>
  </si>
  <si>
    <t>Pashto</t>
  </si>
  <si>
    <t>Persian (excluding Dari)</t>
  </si>
  <si>
    <t>Pitcairnese</t>
  </si>
  <si>
    <t>Polish</t>
  </si>
  <si>
    <t>Portuguese</t>
  </si>
  <si>
    <t>Punjabi</t>
  </si>
  <si>
    <t>Rohingya</t>
  </si>
  <si>
    <t>Romanian</t>
  </si>
  <si>
    <t>Romany</t>
  </si>
  <si>
    <t>Rotuman</t>
  </si>
  <si>
    <t>Russian</t>
  </si>
  <si>
    <t>Samoan</t>
  </si>
  <si>
    <t>Scandinavian, nec</t>
  </si>
  <si>
    <t>Serbian</t>
  </si>
  <si>
    <t>Serbo-Croatian/Yugoslavian, so described</t>
  </si>
  <si>
    <t>Seychelles Creole</t>
  </si>
  <si>
    <t>Shilluk</t>
  </si>
  <si>
    <t>Shona</t>
  </si>
  <si>
    <t>Sign Languages, nec</t>
  </si>
  <si>
    <t>Sindhi</t>
  </si>
  <si>
    <t>Sinhalese</t>
  </si>
  <si>
    <t>Slovak</t>
  </si>
  <si>
    <t>Slovene</t>
  </si>
  <si>
    <t>Solomon Islands Pijin</t>
  </si>
  <si>
    <t>Somali</t>
  </si>
  <si>
    <t>Southeast Asian Austronesian Languages, nec</t>
  </si>
  <si>
    <t>Spanish</t>
  </si>
  <si>
    <t>Swahili</t>
  </si>
  <si>
    <t>Swedish</t>
  </si>
  <si>
    <t>Tagalog</t>
  </si>
  <si>
    <t>Tai, nec</t>
  </si>
  <si>
    <t>Tamil</t>
  </si>
  <si>
    <t>Tatar</t>
  </si>
  <si>
    <t>Telugu</t>
  </si>
  <si>
    <t>Tetum</t>
  </si>
  <si>
    <t>Thai</t>
  </si>
  <si>
    <t>Themne</t>
  </si>
  <si>
    <t>Tibetan</t>
  </si>
  <si>
    <t>Tigre</t>
  </si>
  <si>
    <t>Tigrinya</t>
  </si>
  <si>
    <t>Timorese</t>
  </si>
  <si>
    <t>Tok Pisin (Neomelanesian)</t>
  </si>
  <si>
    <t>Tokelauan</t>
  </si>
  <si>
    <t>Tongan</t>
  </si>
  <si>
    <t>Tswana</t>
  </si>
  <si>
    <t>Tulu</t>
  </si>
  <si>
    <t>Turkic, nec</t>
  </si>
  <si>
    <t>Turkish</t>
  </si>
  <si>
    <t>Turkmen</t>
  </si>
  <si>
    <t>Tuvaluan</t>
  </si>
  <si>
    <t>Ukrainian</t>
  </si>
  <si>
    <t>Urdu</t>
  </si>
  <si>
    <t>Uygur</t>
  </si>
  <si>
    <t>Uzbek</t>
  </si>
  <si>
    <t>Vietnamese</t>
  </si>
  <si>
    <t>Welsh</t>
  </si>
  <si>
    <t>Wu</t>
  </si>
  <si>
    <t>Xhosa</t>
  </si>
  <si>
    <t>Yapese</t>
  </si>
  <si>
    <t>Yiddish</t>
  </si>
  <si>
    <t>Yoruba</t>
  </si>
  <si>
    <t>Zulu</t>
  </si>
  <si>
    <t>Language</t>
  </si>
  <si>
    <t>0002</t>
  </si>
  <si>
    <t>Codeine</t>
  </si>
  <si>
    <t>Morphine</t>
  </si>
  <si>
    <t>Organic Opiate Analgesics, n.e.c.</t>
  </si>
  <si>
    <t>Buprenorphine</t>
  </si>
  <si>
    <t>Heroin</t>
  </si>
  <si>
    <t>Oxycodone</t>
  </si>
  <si>
    <t>Semisynthetic Opioid Analgesics, n.e.c.</t>
  </si>
  <si>
    <t>Fentanyl</t>
  </si>
  <si>
    <t>Fentanyl analogues</t>
  </si>
  <si>
    <t>Levomethadyl acetate hydrochloride</t>
  </si>
  <si>
    <t>Meperidine analogues</t>
  </si>
  <si>
    <t>Methadone</t>
  </si>
  <si>
    <t>Pethidine</t>
  </si>
  <si>
    <t>Synthetic Opioid Analgesics, n.e.c.</t>
  </si>
  <si>
    <t>Acetylsalicylic acid</t>
  </si>
  <si>
    <t>Paracetamol</t>
  </si>
  <si>
    <t>Ethanol</t>
  </si>
  <si>
    <t>Methanol</t>
  </si>
  <si>
    <t>Alcohols, n.e.c.</t>
  </si>
  <si>
    <t>Ketamine</t>
  </si>
  <si>
    <t>Nitrous oxide</t>
  </si>
  <si>
    <t>Phencyclidine</t>
  </si>
  <si>
    <t>Anaesthetics, n.e.c.</t>
  </si>
  <si>
    <t>Amylobarbitone</t>
  </si>
  <si>
    <t>Methylphenobarbitone</t>
  </si>
  <si>
    <t>Phenobarbitone</t>
  </si>
  <si>
    <t>Barbiturates, n.e.c.</t>
  </si>
  <si>
    <t>Alprazolam</t>
  </si>
  <si>
    <t>Clonazepam</t>
  </si>
  <si>
    <t>Diazepam</t>
  </si>
  <si>
    <t>Flunitrazepam</t>
  </si>
  <si>
    <t>Lorazepam</t>
  </si>
  <si>
    <t>Nitrazepam</t>
  </si>
  <si>
    <t>Oxazepam</t>
  </si>
  <si>
    <t>Temazepam</t>
  </si>
  <si>
    <t>Benzodiazepines, n.e.c.</t>
  </si>
  <si>
    <t>Chlormethiazole</t>
  </si>
  <si>
    <t>Kava lactones</t>
  </si>
  <si>
    <t>Zopiclone</t>
  </si>
  <si>
    <t>Amphetamine</t>
  </si>
  <si>
    <t>Dexamphetamine</t>
  </si>
  <si>
    <t>Methamphetamine</t>
  </si>
  <si>
    <t>Amphetamines, n.e.c.</t>
  </si>
  <si>
    <t>Ephedrine</t>
  </si>
  <si>
    <t>Norephedrine</t>
  </si>
  <si>
    <t>Pseudoephedrine</t>
  </si>
  <si>
    <t>Ephedra Alkaloids, n.e.c.</t>
  </si>
  <si>
    <t>DOM</t>
  </si>
  <si>
    <t>MDA</t>
  </si>
  <si>
    <t>MDEA</t>
  </si>
  <si>
    <t>MDMA</t>
  </si>
  <si>
    <t>Mescaline</t>
  </si>
  <si>
    <t>PMA</t>
  </si>
  <si>
    <t>TMA</t>
  </si>
  <si>
    <t>DOI</t>
  </si>
  <si>
    <t>PMMA</t>
  </si>
  <si>
    <t>2C-B</t>
  </si>
  <si>
    <t>Phenethylamine analogues</t>
  </si>
  <si>
    <t>Phenethylamines, n.e.c.</t>
  </si>
  <si>
    <t>Atropinic alkaloids</t>
  </si>
  <si>
    <t>Diethyltryptamine</t>
  </si>
  <si>
    <t>Dimethyltryptamine</t>
  </si>
  <si>
    <t>Lysergic acid diethylamide</t>
  </si>
  <si>
    <t>Psilocybin or Psilocin</t>
  </si>
  <si>
    <t>Tryptamine anologues</t>
  </si>
  <si>
    <t>Tryptamines, n.e.c.</t>
  </si>
  <si>
    <t>Amyl nitrate</t>
  </si>
  <si>
    <t>Butyl nitrate</t>
  </si>
  <si>
    <t>Volatile Nitrates, n.e.c.</t>
  </si>
  <si>
    <t>Cathinone</t>
  </si>
  <si>
    <t>Methcathinone</t>
  </si>
  <si>
    <t>Cathinone analogues</t>
  </si>
  <si>
    <t>Cathinones, n.e.c.</t>
  </si>
  <si>
    <t>1-Benzylpiperazine</t>
  </si>
  <si>
    <t>1-(3-Trifluoromethylphenyl)-piperazine</t>
  </si>
  <si>
    <t>1-(3-Chlorophenyl)-piperazine</t>
  </si>
  <si>
    <t>Phenylipiperazine analogues</t>
  </si>
  <si>
    <t>Piperazines, n.e.c.</t>
  </si>
  <si>
    <t>Caffeine</t>
  </si>
  <si>
    <t>Cocaine</t>
  </si>
  <si>
    <t>Methylphenidate</t>
  </si>
  <si>
    <t>Nicotine</t>
  </si>
  <si>
    <t>Other Stimulants and Hallucinogens, n.e.c.</t>
  </si>
  <si>
    <t>Boldenone</t>
  </si>
  <si>
    <t>Dehydroepiandrosterone</t>
  </si>
  <si>
    <t>Fluoxymesterone</t>
  </si>
  <si>
    <t>Mesterolone</t>
  </si>
  <si>
    <t>Methandriol</t>
  </si>
  <si>
    <t>Methenolone</t>
  </si>
  <si>
    <t>Nandrolone</t>
  </si>
  <si>
    <t>Oxandrolone</t>
  </si>
  <si>
    <t>Stanozolol</t>
  </si>
  <si>
    <t>Testosterone</t>
  </si>
  <si>
    <t>Anabolic Androgenic Steroids, n.e.c.</t>
  </si>
  <si>
    <t>Eformoterol</t>
  </si>
  <si>
    <t>Fenoterol</t>
  </si>
  <si>
    <t>Salbutamol</t>
  </si>
  <si>
    <t>Beta2 Agonists, n.e.c.</t>
  </si>
  <si>
    <t>Chorionic gonadotrophin</t>
  </si>
  <si>
    <t>Corticotrophin</t>
  </si>
  <si>
    <t>Erythropoietin</t>
  </si>
  <si>
    <t>Growth hormone</t>
  </si>
  <si>
    <t>Insulin</t>
  </si>
  <si>
    <t>Peptide Hormones, Mimetics and Analogues, n.e.c.</t>
  </si>
  <si>
    <t>Sulfonylurea hypoglycaemic agents</t>
  </si>
  <si>
    <t>Tamoxifen</t>
  </si>
  <si>
    <t>Thyroxine</t>
  </si>
  <si>
    <t>Other Anabolic Agents and Selected Hormones, n.e.c.</t>
  </si>
  <si>
    <t>Moclobemide</t>
  </si>
  <si>
    <t>Phenelzine</t>
  </si>
  <si>
    <t>Tranylcypromine</t>
  </si>
  <si>
    <t>Monoamine Oxidase Inhibitors, n.e.c.</t>
  </si>
  <si>
    <t>Chlorpromazine</t>
  </si>
  <si>
    <t>Fluphenazine</t>
  </si>
  <si>
    <t>Pericyazine</t>
  </si>
  <si>
    <t>Thioridazine</t>
  </si>
  <si>
    <t>Trifluoperazin</t>
  </si>
  <si>
    <t>Phenothiazines, n.e.c.</t>
  </si>
  <si>
    <t>Citalopram</t>
  </si>
  <si>
    <t>Fluoxetine</t>
  </si>
  <si>
    <t>Paroxetine</t>
  </si>
  <si>
    <t>Sertraline</t>
  </si>
  <si>
    <t>Serotonin Reuptake Inhibitors, n.e.c.</t>
  </si>
  <si>
    <t>Flupenthixol</t>
  </si>
  <si>
    <t>Thiothixene</t>
  </si>
  <si>
    <t>Thioxanthenes, n.e.c.</t>
  </si>
  <si>
    <t>Amitriptyline</t>
  </si>
  <si>
    <t xml:space="preserve">Clomipramine </t>
  </si>
  <si>
    <t>Dothiepin</t>
  </si>
  <si>
    <t>Doxepin</t>
  </si>
  <si>
    <t>Nortriptyline</t>
  </si>
  <si>
    <t>Tricyclic Antidepressants, n.e.c.</t>
  </si>
  <si>
    <t>Amisulpride</t>
  </si>
  <si>
    <t>Aripriprazole</t>
  </si>
  <si>
    <t>Clozapine</t>
  </si>
  <si>
    <t>Olanzapine</t>
  </si>
  <si>
    <t>Quetiapine</t>
  </si>
  <si>
    <t>Risperidone</t>
  </si>
  <si>
    <t>Ziprasidone</t>
  </si>
  <si>
    <t>Atypical Antipsychotics, n.e.c.</t>
  </si>
  <si>
    <t>Butyrophenones</t>
  </si>
  <si>
    <t>Lithium</t>
  </si>
  <si>
    <t>Mianserin</t>
  </si>
  <si>
    <t>Other Antidepressants and Antipsychotics, n.e.c.</t>
  </si>
  <si>
    <t>Butane</t>
  </si>
  <si>
    <t>Petroleum</t>
  </si>
  <si>
    <t>Propane</t>
  </si>
  <si>
    <t>Aliphatic Hydrocarbons, n.e.c.</t>
  </si>
  <si>
    <t>Toluene</t>
  </si>
  <si>
    <t>Xylene</t>
  </si>
  <si>
    <t>Aromatic Hydrocarbons, n.e.c.</t>
  </si>
  <si>
    <t>Bromochlorodifluoromethane</t>
  </si>
  <si>
    <t>Chloroform</t>
  </si>
  <si>
    <t>Tetrachloroethylene</t>
  </si>
  <si>
    <t>Trichloroethane</t>
  </si>
  <si>
    <t>Trichloroethylene</t>
  </si>
  <si>
    <t>Halogenated Hydrocarbons, n.e.c.</t>
  </si>
  <si>
    <t xml:space="preserve">Acetone </t>
  </si>
  <si>
    <t>Ethyl acetate</t>
  </si>
  <si>
    <t>Other Volatile Solvents, n.e.c.</t>
  </si>
  <si>
    <t>Cannabinoids</t>
  </si>
  <si>
    <t>Cannabinoid agonists</t>
  </si>
  <si>
    <t>Cannabinoids and Related Drugs, n.e.c.</t>
  </si>
  <si>
    <t>Antikaliuretics</t>
  </si>
  <si>
    <t>Loop diuretics</t>
  </si>
  <si>
    <t>Thiazides</t>
  </si>
  <si>
    <t>Diuretics, n.e.c.</t>
  </si>
  <si>
    <t>Naloxone</t>
  </si>
  <si>
    <t>Naltrexone</t>
  </si>
  <si>
    <t>Opioid Antagonists, n.e.c.</t>
  </si>
  <si>
    <t>code</t>
  </si>
  <si>
    <t>drug</t>
  </si>
  <si>
    <t>Tramadol</t>
  </si>
  <si>
    <t>3104</t>
  </si>
  <si>
    <t>Amphetamine analogues</t>
  </si>
  <si>
    <t>2904</t>
  </si>
  <si>
    <t>Docylamine</t>
  </si>
  <si>
    <t>2905</t>
  </si>
  <si>
    <t>Promethazine</t>
  </si>
  <si>
    <t>2906</t>
  </si>
  <si>
    <t>Zolpidem</t>
  </si>
  <si>
    <t>2501</t>
  </si>
  <si>
    <t>Gamma-hydroxybutyrate</t>
  </si>
  <si>
    <t>2502</t>
  </si>
  <si>
    <t>Gamma-butrolactone</t>
  </si>
  <si>
    <t>2503</t>
  </si>
  <si>
    <t>1,4-butanediol</t>
  </si>
  <si>
    <t>2599</t>
  </si>
  <si>
    <t>GHB type Drugs and Analogues, n.e.c.</t>
  </si>
  <si>
    <t>2205</t>
  </si>
  <si>
    <t>Propofol</t>
  </si>
  <si>
    <t>1403</t>
  </si>
  <si>
    <t>Ibuprofen</t>
  </si>
  <si>
    <t>Aboriginal but not Torres Strait Islander origin</t>
  </si>
  <si>
    <t>Torres Strait Islander but not Aboriginal origin</t>
  </si>
  <si>
    <t>Both Aboriginal and Torres Strait Islander origin</t>
  </si>
  <si>
    <t>Neither Aboriginal nor Torres Strait Islander origin</t>
  </si>
  <si>
    <t>Not stated/inadequately described</t>
  </si>
  <si>
    <t>ATSI</t>
  </si>
  <si>
    <t>Alone</t>
  </si>
  <si>
    <t>Spouse/partner</t>
  </si>
  <si>
    <t>Alone with child(ren)</t>
  </si>
  <si>
    <t>Spouse/partner and child(ren)</t>
  </si>
  <si>
    <t>Parent(s)</t>
  </si>
  <si>
    <t>Other relative(s)</t>
  </si>
  <si>
    <t>Friend(s)</t>
  </si>
  <si>
    <t>Friend(s)/parent(s)/relative(s) and child(ren)</t>
  </si>
  <si>
    <t>Other</t>
  </si>
  <si>
    <t>Not known/inadequately described/not stated</t>
  </si>
  <si>
    <t>Living Arrangements</t>
  </si>
  <si>
    <t>Private residence</t>
  </si>
  <si>
    <t>11</t>
  </si>
  <si>
    <t>Boarding house/private hotel</t>
  </si>
  <si>
    <t>12</t>
  </si>
  <si>
    <t>Supported accommodation facility</t>
  </si>
  <si>
    <t>21</t>
  </si>
  <si>
    <t>Alcohol and other drugs</t>
  </si>
  <si>
    <t>33.2</t>
  </si>
  <si>
    <t>Psychiatric hospital</t>
  </si>
  <si>
    <t>31.2</t>
  </si>
  <si>
    <t>Prison/remand centre/youth training centre</t>
  </si>
  <si>
    <t>34</t>
  </si>
  <si>
    <t>13</t>
  </si>
  <si>
    <t>Informal housing</t>
  </si>
  <si>
    <t>Short term crisis, emergency or transitional accommodation facility</t>
  </si>
  <si>
    <t>23</t>
  </si>
  <si>
    <t>33.1</t>
  </si>
  <si>
    <t>Other specialised community residential</t>
  </si>
  <si>
    <t>33.8</t>
  </si>
  <si>
    <t>Acute hospital</t>
  </si>
  <si>
    <t>31.1</t>
  </si>
  <si>
    <t>Other hospital</t>
  </si>
  <si>
    <t>31.8</t>
  </si>
  <si>
    <t>Rehabilitation hospital</t>
  </si>
  <si>
    <t>31.3</t>
  </si>
  <si>
    <t>Domestic-scale supported living facility</t>
  </si>
  <si>
    <t>Residential aged care facility</t>
  </si>
  <si>
    <t>32.1</t>
  </si>
  <si>
    <t>99</t>
  </si>
  <si>
    <t>88</t>
  </si>
  <si>
    <t>Unknown</t>
  </si>
  <si>
    <t>98</t>
  </si>
  <si>
    <t>Usual Accommodation</t>
  </si>
  <si>
    <t>Ingests</t>
  </si>
  <si>
    <t>1</t>
  </si>
  <si>
    <t>Smokes</t>
  </si>
  <si>
    <t>2</t>
  </si>
  <si>
    <t>Injects</t>
  </si>
  <si>
    <t>3</t>
  </si>
  <si>
    <t>Sniffs (powder)</t>
  </si>
  <si>
    <t>4</t>
  </si>
  <si>
    <t>Inhales (vapour)</t>
  </si>
  <si>
    <t>5</t>
  </si>
  <si>
    <t>6</t>
  </si>
  <si>
    <t>9</t>
  </si>
  <si>
    <t>Method of use for principal drug of concern</t>
  </si>
  <si>
    <t>Self</t>
  </si>
  <si>
    <t>01</t>
  </si>
  <si>
    <t>Family member/friend</t>
  </si>
  <si>
    <t>02</t>
  </si>
  <si>
    <t>Medical practitioner</t>
  </si>
  <si>
    <t>03</t>
  </si>
  <si>
    <t>Hospital</t>
  </si>
  <si>
    <t>04</t>
  </si>
  <si>
    <t>Mental health care service</t>
  </si>
  <si>
    <t>05</t>
  </si>
  <si>
    <t>Alcohol and other drug treatment service</t>
  </si>
  <si>
    <t>06</t>
  </si>
  <si>
    <t>Other Community/health care service</t>
  </si>
  <si>
    <t>07</t>
  </si>
  <si>
    <t>Correctional service</t>
  </si>
  <si>
    <t>08</t>
  </si>
  <si>
    <t>Police diversion</t>
  </si>
  <si>
    <t>09</t>
  </si>
  <si>
    <t>Court diversion</t>
  </si>
  <si>
    <t>10</t>
  </si>
  <si>
    <t>Withdrawal management (detoxification)</t>
  </si>
  <si>
    <t>Counselling</t>
  </si>
  <si>
    <t>Rehabilitation</t>
  </si>
  <si>
    <t>Pharmacotherapy</t>
  </si>
  <si>
    <t>Support and case management only</t>
  </si>
  <si>
    <t>Assessment only</t>
  </si>
  <si>
    <t xml:space="preserve">Main treatment type </t>
  </si>
  <si>
    <t>Treatment Completed</t>
  </si>
  <si>
    <t>Change in main treatment type</t>
  </si>
  <si>
    <t xml:space="preserve">Change in the principal drug of concern </t>
  </si>
  <si>
    <t>Transferred to another service provider</t>
  </si>
  <si>
    <t>Ceased to participate without notice</t>
  </si>
  <si>
    <t>Ceased to participate involuntary (non-compliance)</t>
  </si>
  <si>
    <t>Ceased to participate at expiation</t>
  </si>
  <si>
    <t>Ceased to participate by mutual agreement</t>
  </si>
  <si>
    <t>Drug court and/or sanctioned by court diversion service</t>
  </si>
  <si>
    <t>Imprisoned, other than drug court sanctioned</t>
  </si>
  <si>
    <t>Died</t>
  </si>
  <si>
    <t>Non-residential treatment facility</t>
  </si>
  <si>
    <t>Residential treatment facility</t>
  </si>
  <si>
    <t>Home</t>
  </si>
  <si>
    <t>Outreach setting</t>
  </si>
  <si>
    <t>8</t>
  </si>
  <si>
    <t>Information and education only</t>
  </si>
  <si>
    <t>Last injected three months ago or less</t>
  </si>
  <si>
    <t>Last injected more than twelve months ago</t>
  </si>
  <si>
    <t>Never injected</t>
  </si>
  <si>
    <t>Diagnosed three months ago or less</t>
  </si>
  <si>
    <t>Diagnosed more than three months ago but less than or equal to twelve months ago</t>
  </si>
  <si>
    <t>Diagnosed more than twelve months ago</t>
  </si>
  <si>
    <t>Never been diagnosed</t>
  </si>
  <si>
    <t>Own alcohol or other drug use</t>
  </si>
  <si>
    <t>Client Type</t>
  </si>
  <si>
    <t>No previous treatment received</t>
  </si>
  <si>
    <t>Other's alcohol or other drug use</t>
  </si>
  <si>
    <t>1499</t>
  </si>
  <si>
    <t>Lyrica</t>
  </si>
  <si>
    <t>Non Opioid Analgesics, n.e.c.</t>
  </si>
  <si>
    <t>Ceased to participate against advice</t>
  </si>
  <si>
    <t>Change in delivery setting</t>
  </si>
  <si>
    <t>Last injected more than three months ago but less than or equal to twelve months 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</si>
</sst>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Border="1"/>
    <xf numFmtId="0" fontId="0" fillId="0" borderId="0" xfId="0" applyFont="1"/>
    <xf numFmtId="49" fontId="0" fillId="0" borderId="0" xfId="0" applyNumberFormat="1"/>
    <xf numFmtId="14" fontId="3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49" fontId="5" fillId="0" borderId="0" xfId="0" applyNumberFormat="1" applyFont="1" applyBorder="1"/>
    <xf numFmtId="0" fontId="5" fillId="0" borderId="0" xfId="0" applyFont="1" applyBorder="1"/>
    <xf numFmtId="49" fontId="6" fillId="0" borderId="0" xfId="0" applyNumberFormat="1" applyFont="1" applyBorder="1" applyAlignment="1">
      <alignment horizontal="right" vertical="center" wrapText="1"/>
    </xf>
    <xf numFmtId="0" fontId="6" fillId="0" borderId="0" xfId="0" applyFont="1" applyBorder="1" applyAlignment="1">
      <alignment vertical="center" wrapText="1"/>
    </xf>
    <xf numFmtId="49" fontId="6" fillId="0" borderId="0" xfId="0" applyNumberFormat="1" applyFont="1" applyBorder="1" applyAlignment="1">
      <alignment vertical="center" wrapText="1"/>
    </xf>
    <xf numFmtId="0" fontId="7" fillId="2" borderId="0" xfId="0" applyFont="1" applyFill="1" applyBorder="1" applyAlignment="1">
      <alignment horizontal="center" vertical="center" wrapText="1"/>
    </xf>
    <xf numFmtId="0" fontId="8" fillId="2" borderId="1" xfId="0" applyFont="1" applyFill="1" applyBorder="1"/>
    <xf numFmtId="0" fontId="7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49" fontId="9" fillId="2" borderId="1" xfId="0" applyNumberFormat="1" applyFont="1" applyFill="1" applyBorder="1" applyAlignment="1">
      <alignment horizontal="center" vertical="center"/>
    </xf>
    <xf numFmtId="49" fontId="7" fillId="2" borderId="1" xfId="0" applyNumberFormat="1" applyFont="1" applyFill="1" applyBorder="1" applyAlignment="1">
      <alignment horizontal="center" vertical="center" wrapText="1"/>
    </xf>
    <xf numFmtId="0" fontId="0" fillId="3" borderId="2" xfId="0" applyNumberFormat="1" applyFont="1" applyFill="1" applyBorder="1"/>
    <xf numFmtId="0" fontId="0" fillId="3" borderId="3" xfId="0" applyNumberFormat="1" applyFont="1" applyFill="1" applyBorder="1"/>
    <xf numFmtId="0" fontId="1" fillId="3" borderId="3" xfId="0" applyNumberFormat="1" applyFont="1" applyFill="1" applyBorder="1"/>
    <xf numFmtId="0" fontId="0" fillId="4" borderId="4" xfId="0" applyNumberFormat="1" applyFont="1" applyFill="1" applyBorder="1"/>
    <xf numFmtId="0" fontId="0" fillId="4" borderId="5" xfId="0" applyNumberFormat="1" applyFont="1" applyFill="1" applyBorder="1"/>
    <xf numFmtId="0" fontId="1" fillId="4" borderId="5" xfId="0" applyNumberFormat="1" applyFont="1" applyFill="1" applyBorder="1"/>
    <xf numFmtId="0" fontId="0" fillId="3" borderId="4" xfId="0" applyNumberFormat="1" applyFont="1" applyFill="1" applyBorder="1"/>
    <xf numFmtId="0" fontId="0" fillId="3" borderId="5" xfId="0" applyNumberFormat="1" applyFont="1" applyFill="1" applyBorder="1"/>
    <xf numFmtId="0" fontId="1" fillId="3" borderId="5" xfId="0" applyNumberFormat="1" applyFont="1" applyFill="1" applyBorder="1"/>
    <xf numFmtId="49" fontId="11" fillId="5" borderId="0" xfId="0" applyNumberFormat="1" applyFont="1" applyFill="1" applyBorder="1"/>
    <xf numFmtId="0" fontId="11" fillId="5" borderId="0" xfId="0" applyFont="1" applyFill="1" applyBorder="1"/>
    <xf numFmtId="0" fontId="2" fillId="5" borderId="0" xfId="0" applyFont="1" applyFill="1"/>
    <xf numFmtId="49" fontId="10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2" fillId="5" borderId="6" xfId="0" applyFont="1" applyFill="1" applyBorder="1"/>
    <xf numFmtId="0" fontId="2" fillId="5" borderId="7" xfId="0" applyFont="1" applyFill="1" applyBorder="1"/>
    <xf numFmtId="49" fontId="5" fillId="0" borderId="8" xfId="0" applyNumberFormat="1" applyFont="1" applyBorder="1" applyAlignment="1">
      <alignment horizontal="center"/>
    </xf>
    <xf numFmtId="0" fontId="5" fillId="0" borderId="9" xfId="0" applyFont="1" applyBorder="1"/>
    <xf numFmtId="49" fontId="5" fillId="0" borderId="8" xfId="0" applyNumberFormat="1" applyFont="1" applyFill="1" applyBorder="1" applyAlignment="1">
      <alignment horizontal="center"/>
    </xf>
    <xf numFmtId="0" fontId="5" fillId="0" borderId="9" xfId="0" applyFont="1" applyFill="1" applyBorder="1"/>
    <xf numFmtId="49" fontId="5" fillId="0" borderId="10" xfId="0" applyNumberFormat="1" applyFont="1" applyBorder="1" applyAlignment="1">
      <alignment horizontal="center"/>
    </xf>
    <xf numFmtId="0" fontId="5" fillId="0" borderId="11" xfId="0" applyFont="1" applyBorder="1"/>
    <xf numFmtId="0" fontId="5" fillId="0" borderId="9" xfId="0" applyFont="1" applyBorder="1" applyAlignment="1">
      <alignment horizontal="left"/>
    </xf>
    <xf numFmtId="0" fontId="5" fillId="0" borderId="11" xfId="0" applyFont="1" applyBorder="1" applyAlignment="1">
      <alignment horizontal="left"/>
    </xf>
    <xf numFmtId="0" fontId="11" fillId="5" borderId="7" xfId="0" applyFont="1" applyFill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6" fillId="0" borderId="11" xfId="0" applyFont="1" applyBorder="1" applyAlignment="1">
      <alignment horizontal="left"/>
    </xf>
    <xf numFmtId="49" fontId="5" fillId="0" borderId="12" xfId="0" applyNumberFormat="1" applyFont="1" applyBorder="1" applyAlignment="1">
      <alignment horizontal="center"/>
    </xf>
    <xf numFmtId="0" fontId="5" fillId="0" borderId="13" xfId="0" applyFont="1" applyFill="1" applyBorder="1" applyAlignment="1">
      <alignment horizontal="left" vertical="center"/>
    </xf>
    <xf numFmtId="0" fontId="5" fillId="0" borderId="9" xfId="0" applyFont="1" applyFill="1" applyBorder="1" applyAlignment="1">
      <alignment horizontal="left" vertical="center"/>
    </xf>
    <xf numFmtId="0" fontId="5" fillId="0" borderId="11" xfId="0" applyFont="1" applyFill="1" applyBorder="1" applyAlignment="1">
      <alignment horizontal="left" vertical="center"/>
    </xf>
    <xf numFmtId="0" fontId="5" fillId="0" borderId="9" xfId="0" applyFont="1" applyBorder="1" applyAlignment="1">
      <alignment horizontal="left" vertic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vertical="center"/>
    </xf>
    <xf numFmtId="0" fontId="5" fillId="0" borderId="10" xfId="0" applyFont="1" applyBorder="1" applyAlignment="1">
      <alignment horizontal="center"/>
    </xf>
    <xf numFmtId="0" fontId="6" fillId="6" borderId="9" xfId="0" applyFont="1" applyFill="1" applyBorder="1" applyAlignment="1">
      <alignment horizontal="left" vertical="center"/>
    </xf>
    <xf numFmtId="0" fontId="13" fillId="3" borderId="3" xfId="0" applyNumberFormat="1" applyFont="1" applyFill="1" applyBorder="1"/>
    <xf numFmtId="49" fontId="13" fillId="3" borderId="3" xfId="0" applyNumberFormat="1" applyFont="1" applyFill="1" applyBorder="1"/>
    <xf numFmtId="0" fontId="13" fillId="0" borderId="0" xfId="0" applyFont="1"/>
    <xf numFmtId="0" fontId="10" fillId="0" borderId="0" xfId="0" applyFont="1" applyFill="1" applyBorder="1" applyAlignment="1">
      <alignment horizontal="left" vertical="center"/>
    </xf>
    <xf numFmtId="0" fontId="13" fillId="4" borderId="5" xfId="0" applyNumberFormat="1" applyFont="1" applyFill="1" applyBorder="1"/>
    <xf numFmtId="49" fontId="13" fillId="4" borderId="5" xfId="0" applyNumberFormat="1" applyFont="1" applyFill="1" applyBorder="1"/>
    <xf numFmtId="0" fontId="13" fillId="3" borderId="5" xfId="0" applyNumberFormat="1" applyFont="1" applyFill="1" applyBorder="1"/>
    <xf numFmtId="49" fontId="13" fillId="3" borderId="5" xfId="0" applyNumberFormat="1" applyFont="1" applyFill="1" applyBorder="1"/>
    <xf numFmtId="0" fontId="14" fillId="2" borderId="1" xfId="0" applyFont="1" applyFill="1" applyBorder="1"/>
    <xf numFmtId="0" fontId="12" fillId="3" borderId="3" xfId="0" applyNumberFormat="1" applyFont="1" applyFill="1" applyBorder="1"/>
    <xf numFmtId="0" fontId="12" fillId="4" borderId="5" xfId="0" applyNumberFormat="1" applyFont="1" applyFill="1" applyBorder="1"/>
    <xf numFmtId="0" fontId="12" fillId="3" borderId="5" xfId="0" applyNumberFormat="1" applyFont="1" applyFill="1" applyBorder="1"/>
    <xf numFmtId="0" fontId="12" fillId="0" borderId="0" xfId="0" applyFont="1"/>
  </cellXfs>
  <cellStyles count="1">
    <cellStyle name="Normal" xfId="0" builtinId="0"/>
  </cellStyles>
  <dxfs count="41">
    <dxf>
      <fill>
        <patternFill>
          <bgColor rgb="FFFC6464"/>
        </patternFill>
      </fill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rgb="FFFDCA9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FEAD5"/>
      <color rgb="FFFF7C80"/>
      <color rgb="FFFC6464"/>
      <color rgb="FFFDCA9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U1000"/>
  <sheetViews>
    <sheetView zoomScale="85" zoomScaleNormal="85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G12" sqref="G12"/>
    </sheetView>
  </sheetViews>
  <sheetFormatPr defaultRowHeight="15" x14ac:dyDescent="0.25"/>
  <cols>
    <col min="1" max="1" width="13.7109375" customWidth="1"/>
    <col min="2" max="2" width="2.5703125" customWidth="1"/>
    <col min="3" max="3" width="7.42578125" bestFit="1" customWidth="1"/>
    <col min="4" max="4" width="2.7109375" customWidth="1"/>
    <col min="5" max="5" width="11.85546875" customWidth="1"/>
    <col min="6" max="6" width="1.85546875" customWidth="1"/>
    <col min="7" max="7" width="19.28515625" bestFit="1" customWidth="1"/>
    <col min="8" max="8" width="2" style="70" customWidth="1"/>
    <col min="9" max="9" width="17.7109375" bestFit="1" customWidth="1"/>
    <col min="10" max="10" width="3.140625" style="70" customWidth="1"/>
    <col min="11" max="11" width="9.42578125" bestFit="1" customWidth="1"/>
    <col min="12" max="12" width="4.140625" style="70" customWidth="1"/>
    <col min="13" max="13" width="11.5703125" style="8" customWidth="1"/>
    <col min="14" max="14" width="4" style="70" customWidth="1"/>
    <col min="15" max="15" width="23.42578125" customWidth="1"/>
    <col min="16" max="16" width="3.7109375" style="70" customWidth="1"/>
    <col min="17" max="17" width="15.28515625" customWidth="1"/>
    <col min="18" max="18" width="3.7109375" style="70" customWidth="1"/>
    <col min="19" max="19" width="46.42578125" bestFit="1" customWidth="1"/>
    <col min="20" max="20" width="2.5703125" style="70" customWidth="1"/>
    <col min="21" max="21" width="11" customWidth="1"/>
    <col min="22" max="22" width="6.140625" style="70" customWidth="1"/>
    <col min="23" max="23" width="7" customWidth="1"/>
    <col min="24" max="24" width="4.85546875" style="70" customWidth="1"/>
    <col min="25" max="25" width="37.140625" customWidth="1"/>
    <col min="26" max="26" width="3.42578125" style="70" customWidth="1"/>
    <col min="27" max="27" width="30.5703125" bestFit="1" customWidth="1"/>
    <col min="28" max="28" width="3.5703125" style="70" customWidth="1"/>
    <col min="29" max="29" width="22" customWidth="1"/>
    <col min="30" max="30" width="1.85546875" style="70" customWidth="1"/>
    <col min="31" max="31" width="15.5703125" style="8" customWidth="1"/>
    <col min="32" max="32" width="2.28515625" style="70" customWidth="1"/>
    <col min="33" max="33" width="13.28515625" style="8" bestFit="1" customWidth="1"/>
    <col min="34" max="34" width="2.28515625" style="70" customWidth="1"/>
    <col min="35" max="35" width="21.42578125" customWidth="1"/>
    <col min="36" max="36" width="3" style="70" customWidth="1"/>
    <col min="37" max="37" width="31.5703125" bestFit="1" customWidth="1"/>
    <col min="38" max="38" width="3.42578125" style="70" customWidth="1"/>
    <col min="39" max="39" width="20.85546875" customWidth="1"/>
    <col min="40" max="40" width="2.7109375" style="70" customWidth="1"/>
    <col min="41" max="41" width="29.85546875" customWidth="1"/>
    <col min="42" max="42" width="3.28515625" style="70" customWidth="1"/>
    <col min="43" max="43" width="25.28515625" customWidth="1"/>
    <col min="44" max="44" width="3.85546875" style="70" customWidth="1"/>
    <col min="45" max="45" width="14.28515625" customWidth="1"/>
    <col min="46" max="46" width="4" style="70" customWidth="1"/>
    <col min="47" max="47" width="8.42578125" customWidth="1"/>
    <col min="48" max="48" width="3.85546875" style="70" customWidth="1"/>
    <col min="49" max="49" width="12.28515625" customWidth="1"/>
    <col min="50" max="50" width="3.5703125" style="70" hidden="1" customWidth="1"/>
    <col min="51" max="51" width="11.7109375" hidden="1" customWidth="1"/>
    <col min="52" max="52" width="3.5703125" style="70" hidden="1" customWidth="1"/>
    <col min="53" max="53" width="13.42578125" hidden="1" customWidth="1"/>
    <col min="54" max="54" width="3.85546875" style="70" hidden="1" customWidth="1"/>
    <col min="55" max="55" width="23.28515625" customWidth="1"/>
    <col min="56" max="56" width="3.5703125" style="70" customWidth="1"/>
    <col min="57" max="57" width="13.42578125" customWidth="1"/>
    <col min="58" max="58" width="4.140625" style="70" customWidth="1"/>
    <col min="59" max="59" width="10" hidden="1" customWidth="1"/>
    <col min="60" max="60" width="3.85546875" style="70" hidden="1" customWidth="1"/>
    <col min="61" max="61" width="10" hidden="1" customWidth="1"/>
    <col min="62" max="62" width="4.5703125" style="70" hidden="1" customWidth="1"/>
    <col min="63" max="63" width="10" hidden="1" customWidth="1"/>
    <col min="64" max="64" width="4.5703125" style="70" hidden="1" customWidth="1"/>
    <col min="65" max="65" width="10" hidden="1" customWidth="1"/>
    <col min="66" max="66" width="3.85546875" style="70" hidden="1" customWidth="1"/>
    <col min="67" max="67" width="21" customWidth="1"/>
    <col min="68" max="68" width="3" style="70" customWidth="1"/>
    <col min="69" max="69" width="35.5703125" customWidth="1"/>
    <col min="70" max="70" width="2.28515625" style="70" customWidth="1"/>
    <col min="71" max="71" width="28.7109375" customWidth="1"/>
    <col min="72" max="72" width="3.42578125" style="70" customWidth="1"/>
  </cols>
  <sheetData>
    <row r="1" spans="1:73" ht="29.25" customHeight="1" thickBot="1" x14ac:dyDescent="0.3">
      <c r="A1" s="16" t="s">
        <v>73</v>
      </c>
      <c r="B1" s="17" t="s">
        <v>74</v>
      </c>
      <c r="C1" s="18" t="s">
        <v>0</v>
      </c>
      <c r="D1" s="17" t="s">
        <v>1</v>
      </c>
      <c r="E1" s="18" t="s">
        <v>2</v>
      </c>
      <c r="F1" s="17" t="s">
        <v>3</v>
      </c>
      <c r="G1" s="18" t="s">
        <v>4</v>
      </c>
      <c r="H1" s="66" t="s">
        <v>5</v>
      </c>
      <c r="I1" s="18" t="s">
        <v>6</v>
      </c>
      <c r="J1" s="66" t="s">
        <v>7</v>
      </c>
      <c r="K1" s="19" t="s">
        <v>8</v>
      </c>
      <c r="L1" s="66" t="s">
        <v>9</v>
      </c>
      <c r="M1" s="20" t="s">
        <v>10</v>
      </c>
      <c r="N1" s="66" t="s">
        <v>11</v>
      </c>
      <c r="O1" s="18" t="s">
        <v>12</v>
      </c>
      <c r="P1" s="66" t="s">
        <v>13</v>
      </c>
      <c r="Q1" s="18" t="s">
        <v>14</v>
      </c>
      <c r="R1" s="66" t="s">
        <v>15</v>
      </c>
      <c r="S1" s="18" t="s">
        <v>16</v>
      </c>
      <c r="T1" s="66" t="s">
        <v>17</v>
      </c>
      <c r="U1" s="18" t="s">
        <v>18</v>
      </c>
      <c r="V1" s="66" t="s">
        <v>19</v>
      </c>
      <c r="W1" s="18" t="s">
        <v>20</v>
      </c>
      <c r="X1" s="66" t="s">
        <v>21</v>
      </c>
      <c r="Y1" s="18" t="s">
        <v>22</v>
      </c>
      <c r="Z1" s="66" t="s">
        <v>23</v>
      </c>
      <c r="AA1" s="18" t="s">
        <v>24</v>
      </c>
      <c r="AB1" s="66" t="s">
        <v>25</v>
      </c>
      <c r="AC1" s="18" t="s">
        <v>26</v>
      </c>
      <c r="AD1" s="66" t="s">
        <v>27</v>
      </c>
      <c r="AE1" s="21" t="s">
        <v>28</v>
      </c>
      <c r="AF1" s="66" t="s">
        <v>29</v>
      </c>
      <c r="AG1" s="21" t="s">
        <v>30</v>
      </c>
      <c r="AH1" s="66" t="s">
        <v>31</v>
      </c>
      <c r="AI1" s="18" t="s">
        <v>32</v>
      </c>
      <c r="AJ1" s="66" t="s">
        <v>33</v>
      </c>
      <c r="AK1" s="18" t="s">
        <v>34</v>
      </c>
      <c r="AL1" s="66" t="s">
        <v>35</v>
      </c>
      <c r="AM1" s="18" t="s">
        <v>36</v>
      </c>
      <c r="AN1" s="66" t="s">
        <v>37</v>
      </c>
      <c r="AO1" s="18" t="s">
        <v>38</v>
      </c>
      <c r="AP1" s="66" t="s">
        <v>39</v>
      </c>
      <c r="AQ1" s="18" t="s">
        <v>40</v>
      </c>
      <c r="AR1" s="66" t="s">
        <v>41</v>
      </c>
      <c r="AS1" s="18" t="s">
        <v>42</v>
      </c>
      <c r="AT1" s="66" t="s">
        <v>43</v>
      </c>
      <c r="AU1" s="18" t="s">
        <v>44</v>
      </c>
      <c r="AV1" s="66" t="s">
        <v>45</v>
      </c>
      <c r="AW1" s="18" t="s">
        <v>46</v>
      </c>
      <c r="AX1" s="66" t="s">
        <v>47</v>
      </c>
      <c r="AY1" s="18" t="s">
        <v>48</v>
      </c>
      <c r="AZ1" s="66" t="s">
        <v>49</v>
      </c>
      <c r="BA1" s="18" t="s">
        <v>50</v>
      </c>
      <c r="BB1" s="66" t="s">
        <v>51</v>
      </c>
      <c r="BC1" s="18" t="s">
        <v>52</v>
      </c>
      <c r="BD1" s="66" t="s">
        <v>53</v>
      </c>
      <c r="BE1" s="18" t="s">
        <v>54</v>
      </c>
      <c r="BF1" s="66" t="s">
        <v>55</v>
      </c>
      <c r="BG1" s="18" t="s">
        <v>56</v>
      </c>
      <c r="BH1" s="66" t="s">
        <v>57</v>
      </c>
      <c r="BI1" s="18" t="s">
        <v>58</v>
      </c>
      <c r="BJ1" s="66" t="s">
        <v>59</v>
      </c>
      <c r="BK1" s="18" t="s">
        <v>60</v>
      </c>
      <c r="BL1" s="66" t="s">
        <v>61</v>
      </c>
      <c r="BM1" s="18" t="s">
        <v>62</v>
      </c>
      <c r="BN1" s="66" t="s">
        <v>63</v>
      </c>
      <c r="BO1" s="18" t="s">
        <v>64</v>
      </c>
      <c r="BP1" s="66" t="s">
        <v>65</v>
      </c>
      <c r="BQ1" s="18" t="s">
        <v>66</v>
      </c>
      <c r="BR1" s="66" t="s">
        <v>67</v>
      </c>
      <c r="BS1" s="18" t="s">
        <v>68</v>
      </c>
      <c r="BT1" s="66" t="s">
        <v>69</v>
      </c>
      <c r="BU1" s="3" t="s">
        <v>72</v>
      </c>
    </row>
    <row r="2" spans="1:73" ht="15.75" thickTop="1" x14ac:dyDescent="0.25">
      <c r="A2" s="22"/>
      <c r="B2" s="23"/>
      <c r="C2" s="23"/>
      <c r="D2" s="24"/>
      <c r="E2" s="23"/>
      <c r="F2" s="24"/>
      <c r="G2" s="23"/>
      <c r="H2" s="67"/>
      <c r="I2" s="58"/>
      <c r="J2" s="67"/>
      <c r="K2" s="58"/>
      <c r="L2" s="67"/>
      <c r="M2" s="59"/>
      <c r="N2" s="67"/>
      <c r="O2" s="60"/>
      <c r="P2" s="67"/>
      <c r="Q2" s="58"/>
      <c r="R2" s="67"/>
      <c r="S2" s="61"/>
      <c r="T2" s="67"/>
      <c r="U2" s="58"/>
      <c r="V2" s="67"/>
      <c r="W2" s="59"/>
      <c r="X2" s="67"/>
      <c r="Y2" s="58"/>
      <c r="Z2" s="67"/>
      <c r="AA2" s="58"/>
      <c r="AB2" s="67"/>
      <c r="AC2" s="58"/>
      <c r="AD2" s="67"/>
      <c r="AE2" s="59"/>
      <c r="AF2" s="67"/>
      <c r="AG2" s="59"/>
      <c r="AH2" s="67"/>
      <c r="AI2" s="58"/>
      <c r="AJ2" s="67"/>
      <c r="AK2" s="58"/>
      <c r="AL2" s="67"/>
      <c r="AM2" s="58"/>
      <c r="AN2" s="67"/>
      <c r="AO2" s="58"/>
      <c r="AP2" s="67"/>
      <c r="AQ2" s="58"/>
      <c r="AR2" s="67"/>
      <c r="AS2" s="58"/>
      <c r="AT2" s="67"/>
      <c r="AU2" s="58"/>
      <c r="AV2" s="67"/>
      <c r="AW2" s="58"/>
      <c r="AX2" s="67"/>
      <c r="AY2" s="58"/>
      <c r="AZ2" s="67"/>
      <c r="BA2" s="58"/>
      <c r="BB2" s="67"/>
      <c r="BC2" s="58"/>
      <c r="BD2" s="67"/>
      <c r="BE2" s="58"/>
      <c r="BF2" s="67"/>
      <c r="BG2" s="58"/>
      <c r="BH2" s="67"/>
      <c r="BI2" s="58"/>
      <c r="BJ2" s="67"/>
      <c r="BK2" s="58"/>
      <c r="BL2" s="67"/>
      <c r="BM2" s="58"/>
      <c r="BN2" s="67"/>
      <c r="BO2" s="58"/>
      <c r="BP2" s="67"/>
      <c r="BQ2" s="58"/>
      <c r="BR2" s="67"/>
      <c r="BS2" s="58"/>
      <c r="BT2" s="67"/>
      <c r="BU2" t="b">
        <f>NOT(AND(BR2="",BP2="",BN2="",BL2="",BJ2="",BH2="",BF2="",BD2="",BB2="",AZ2="",AX2="",AV2="",AT2="",AR2="",AP2="",AN2="",AL2="",AJ2="",AH2="",AF2="",AD2="",AB2="",Z2="",X2="",V2="",T2="",R2="",P2="",N2="", L2="",J2=""))</f>
        <v>0</v>
      </c>
    </row>
    <row r="3" spans="1:73" x14ac:dyDescent="0.25">
      <c r="A3" s="25"/>
      <c r="B3" s="26"/>
      <c r="C3" s="26"/>
      <c r="D3" s="27"/>
      <c r="E3" s="26"/>
      <c r="F3" s="27"/>
      <c r="G3" s="26"/>
      <c r="H3" s="68"/>
      <c r="I3" s="62"/>
      <c r="J3" s="68"/>
      <c r="K3" s="62"/>
      <c r="L3" s="68"/>
      <c r="M3" s="63"/>
      <c r="N3" s="68"/>
      <c r="O3" s="60"/>
      <c r="P3" s="68"/>
      <c r="Q3" s="62"/>
      <c r="R3" s="68"/>
      <c r="S3" s="62"/>
      <c r="T3" s="68"/>
      <c r="U3" s="62"/>
      <c r="V3" s="68"/>
      <c r="W3" s="63"/>
      <c r="X3" s="68"/>
      <c r="Y3" s="62"/>
      <c r="Z3" s="68"/>
      <c r="AA3" s="62"/>
      <c r="AB3" s="68"/>
      <c r="AC3" s="62"/>
      <c r="AD3" s="68"/>
      <c r="AE3" s="63"/>
      <c r="AF3" s="68"/>
      <c r="AG3" s="63"/>
      <c r="AH3" s="68"/>
      <c r="AI3" s="62"/>
      <c r="AJ3" s="68"/>
      <c r="AK3" s="62"/>
      <c r="AL3" s="68"/>
      <c r="AM3" s="62"/>
      <c r="AN3" s="68"/>
      <c r="AO3" s="62"/>
      <c r="AP3" s="68"/>
      <c r="AQ3" s="62"/>
      <c r="AR3" s="68"/>
      <c r="AS3" s="62"/>
      <c r="AT3" s="68"/>
      <c r="AU3" s="62"/>
      <c r="AV3" s="68"/>
      <c r="AW3" s="62"/>
      <c r="AX3" s="68"/>
      <c r="AY3" s="62"/>
      <c r="AZ3" s="68"/>
      <c r="BA3" s="62"/>
      <c r="BB3" s="68"/>
      <c r="BC3" s="62"/>
      <c r="BD3" s="68"/>
      <c r="BE3" s="62"/>
      <c r="BF3" s="68"/>
      <c r="BG3" s="62"/>
      <c r="BH3" s="68"/>
      <c r="BI3" s="62"/>
      <c r="BJ3" s="68"/>
      <c r="BK3" s="62"/>
      <c r="BL3" s="68"/>
      <c r="BM3" s="62"/>
      <c r="BN3" s="68"/>
      <c r="BO3" s="62"/>
      <c r="BP3" s="68"/>
      <c r="BQ3" s="62"/>
      <c r="BR3" s="68"/>
      <c r="BS3" s="62"/>
      <c r="BT3" s="68"/>
      <c r="BU3" t="b">
        <f t="shared" ref="BU3:BU66" si="0">NOT(AND(BR3="",BP3="",BN3="",BL3="",BJ3="",BH3="",BF3="",BD3="",BB3="",AZ3="",AX3="",AV3="",AT3="",AR3="",AP3="",AN3="",AL3="",AJ3="",AH3="",AF3="",AD3="",AB3="",Z3="",X3="",V3="",T3="",R3="",P3="",N3="", L3="",J3=""))</f>
        <v>0</v>
      </c>
    </row>
    <row r="4" spans="1:73" x14ac:dyDescent="0.25">
      <c r="A4" s="28"/>
      <c r="B4" s="29"/>
      <c r="C4" s="29"/>
      <c r="D4" s="30"/>
      <c r="E4" s="29"/>
      <c r="F4" s="30"/>
      <c r="G4" s="29"/>
      <c r="H4" s="69"/>
      <c r="I4" s="64"/>
      <c r="J4" s="69"/>
      <c r="K4" s="64"/>
      <c r="L4" s="69"/>
      <c r="M4" s="65"/>
      <c r="N4" s="69"/>
      <c r="O4" s="64"/>
      <c r="P4" s="69"/>
      <c r="Q4" s="64"/>
      <c r="R4" s="69"/>
      <c r="S4" s="64"/>
      <c r="T4" s="69"/>
      <c r="U4" s="64"/>
      <c r="V4" s="69"/>
      <c r="W4" s="65"/>
      <c r="X4" s="69"/>
      <c r="Y4" s="64"/>
      <c r="Z4" s="69"/>
      <c r="AA4" s="64"/>
      <c r="AB4" s="69"/>
      <c r="AC4" s="64"/>
      <c r="AD4" s="69"/>
      <c r="AE4" s="65"/>
      <c r="AF4" s="69"/>
      <c r="AG4" s="65"/>
      <c r="AH4" s="69"/>
      <c r="AI4" s="64"/>
      <c r="AJ4" s="69"/>
      <c r="AK4" s="64"/>
      <c r="AL4" s="69"/>
      <c r="AM4" s="64"/>
      <c r="AN4" s="69"/>
      <c r="AO4" s="64"/>
      <c r="AP4" s="69"/>
      <c r="AQ4" s="64"/>
      <c r="AR4" s="69"/>
      <c r="AS4" s="64"/>
      <c r="AT4" s="69"/>
      <c r="AU4" s="64"/>
      <c r="AV4" s="69"/>
      <c r="AW4" s="64"/>
      <c r="AX4" s="69"/>
      <c r="AY4" s="64"/>
      <c r="AZ4" s="69"/>
      <c r="BA4" s="64"/>
      <c r="BB4" s="69"/>
      <c r="BC4" s="64"/>
      <c r="BD4" s="69"/>
      <c r="BE4" s="64"/>
      <c r="BF4" s="69"/>
      <c r="BG4" s="64"/>
      <c r="BH4" s="69"/>
      <c r="BI4" s="64"/>
      <c r="BJ4" s="69"/>
      <c r="BK4" s="64"/>
      <c r="BL4" s="69"/>
      <c r="BM4" s="64"/>
      <c r="BN4" s="69"/>
      <c r="BO4" s="64"/>
      <c r="BP4" s="69"/>
      <c r="BQ4" s="64"/>
      <c r="BR4" s="69"/>
      <c r="BS4" s="64"/>
      <c r="BT4" s="69"/>
      <c r="BU4" t="b">
        <f t="shared" si="0"/>
        <v>0</v>
      </c>
    </row>
    <row r="5" spans="1:73" x14ac:dyDescent="0.25">
      <c r="A5" s="25"/>
      <c r="B5" s="26"/>
      <c r="C5" s="26"/>
      <c r="D5" s="27"/>
      <c r="E5" s="26"/>
      <c r="F5" s="27"/>
      <c r="G5" s="26"/>
      <c r="H5" s="68"/>
      <c r="I5" s="62"/>
      <c r="J5" s="68"/>
      <c r="K5" s="62"/>
      <c r="L5" s="68"/>
      <c r="M5" s="63"/>
      <c r="N5" s="68"/>
      <c r="O5" s="62"/>
      <c r="P5" s="68"/>
      <c r="Q5" s="62"/>
      <c r="R5" s="68"/>
      <c r="S5" s="62"/>
      <c r="T5" s="68"/>
      <c r="U5" s="62"/>
      <c r="V5" s="68"/>
      <c r="W5" s="63"/>
      <c r="X5" s="68"/>
      <c r="Y5" s="62"/>
      <c r="Z5" s="68"/>
      <c r="AA5" s="62"/>
      <c r="AB5" s="68"/>
      <c r="AC5" s="62"/>
      <c r="AD5" s="68"/>
      <c r="AE5" s="63"/>
      <c r="AF5" s="68"/>
      <c r="AG5" s="63"/>
      <c r="AH5" s="68"/>
      <c r="AI5" s="62"/>
      <c r="AJ5" s="68"/>
      <c r="AK5" s="62"/>
      <c r="AL5" s="68"/>
      <c r="AM5" s="62"/>
      <c r="AN5" s="68"/>
      <c r="AO5" s="62"/>
      <c r="AP5" s="68"/>
      <c r="AQ5" s="62"/>
      <c r="AR5" s="68"/>
      <c r="AS5" s="62"/>
      <c r="AT5" s="68"/>
      <c r="AU5" s="62"/>
      <c r="AV5" s="68"/>
      <c r="AW5" s="62"/>
      <c r="AX5" s="68"/>
      <c r="AY5" s="62"/>
      <c r="AZ5" s="68"/>
      <c r="BA5" s="62"/>
      <c r="BB5" s="68"/>
      <c r="BC5" s="62"/>
      <c r="BD5" s="68"/>
      <c r="BE5" s="62"/>
      <c r="BF5" s="68"/>
      <c r="BG5" s="62"/>
      <c r="BH5" s="68"/>
      <c r="BI5" s="62"/>
      <c r="BJ5" s="68"/>
      <c r="BK5" s="62"/>
      <c r="BL5" s="68"/>
      <c r="BM5" s="62"/>
      <c r="BN5" s="68"/>
      <c r="BO5" s="62"/>
      <c r="BP5" s="68"/>
      <c r="BQ5" s="62"/>
      <c r="BR5" s="68"/>
      <c r="BS5" s="62"/>
      <c r="BT5" s="68"/>
      <c r="BU5" t="b">
        <f t="shared" si="0"/>
        <v>0</v>
      </c>
    </row>
    <row r="6" spans="1:73" x14ac:dyDescent="0.25">
      <c r="A6" s="28"/>
      <c r="B6" s="29"/>
      <c r="C6" s="29"/>
      <c r="D6" s="30"/>
      <c r="E6" s="29"/>
      <c r="F6" s="30"/>
      <c r="G6" s="29"/>
      <c r="H6" s="69"/>
      <c r="I6" s="64"/>
      <c r="J6" s="69"/>
      <c r="K6" s="64"/>
      <c r="L6" s="69"/>
      <c r="M6" s="65"/>
      <c r="N6" s="69"/>
      <c r="O6" s="64"/>
      <c r="P6" s="69"/>
      <c r="Q6" s="64"/>
      <c r="R6" s="69"/>
      <c r="S6" s="64"/>
      <c r="T6" s="69"/>
      <c r="U6" s="64"/>
      <c r="V6" s="69"/>
      <c r="W6" s="65"/>
      <c r="X6" s="69"/>
      <c r="Y6" s="64"/>
      <c r="Z6" s="69"/>
      <c r="AA6" s="64"/>
      <c r="AB6" s="69"/>
      <c r="AC6" s="64"/>
      <c r="AD6" s="69"/>
      <c r="AE6" s="65"/>
      <c r="AF6" s="69"/>
      <c r="AG6" s="65"/>
      <c r="AH6" s="69"/>
      <c r="AI6" s="64"/>
      <c r="AJ6" s="69"/>
      <c r="AK6" s="64"/>
      <c r="AL6" s="69"/>
      <c r="AM6" s="64"/>
      <c r="AN6" s="69"/>
      <c r="AO6" s="64"/>
      <c r="AP6" s="69"/>
      <c r="AQ6" s="64"/>
      <c r="AR6" s="69"/>
      <c r="AS6" s="64"/>
      <c r="AT6" s="69"/>
      <c r="AU6" s="64"/>
      <c r="AV6" s="69"/>
      <c r="AW6" s="64"/>
      <c r="AX6" s="69"/>
      <c r="AY6" s="64"/>
      <c r="AZ6" s="69"/>
      <c r="BA6" s="64"/>
      <c r="BB6" s="69"/>
      <c r="BC6" s="64"/>
      <c r="BD6" s="69"/>
      <c r="BE6" s="64"/>
      <c r="BF6" s="69"/>
      <c r="BG6" s="64"/>
      <c r="BH6" s="69"/>
      <c r="BI6" s="64"/>
      <c r="BJ6" s="69"/>
      <c r="BK6" s="64"/>
      <c r="BL6" s="69"/>
      <c r="BM6" s="64"/>
      <c r="BN6" s="69"/>
      <c r="BO6" s="64"/>
      <c r="BP6" s="69"/>
      <c r="BQ6" s="64"/>
      <c r="BR6" s="69"/>
      <c r="BS6" s="64"/>
      <c r="BT6" s="69"/>
      <c r="BU6" t="b">
        <f t="shared" si="0"/>
        <v>0</v>
      </c>
    </row>
    <row r="7" spans="1:73" x14ac:dyDescent="0.25">
      <c r="A7" s="25"/>
      <c r="B7" s="26"/>
      <c r="C7" s="26"/>
      <c r="D7" s="27"/>
      <c r="E7" s="26"/>
      <c r="F7" s="27"/>
      <c r="G7" s="26"/>
      <c r="H7" s="68"/>
      <c r="I7" s="62"/>
      <c r="J7" s="68"/>
      <c r="K7" s="62"/>
      <c r="L7" s="68"/>
      <c r="M7" s="63"/>
      <c r="N7" s="68"/>
      <c r="O7" s="62"/>
      <c r="P7" s="68"/>
      <c r="Q7" s="62"/>
      <c r="R7" s="68"/>
      <c r="S7" s="62"/>
      <c r="T7" s="68"/>
      <c r="U7" s="62"/>
      <c r="V7" s="68"/>
      <c r="W7" s="63"/>
      <c r="X7" s="68"/>
      <c r="Y7" s="62"/>
      <c r="Z7" s="68"/>
      <c r="AA7" s="62"/>
      <c r="AB7" s="68"/>
      <c r="AC7" s="62"/>
      <c r="AD7" s="68"/>
      <c r="AE7" s="63"/>
      <c r="AF7" s="68"/>
      <c r="AG7" s="63"/>
      <c r="AH7" s="68"/>
      <c r="AI7" s="62"/>
      <c r="AJ7" s="68"/>
      <c r="AK7" s="62"/>
      <c r="AL7" s="68"/>
      <c r="AM7" s="62"/>
      <c r="AN7" s="68"/>
      <c r="AO7" s="62"/>
      <c r="AP7" s="68"/>
      <c r="AQ7" s="62"/>
      <c r="AR7" s="68"/>
      <c r="AS7" s="62"/>
      <c r="AT7" s="68"/>
      <c r="AU7" s="62"/>
      <c r="AV7" s="68"/>
      <c r="AW7" s="62"/>
      <c r="AX7" s="68"/>
      <c r="AY7" s="62"/>
      <c r="AZ7" s="68"/>
      <c r="BA7" s="62"/>
      <c r="BB7" s="68"/>
      <c r="BC7" s="62"/>
      <c r="BD7" s="68"/>
      <c r="BE7" s="62"/>
      <c r="BF7" s="68"/>
      <c r="BG7" s="62"/>
      <c r="BH7" s="68"/>
      <c r="BI7" s="62"/>
      <c r="BJ7" s="68"/>
      <c r="BK7" s="62"/>
      <c r="BL7" s="68"/>
      <c r="BM7" s="62"/>
      <c r="BN7" s="68"/>
      <c r="BO7" s="62"/>
      <c r="BP7" s="68"/>
      <c r="BQ7" s="62"/>
      <c r="BR7" s="68"/>
      <c r="BS7" s="62"/>
      <c r="BT7" s="68"/>
      <c r="BU7" t="b">
        <f t="shared" si="0"/>
        <v>0</v>
      </c>
    </row>
    <row r="8" spans="1:73" x14ac:dyDescent="0.25">
      <c r="A8" s="28"/>
      <c r="B8" s="29"/>
      <c r="C8" s="29"/>
      <c r="D8" s="30"/>
      <c r="E8" s="29"/>
      <c r="F8" s="30"/>
      <c r="G8" s="29"/>
      <c r="H8" s="69"/>
      <c r="I8" s="64"/>
      <c r="J8" s="69"/>
      <c r="K8" s="64"/>
      <c r="L8" s="69"/>
      <c r="M8" s="65"/>
      <c r="N8" s="69"/>
      <c r="O8" s="64"/>
      <c r="P8" s="69"/>
      <c r="Q8" s="64"/>
      <c r="R8" s="69"/>
      <c r="S8" s="64"/>
      <c r="T8" s="69"/>
      <c r="U8" s="64"/>
      <c r="V8" s="69"/>
      <c r="W8" s="65"/>
      <c r="X8" s="69"/>
      <c r="Y8" s="64"/>
      <c r="Z8" s="69"/>
      <c r="AA8" s="64"/>
      <c r="AB8" s="69"/>
      <c r="AC8" s="64"/>
      <c r="AD8" s="69"/>
      <c r="AE8" s="65"/>
      <c r="AF8" s="69"/>
      <c r="AG8" s="65"/>
      <c r="AH8" s="69"/>
      <c r="AI8" s="64"/>
      <c r="AJ8" s="69"/>
      <c r="AK8" s="64"/>
      <c r="AL8" s="69"/>
      <c r="AM8" s="64"/>
      <c r="AN8" s="69"/>
      <c r="AO8" s="64"/>
      <c r="AP8" s="69"/>
      <c r="AQ8" s="64"/>
      <c r="AR8" s="69"/>
      <c r="AS8" s="64"/>
      <c r="AT8" s="69"/>
      <c r="AU8" s="64"/>
      <c r="AV8" s="69"/>
      <c r="AW8" s="64"/>
      <c r="AX8" s="69"/>
      <c r="AY8" s="64"/>
      <c r="AZ8" s="69"/>
      <c r="BA8" s="64"/>
      <c r="BB8" s="69"/>
      <c r="BC8" s="64"/>
      <c r="BD8" s="69"/>
      <c r="BE8" s="64"/>
      <c r="BF8" s="69"/>
      <c r="BG8" s="64"/>
      <c r="BH8" s="69"/>
      <c r="BI8" s="64"/>
      <c r="BJ8" s="69"/>
      <c r="BK8" s="64"/>
      <c r="BL8" s="69"/>
      <c r="BM8" s="64"/>
      <c r="BN8" s="69"/>
      <c r="BO8" s="64"/>
      <c r="BP8" s="69"/>
      <c r="BQ8" s="64"/>
      <c r="BR8" s="69"/>
      <c r="BS8" s="64"/>
      <c r="BT8" s="69"/>
      <c r="BU8" t="b">
        <f t="shared" si="0"/>
        <v>0</v>
      </c>
    </row>
    <row r="9" spans="1:73" x14ac:dyDescent="0.25">
      <c r="A9" s="25"/>
      <c r="B9" s="26"/>
      <c r="C9" s="26"/>
      <c r="D9" s="27"/>
      <c r="E9" s="26"/>
      <c r="F9" s="27"/>
      <c r="G9" s="26"/>
      <c r="H9" s="68"/>
      <c r="I9" s="62"/>
      <c r="J9" s="68"/>
      <c r="K9" s="62"/>
      <c r="L9" s="68"/>
      <c r="M9" s="63"/>
      <c r="N9" s="68"/>
      <c r="O9" s="62"/>
      <c r="P9" s="68"/>
      <c r="Q9" s="62"/>
      <c r="R9" s="68"/>
      <c r="S9" s="62"/>
      <c r="T9" s="68"/>
      <c r="U9" s="62"/>
      <c r="V9" s="68"/>
      <c r="W9" s="63"/>
      <c r="X9" s="68"/>
      <c r="Y9" s="62"/>
      <c r="Z9" s="68"/>
      <c r="AA9" s="62"/>
      <c r="AB9" s="68"/>
      <c r="AC9" s="62"/>
      <c r="AD9" s="68"/>
      <c r="AE9" s="63"/>
      <c r="AF9" s="68"/>
      <c r="AG9" s="63"/>
      <c r="AH9" s="68"/>
      <c r="AI9" s="62"/>
      <c r="AJ9" s="68"/>
      <c r="AK9" s="62"/>
      <c r="AL9" s="68"/>
      <c r="AM9" s="62"/>
      <c r="AN9" s="68"/>
      <c r="AO9" s="62"/>
      <c r="AP9" s="68"/>
      <c r="AQ9" s="62"/>
      <c r="AR9" s="68"/>
      <c r="AS9" s="62"/>
      <c r="AT9" s="68"/>
      <c r="AU9" s="62"/>
      <c r="AV9" s="68"/>
      <c r="AW9" s="62"/>
      <c r="AX9" s="68"/>
      <c r="AY9" s="62"/>
      <c r="AZ9" s="68"/>
      <c r="BA9" s="62"/>
      <c r="BB9" s="68"/>
      <c r="BC9" s="62"/>
      <c r="BD9" s="68"/>
      <c r="BE9" s="62"/>
      <c r="BF9" s="68"/>
      <c r="BG9" s="62"/>
      <c r="BH9" s="68"/>
      <c r="BI9" s="62"/>
      <c r="BJ9" s="68"/>
      <c r="BK9" s="62"/>
      <c r="BL9" s="68"/>
      <c r="BM9" s="62"/>
      <c r="BN9" s="68"/>
      <c r="BO9" s="62"/>
      <c r="BP9" s="68"/>
      <c r="BQ9" s="62"/>
      <c r="BR9" s="68"/>
      <c r="BS9" s="62"/>
      <c r="BT9" s="68"/>
      <c r="BU9" t="b">
        <f t="shared" si="0"/>
        <v>0</v>
      </c>
    </row>
    <row r="10" spans="1:73" x14ac:dyDescent="0.25">
      <c r="A10" s="28"/>
      <c r="B10" s="29"/>
      <c r="C10" s="29"/>
      <c r="D10" s="30"/>
      <c r="E10" s="29"/>
      <c r="F10" s="30"/>
      <c r="G10" s="29"/>
      <c r="H10" s="69"/>
      <c r="I10" s="64"/>
      <c r="J10" s="69"/>
      <c r="K10" s="64"/>
      <c r="L10" s="69"/>
      <c r="M10" s="65"/>
      <c r="N10" s="69"/>
      <c r="O10" s="64"/>
      <c r="P10" s="69"/>
      <c r="Q10" s="64"/>
      <c r="R10" s="69"/>
      <c r="S10" s="64"/>
      <c r="T10" s="69"/>
      <c r="U10" s="64"/>
      <c r="V10" s="69"/>
      <c r="W10" s="65"/>
      <c r="X10" s="69"/>
      <c r="Y10" s="64"/>
      <c r="Z10" s="69"/>
      <c r="AA10" s="64"/>
      <c r="AB10" s="69"/>
      <c r="AC10" s="64"/>
      <c r="AD10" s="69"/>
      <c r="AE10" s="65"/>
      <c r="AF10" s="69"/>
      <c r="AG10" s="65"/>
      <c r="AH10" s="69"/>
      <c r="AI10" s="64"/>
      <c r="AJ10" s="69"/>
      <c r="AK10" s="64"/>
      <c r="AL10" s="69"/>
      <c r="AM10" s="64"/>
      <c r="AN10" s="69"/>
      <c r="AO10" s="64"/>
      <c r="AP10" s="69"/>
      <c r="AQ10" s="64"/>
      <c r="AR10" s="69"/>
      <c r="AS10" s="64"/>
      <c r="AT10" s="69"/>
      <c r="AU10" s="64"/>
      <c r="AV10" s="69"/>
      <c r="AW10" s="64"/>
      <c r="AX10" s="69"/>
      <c r="AY10" s="64"/>
      <c r="AZ10" s="69"/>
      <c r="BA10" s="64"/>
      <c r="BB10" s="69"/>
      <c r="BC10" s="64"/>
      <c r="BD10" s="69"/>
      <c r="BE10" s="64"/>
      <c r="BF10" s="69"/>
      <c r="BG10" s="64"/>
      <c r="BH10" s="69"/>
      <c r="BI10" s="64"/>
      <c r="BJ10" s="69"/>
      <c r="BK10" s="64"/>
      <c r="BL10" s="69"/>
      <c r="BM10" s="64"/>
      <c r="BN10" s="69"/>
      <c r="BO10" s="64"/>
      <c r="BP10" s="69"/>
      <c r="BQ10" s="64"/>
      <c r="BR10" s="69"/>
      <c r="BS10" s="64"/>
      <c r="BT10" s="69"/>
      <c r="BU10" t="b">
        <f t="shared" si="0"/>
        <v>0</v>
      </c>
    </row>
    <row r="11" spans="1:73" x14ac:dyDescent="0.25">
      <c r="A11" s="25"/>
      <c r="B11" s="26"/>
      <c r="C11" s="26"/>
      <c r="D11" s="27"/>
      <c r="E11" s="26"/>
      <c r="F11" s="27"/>
      <c r="G11" s="26"/>
      <c r="H11" s="68"/>
      <c r="I11" s="62"/>
      <c r="J11" s="68"/>
      <c r="K11" s="62"/>
      <c r="L11" s="68"/>
      <c r="M11" s="63"/>
      <c r="N11" s="68"/>
      <c r="O11" s="62"/>
      <c r="P11" s="68"/>
      <c r="Q11" s="62"/>
      <c r="R11" s="68"/>
      <c r="S11" s="62"/>
      <c r="T11" s="68"/>
      <c r="U11" s="62"/>
      <c r="V11" s="68"/>
      <c r="W11" s="63"/>
      <c r="X11" s="68"/>
      <c r="Y11" s="62"/>
      <c r="Z11" s="68"/>
      <c r="AA11" s="62"/>
      <c r="AB11" s="68"/>
      <c r="AC11" s="62"/>
      <c r="AD11" s="68"/>
      <c r="AE11" s="63"/>
      <c r="AF11" s="68"/>
      <c r="AG11" s="63"/>
      <c r="AH11" s="68"/>
      <c r="AI11" s="62"/>
      <c r="AJ11" s="68"/>
      <c r="AK11" s="62"/>
      <c r="AL11" s="68"/>
      <c r="AM11" s="62"/>
      <c r="AN11" s="68"/>
      <c r="AO11" s="62"/>
      <c r="AP11" s="68"/>
      <c r="AQ11" s="62"/>
      <c r="AR11" s="68"/>
      <c r="AS11" s="62"/>
      <c r="AT11" s="68"/>
      <c r="AU11" s="62"/>
      <c r="AV11" s="68"/>
      <c r="AW11" s="62"/>
      <c r="AX11" s="68"/>
      <c r="AY11" s="62"/>
      <c r="AZ11" s="68"/>
      <c r="BA11" s="62"/>
      <c r="BB11" s="68"/>
      <c r="BC11" s="62"/>
      <c r="BD11" s="68"/>
      <c r="BE11" s="62"/>
      <c r="BF11" s="68"/>
      <c r="BG11" s="62"/>
      <c r="BH11" s="68"/>
      <c r="BI11" s="62"/>
      <c r="BJ11" s="68"/>
      <c r="BK11" s="62"/>
      <c r="BL11" s="68"/>
      <c r="BM11" s="62"/>
      <c r="BN11" s="68"/>
      <c r="BO11" s="62"/>
      <c r="BP11" s="68"/>
      <c r="BQ11" s="62"/>
      <c r="BR11" s="68"/>
      <c r="BS11" s="62"/>
      <c r="BT11" s="68"/>
      <c r="BU11" t="b">
        <f t="shared" si="0"/>
        <v>0</v>
      </c>
    </row>
    <row r="12" spans="1:73" x14ac:dyDescent="0.25">
      <c r="A12" s="28"/>
      <c r="B12" s="29"/>
      <c r="C12" s="29"/>
      <c r="D12" s="30"/>
      <c r="E12" s="29"/>
      <c r="F12" s="30"/>
      <c r="G12" s="29"/>
      <c r="H12" s="69"/>
      <c r="I12" s="64"/>
      <c r="J12" s="69"/>
      <c r="K12" s="64"/>
      <c r="L12" s="69"/>
      <c r="M12" s="65"/>
      <c r="N12" s="69"/>
      <c r="O12" s="64"/>
      <c r="P12" s="69"/>
      <c r="Q12" s="64"/>
      <c r="R12" s="69"/>
      <c r="S12" s="64"/>
      <c r="T12" s="69"/>
      <c r="U12" s="64"/>
      <c r="V12" s="69"/>
      <c r="W12" s="65"/>
      <c r="X12" s="69"/>
      <c r="Y12" s="64"/>
      <c r="Z12" s="69"/>
      <c r="AA12" s="64"/>
      <c r="AB12" s="69"/>
      <c r="AC12" s="64"/>
      <c r="AD12" s="69"/>
      <c r="AE12" s="65"/>
      <c r="AF12" s="69"/>
      <c r="AG12" s="65"/>
      <c r="AH12" s="69"/>
      <c r="AI12" s="64"/>
      <c r="AJ12" s="69"/>
      <c r="AK12" s="64"/>
      <c r="AL12" s="69"/>
      <c r="AM12" s="64"/>
      <c r="AN12" s="69"/>
      <c r="AO12" s="64"/>
      <c r="AP12" s="69"/>
      <c r="AQ12" s="64"/>
      <c r="AR12" s="69"/>
      <c r="AS12" s="64"/>
      <c r="AT12" s="69"/>
      <c r="AU12" s="64"/>
      <c r="AV12" s="69"/>
      <c r="AW12" s="64"/>
      <c r="AX12" s="69"/>
      <c r="AY12" s="64"/>
      <c r="AZ12" s="69"/>
      <c r="BA12" s="64"/>
      <c r="BB12" s="69"/>
      <c r="BC12" s="64"/>
      <c r="BD12" s="69"/>
      <c r="BE12" s="64"/>
      <c r="BF12" s="69"/>
      <c r="BG12" s="64"/>
      <c r="BH12" s="69"/>
      <c r="BI12" s="64"/>
      <c r="BJ12" s="69"/>
      <c r="BK12" s="64"/>
      <c r="BL12" s="69"/>
      <c r="BM12" s="64"/>
      <c r="BN12" s="69"/>
      <c r="BO12" s="64"/>
      <c r="BP12" s="69"/>
      <c r="BQ12" s="64"/>
      <c r="BR12" s="69"/>
      <c r="BS12" s="64"/>
      <c r="BT12" s="69"/>
      <c r="BU12" t="b">
        <f t="shared" si="0"/>
        <v>0</v>
      </c>
    </row>
    <row r="13" spans="1:73" x14ac:dyDescent="0.25">
      <c r="A13" s="25"/>
      <c r="B13" s="26"/>
      <c r="C13" s="26"/>
      <c r="D13" s="27"/>
      <c r="E13" s="26"/>
      <c r="F13" s="27"/>
      <c r="G13" s="26"/>
      <c r="H13" s="68"/>
      <c r="I13" s="62"/>
      <c r="J13" s="68"/>
      <c r="K13" s="62"/>
      <c r="L13" s="68"/>
      <c r="M13" s="63"/>
      <c r="N13" s="68"/>
      <c r="O13" s="62"/>
      <c r="P13" s="68"/>
      <c r="Q13" s="62"/>
      <c r="R13" s="68"/>
      <c r="S13" s="62"/>
      <c r="T13" s="68"/>
      <c r="U13" s="62"/>
      <c r="V13" s="68"/>
      <c r="W13" s="63"/>
      <c r="X13" s="68"/>
      <c r="Y13" s="62"/>
      <c r="Z13" s="68"/>
      <c r="AA13" s="62"/>
      <c r="AB13" s="68"/>
      <c r="AC13" s="62"/>
      <c r="AD13" s="68"/>
      <c r="AE13" s="63"/>
      <c r="AF13" s="68"/>
      <c r="AG13" s="63"/>
      <c r="AH13" s="68"/>
      <c r="AI13" s="62"/>
      <c r="AJ13" s="68"/>
      <c r="AK13" s="62"/>
      <c r="AL13" s="68"/>
      <c r="AM13" s="62"/>
      <c r="AN13" s="68"/>
      <c r="AO13" s="62"/>
      <c r="AP13" s="68"/>
      <c r="AQ13" s="62"/>
      <c r="AR13" s="68"/>
      <c r="AS13" s="62"/>
      <c r="AT13" s="68"/>
      <c r="AU13" s="62"/>
      <c r="AV13" s="68"/>
      <c r="AW13" s="62"/>
      <c r="AX13" s="68"/>
      <c r="AY13" s="62"/>
      <c r="AZ13" s="68"/>
      <c r="BA13" s="62"/>
      <c r="BB13" s="68"/>
      <c r="BC13" s="62"/>
      <c r="BD13" s="68"/>
      <c r="BE13" s="62"/>
      <c r="BF13" s="68"/>
      <c r="BG13" s="62"/>
      <c r="BH13" s="68"/>
      <c r="BI13" s="62"/>
      <c r="BJ13" s="68"/>
      <c r="BK13" s="62"/>
      <c r="BL13" s="68"/>
      <c r="BM13" s="62"/>
      <c r="BN13" s="68"/>
      <c r="BO13" s="62"/>
      <c r="BP13" s="68"/>
      <c r="BQ13" s="62"/>
      <c r="BR13" s="68"/>
      <c r="BS13" s="62"/>
      <c r="BT13" s="68"/>
      <c r="BU13" t="b">
        <f t="shared" si="0"/>
        <v>0</v>
      </c>
    </row>
    <row r="14" spans="1:73" x14ac:dyDescent="0.25">
      <c r="A14" s="28"/>
      <c r="B14" s="29"/>
      <c r="C14" s="29"/>
      <c r="D14" s="30"/>
      <c r="E14" s="29"/>
      <c r="F14" s="30"/>
      <c r="G14" s="29"/>
      <c r="H14" s="69"/>
      <c r="I14" s="64"/>
      <c r="J14" s="69"/>
      <c r="K14" s="64"/>
      <c r="L14" s="69"/>
      <c r="M14" s="65"/>
      <c r="N14" s="69"/>
      <c r="O14" s="64"/>
      <c r="P14" s="69"/>
      <c r="Q14" s="64"/>
      <c r="R14" s="69"/>
      <c r="S14" s="64"/>
      <c r="T14" s="69"/>
      <c r="U14" s="64"/>
      <c r="V14" s="69"/>
      <c r="W14" s="65"/>
      <c r="X14" s="69"/>
      <c r="Y14" s="64"/>
      <c r="Z14" s="69"/>
      <c r="AA14" s="64"/>
      <c r="AB14" s="69"/>
      <c r="AC14" s="64"/>
      <c r="AD14" s="69"/>
      <c r="AE14" s="65"/>
      <c r="AF14" s="69"/>
      <c r="AG14" s="65"/>
      <c r="AH14" s="69"/>
      <c r="AI14" s="64"/>
      <c r="AJ14" s="69"/>
      <c r="AK14" s="64"/>
      <c r="AL14" s="69"/>
      <c r="AM14" s="64"/>
      <c r="AN14" s="69"/>
      <c r="AO14" s="64"/>
      <c r="AP14" s="69"/>
      <c r="AQ14" s="64"/>
      <c r="AR14" s="69"/>
      <c r="AS14" s="64"/>
      <c r="AT14" s="69"/>
      <c r="AU14" s="64"/>
      <c r="AV14" s="69"/>
      <c r="AW14" s="64"/>
      <c r="AX14" s="69"/>
      <c r="AY14" s="64"/>
      <c r="AZ14" s="69"/>
      <c r="BA14" s="64"/>
      <c r="BB14" s="69"/>
      <c r="BC14" s="64"/>
      <c r="BD14" s="69"/>
      <c r="BE14" s="64"/>
      <c r="BF14" s="69"/>
      <c r="BG14" s="64"/>
      <c r="BH14" s="69"/>
      <c r="BI14" s="64"/>
      <c r="BJ14" s="69"/>
      <c r="BK14" s="64"/>
      <c r="BL14" s="69"/>
      <c r="BM14" s="64"/>
      <c r="BN14" s="69"/>
      <c r="BO14" s="64"/>
      <c r="BP14" s="69"/>
      <c r="BQ14" s="64"/>
      <c r="BR14" s="69"/>
      <c r="BS14" s="64"/>
      <c r="BT14" s="69"/>
      <c r="BU14" t="b">
        <f t="shared" si="0"/>
        <v>0</v>
      </c>
    </row>
    <row r="15" spans="1:73" x14ac:dyDescent="0.25">
      <c r="A15" s="25"/>
      <c r="B15" s="26"/>
      <c r="C15" s="26"/>
      <c r="D15" s="27"/>
      <c r="E15" s="26"/>
      <c r="F15" s="27"/>
      <c r="G15" s="26"/>
      <c r="H15" s="68"/>
      <c r="I15" s="62"/>
      <c r="J15" s="68"/>
      <c r="K15" s="62"/>
      <c r="L15" s="68"/>
      <c r="M15" s="63"/>
      <c r="N15" s="68"/>
      <c r="O15" s="62"/>
      <c r="P15" s="68"/>
      <c r="Q15" s="62"/>
      <c r="R15" s="68"/>
      <c r="S15" s="62"/>
      <c r="T15" s="68"/>
      <c r="U15" s="62"/>
      <c r="V15" s="68"/>
      <c r="W15" s="63"/>
      <c r="X15" s="68"/>
      <c r="Y15" s="62"/>
      <c r="Z15" s="68"/>
      <c r="AA15" s="62"/>
      <c r="AB15" s="68"/>
      <c r="AC15" s="62"/>
      <c r="AD15" s="68"/>
      <c r="AE15" s="63"/>
      <c r="AF15" s="68"/>
      <c r="AG15" s="63"/>
      <c r="AH15" s="68"/>
      <c r="AI15" s="62"/>
      <c r="AJ15" s="68"/>
      <c r="AK15" s="62"/>
      <c r="AL15" s="68"/>
      <c r="AM15" s="62"/>
      <c r="AN15" s="68"/>
      <c r="AO15" s="62"/>
      <c r="AP15" s="68"/>
      <c r="AQ15" s="62"/>
      <c r="AR15" s="68"/>
      <c r="AS15" s="62"/>
      <c r="AT15" s="68"/>
      <c r="AU15" s="62"/>
      <c r="AV15" s="68"/>
      <c r="AW15" s="62"/>
      <c r="AX15" s="68"/>
      <c r="AY15" s="62"/>
      <c r="AZ15" s="68"/>
      <c r="BA15" s="62"/>
      <c r="BB15" s="68"/>
      <c r="BC15" s="62"/>
      <c r="BD15" s="68"/>
      <c r="BE15" s="62"/>
      <c r="BF15" s="68"/>
      <c r="BG15" s="62"/>
      <c r="BH15" s="68"/>
      <c r="BI15" s="62"/>
      <c r="BJ15" s="68"/>
      <c r="BK15" s="62"/>
      <c r="BL15" s="68"/>
      <c r="BM15" s="62"/>
      <c r="BN15" s="68"/>
      <c r="BO15" s="62"/>
      <c r="BP15" s="68"/>
      <c r="BQ15" s="62"/>
      <c r="BR15" s="68"/>
      <c r="BS15" s="62"/>
      <c r="BT15" s="68"/>
      <c r="BU15" t="b">
        <f t="shared" si="0"/>
        <v>0</v>
      </c>
    </row>
    <row r="16" spans="1:73" x14ac:dyDescent="0.25">
      <c r="A16" s="28"/>
      <c r="B16" s="29"/>
      <c r="C16" s="29"/>
      <c r="D16" s="30"/>
      <c r="E16" s="29"/>
      <c r="F16" s="30"/>
      <c r="G16" s="29"/>
      <c r="H16" s="69"/>
      <c r="I16" s="64"/>
      <c r="J16" s="69"/>
      <c r="K16" s="64"/>
      <c r="L16" s="69"/>
      <c r="M16" s="65"/>
      <c r="N16" s="69"/>
      <c r="O16" s="64"/>
      <c r="P16" s="69"/>
      <c r="Q16" s="64"/>
      <c r="R16" s="69"/>
      <c r="S16" s="64"/>
      <c r="T16" s="69"/>
      <c r="U16" s="64"/>
      <c r="V16" s="69"/>
      <c r="W16" s="65"/>
      <c r="X16" s="69"/>
      <c r="Y16" s="64"/>
      <c r="Z16" s="69"/>
      <c r="AA16" s="64"/>
      <c r="AB16" s="69"/>
      <c r="AC16" s="64"/>
      <c r="AD16" s="69"/>
      <c r="AE16" s="65"/>
      <c r="AF16" s="69"/>
      <c r="AG16" s="65"/>
      <c r="AH16" s="69"/>
      <c r="AI16" s="64"/>
      <c r="AJ16" s="69"/>
      <c r="AK16" s="64"/>
      <c r="AL16" s="69"/>
      <c r="AM16" s="64"/>
      <c r="AN16" s="69"/>
      <c r="AO16" s="64"/>
      <c r="AP16" s="69"/>
      <c r="AQ16" s="64"/>
      <c r="AR16" s="69"/>
      <c r="AS16" s="64"/>
      <c r="AT16" s="69"/>
      <c r="AU16" s="64"/>
      <c r="AV16" s="69"/>
      <c r="AW16" s="64"/>
      <c r="AX16" s="69"/>
      <c r="AY16" s="64"/>
      <c r="AZ16" s="69"/>
      <c r="BA16" s="64"/>
      <c r="BB16" s="69"/>
      <c r="BC16" s="64"/>
      <c r="BD16" s="69"/>
      <c r="BE16" s="64"/>
      <c r="BF16" s="69"/>
      <c r="BG16" s="64"/>
      <c r="BH16" s="69"/>
      <c r="BI16" s="64"/>
      <c r="BJ16" s="69"/>
      <c r="BK16" s="64"/>
      <c r="BL16" s="69"/>
      <c r="BM16" s="64"/>
      <c r="BN16" s="69"/>
      <c r="BO16" s="64"/>
      <c r="BP16" s="69"/>
      <c r="BQ16" s="64"/>
      <c r="BR16" s="69"/>
      <c r="BS16" s="64"/>
      <c r="BT16" s="69"/>
      <c r="BU16" t="b">
        <f t="shared" si="0"/>
        <v>0</v>
      </c>
    </row>
    <row r="17" spans="1:73" x14ac:dyDescent="0.25">
      <c r="A17" s="25"/>
      <c r="B17" s="26"/>
      <c r="C17" s="26"/>
      <c r="D17" s="27"/>
      <c r="E17" s="26"/>
      <c r="F17" s="27"/>
      <c r="G17" s="26"/>
      <c r="H17" s="68"/>
      <c r="I17" s="62"/>
      <c r="J17" s="68"/>
      <c r="K17" s="62"/>
      <c r="L17" s="68"/>
      <c r="M17" s="63"/>
      <c r="N17" s="68"/>
      <c r="O17" s="62"/>
      <c r="P17" s="68"/>
      <c r="Q17" s="62"/>
      <c r="R17" s="68"/>
      <c r="S17" s="62"/>
      <c r="T17" s="68"/>
      <c r="U17" s="62"/>
      <c r="V17" s="68"/>
      <c r="W17" s="63"/>
      <c r="X17" s="68"/>
      <c r="Y17" s="62"/>
      <c r="Z17" s="68"/>
      <c r="AA17" s="62"/>
      <c r="AB17" s="68"/>
      <c r="AC17" s="62"/>
      <c r="AD17" s="68"/>
      <c r="AE17" s="63"/>
      <c r="AF17" s="68"/>
      <c r="AG17" s="63"/>
      <c r="AH17" s="68"/>
      <c r="AI17" s="62"/>
      <c r="AJ17" s="68"/>
      <c r="AK17" s="62"/>
      <c r="AL17" s="68"/>
      <c r="AM17" s="62"/>
      <c r="AN17" s="68"/>
      <c r="AO17" s="62"/>
      <c r="AP17" s="68"/>
      <c r="AQ17" s="62"/>
      <c r="AR17" s="68"/>
      <c r="AS17" s="62"/>
      <c r="AT17" s="68"/>
      <c r="AU17" s="62"/>
      <c r="AV17" s="68"/>
      <c r="AW17" s="62"/>
      <c r="AX17" s="68"/>
      <c r="AY17" s="62"/>
      <c r="AZ17" s="68"/>
      <c r="BA17" s="62"/>
      <c r="BB17" s="68"/>
      <c r="BC17" s="62"/>
      <c r="BD17" s="68"/>
      <c r="BE17" s="62"/>
      <c r="BF17" s="68"/>
      <c r="BG17" s="62"/>
      <c r="BH17" s="68"/>
      <c r="BI17" s="62"/>
      <c r="BJ17" s="68"/>
      <c r="BK17" s="62"/>
      <c r="BL17" s="68"/>
      <c r="BM17" s="62"/>
      <c r="BN17" s="68"/>
      <c r="BO17" s="62"/>
      <c r="BP17" s="68"/>
      <c r="BQ17" s="62"/>
      <c r="BR17" s="68"/>
      <c r="BS17" s="62"/>
      <c r="BT17" s="68"/>
      <c r="BU17" t="b">
        <f t="shared" si="0"/>
        <v>0</v>
      </c>
    </row>
    <row r="18" spans="1:73" x14ac:dyDescent="0.25">
      <c r="A18" s="28"/>
      <c r="B18" s="29"/>
      <c r="C18" s="29"/>
      <c r="D18" s="30"/>
      <c r="E18" s="29"/>
      <c r="F18" s="30"/>
      <c r="G18" s="29"/>
      <c r="H18" s="69"/>
      <c r="I18" s="64"/>
      <c r="J18" s="69"/>
      <c r="K18" s="64"/>
      <c r="L18" s="69"/>
      <c r="M18" s="65"/>
      <c r="N18" s="69"/>
      <c r="O18" s="64"/>
      <c r="P18" s="69"/>
      <c r="Q18" s="64"/>
      <c r="R18" s="69"/>
      <c r="S18" s="64"/>
      <c r="T18" s="69"/>
      <c r="U18" s="64"/>
      <c r="V18" s="69"/>
      <c r="W18" s="65"/>
      <c r="X18" s="69"/>
      <c r="Y18" s="64"/>
      <c r="Z18" s="69"/>
      <c r="AA18" s="64"/>
      <c r="AB18" s="69"/>
      <c r="AC18" s="64"/>
      <c r="AD18" s="69"/>
      <c r="AE18" s="65"/>
      <c r="AF18" s="69"/>
      <c r="AG18" s="65"/>
      <c r="AH18" s="69"/>
      <c r="AI18" s="64"/>
      <c r="AJ18" s="69"/>
      <c r="AK18" s="64"/>
      <c r="AL18" s="69"/>
      <c r="AM18" s="64"/>
      <c r="AN18" s="69"/>
      <c r="AO18" s="64"/>
      <c r="AP18" s="69"/>
      <c r="AQ18" s="64"/>
      <c r="AR18" s="69"/>
      <c r="AS18" s="64"/>
      <c r="AT18" s="69"/>
      <c r="AU18" s="64"/>
      <c r="AV18" s="69"/>
      <c r="AW18" s="64"/>
      <c r="AX18" s="69"/>
      <c r="AY18" s="64"/>
      <c r="AZ18" s="69"/>
      <c r="BA18" s="64"/>
      <c r="BB18" s="69"/>
      <c r="BC18" s="64"/>
      <c r="BD18" s="69"/>
      <c r="BE18" s="64"/>
      <c r="BF18" s="69"/>
      <c r="BG18" s="64"/>
      <c r="BH18" s="69"/>
      <c r="BI18" s="64"/>
      <c r="BJ18" s="69"/>
      <c r="BK18" s="64"/>
      <c r="BL18" s="69"/>
      <c r="BM18" s="64"/>
      <c r="BN18" s="69"/>
      <c r="BO18" s="64"/>
      <c r="BP18" s="69"/>
      <c r="BQ18" s="64"/>
      <c r="BR18" s="69"/>
      <c r="BS18" s="64"/>
      <c r="BT18" s="69"/>
      <c r="BU18" t="b">
        <f t="shared" si="0"/>
        <v>0</v>
      </c>
    </row>
    <row r="19" spans="1:73" x14ac:dyDescent="0.25">
      <c r="A19" s="25"/>
      <c r="B19" s="26"/>
      <c r="C19" s="26"/>
      <c r="D19" s="27"/>
      <c r="E19" s="26"/>
      <c r="F19" s="27"/>
      <c r="G19" s="26"/>
      <c r="H19" s="68"/>
      <c r="I19" s="62"/>
      <c r="J19" s="68"/>
      <c r="K19" s="62"/>
      <c r="L19" s="68"/>
      <c r="M19" s="63"/>
      <c r="N19" s="68"/>
      <c r="O19" s="62"/>
      <c r="P19" s="68"/>
      <c r="Q19" s="62"/>
      <c r="R19" s="68"/>
      <c r="S19" s="62"/>
      <c r="T19" s="68"/>
      <c r="U19" s="62"/>
      <c r="V19" s="68"/>
      <c r="W19" s="63"/>
      <c r="X19" s="68"/>
      <c r="Y19" s="62"/>
      <c r="Z19" s="68"/>
      <c r="AA19" s="62"/>
      <c r="AB19" s="68"/>
      <c r="AC19" s="62"/>
      <c r="AD19" s="68"/>
      <c r="AE19" s="63"/>
      <c r="AF19" s="68"/>
      <c r="AG19" s="63"/>
      <c r="AH19" s="68"/>
      <c r="AI19" s="62"/>
      <c r="AJ19" s="68"/>
      <c r="AK19" s="62"/>
      <c r="AL19" s="68"/>
      <c r="AM19" s="62"/>
      <c r="AN19" s="68"/>
      <c r="AO19" s="62"/>
      <c r="AP19" s="68"/>
      <c r="AQ19" s="62"/>
      <c r="AR19" s="68"/>
      <c r="AS19" s="62"/>
      <c r="AT19" s="68"/>
      <c r="AU19" s="62"/>
      <c r="AV19" s="68"/>
      <c r="AW19" s="62"/>
      <c r="AX19" s="68"/>
      <c r="AY19" s="62"/>
      <c r="AZ19" s="68"/>
      <c r="BA19" s="62"/>
      <c r="BB19" s="68"/>
      <c r="BC19" s="62"/>
      <c r="BD19" s="68"/>
      <c r="BE19" s="62"/>
      <c r="BF19" s="68"/>
      <c r="BG19" s="62"/>
      <c r="BH19" s="68"/>
      <c r="BI19" s="62"/>
      <c r="BJ19" s="68"/>
      <c r="BK19" s="62"/>
      <c r="BL19" s="68"/>
      <c r="BM19" s="62"/>
      <c r="BN19" s="68"/>
      <c r="BO19" s="62"/>
      <c r="BP19" s="68"/>
      <c r="BQ19" s="62"/>
      <c r="BR19" s="68"/>
      <c r="BS19" s="62"/>
      <c r="BT19" s="68"/>
      <c r="BU19" t="b">
        <f t="shared" si="0"/>
        <v>0</v>
      </c>
    </row>
    <row r="20" spans="1:73" x14ac:dyDescent="0.25">
      <c r="A20" s="28"/>
      <c r="B20" s="29"/>
      <c r="C20" s="29"/>
      <c r="D20" s="30"/>
      <c r="E20" s="29"/>
      <c r="F20" s="30"/>
      <c r="G20" s="29"/>
      <c r="H20" s="69"/>
      <c r="I20" s="64"/>
      <c r="J20" s="69"/>
      <c r="K20" s="64"/>
      <c r="L20" s="69"/>
      <c r="M20" s="65"/>
      <c r="N20" s="69"/>
      <c r="O20" s="64"/>
      <c r="P20" s="69"/>
      <c r="Q20" s="64"/>
      <c r="R20" s="69"/>
      <c r="S20" s="64"/>
      <c r="T20" s="69"/>
      <c r="U20" s="64"/>
      <c r="V20" s="69"/>
      <c r="W20" s="65"/>
      <c r="X20" s="69"/>
      <c r="Y20" s="64"/>
      <c r="Z20" s="69"/>
      <c r="AA20" s="64"/>
      <c r="AB20" s="69"/>
      <c r="AC20" s="64"/>
      <c r="AD20" s="69"/>
      <c r="AE20" s="65"/>
      <c r="AF20" s="69"/>
      <c r="AG20" s="65"/>
      <c r="AH20" s="69"/>
      <c r="AI20" s="64"/>
      <c r="AJ20" s="69"/>
      <c r="AK20" s="64"/>
      <c r="AL20" s="69"/>
      <c r="AM20" s="64"/>
      <c r="AN20" s="69"/>
      <c r="AO20" s="64"/>
      <c r="AP20" s="69"/>
      <c r="AQ20" s="64"/>
      <c r="AR20" s="69"/>
      <c r="AS20" s="64"/>
      <c r="AT20" s="69"/>
      <c r="AU20" s="64"/>
      <c r="AV20" s="69"/>
      <c r="AW20" s="64"/>
      <c r="AX20" s="69"/>
      <c r="AY20" s="64"/>
      <c r="AZ20" s="69"/>
      <c r="BA20" s="64"/>
      <c r="BB20" s="69"/>
      <c r="BC20" s="64"/>
      <c r="BD20" s="69"/>
      <c r="BE20" s="64"/>
      <c r="BF20" s="69"/>
      <c r="BG20" s="64"/>
      <c r="BH20" s="69"/>
      <c r="BI20" s="64"/>
      <c r="BJ20" s="69"/>
      <c r="BK20" s="64"/>
      <c r="BL20" s="69"/>
      <c r="BM20" s="64"/>
      <c r="BN20" s="69"/>
      <c r="BO20" s="64"/>
      <c r="BP20" s="69"/>
      <c r="BQ20" s="64"/>
      <c r="BR20" s="69"/>
      <c r="BS20" s="64"/>
      <c r="BT20" s="69"/>
      <c r="BU20" t="b">
        <f t="shared" si="0"/>
        <v>0</v>
      </c>
    </row>
    <row r="21" spans="1:73" x14ac:dyDescent="0.25">
      <c r="A21" s="25"/>
      <c r="B21" s="26"/>
      <c r="C21" s="26"/>
      <c r="D21" s="27"/>
      <c r="E21" s="26"/>
      <c r="F21" s="27"/>
      <c r="G21" s="26"/>
      <c r="H21" s="68"/>
      <c r="I21" s="62"/>
      <c r="J21" s="68"/>
      <c r="K21" s="62"/>
      <c r="L21" s="68"/>
      <c r="M21" s="63"/>
      <c r="N21" s="68"/>
      <c r="O21" s="62"/>
      <c r="P21" s="68"/>
      <c r="Q21" s="62"/>
      <c r="R21" s="68"/>
      <c r="S21" s="62"/>
      <c r="T21" s="68"/>
      <c r="U21" s="62"/>
      <c r="V21" s="68"/>
      <c r="W21" s="63"/>
      <c r="X21" s="68"/>
      <c r="Y21" s="62"/>
      <c r="Z21" s="68"/>
      <c r="AA21" s="62"/>
      <c r="AB21" s="68"/>
      <c r="AC21" s="62"/>
      <c r="AD21" s="68"/>
      <c r="AE21" s="63"/>
      <c r="AF21" s="68"/>
      <c r="AG21" s="63"/>
      <c r="AH21" s="68"/>
      <c r="AI21" s="62"/>
      <c r="AJ21" s="68"/>
      <c r="AK21" s="62"/>
      <c r="AL21" s="68"/>
      <c r="AM21" s="62"/>
      <c r="AN21" s="68"/>
      <c r="AO21" s="62"/>
      <c r="AP21" s="68"/>
      <c r="AQ21" s="62"/>
      <c r="AR21" s="68"/>
      <c r="AS21" s="62"/>
      <c r="AT21" s="68"/>
      <c r="AU21" s="62"/>
      <c r="AV21" s="68"/>
      <c r="AW21" s="62"/>
      <c r="AX21" s="68"/>
      <c r="AY21" s="62"/>
      <c r="AZ21" s="68"/>
      <c r="BA21" s="62"/>
      <c r="BB21" s="68"/>
      <c r="BC21" s="62"/>
      <c r="BD21" s="68"/>
      <c r="BE21" s="62"/>
      <c r="BF21" s="68"/>
      <c r="BG21" s="62"/>
      <c r="BH21" s="68"/>
      <c r="BI21" s="62"/>
      <c r="BJ21" s="68"/>
      <c r="BK21" s="62"/>
      <c r="BL21" s="68"/>
      <c r="BM21" s="62"/>
      <c r="BN21" s="68"/>
      <c r="BO21" s="62"/>
      <c r="BP21" s="68"/>
      <c r="BQ21" s="62"/>
      <c r="BR21" s="68"/>
      <c r="BS21" s="62"/>
      <c r="BT21" s="68"/>
      <c r="BU21" t="b">
        <f t="shared" si="0"/>
        <v>0</v>
      </c>
    </row>
    <row r="22" spans="1:73" x14ac:dyDescent="0.25">
      <c r="A22" s="28"/>
      <c r="B22" s="29"/>
      <c r="C22" s="29"/>
      <c r="D22" s="30"/>
      <c r="E22" s="29"/>
      <c r="F22" s="30"/>
      <c r="G22" s="29"/>
      <c r="H22" s="69"/>
      <c r="I22" s="64"/>
      <c r="J22" s="69"/>
      <c r="K22" s="64"/>
      <c r="L22" s="69"/>
      <c r="M22" s="65"/>
      <c r="N22" s="69"/>
      <c r="O22" s="64"/>
      <c r="P22" s="69"/>
      <c r="Q22" s="64"/>
      <c r="R22" s="69"/>
      <c r="S22" s="64"/>
      <c r="T22" s="69"/>
      <c r="U22" s="64"/>
      <c r="V22" s="69"/>
      <c r="W22" s="65"/>
      <c r="X22" s="69"/>
      <c r="Y22" s="64"/>
      <c r="Z22" s="69"/>
      <c r="AA22" s="64"/>
      <c r="AB22" s="69"/>
      <c r="AC22" s="64"/>
      <c r="AD22" s="69"/>
      <c r="AE22" s="65"/>
      <c r="AF22" s="69"/>
      <c r="AG22" s="65"/>
      <c r="AH22" s="69"/>
      <c r="AI22" s="64"/>
      <c r="AJ22" s="69"/>
      <c r="AK22" s="64"/>
      <c r="AL22" s="69"/>
      <c r="AM22" s="64"/>
      <c r="AN22" s="69"/>
      <c r="AO22" s="64"/>
      <c r="AP22" s="69"/>
      <c r="AQ22" s="64"/>
      <c r="AR22" s="69"/>
      <c r="AS22" s="64"/>
      <c r="AT22" s="69"/>
      <c r="AU22" s="64"/>
      <c r="AV22" s="69"/>
      <c r="AW22" s="64"/>
      <c r="AX22" s="69"/>
      <c r="AY22" s="64"/>
      <c r="AZ22" s="69"/>
      <c r="BA22" s="64"/>
      <c r="BB22" s="69"/>
      <c r="BC22" s="64"/>
      <c r="BD22" s="69"/>
      <c r="BE22" s="64"/>
      <c r="BF22" s="69"/>
      <c r="BG22" s="64"/>
      <c r="BH22" s="69"/>
      <c r="BI22" s="64"/>
      <c r="BJ22" s="69"/>
      <c r="BK22" s="64"/>
      <c r="BL22" s="69"/>
      <c r="BM22" s="64"/>
      <c r="BN22" s="69"/>
      <c r="BO22" s="64"/>
      <c r="BP22" s="69"/>
      <c r="BQ22" s="64"/>
      <c r="BR22" s="69"/>
      <c r="BS22" s="64"/>
      <c r="BT22" s="69"/>
      <c r="BU22" t="b">
        <f t="shared" si="0"/>
        <v>0</v>
      </c>
    </row>
    <row r="23" spans="1:73" x14ac:dyDescent="0.25">
      <c r="A23" s="25"/>
      <c r="B23" s="26"/>
      <c r="C23" s="26"/>
      <c r="D23" s="27"/>
      <c r="E23" s="26"/>
      <c r="F23" s="27"/>
      <c r="G23" s="26"/>
      <c r="H23" s="68"/>
      <c r="I23" s="62"/>
      <c r="J23" s="68"/>
      <c r="K23" s="62"/>
      <c r="L23" s="68"/>
      <c r="M23" s="63"/>
      <c r="N23" s="68"/>
      <c r="O23" s="62"/>
      <c r="P23" s="68"/>
      <c r="Q23" s="62"/>
      <c r="R23" s="68"/>
      <c r="S23" s="62"/>
      <c r="T23" s="68"/>
      <c r="U23" s="62"/>
      <c r="V23" s="68"/>
      <c r="W23" s="63"/>
      <c r="X23" s="68"/>
      <c r="Y23" s="62"/>
      <c r="Z23" s="68"/>
      <c r="AA23" s="62"/>
      <c r="AB23" s="68"/>
      <c r="AC23" s="62"/>
      <c r="AD23" s="68"/>
      <c r="AE23" s="63"/>
      <c r="AF23" s="68"/>
      <c r="AG23" s="63"/>
      <c r="AH23" s="68"/>
      <c r="AI23" s="62"/>
      <c r="AJ23" s="68"/>
      <c r="AK23" s="62"/>
      <c r="AL23" s="68"/>
      <c r="AM23" s="62"/>
      <c r="AN23" s="68"/>
      <c r="AO23" s="62"/>
      <c r="AP23" s="68"/>
      <c r="AQ23" s="62"/>
      <c r="AR23" s="68"/>
      <c r="AS23" s="62"/>
      <c r="AT23" s="68"/>
      <c r="AU23" s="62"/>
      <c r="AV23" s="68"/>
      <c r="AW23" s="62"/>
      <c r="AX23" s="68"/>
      <c r="AY23" s="62"/>
      <c r="AZ23" s="68"/>
      <c r="BA23" s="62"/>
      <c r="BB23" s="68"/>
      <c r="BC23" s="62"/>
      <c r="BD23" s="68"/>
      <c r="BE23" s="62"/>
      <c r="BF23" s="68"/>
      <c r="BG23" s="62"/>
      <c r="BH23" s="68"/>
      <c r="BI23" s="62"/>
      <c r="BJ23" s="68"/>
      <c r="BK23" s="62"/>
      <c r="BL23" s="68"/>
      <c r="BM23" s="62"/>
      <c r="BN23" s="68"/>
      <c r="BO23" s="62"/>
      <c r="BP23" s="68"/>
      <c r="BQ23" s="62"/>
      <c r="BR23" s="68"/>
      <c r="BS23" s="62"/>
      <c r="BT23" s="68"/>
      <c r="BU23" t="b">
        <f t="shared" si="0"/>
        <v>0</v>
      </c>
    </row>
    <row r="24" spans="1:73" x14ac:dyDescent="0.25">
      <c r="A24" s="28"/>
      <c r="B24" s="29"/>
      <c r="C24" s="29"/>
      <c r="D24" s="30"/>
      <c r="E24" s="29"/>
      <c r="F24" s="30"/>
      <c r="G24" s="29"/>
      <c r="H24" s="69"/>
      <c r="I24" s="64"/>
      <c r="J24" s="69"/>
      <c r="K24" s="64"/>
      <c r="L24" s="69"/>
      <c r="M24" s="65"/>
      <c r="N24" s="69"/>
      <c r="O24" s="64"/>
      <c r="P24" s="69"/>
      <c r="Q24" s="64"/>
      <c r="R24" s="69"/>
      <c r="S24" s="64"/>
      <c r="T24" s="69"/>
      <c r="U24" s="64"/>
      <c r="V24" s="69"/>
      <c r="W24" s="65"/>
      <c r="X24" s="69"/>
      <c r="Y24" s="64"/>
      <c r="Z24" s="69"/>
      <c r="AA24" s="64"/>
      <c r="AB24" s="69"/>
      <c r="AC24" s="64"/>
      <c r="AD24" s="69"/>
      <c r="AE24" s="65"/>
      <c r="AF24" s="69"/>
      <c r="AG24" s="65"/>
      <c r="AH24" s="69"/>
      <c r="AI24" s="64"/>
      <c r="AJ24" s="69"/>
      <c r="AK24" s="64"/>
      <c r="AL24" s="69"/>
      <c r="AM24" s="64"/>
      <c r="AN24" s="69"/>
      <c r="AO24" s="64"/>
      <c r="AP24" s="69"/>
      <c r="AQ24" s="64"/>
      <c r="AR24" s="69"/>
      <c r="AS24" s="64"/>
      <c r="AT24" s="69"/>
      <c r="AU24" s="64"/>
      <c r="AV24" s="69"/>
      <c r="AW24" s="64"/>
      <c r="AX24" s="69"/>
      <c r="AY24" s="64"/>
      <c r="AZ24" s="69"/>
      <c r="BA24" s="64"/>
      <c r="BB24" s="69"/>
      <c r="BC24" s="64"/>
      <c r="BD24" s="69"/>
      <c r="BE24" s="64"/>
      <c r="BF24" s="69"/>
      <c r="BG24" s="64"/>
      <c r="BH24" s="69"/>
      <c r="BI24" s="64"/>
      <c r="BJ24" s="69"/>
      <c r="BK24" s="64"/>
      <c r="BL24" s="69"/>
      <c r="BM24" s="64"/>
      <c r="BN24" s="69"/>
      <c r="BO24" s="64"/>
      <c r="BP24" s="69"/>
      <c r="BQ24" s="64"/>
      <c r="BR24" s="69"/>
      <c r="BS24" s="64"/>
      <c r="BT24" s="69"/>
      <c r="BU24" t="b">
        <f t="shared" si="0"/>
        <v>0</v>
      </c>
    </row>
    <row r="25" spans="1:73" x14ac:dyDescent="0.25">
      <c r="A25" s="25"/>
      <c r="B25" s="26"/>
      <c r="C25" s="26"/>
      <c r="D25" s="27"/>
      <c r="E25" s="26"/>
      <c r="F25" s="27"/>
      <c r="G25" s="26"/>
      <c r="H25" s="68"/>
      <c r="I25" s="62"/>
      <c r="J25" s="68"/>
      <c r="K25" s="62"/>
      <c r="L25" s="68"/>
      <c r="M25" s="63"/>
      <c r="N25" s="68"/>
      <c r="O25" s="62"/>
      <c r="P25" s="68"/>
      <c r="Q25" s="62"/>
      <c r="R25" s="68"/>
      <c r="S25" s="62"/>
      <c r="T25" s="68"/>
      <c r="U25" s="62"/>
      <c r="V25" s="68"/>
      <c r="W25" s="63"/>
      <c r="X25" s="68"/>
      <c r="Y25" s="62"/>
      <c r="Z25" s="68"/>
      <c r="AA25" s="62"/>
      <c r="AB25" s="68"/>
      <c r="AC25" s="62"/>
      <c r="AD25" s="68"/>
      <c r="AE25" s="63"/>
      <c r="AF25" s="68"/>
      <c r="AG25" s="63"/>
      <c r="AH25" s="68"/>
      <c r="AI25" s="62"/>
      <c r="AJ25" s="68"/>
      <c r="AK25" s="62"/>
      <c r="AL25" s="68"/>
      <c r="AM25" s="62"/>
      <c r="AN25" s="68"/>
      <c r="AO25" s="62"/>
      <c r="AP25" s="68"/>
      <c r="AQ25" s="62"/>
      <c r="AR25" s="68"/>
      <c r="AS25" s="62"/>
      <c r="AT25" s="68"/>
      <c r="AU25" s="62"/>
      <c r="AV25" s="68"/>
      <c r="AW25" s="62"/>
      <c r="AX25" s="68"/>
      <c r="AY25" s="62"/>
      <c r="AZ25" s="68"/>
      <c r="BA25" s="62"/>
      <c r="BB25" s="68"/>
      <c r="BC25" s="62"/>
      <c r="BD25" s="68"/>
      <c r="BE25" s="62"/>
      <c r="BF25" s="68"/>
      <c r="BG25" s="62"/>
      <c r="BH25" s="68"/>
      <c r="BI25" s="62"/>
      <c r="BJ25" s="68"/>
      <c r="BK25" s="62"/>
      <c r="BL25" s="68"/>
      <c r="BM25" s="62"/>
      <c r="BN25" s="68"/>
      <c r="BO25" s="62"/>
      <c r="BP25" s="68"/>
      <c r="BQ25" s="62"/>
      <c r="BR25" s="68"/>
      <c r="BS25" s="62"/>
      <c r="BT25" s="68"/>
      <c r="BU25" t="b">
        <f t="shared" si="0"/>
        <v>0</v>
      </c>
    </row>
    <row r="26" spans="1:73" x14ac:dyDescent="0.25">
      <c r="A26" s="28"/>
      <c r="B26" s="29"/>
      <c r="C26" s="29"/>
      <c r="D26" s="30"/>
      <c r="E26" s="29"/>
      <c r="F26" s="30"/>
      <c r="G26" s="29"/>
      <c r="H26" s="69"/>
      <c r="I26" s="64"/>
      <c r="J26" s="69"/>
      <c r="K26" s="64"/>
      <c r="L26" s="69"/>
      <c r="M26" s="65"/>
      <c r="N26" s="69"/>
      <c r="O26" s="64"/>
      <c r="P26" s="69"/>
      <c r="Q26" s="64"/>
      <c r="R26" s="69"/>
      <c r="S26" s="64"/>
      <c r="T26" s="69"/>
      <c r="U26" s="64"/>
      <c r="V26" s="69"/>
      <c r="W26" s="65"/>
      <c r="X26" s="69"/>
      <c r="Y26" s="64"/>
      <c r="Z26" s="69"/>
      <c r="AA26" s="64"/>
      <c r="AB26" s="69"/>
      <c r="AC26" s="64"/>
      <c r="AD26" s="69"/>
      <c r="AE26" s="65"/>
      <c r="AF26" s="69"/>
      <c r="AG26" s="65"/>
      <c r="AH26" s="69"/>
      <c r="AI26" s="64"/>
      <c r="AJ26" s="69"/>
      <c r="AK26" s="64"/>
      <c r="AL26" s="69"/>
      <c r="AM26" s="64"/>
      <c r="AN26" s="69"/>
      <c r="AO26" s="64"/>
      <c r="AP26" s="69"/>
      <c r="AQ26" s="64"/>
      <c r="AR26" s="69"/>
      <c r="AS26" s="64"/>
      <c r="AT26" s="69"/>
      <c r="AU26" s="64"/>
      <c r="AV26" s="69"/>
      <c r="AW26" s="64"/>
      <c r="AX26" s="69"/>
      <c r="AY26" s="64"/>
      <c r="AZ26" s="69"/>
      <c r="BA26" s="64"/>
      <c r="BB26" s="69"/>
      <c r="BC26" s="64"/>
      <c r="BD26" s="69"/>
      <c r="BE26" s="64"/>
      <c r="BF26" s="69"/>
      <c r="BG26" s="64"/>
      <c r="BH26" s="69"/>
      <c r="BI26" s="64"/>
      <c r="BJ26" s="69"/>
      <c r="BK26" s="64"/>
      <c r="BL26" s="69"/>
      <c r="BM26" s="64"/>
      <c r="BN26" s="69"/>
      <c r="BO26" s="64"/>
      <c r="BP26" s="69"/>
      <c r="BQ26" s="64"/>
      <c r="BR26" s="69"/>
      <c r="BS26" s="64"/>
      <c r="BT26" s="69"/>
      <c r="BU26" t="b">
        <f t="shared" si="0"/>
        <v>0</v>
      </c>
    </row>
    <row r="27" spans="1:73" x14ac:dyDescent="0.25">
      <c r="A27" s="25"/>
      <c r="B27" s="26"/>
      <c r="C27" s="26"/>
      <c r="D27" s="27"/>
      <c r="E27" s="26"/>
      <c r="F27" s="27"/>
      <c r="G27" s="26"/>
      <c r="H27" s="68"/>
      <c r="I27" s="62"/>
      <c r="J27" s="68"/>
      <c r="K27" s="62"/>
      <c r="L27" s="68"/>
      <c r="M27" s="63"/>
      <c r="N27" s="68"/>
      <c r="O27" s="62"/>
      <c r="P27" s="68"/>
      <c r="Q27" s="62"/>
      <c r="R27" s="68"/>
      <c r="S27" s="62"/>
      <c r="T27" s="68"/>
      <c r="U27" s="62"/>
      <c r="V27" s="68"/>
      <c r="W27" s="63"/>
      <c r="X27" s="68"/>
      <c r="Y27" s="62"/>
      <c r="Z27" s="68"/>
      <c r="AA27" s="62"/>
      <c r="AB27" s="68"/>
      <c r="AC27" s="62"/>
      <c r="AD27" s="68"/>
      <c r="AE27" s="63"/>
      <c r="AF27" s="68"/>
      <c r="AG27" s="63"/>
      <c r="AH27" s="68"/>
      <c r="AI27" s="62"/>
      <c r="AJ27" s="68"/>
      <c r="AK27" s="62"/>
      <c r="AL27" s="68"/>
      <c r="AM27" s="62"/>
      <c r="AN27" s="68"/>
      <c r="AO27" s="62"/>
      <c r="AP27" s="68"/>
      <c r="AQ27" s="62"/>
      <c r="AR27" s="68"/>
      <c r="AS27" s="62"/>
      <c r="AT27" s="68"/>
      <c r="AU27" s="62"/>
      <c r="AV27" s="68"/>
      <c r="AW27" s="62"/>
      <c r="AX27" s="68"/>
      <c r="AY27" s="62"/>
      <c r="AZ27" s="68"/>
      <c r="BA27" s="62"/>
      <c r="BB27" s="68"/>
      <c r="BC27" s="62"/>
      <c r="BD27" s="68"/>
      <c r="BE27" s="62"/>
      <c r="BF27" s="68"/>
      <c r="BG27" s="62"/>
      <c r="BH27" s="68"/>
      <c r="BI27" s="62"/>
      <c r="BJ27" s="68"/>
      <c r="BK27" s="62"/>
      <c r="BL27" s="68"/>
      <c r="BM27" s="62"/>
      <c r="BN27" s="68"/>
      <c r="BO27" s="62"/>
      <c r="BP27" s="68"/>
      <c r="BQ27" s="62"/>
      <c r="BR27" s="68"/>
      <c r="BS27" s="62"/>
      <c r="BT27" s="68"/>
      <c r="BU27" t="b">
        <f t="shared" si="0"/>
        <v>0</v>
      </c>
    </row>
    <row r="28" spans="1:73" x14ac:dyDescent="0.25">
      <c r="A28" s="28"/>
      <c r="B28" s="29"/>
      <c r="C28" s="29"/>
      <c r="D28" s="30"/>
      <c r="E28" s="29"/>
      <c r="F28" s="30"/>
      <c r="G28" s="29"/>
      <c r="H28" s="69"/>
      <c r="I28" s="64"/>
      <c r="J28" s="69"/>
      <c r="K28" s="64"/>
      <c r="L28" s="69"/>
      <c r="M28" s="65"/>
      <c r="N28" s="69"/>
      <c r="O28" s="64"/>
      <c r="P28" s="69"/>
      <c r="Q28" s="64"/>
      <c r="R28" s="69"/>
      <c r="S28" s="64"/>
      <c r="T28" s="69"/>
      <c r="U28" s="64"/>
      <c r="V28" s="69"/>
      <c r="W28" s="65"/>
      <c r="X28" s="69"/>
      <c r="Y28" s="64"/>
      <c r="Z28" s="69"/>
      <c r="AA28" s="64"/>
      <c r="AB28" s="69"/>
      <c r="AC28" s="64"/>
      <c r="AD28" s="69"/>
      <c r="AE28" s="65"/>
      <c r="AF28" s="69"/>
      <c r="AG28" s="65"/>
      <c r="AH28" s="69"/>
      <c r="AI28" s="64"/>
      <c r="AJ28" s="69"/>
      <c r="AK28" s="64"/>
      <c r="AL28" s="69"/>
      <c r="AM28" s="64"/>
      <c r="AN28" s="69"/>
      <c r="AO28" s="64"/>
      <c r="AP28" s="69"/>
      <c r="AQ28" s="64"/>
      <c r="AR28" s="69"/>
      <c r="AS28" s="64"/>
      <c r="AT28" s="69"/>
      <c r="AU28" s="64"/>
      <c r="AV28" s="69"/>
      <c r="AW28" s="64"/>
      <c r="AX28" s="69"/>
      <c r="AY28" s="64"/>
      <c r="AZ28" s="69"/>
      <c r="BA28" s="64"/>
      <c r="BB28" s="69"/>
      <c r="BC28" s="64"/>
      <c r="BD28" s="69"/>
      <c r="BE28" s="64"/>
      <c r="BF28" s="69"/>
      <c r="BG28" s="64"/>
      <c r="BH28" s="69"/>
      <c r="BI28" s="64"/>
      <c r="BJ28" s="69"/>
      <c r="BK28" s="64"/>
      <c r="BL28" s="69"/>
      <c r="BM28" s="64"/>
      <c r="BN28" s="69"/>
      <c r="BO28" s="64"/>
      <c r="BP28" s="69"/>
      <c r="BQ28" s="64"/>
      <c r="BR28" s="69"/>
      <c r="BS28" s="64"/>
      <c r="BT28" s="69"/>
      <c r="BU28" t="b">
        <f t="shared" si="0"/>
        <v>0</v>
      </c>
    </row>
    <row r="29" spans="1:73" x14ac:dyDescent="0.25">
      <c r="A29" s="25"/>
      <c r="B29" s="26"/>
      <c r="C29" s="26"/>
      <c r="D29" s="27"/>
      <c r="E29" s="26"/>
      <c r="F29" s="27"/>
      <c r="G29" s="26"/>
      <c r="H29" s="68"/>
      <c r="I29" s="62"/>
      <c r="J29" s="68"/>
      <c r="K29" s="62"/>
      <c r="L29" s="68"/>
      <c r="M29" s="63"/>
      <c r="N29" s="68"/>
      <c r="O29" s="62"/>
      <c r="P29" s="68"/>
      <c r="Q29" s="62"/>
      <c r="R29" s="68"/>
      <c r="S29" s="62"/>
      <c r="T29" s="68"/>
      <c r="U29" s="62"/>
      <c r="V29" s="68"/>
      <c r="W29" s="63"/>
      <c r="X29" s="68"/>
      <c r="Y29" s="62"/>
      <c r="Z29" s="68"/>
      <c r="AA29" s="62"/>
      <c r="AB29" s="68"/>
      <c r="AC29" s="62"/>
      <c r="AD29" s="68"/>
      <c r="AE29" s="63"/>
      <c r="AF29" s="68"/>
      <c r="AG29" s="63"/>
      <c r="AH29" s="68"/>
      <c r="AI29" s="62"/>
      <c r="AJ29" s="68"/>
      <c r="AK29" s="62"/>
      <c r="AL29" s="68"/>
      <c r="AM29" s="62"/>
      <c r="AN29" s="68"/>
      <c r="AO29" s="62"/>
      <c r="AP29" s="68"/>
      <c r="AQ29" s="62"/>
      <c r="AR29" s="68"/>
      <c r="AS29" s="62"/>
      <c r="AT29" s="68"/>
      <c r="AU29" s="62"/>
      <c r="AV29" s="68"/>
      <c r="AW29" s="62"/>
      <c r="AX29" s="68"/>
      <c r="AY29" s="62"/>
      <c r="AZ29" s="68"/>
      <c r="BA29" s="62"/>
      <c r="BB29" s="68"/>
      <c r="BC29" s="62"/>
      <c r="BD29" s="68"/>
      <c r="BE29" s="62"/>
      <c r="BF29" s="68"/>
      <c r="BG29" s="62"/>
      <c r="BH29" s="68"/>
      <c r="BI29" s="62"/>
      <c r="BJ29" s="68"/>
      <c r="BK29" s="62"/>
      <c r="BL29" s="68"/>
      <c r="BM29" s="62"/>
      <c r="BN29" s="68"/>
      <c r="BO29" s="62"/>
      <c r="BP29" s="68"/>
      <c r="BQ29" s="62"/>
      <c r="BR29" s="68"/>
      <c r="BS29" s="62"/>
      <c r="BT29" s="68"/>
      <c r="BU29" t="b">
        <f t="shared" si="0"/>
        <v>0</v>
      </c>
    </row>
    <row r="30" spans="1:73" x14ac:dyDescent="0.25">
      <c r="A30" s="28"/>
      <c r="B30" s="29"/>
      <c r="C30" s="29"/>
      <c r="D30" s="30"/>
      <c r="E30" s="29"/>
      <c r="F30" s="30"/>
      <c r="G30" s="29"/>
      <c r="H30" s="69"/>
      <c r="I30" s="64"/>
      <c r="J30" s="69"/>
      <c r="K30" s="64"/>
      <c r="L30" s="69"/>
      <c r="M30" s="65"/>
      <c r="N30" s="69"/>
      <c r="O30" s="64"/>
      <c r="P30" s="69"/>
      <c r="Q30" s="64"/>
      <c r="R30" s="69"/>
      <c r="S30" s="64"/>
      <c r="T30" s="69"/>
      <c r="U30" s="64"/>
      <c r="V30" s="69"/>
      <c r="W30" s="65"/>
      <c r="X30" s="69"/>
      <c r="Y30" s="64"/>
      <c r="Z30" s="69"/>
      <c r="AA30" s="64"/>
      <c r="AB30" s="69"/>
      <c r="AC30" s="64"/>
      <c r="AD30" s="69"/>
      <c r="AE30" s="65"/>
      <c r="AF30" s="69"/>
      <c r="AG30" s="65"/>
      <c r="AH30" s="69"/>
      <c r="AI30" s="64"/>
      <c r="AJ30" s="69"/>
      <c r="AK30" s="64"/>
      <c r="AL30" s="69"/>
      <c r="AM30" s="64"/>
      <c r="AN30" s="69"/>
      <c r="AO30" s="64"/>
      <c r="AP30" s="69"/>
      <c r="AQ30" s="64"/>
      <c r="AR30" s="69"/>
      <c r="AS30" s="64"/>
      <c r="AT30" s="69"/>
      <c r="AU30" s="64"/>
      <c r="AV30" s="69"/>
      <c r="AW30" s="64"/>
      <c r="AX30" s="69"/>
      <c r="AY30" s="64"/>
      <c r="AZ30" s="69"/>
      <c r="BA30" s="64"/>
      <c r="BB30" s="69"/>
      <c r="BC30" s="64"/>
      <c r="BD30" s="69"/>
      <c r="BE30" s="64"/>
      <c r="BF30" s="69"/>
      <c r="BG30" s="64"/>
      <c r="BH30" s="69"/>
      <c r="BI30" s="64"/>
      <c r="BJ30" s="69"/>
      <c r="BK30" s="64"/>
      <c r="BL30" s="69"/>
      <c r="BM30" s="64"/>
      <c r="BN30" s="69"/>
      <c r="BO30" s="64"/>
      <c r="BP30" s="69"/>
      <c r="BQ30" s="64"/>
      <c r="BR30" s="69"/>
      <c r="BS30" s="64"/>
      <c r="BT30" s="69"/>
      <c r="BU30" t="b">
        <f t="shared" si="0"/>
        <v>0</v>
      </c>
    </row>
    <row r="31" spans="1:73" x14ac:dyDescent="0.25">
      <c r="A31" s="25"/>
      <c r="B31" s="26"/>
      <c r="C31" s="26"/>
      <c r="D31" s="27"/>
      <c r="E31" s="26"/>
      <c r="F31" s="27"/>
      <c r="G31" s="26"/>
      <c r="H31" s="68"/>
      <c r="I31" s="62"/>
      <c r="J31" s="68"/>
      <c r="K31" s="62"/>
      <c r="L31" s="68"/>
      <c r="M31" s="63"/>
      <c r="N31" s="68"/>
      <c r="O31" s="62"/>
      <c r="P31" s="68"/>
      <c r="Q31" s="62"/>
      <c r="R31" s="68"/>
      <c r="S31" s="62"/>
      <c r="T31" s="68"/>
      <c r="U31" s="62"/>
      <c r="V31" s="68"/>
      <c r="W31" s="63"/>
      <c r="X31" s="68"/>
      <c r="Y31" s="62"/>
      <c r="Z31" s="68"/>
      <c r="AA31" s="62"/>
      <c r="AB31" s="68"/>
      <c r="AC31" s="62"/>
      <c r="AD31" s="68"/>
      <c r="AE31" s="63"/>
      <c r="AF31" s="68"/>
      <c r="AG31" s="63"/>
      <c r="AH31" s="68"/>
      <c r="AI31" s="62"/>
      <c r="AJ31" s="68"/>
      <c r="AK31" s="62"/>
      <c r="AL31" s="68"/>
      <c r="AM31" s="62"/>
      <c r="AN31" s="68"/>
      <c r="AO31" s="62"/>
      <c r="AP31" s="68"/>
      <c r="AQ31" s="62"/>
      <c r="AR31" s="68"/>
      <c r="AS31" s="62"/>
      <c r="AT31" s="68"/>
      <c r="AU31" s="62"/>
      <c r="AV31" s="68"/>
      <c r="AW31" s="62"/>
      <c r="AX31" s="68"/>
      <c r="AY31" s="62"/>
      <c r="AZ31" s="68"/>
      <c r="BA31" s="62"/>
      <c r="BB31" s="68"/>
      <c r="BC31" s="62"/>
      <c r="BD31" s="68"/>
      <c r="BE31" s="62"/>
      <c r="BF31" s="68"/>
      <c r="BG31" s="62"/>
      <c r="BH31" s="68"/>
      <c r="BI31" s="62"/>
      <c r="BJ31" s="68"/>
      <c r="BK31" s="62"/>
      <c r="BL31" s="68"/>
      <c r="BM31" s="62"/>
      <c r="BN31" s="68"/>
      <c r="BO31" s="62"/>
      <c r="BP31" s="68"/>
      <c r="BQ31" s="62"/>
      <c r="BR31" s="68"/>
      <c r="BS31" s="62"/>
      <c r="BT31" s="68"/>
      <c r="BU31" t="b">
        <f t="shared" si="0"/>
        <v>0</v>
      </c>
    </row>
    <row r="32" spans="1:73" x14ac:dyDescent="0.25">
      <c r="A32" s="28"/>
      <c r="B32" s="29"/>
      <c r="C32" s="29"/>
      <c r="D32" s="30"/>
      <c r="E32" s="29"/>
      <c r="F32" s="30"/>
      <c r="G32" s="29"/>
      <c r="H32" s="69"/>
      <c r="I32" s="64"/>
      <c r="J32" s="69"/>
      <c r="K32" s="64"/>
      <c r="L32" s="69"/>
      <c r="M32" s="65"/>
      <c r="N32" s="69"/>
      <c r="O32" s="64"/>
      <c r="P32" s="69"/>
      <c r="Q32" s="64"/>
      <c r="R32" s="69"/>
      <c r="S32" s="64"/>
      <c r="T32" s="69"/>
      <c r="U32" s="64"/>
      <c r="V32" s="69"/>
      <c r="W32" s="65"/>
      <c r="X32" s="69"/>
      <c r="Y32" s="64"/>
      <c r="Z32" s="69"/>
      <c r="AA32" s="64"/>
      <c r="AB32" s="69"/>
      <c r="AC32" s="64"/>
      <c r="AD32" s="69"/>
      <c r="AE32" s="65"/>
      <c r="AF32" s="69"/>
      <c r="AG32" s="65"/>
      <c r="AH32" s="69"/>
      <c r="AI32" s="64"/>
      <c r="AJ32" s="69"/>
      <c r="AK32" s="64"/>
      <c r="AL32" s="69"/>
      <c r="AM32" s="64"/>
      <c r="AN32" s="69"/>
      <c r="AO32" s="64"/>
      <c r="AP32" s="69"/>
      <c r="AQ32" s="64"/>
      <c r="AR32" s="69"/>
      <c r="AS32" s="64"/>
      <c r="AT32" s="69"/>
      <c r="AU32" s="64"/>
      <c r="AV32" s="69"/>
      <c r="AW32" s="64"/>
      <c r="AX32" s="69"/>
      <c r="AY32" s="64"/>
      <c r="AZ32" s="69"/>
      <c r="BA32" s="64"/>
      <c r="BB32" s="69"/>
      <c r="BC32" s="64"/>
      <c r="BD32" s="69"/>
      <c r="BE32" s="64"/>
      <c r="BF32" s="69"/>
      <c r="BG32" s="64"/>
      <c r="BH32" s="69"/>
      <c r="BI32" s="64"/>
      <c r="BJ32" s="69"/>
      <c r="BK32" s="64"/>
      <c r="BL32" s="69"/>
      <c r="BM32" s="64"/>
      <c r="BN32" s="69"/>
      <c r="BO32" s="64"/>
      <c r="BP32" s="69"/>
      <c r="BQ32" s="64"/>
      <c r="BR32" s="69"/>
      <c r="BS32" s="64"/>
      <c r="BT32" s="69"/>
      <c r="BU32" t="b">
        <f t="shared" si="0"/>
        <v>0</v>
      </c>
    </row>
    <row r="33" spans="1:73" x14ac:dyDescent="0.25">
      <c r="A33" s="25"/>
      <c r="B33" s="26"/>
      <c r="C33" s="26"/>
      <c r="D33" s="27"/>
      <c r="E33" s="26"/>
      <c r="F33" s="27"/>
      <c r="G33" s="26"/>
      <c r="H33" s="68"/>
      <c r="I33" s="62"/>
      <c r="J33" s="68"/>
      <c r="K33" s="62"/>
      <c r="L33" s="68"/>
      <c r="M33" s="63"/>
      <c r="N33" s="68"/>
      <c r="O33" s="62"/>
      <c r="P33" s="68"/>
      <c r="Q33" s="62"/>
      <c r="R33" s="68"/>
      <c r="S33" s="62"/>
      <c r="T33" s="68"/>
      <c r="U33" s="62"/>
      <c r="V33" s="68"/>
      <c r="W33" s="63"/>
      <c r="X33" s="68"/>
      <c r="Y33" s="62"/>
      <c r="Z33" s="68"/>
      <c r="AA33" s="62"/>
      <c r="AB33" s="68"/>
      <c r="AC33" s="62"/>
      <c r="AD33" s="68"/>
      <c r="AE33" s="63"/>
      <c r="AF33" s="68"/>
      <c r="AG33" s="63"/>
      <c r="AH33" s="68"/>
      <c r="AI33" s="62"/>
      <c r="AJ33" s="68"/>
      <c r="AK33" s="62"/>
      <c r="AL33" s="68"/>
      <c r="AM33" s="62"/>
      <c r="AN33" s="68"/>
      <c r="AO33" s="62"/>
      <c r="AP33" s="68"/>
      <c r="AQ33" s="62"/>
      <c r="AR33" s="68"/>
      <c r="AS33" s="62"/>
      <c r="AT33" s="68"/>
      <c r="AU33" s="62"/>
      <c r="AV33" s="68"/>
      <c r="AW33" s="62"/>
      <c r="AX33" s="68"/>
      <c r="AY33" s="62"/>
      <c r="AZ33" s="68"/>
      <c r="BA33" s="62"/>
      <c r="BB33" s="68"/>
      <c r="BC33" s="62"/>
      <c r="BD33" s="68"/>
      <c r="BE33" s="62"/>
      <c r="BF33" s="68"/>
      <c r="BG33" s="62"/>
      <c r="BH33" s="68"/>
      <c r="BI33" s="62"/>
      <c r="BJ33" s="68"/>
      <c r="BK33" s="62"/>
      <c r="BL33" s="68"/>
      <c r="BM33" s="62"/>
      <c r="BN33" s="68"/>
      <c r="BO33" s="62"/>
      <c r="BP33" s="68"/>
      <c r="BQ33" s="62"/>
      <c r="BR33" s="68"/>
      <c r="BS33" s="62"/>
      <c r="BT33" s="68"/>
      <c r="BU33" t="b">
        <f t="shared" si="0"/>
        <v>0</v>
      </c>
    </row>
    <row r="34" spans="1:73" x14ac:dyDescent="0.25">
      <c r="A34" s="28"/>
      <c r="B34" s="29"/>
      <c r="C34" s="29"/>
      <c r="D34" s="30"/>
      <c r="E34" s="29"/>
      <c r="F34" s="30"/>
      <c r="G34" s="29"/>
      <c r="H34" s="69"/>
      <c r="I34" s="64"/>
      <c r="J34" s="69"/>
      <c r="K34" s="64"/>
      <c r="L34" s="69"/>
      <c r="M34" s="65"/>
      <c r="N34" s="69"/>
      <c r="O34" s="64"/>
      <c r="P34" s="69"/>
      <c r="Q34" s="64"/>
      <c r="R34" s="69"/>
      <c r="S34" s="64"/>
      <c r="T34" s="69"/>
      <c r="U34" s="64"/>
      <c r="V34" s="69"/>
      <c r="W34" s="65"/>
      <c r="X34" s="69"/>
      <c r="Y34" s="64"/>
      <c r="Z34" s="69"/>
      <c r="AA34" s="64"/>
      <c r="AB34" s="69"/>
      <c r="AC34" s="64"/>
      <c r="AD34" s="69"/>
      <c r="AE34" s="65"/>
      <c r="AF34" s="69"/>
      <c r="AG34" s="65"/>
      <c r="AH34" s="69"/>
      <c r="AI34" s="64"/>
      <c r="AJ34" s="69"/>
      <c r="AK34" s="64"/>
      <c r="AL34" s="69"/>
      <c r="AM34" s="64"/>
      <c r="AN34" s="69"/>
      <c r="AO34" s="64"/>
      <c r="AP34" s="69"/>
      <c r="AQ34" s="64"/>
      <c r="AR34" s="69"/>
      <c r="AS34" s="64"/>
      <c r="AT34" s="69"/>
      <c r="AU34" s="64"/>
      <c r="AV34" s="69"/>
      <c r="AW34" s="64"/>
      <c r="AX34" s="69"/>
      <c r="AY34" s="64"/>
      <c r="AZ34" s="69"/>
      <c r="BA34" s="64"/>
      <c r="BB34" s="69"/>
      <c r="BC34" s="64"/>
      <c r="BD34" s="69"/>
      <c r="BE34" s="64"/>
      <c r="BF34" s="69"/>
      <c r="BG34" s="64"/>
      <c r="BH34" s="69"/>
      <c r="BI34" s="64"/>
      <c r="BJ34" s="69"/>
      <c r="BK34" s="64"/>
      <c r="BL34" s="69"/>
      <c r="BM34" s="64"/>
      <c r="BN34" s="69"/>
      <c r="BO34" s="64"/>
      <c r="BP34" s="69"/>
      <c r="BQ34" s="64"/>
      <c r="BR34" s="69"/>
      <c r="BS34" s="64"/>
      <c r="BT34" s="69"/>
      <c r="BU34" t="b">
        <f t="shared" si="0"/>
        <v>0</v>
      </c>
    </row>
    <row r="35" spans="1:73" x14ac:dyDescent="0.25">
      <c r="A35" s="25"/>
      <c r="B35" s="26"/>
      <c r="C35" s="26"/>
      <c r="D35" s="27"/>
      <c r="E35" s="26"/>
      <c r="F35" s="27"/>
      <c r="G35" s="26"/>
      <c r="H35" s="68"/>
      <c r="I35" s="62"/>
      <c r="J35" s="68"/>
      <c r="K35" s="62"/>
      <c r="L35" s="68"/>
      <c r="M35" s="63"/>
      <c r="N35" s="68"/>
      <c r="O35" s="62"/>
      <c r="P35" s="68"/>
      <c r="Q35" s="62"/>
      <c r="R35" s="68"/>
      <c r="S35" s="62"/>
      <c r="T35" s="68"/>
      <c r="U35" s="62"/>
      <c r="V35" s="68"/>
      <c r="W35" s="63"/>
      <c r="X35" s="68"/>
      <c r="Y35" s="62"/>
      <c r="Z35" s="68"/>
      <c r="AA35" s="62"/>
      <c r="AB35" s="68"/>
      <c r="AC35" s="62"/>
      <c r="AD35" s="68"/>
      <c r="AE35" s="63"/>
      <c r="AF35" s="68"/>
      <c r="AG35" s="63"/>
      <c r="AH35" s="68"/>
      <c r="AI35" s="62"/>
      <c r="AJ35" s="68"/>
      <c r="AK35" s="62"/>
      <c r="AL35" s="68"/>
      <c r="AM35" s="62"/>
      <c r="AN35" s="68"/>
      <c r="AO35" s="62"/>
      <c r="AP35" s="68"/>
      <c r="AQ35" s="62"/>
      <c r="AR35" s="68"/>
      <c r="AS35" s="62"/>
      <c r="AT35" s="68"/>
      <c r="AU35" s="62"/>
      <c r="AV35" s="68"/>
      <c r="AW35" s="62"/>
      <c r="AX35" s="68"/>
      <c r="AY35" s="62"/>
      <c r="AZ35" s="68"/>
      <c r="BA35" s="62"/>
      <c r="BB35" s="68"/>
      <c r="BC35" s="62"/>
      <c r="BD35" s="68"/>
      <c r="BE35" s="62"/>
      <c r="BF35" s="68"/>
      <c r="BG35" s="62"/>
      <c r="BH35" s="68"/>
      <c r="BI35" s="62"/>
      <c r="BJ35" s="68"/>
      <c r="BK35" s="62"/>
      <c r="BL35" s="68"/>
      <c r="BM35" s="62"/>
      <c r="BN35" s="68"/>
      <c r="BO35" s="62"/>
      <c r="BP35" s="68"/>
      <c r="BQ35" s="62"/>
      <c r="BR35" s="68"/>
      <c r="BS35" s="62"/>
      <c r="BT35" s="68"/>
      <c r="BU35" t="b">
        <f t="shared" si="0"/>
        <v>0</v>
      </c>
    </row>
    <row r="36" spans="1:73" x14ac:dyDescent="0.25">
      <c r="A36" s="28"/>
      <c r="B36" s="29"/>
      <c r="C36" s="29"/>
      <c r="D36" s="30"/>
      <c r="E36" s="29"/>
      <c r="F36" s="30"/>
      <c r="G36" s="29"/>
      <c r="H36" s="69"/>
      <c r="I36" s="64"/>
      <c r="J36" s="69"/>
      <c r="K36" s="64"/>
      <c r="L36" s="69"/>
      <c r="M36" s="65"/>
      <c r="N36" s="69"/>
      <c r="O36" s="64"/>
      <c r="P36" s="69"/>
      <c r="Q36" s="64"/>
      <c r="R36" s="69"/>
      <c r="S36" s="64"/>
      <c r="T36" s="69"/>
      <c r="U36" s="64"/>
      <c r="V36" s="69"/>
      <c r="W36" s="65"/>
      <c r="X36" s="69"/>
      <c r="Y36" s="64"/>
      <c r="Z36" s="69"/>
      <c r="AA36" s="64"/>
      <c r="AB36" s="69"/>
      <c r="AC36" s="64"/>
      <c r="AD36" s="69"/>
      <c r="AE36" s="65"/>
      <c r="AF36" s="69"/>
      <c r="AG36" s="65"/>
      <c r="AH36" s="69"/>
      <c r="AI36" s="64"/>
      <c r="AJ36" s="69"/>
      <c r="AK36" s="64"/>
      <c r="AL36" s="69"/>
      <c r="AM36" s="64"/>
      <c r="AN36" s="69"/>
      <c r="AO36" s="64"/>
      <c r="AP36" s="69"/>
      <c r="AQ36" s="64"/>
      <c r="AR36" s="69"/>
      <c r="AS36" s="64"/>
      <c r="AT36" s="69"/>
      <c r="AU36" s="64"/>
      <c r="AV36" s="69"/>
      <c r="AW36" s="64"/>
      <c r="AX36" s="69"/>
      <c r="AY36" s="64"/>
      <c r="AZ36" s="69"/>
      <c r="BA36" s="64"/>
      <c r="BB36" s="69"/>
      <c r="BC36" s="64"/>
      <c r="BD36" s="69"/>
      <c r="BE36" s="64"/>
      <c r="BF36" s="69"/>
      <c r="BG36" s="64"/>
      <c r="BH36" s="69"/>
      <c r="BI36" s="64"/>
      <c r="BJ36" s="69"/>
      <c r="BK36" s="64"/>
      <c r="BL36" s="69"/>
      <c r="BM36" s="64"/>
      <c r="BN36" s="69"/>
      <c r="BO36" s="64"/>
      <c r="BP36" s="69"/>
      <c r="BQ36" s="64"/>
      <c r="BR36" s="69"/>
      <c r="BS36" s="64"/>
      <c r="BT36" s="69"/>
      <c r="BU36" t="b">
        <f t="shared" si="0"/>
        <v>0</v>
      </c>
    </row>
    <row r="37" spans="1:73" x14ac:dyDescent="0.25">
      <c r="A37" s="25"/>
      <c r="B37" s="26"/>
      <c r="C37" s="26"/>
      <c r="D37" s="27"/>
      <c r="E37" s="26"/>
      <c r="F37" s="27"/>
      <c r="G37" s="26"/>
      <c r="H37" s="68"/>
      <c r="I37" s="62"/>
      <c r="J37" s="68"/>
      <c r="K37" s="62"/>
      <c r="L37" s="68"/>
      <c r="M37" s="63"/>
      <c r="N37" s="68"/>
      <c r="O37" s="62"/>
      <c r="P37" s="68"/>
      <c r="Q37" s="62"/>
      <c r="R37" s="68"/>
      <c r="S37" s="62"/>
      <c r="T37" s="68"/>
      <c r="U37" s="62"/>
      <c r="V37" s="68"/>
      <c r="W37" s="63"/>
      <c r="X37" s="68"/>
      <c r="Y37" s="62"/>
      <c r="Z37" s="68"/>
      <c r="AA37" s="62"/>
      <c r="AB37" s="68"/>
      <c r="AC37" s="62"/>
      <c r="AD37" s="68"/>
      <c r="AE37" s="63"/>
      <c r="AF37" s="68"/>
      <c r="AG37" s="63"/>
      <c r="AH37" s="68"/>
      <c r="AI37" s="62"/>
      <c r="AJ37" s="68"/>
      <c r="AK37" s="62"/>
      <c r="AL37" s="68"/>
      <c r="AM37" s="62"/>
      <c r="AN37" s="68"/>
      <c r="AO37" s="62"/>
      <c r="AP37" s="68"/>
      <c r="AQ37" s="62"/>
      <c r="AR37" s="68"/>
      <c r="AS37" s="62"/>
      <c r="AT37" s="68"/>
      <c r="AU37" s="62"/>
      <c r="AV37" s="68"/>
      <c r="AW37" s="62"/>
      <c r="AX37" s="68"/>
      <c r="AY37" s="62"/>
      <c r="AZ37" s="68"/>
      <c r="BA37" s="62"/>
      <c r="BB37" s="68"/>
      <c r="BC37" s="62"/>
      <c r="BD37" s="68"/>
      <c r="BE37" s="62"/>
      <c r="BF37" s="68"/>
      <c r="BG37" s="62"/>
      <c r="BH37" s="68"/>
      <c r="BI37" s="62"/>
      <c r="BJ37" s="68"/>
      <c r="BK37" s="62"/>
      <c r="BL37" s="68"/>
      <c r="BM37" s="62"/>
      <c r="BN37" s="68"/>
      <c r="BO37" s="62"/>
      <c r="BP37" s="68"/>
      <c r="BQ37" s="62"/>
      <c r="BR37" s="68"/>
      <c r="BS37" s="62"/>
      <c r="BT37" s="68"/>
      <c r="BU37" t="b">
        <f t="shared" si="0"/>
        <v>0</v>
      </c>
    </row>
    <row r="38" spans="1:73" x14ac:dyDescent="0.25">
      <c r="A38" s="28"/>
      <c r="B38" s="29"/>
      <c r="C38" s="29"/>
      <c r="D38" s="30"/>
      <c r="E38" s="29"/>
      <c r="F38" s="30"/>
      <c r="G38" s="29"/>
      <c r="H38" s="69"/>
      <c r="I38" s="64"/>
      <c r="J38" s="69"/>
      <c r="K38" s="64"/>
      <c r="L38" s="69"/>
      <c r="M38" s="65"/>
      <c r="N38" s="69"/>
      <c r="O38" s="64"/>
      <c r="P38" s="69"/>
      <c r="Q38" s="64"/>
      <c r="R38" s="69"/>
      <c r="S38" s="64"/>
      <c r="T38" s="69"/>
      <c r="U38" s="64"/>
      <c r="V38" s="69"/>
      <c r="W38" s="65"/>
      <c r="X38" s="69"/>
      <c r="Y38" s="64"/>
      <c r="Z38" s="69"/>
      <c r="AA38" s="64"/>
      <c r="AB38" s="69"/>
      <c r="AC38" s="64"/>
      <c r="AD38" s="69"/>
      <c r="AE38" s="65"/>
      <c r="AF38" s="69"/>
      <c r="AG38" s="65"/>
      <c r="AH38" s="69"/>
      <c r="AI38" s="64"/>
      <c r="AJ38" s="69"/>
      <c r="AK38" s="64"/>
      <c r="AL38" s="69"/>
      <c r="AM38" s="64"/>
      <c r="AN38" s="69"/>
      <c r="AO38" s="64"/>
      <c r="AP38" s="69"/>
      <c r="AQ38" s="64"/>
      <c r="AR38" s="69"/>
      <c r="AS38" s="64"/>
      <c r="AT38" s="69"/>
      <c r="AU38" s="64"/>
      <c r="AV38" s="69"/>
      <c r="AW38" s="64"/>
      <c r="AX38" s="69"/>
      <c r="AY38" s="64"/>
      <c r="AZ38" s="69"/>
      <c r="BA38" s="64"/>
      <c r="BB38" s="69"/>
      <c r="BC38" s="64"/>
      <c r="BD38" s="69"/>
      <c r="BE38" s="64"/>
      <c r="BF38" s="69"/>
      <c r="BG38" s="64"/>
      <c r="BH38" s="69"/>
      <c r="BI38" s="64"/>
      <c r="BJ38" s="69"/>
      <c r="BK38" s="64"/>
      <c r="BL38" s="69"/>
      <c r="BM38" s="64"/>
      <c r="BN38" s="69"/>
      <c r="BO38" s="64"/>
      <c r="BP38" s="69"/>
      <c r="BQ38" s="64"/>
      <c r="BR38" s="69"/>
      <c r="BS38" s="64"/>
      <c r="BT38" s="69"/>
      <c r="BU38" t="b">
        <f t="shared" si="0"/>
        <v>0</v>
      </c>
    </row>
    <row r="39" spans="1:73" x14ac:dyDescent="0.25">
      <c r="A39" s="25"/>
      <c r="B39" s="26"/>
      <c r="C39" s="26"/>
      <c r="D39" s="27"/>
      <c r="E39" s="26"/>
      <c r="F39" s="27"/>
      <c r="G39" s="26"/>
      <c r="H39" s="68"/>
      <c r="I39" s="62"/>
      <c r="J39" s="68"/>
      <c r="K39" s="62"/>
      <c r="L39" s="68"/>
      <c r="M39" s="63"/>
      <c r="N39" s="68"/>
      <c r="O39" s="62"/>
      <c r="P39" s="68"/>
      <c r="Q39" s="62"/>
      <c r="R39" s="68"/>
      <c r="S39" s="62"/>
      <c r="T39" s="68"/>
      <c r="U39" s="62"/>
      <c r="V39" s="68"/>
      <c r="W39" s="63"/>
      <c r="X39" s="68"/>
      <c r="Y39" s="62"/>
      <c r="Z39" s="68"/>
      <c r="AA39" s="62"/>
      <c r="AB39" s="68"/>
      <c r="AC39" s="62"/>
      <c r="AD39" s="68"/>
      <c r="AE39" s="63"/>
      <c r="AF39" s="68"/>
      <c r="AG39" s="63"/>
      <c r="AH39" s="68"/>
      <c r="AI39" s="62"/>
      <c r="AJ39" s="68"/>
      <c r="AK39" s="62"/>
      <c r="AL39" s="68"/>
      <c r="AM39" s="62"/>
      <c r="AN39" s="68"/>
      <c r="AO39" s="62"/>
      <c r="AP39" s="68"/>
      <c r="AQ39" s="62"/>
      <c r="AR39" s="68"/>
      <c r="AS39" s="62"/>
      <c r="AT39" s="68"/>
      <c r="AU39" s="62"/>
      <c r="AV39" s="68"/>
      <c r="AW39" s="62"/>
      <c r="AX39" s="68"/>
      <c r="AY39" s="62"/>
      <c r="AZ39" s="68"/>
      <c r="BA39" s="62"/>
      <c r="BB39" s="68"/>
      <c r="BC39" s="62"/>
      <c r="BD39" s="68"/>
      <c r="BE39" s="62"/>
      <c r="BF39" s="68"/>
      <c r="BG39" s="62"/>
      <c r="BH39" s="68"/>
      <c r="BI39" s="62"/>
      <c r="BJ39" s="68"/>
      <c r="BK39" s="62"/>
      <c r="BL39" s="68"/>
      <c r="BM39" s="62"/>
      <c r="BN39" s="68"/>
      <c r="BO39" s="62"/>
      <c r="BP39" s="68"/>
      <c r="BQ39" s="62"/>
      <c r="BR39" s="68"/>
      <c r="BS39" s="62"/>
      <c r="BT39" s="68"/>
      <c r="BU39" t="b">
        <f t="shared" si="0"/>
        <v>0</v>
      </c>
    </row>
    <row r="40" spans="1:73" x14ac:dyDescent="0.25">
      <c r="A40" s="28"/>
      <c r="B40" s="29"/>
      <c r="C40" s="29"/>
      <c r="D40" s="30"/>
      <c r="E40" s="29"/>
      <c r="F40" s="30"/>
      <c r="G40" s="29"/>
      <c r="H40" s="69"/>
      <c r="I40" s="64"/>
      <c r="J40" s="69"/>
      <c r="K40" s="64"/>
      <c r="L40" s="69"/>
      <c r="M40" s="65"/>
      <c r="N40" s="69"/>
      <c r="O40" s="64"/>
      <c r="P40" s="69"/>
      <c r="Q40" s="64"/>
      <c r="R40" s="69"/>
      <c r="S40" s="64"/>
      <c r="T40" s="69"/>
      <c r="U40" s="64"/>
      <c r="V40" s="69"/>
      <c r="W40" s="65"/>
      <c r="X40" s="69"/>
      <c r="Y40" s="64"/>
      <c r="Z40" s="69"/>
      <c r="AA40" s="64"/>
      <c r="AB40" s="69"/>
      <c r="AC40" s="64"/>
      <c r="AD40" s="69"/>
      <c r="AE40" s="65"/>
      <c r="AF40" s="69"/>
      <c r="AG40" s="65"/>
      <c r="AH40" s="69"/>
      <c r="AI40" s="64"/>
      <c r="AJ40" s="69"/>
      <c r="AK40" s="64"/>
      <c r="AL40" s="69"/>
      <c r="AM40" s="64"/>
      <c r="AN40" s="69"/>
      <c r="AO40" s="64"/>
      <c r="AP40" s="69"/>
      <c r="AQ40" s="64"/>
      <c r="AR40" s="69"/>
      <c r="AS40" s="64"/>
      <c r="AT40" s="69"/>
      <c r="AU40" s="64"/>
      <c r="AV40" s="69"/>
      <c r="AW40" s="64"/>
      <c r="AX40" s="69"/>
      <c r="AY40" s="64"/>
      <c r="AZ40" s="69"/>
      <c r="BA40" s="64"/>
      <c r="BB40" s="69"/>
      <c r="BC40" s="64"/>
      <c r="BD40" s="69"/>
      <c r="BE40" s="64"/>
      <c r="BF40" s="69"/>
      <c r="BG40" s="64"/>
      <c r="BH40" s="69"/>
      <c r="BI40" s="64"/>
      <c r="BJ40" s="69"/>
      <c r="BK40" s="64"/>
      <c r="BL40" s="69"/>
      <c r="BM40" s="64"/>
      <c r="BN40" s="69"/>
      <c r="BO40" s="64"/>
      <c r="BP40" s="69"/>
      <c r="BQ40" s="64"/>
      <c r="BR40" s="69"/>
      <c r="BS40" s="64"/>
      <c r="BT40" s="69"/>
      <c r="BU40" t="b">
        <f t="shared" si="0"/>
        <v>0</v>
      </c>
    </row>
    <row r="41" spans="1:73" x14ac:dyDescent="0.25">
      <c r="A41" s="25"/>
      <c r="B41" s="26"/>
      <c r="C41" s="26"/>
      <c r="D41" s="27"/>
      <c r="E41" s="26"/>
      <c r="F41" s="27"/>
      <c r="G41" s="26"/>
      <c r="H41" s="68"/>
      <c r="I41" s="62"/>
      <c r="J41" s="68"/>
      <c r="K41" s="62"/>
      <c r="L41" s="68"/>
      <c r="M41" s="63"/>
      <c r="N41" s="68"/>
      <c r="O41" s="62"/>
      <c r="P41" s="68"/>
      <c r="Q41" s="62"/>
      <c r="R41" s="68"/>
      <c r="S41" s="62"/>
      <c r="T41" s="68"/>
      <c r="U41" s="62"/>
      <c r="V41" s="68"/>
      <c r="W41" s="63"/>
      <c r="X41" s="68"/>
      <c r="Y41" s="62"/>
      <c r="Z41" s="68"/>
      <c r="AA41" s="62"/>
      <c r="AB41" s="68"/>
      <c r="AC41" s="62"/>
      <c r="AD41" s="68"/>
      <c r="AE41" s="63"/>
      <c r="AF41" s="68"/>
      <c r="AG41" s="63"/>
      <c r="AH41" s="68"/>
      <c r="AI41" s="62"/>
      <c r="AJ41" s="68"/>
      <c r="AK41" s="62"/>
      <c r="AL41" s="68"/>
      <c r="AM41" s="62"/>
      <c r="AN41" s="68"/>
      <c r="AO41" s="62"/>
      <c r="AP41" s="68"/>
      <c r="AQ41" s="62"/>
      <c r="AR41" s="68"/>
      <c r="AS41" s="62"/>
      <c r="AT41" s="68"/>
      <c r="AU41" s="62"/>
      <c r="AV41" s="68"/>
      <c r="AW41" s="62"/>
      <c r="AX41" s="68"/>
      <c r="AY41" s="62"/>
      <c r="AZ41" s="68"/>
      <c r="BA41" s="62"/>
      <c r="BB41" s="68"/>
      <c r="BC41" s="62"/>
      <c r="BD41" s="68"/>
      <c r="BE41" s="62"/>
      <c r="BF41" s="68"/>
      <c r="BG41" s="62"/>
      <c r="BH41" s="68"/>
      <c r="BI41" s="62"/>
      <c r="BJ41" s="68"/>
      <c r="BK41" s="62"/>
      <c r="BL41" s="68"/>
      <c r="BM41" s="62"/>
      <c r="BN41" s="68"/>
      <c r="BO41" s="62"/>
      <c r="BP41" s="68"/>
      <c r="BQ41" s="62"/>
      <c r="BR41" s="68"/>
      <c r="BS41" s="62"/>
      <c r="BT41" s="68"/>
      <c r="BU41" t="b">
        <f t="shared" si="0"/>
        <v>0</v>
      </c>
    </row>
    <row r="42" spans="1:73" x14ac:dyDescent="0.25">
      <c r="A42" s="28"/>
      <c r="B42" s="29"/>
      <c r="C42" s="29"/>
      <c r="D42" s="30"/>
      <c r="E42" s="29"/>
      <c r="F42" s="30"/>
      <c r="G42" s="29"/>
      <c r="H42" s="69"/>
      <c r="I42" s="64"/>
      <c r="J42" s="69"/>
      <c r="K42" s="64"/>
      <c r="L42" s="69"/>
      <c r="M42" s="65"/>
      <c r="N42" s="69"/>
      <c r="O42" s="64"/>
      <c r="P42" s="69"/>
      <c r="Q42" s="64"/>
      <c r="R42" s="69"/>
      <c r="S42" s="64"/>
      <c r="T42" s="69"/>
      <c r="U42" s="64"/>
      <c r="V42" s="69"/>
      <c r="W42" s="65"/>
      <c r="X42" s="69"/>
      <c r="Y42" s="64"/>
      <c r="Z42" s="69"/>
      <c r="AA42" s="64"/>
      <c r="AB42" s="69"/>
      <c r="AC42" s="64"/>
      <c r="AD42" s="69"/>
      <c r="AE42" s="65"/>
      <c r="AF42" s="69"/>
      <c r="AG42" s="65"/>
      <c r="AH42" s="69"/>
      <c r="AI42" s="64"/>
      <c r="AJ42" s="69"/>
      <c r="AK42" s="64"/>
      <c r="AL42" s="69"/>
      <c r="AM42" s="64"/>
      <c r="AN42" s="69"/>
      <c r="AO42" s="64"/>
      <c r="AP42" s="69"/>
      <c r="AQ42" s="64"/>
      <c r="AR42" s="69"/>
      <c r="AS42" s="64"/>
      <c r="AT42" s="69"/>
      <c r="AU42" s="64"/>
      <c r="AV42" s="69"/>
      <c r="AW42" s="64"/>
      <c r="AX42" s="69"/>
      <c r="AY42" s="64"/>
      <c r="AZ42" s="69"/>
      <c r="BA42" s="64"/>
      <c r="BB42" s="69"/>
      <c r="BC42" s="64"/>
      <c r="BD42" s="69"/>
      <c r="BE42" s="64"/>
      <c r="BF42" s="69"/>
      <c r="BG42" s="64"/>
      <c r="BH42" s="69"/>
      <c r="BI42" s="64"/>
      <c r="BJ42" s="69"/>
      <c r="BK42" s="64"/>
      <c r="BL42" s="69"/>
      <c r="BM42" s="64"/>
      <c r="BN42" s="69"/>
      <c r="BO42" s="64"/>
      <c r="BP42" s="69"/>
      <c r="BQ42" s="64"/>
      <c r="BR42" s="69"/>
      <c r="BS42" s="64"/>
      <c r="BT42" s="69"/>
      <c r="BU42" t="b">
        <f t="shared" si="0"/>
        <v>0</v>
      </c>
    </row>
    <row r="43" spans="1:73" x14ac:dyDescent="0.25">
      <c r="A43" s="25"/>
      <c r="B43" s="26"/>
      <c r="C43" s="26"/>
      <c r="D43" s="27"/>
      <c r="E43" s="26"/>
      <c r="F43" s="27"/>
      <c r="G43" s="26"/>
      <c r="H43" s="68"/>
      <c r="I43" s="62"/>
      <c r="J43" s="68"/>
      <c r="K43" s="62"/>
      <c r="L43" s="68"/>
      <c r="M43" s="63"/>
      <c r="N43" s="68"/>
      <c r="O43" s="62"/>
      <c r="P43" s="68"/>
      <c r="Q43" s="62"/>
      <c r="R43" s="68"/>
      <c r="S43" s="62"/>
      <c r="T43" s="68"/>
      <c r="U43" s="62"/>
      <c r="V43" s="68"/>
      <c r="W43" s="63"/>
      <c r="X43" s="68"/>
      <c r="Y43" s="62"/>
      <c r="Z43" s="68"/>
      <c r="AA43" s="62"/>
      <c r="AB43" s="68"/>
      <c r="AC43" s="62"/>
      <c r="AD43" s="68"/>
      <c r="AE43" s="63"/>
      <c r="AF43" s="68"/>
      <c r="AG43" s="63"/>
      <c r="AH43" s="68"/>
      <c r="AI43" s="62"/>
      <c r="AJ43" s="68"/>
      <c r="AK43" s="62"/>
      <c r="AL43" s="68"/>
      <c r="AM43" s="62"/>
      <c r="AN43" s="68"/>
      <c r="AO43" s="62"/>
      <c r="AP43" s="68"/>
      <c r="AQ43" s="62"/>
      <c r="AR43" s="68"/>
      <c r="AS43" s="62"/>
      <c r="AT43" s="68"/>
      <c r="AU43" s="62"/>
      <c r="AV43" s="68"/>
      <c r="AW43" s="62"/>
      <c r="AX43" s="68"/>
      <c r="AY43" s="62"/>
      <c r="AZ43" s="68"/>
      <c r="BA43" s="62"/>
      <c r="BB43" s="68"/>
      <c r="BC43" s="62"/>
      <c r="BD43" s="68"/>
      <c r="BE43" s="62"/>
      <c r="BF43" s="68"/>
      <c r="BG43" s="62"/>
      <c r="BH43" s="68"/>
      <c r="BI43" s="62"/>
      <c r="BJ43" s="68"/>
      <c r="BK43" s="62"/>
      <c r="BL43" s="68"/>
      <c r="BM43" s="62"/>
      <c r="BN43" s="68"/>
      <c r="BO43" s="62"/>
      <c r="BP43" s="68"/>
      <c r="BQ43" s="62"/>
      <c r="BR43" s="68"/>
      <c r="BS43" s="62"/>
      <c r="BT43" s="68"/>
      <c r="BU43" t="b">
        <f t="shared" si="0"/>
        <v>0</v>
      </c>
    </row>
    <row r="44" spans="1:73" x14ac:dyDescent="0.25">
      <c r="A44" s="28"/>
      <c r="B44" s="29"/>
      <c r="C44" s="29"/>
      <c r="D44" s="30"/>
      <c r="E44" s="29"/>
      <c r="F44" s="30"/>
      <c r="G44" s="29"/>
      <c r="H44" s="69"/>
      <c r="I44" s="64"/>
      <c r="J44" s="69"/>
      <c r="K44" s="64"/>
      <c r="L44" s="69"/>
      <c r="M44" s="65"/>
      <c r="N44" s="69"/>
      <c r="O44" s="64"/>
      <c r="P44" s="69"/>
      <c r="Q44" s="64"/>
      <c r="R44" s="69"/>
      <c r="S44" s="64"/>
      <c r="T44" s="69"/>
      <c r="U44" s="64"/>
      <c r="V44" s="69"/>
      <c r="W44" s="65"/>
      <c r="X44" s="69"/>
      <c r="Y44" s="64"/>
      <c r="Z44" s="69"/>
      <c r="AA44" s="64"/>
      <c r="AB44" s="69"/>
      <c r="AC44" s="64"/>
      <c r="AD44" s="69"/>
      <c r="AE44" s="65"/>
      <c r="AF44" s="69"/>
      <c r="AG44" s="65"/>
      <c r="AH44" s="69"/>
      <c r="AI44" s="64"/>
      <c r="AJ44" s="69"/>
      <c r="AK44" s="64"/>
      <c r="AL44" s="69"/>
      <c r="AM44" s="64"/>
      <c r="AN44" s="69"/>
      <c r="AO44" s="64"/>
      <c r="AP44" s="69"/>
      <c r="AQ44" s="64"/>
      <c r="AR44" s="69"/>
      <c r="AS44" s="64"/>
      <c r="AT44" s="69"/>
      <c r="AU44" s="64"/>
      <c r="AV44" s="69"/>
      <c r="AW44" s="64"/>
      <c r="AX44" s="69"/>
      <c r="AY44" s="64"/>
      <c r="AZ44" s="69"/>
      <c r="BA44" s="64"/>
      <c r="BB44" s="69"/>
      <c r="BC44" s="64"/>
      <c r="BD44" s="69"/>
      <c r="BE44" s="64"/>
      <c r="BF44" s="69"/>
      <c r="BG44" s="64"/>
      <c r="BH44" s="69"/>
      <c r="BI44" s="64"/>
      <c r="BJ44" s="69"/>
      <c r="BK44" s="64"/>
      <c r="BL44" s="69"/>
      <c r="BM44" s="64"/>
      <c r="BN44" s="69"/>
      <c r="BO44" s="64"/>
      <c r="BP44" s="69"/>
      <c r="BQ44" s="64"/>
      <c r="BR44" s="69"/>
      <c r="BS44" s="64"/>
      <c r="BT44" s="69"/>
      <c r="BU44" t="b">
        <f t="shared" si="0"/>
        <v>0</v>
      </c>
    </row>
    <row r="45" spans="1:73" x14ac:dyDescent="0.25">
      <c r="A45" s="25"/>
      <c r="B45" s="26"/>
      <c r="C45" s="26"/>
      <c r="D45" s="27"/>
      <c r="E45" s="26"/>
      <c r="F45" s="27"/>
      <c r="G45" s="26"/>
      <c r="H45" s="68"/>
      <c r="I45" s="62"/>
      <c r="J45" s="68"/>
      <c r="K45" s="62"/>
      <c r="L45" s="68"/>
      <c r="M45" s="63"/>
      <c r="N45" s="68"/>
      <c r="O45" s="62"/>
      <c r="P45" s="68"/>
      <c r="Q45" s="62"/>
      <c r="R45" s="68"/>
      <c r="S45" s="62"/>
      <c r="T45" s="68"/>
      <c r="U45" s="62"/>
      <c r="V45" s="68"/>
      <c r="W45" s="63"/>
      <c r="X45" s="68"/>
      <c r="Y45" s="62"/>
      <c r="Z45" s="68"/>
      <c r="AA45" s="62"/>
      <c r="AB45" s="68"/>
      <c r="AC45" s="62"/>
      <c r="AD45" s="68"/>
      <c r="AE45" s="63"/>
      <c r="AF45" s="68"/>
      <c r="AG45" s="63"/>
      <c r="AH45" s="68"/>
      <c r="AI45" s="62"/>
      <c r="AJ45" s="68"/>
      <c r="AK45" s="62"/>
      <c r="AL45" s="68"/>
      <c r="AM45" s="62"/>
      <c r="AN45" s="68"/>
      <c r="AO45" s="62"/>
      <c r="AP45" s="68"/>
      <c r="AQ45" s="62"/>
      <c r="AR45" s="68"/>
      <c r="AS45" s="62"/>
      <c r="AT45" s="68"/>
      <c r="AU45" s="62"/>
      <c r="AV45" s="68"/>
      <c r="AW45" s="62"/>
      <c r="AX45" s="68"/>
      <c r="AY45" s="62"/>
      <c r="AZ45" s="68"/>
      <c r="BA45" s="62"/>
      <c r="BB45" s="68"/>
      <c r="BC45" s="62"/>
      <c r="BD45" s="68"/>
      <c r="BE45" s="62"/>
      <c r="BF45" s="68"/>
      <c r="BG45" s="62"/>
      <c r="BH45" s="68"/>
      <c r="BI45" s="62"/>
      <c r="BJ45" s="68"/>
      <c r="BK45" s="62"/>
      <c r="BL45" s="68"/>
      <c r="BM45" s="62"/>
      <c r="BN45" s="68"/>
      <c r="BO45" s="62"/>
      <c r="BP45" s="68"/>
      <c r="BQ45" s="62"/>
      <c r="BR45" s="68"/>
      <c r="BS45" s="62"/>
      <c r="BT45" s="68"/>
      <c r="BU45" t="b">
        <f t="shared" si="0"/>
        <v>0</v>
      </c>
    </row>
    <row r="46" spans="1:73" x14ac:dyDescent="0.25">
      <c r="A46" s="28"/>
      <c r="B46" s="29"/>
      <c r="C46" s="29"/>
      <c r="D46" s="30"/>
      <c r="E46" s="29"/>
      <c r="F46" s="30"/>
      <c r="G46" s="29"/>
      <c r="H46" s="69"/>
      <c r="I46" s="64"/>
      <c r="J46" s="69"/>
      <c r="K46" s="64"/>
      <c r="L46" s="69"/>
      <c r="M46" s="65"/>
      <c r="N46" s="69"/>
      <c r="O46" s="64"/>
      <c r="P46" s="69"/>
      <c r="Q46" s="64"/>
      <c r="R46" s="69"/>
      <c r="S46" s="64"/>
      <c r="T46" s="69"/>
      <c r="U46" s="64"/>
      <c r="V46" s="69"/>
      <c r="W46" s="65"/>
      <c r="X46" s="69"/>
      <c r="Y46" s="64"/>
      <c r="Z46" s="69"/>
      <c r="AA46" s="64"/>
      <c r="AB46" s="69"/>
      <c r="AC46" s="64"/>
      <c r="AD46" s="69"/>
      <c r="AE46" s="65"/>
      <c r="AF46" s="69"/>
      <c r="AG46" s="65"/>
      <c r="AH46" s="69"/>
      <c r="AI46" s="64"/>
      <c r="AJ46" s="69"/>
      <c r="AK46" s="64"/>
      <c r="AL46" s="69"/>
      <c r="AM46" s="64"/>
      <c r="AN46" s="69"/>
      <c r="AO46" s="64"/>
      <c r="AP46" s="69"/>
      <c r="AQ46" s="64"/>
      <c r="AR46" s="69"/>
      <c r="AS46" s="64"/>
      <c r="AT46" s="69"/>
      <c r="AU46" s="64"/>
      <c r="AV46" s="69"/>
      <c r="AW46" s="64"/>
      <c r="AX46" s="69"/>
      <c r="AY46" s="64"/>
      <c r="AZ46" s="69"/>
      <c r="BA46" s="64"/>
      <c r="BB46" s="69"/>
      <c r="BC46" s="64"/>
      <c r="BD46" s="69"/>
      <c r="BE46" s="64"/>
      <c r="BF46" s="69"/>
      <c r="BG46" s="64"/>
      <c r="BH46" s="69"/>
      <c r="BI46" s="64"/>
      <c r="BJ46" s="69"/>
      <c r="BK46" s="64"/>
      <c r="BL46" s="69"/>
      <c r="BM46" s="64"/>
      <c r="BN46" s="69"/>
      <c r="BO46" s="64"/>
      <c r="BP46" s="69"/>
      <c r="BQ46" s="64"/>
      <c r="BR46" s="69"/>
      <c r="BS46" s="64"/>
      <c r="BT46" s="69"/>
      <c r="BU46" t="b">
        <f t="shared" si="0"/>
        <v>0</v>
      </c>
    </row>
    <row r="47" spans="1:73" x14ac:dyDescent="0.25">
      <c r="A47" s="25"/>
      <c r="B47" s="26"/>
      <c r="C47" s="26"/>
      <c r="D47" s="27"/>
      <c r="E47" s="26"/>
      <c r="F47" s="27"/>
      <c r="G47" s="26"/>
      <c r="H47" s="68"/>
      <c r="I47" s="62"/>
      <c r="J47" s="68"/>
      <c r="K47" s="62"/>
      <c r="L47" s="68"/>
      <c r="M47" s="63"/>
      <c r="N47" s="68"/>
      <c r="O47" s="62"/>
      <c r="P47" s="68"/>
      <c r="Q47" s="62"/>
      <c r="R47" s="68"/>
      <c r="S47" s="62"/>
      <c r="T47" s="68"/>
      <c r="U47" s="62"/>
      <c r="V47" s="68"/>
      <c r="W47" s="63"/>
      <c r="X47" s="68"/>
      <c r="Y47" s="62"/>
      <c r="Z47" s="68"/>
      <c r="AA47" s="62"/>
      <c r="AB47" s="68"/>
      <c r="AC47" s="62"/>
      <c r="AD47" s="68"/>
      <c r="AE47" s="63"/>
      <c r="AF47" s="68"/>
      <c r="AG47" s="63"/>
      <c r="AH47" s="68"/>
      <c r="AI47" s="62"/>
      <c r="AJ47" s="68"/>
      <c r="AK47" s="62"/>
      <c r="AL47" s="68"/>
      <c r="AM47" s="62"/>
      <c r="AN47" s="68"/>
      <c r="AO47" s="62"/>
      <c r="AP47" s="68"/>
      <c r="AQ47" s="62"/>
      <c r="AR47" s="68"/>
      <c r="AS47" s="62"/>
      <c r="AT47" s="68"/>
      <c r="AU47" s="62"/>
      <c r="AV47" s="68"/>
      <c r="AW47" s="62"/>
      <c r="AX47" s="68"/>
      <c r="AY47" s="62"/>
      <c r="AZ47" s="68"/>
      <c r="BA47" s="62"/>
      <c r="BB47" s="68"/>
      <c r="BC47" s="62"/>
      <c r="BD47" s="68"/>
      <c r="BE47" s="62"/>
      <c r="BF47" s="68"/>
      <c r="BG47" s="62"/>
      <c r="BH47" s="68"/>
      <c r="BI47" s="62"/>
      <c r="BJ47" s="68"/>
      <c r="BK47" s="62"/>
      <c r="BL47" s="68"/>
      <c r="BM47" s="62"/>
      <c r="BN47" s="68"/>
      <c r="BO47" s="62"/>
      <c r="BP47" s="68"/>
      <c r="BQ47" s="62"/>
      <c r="BR47" s="68"/>
      <c r="BS47" s="62"/>
      <c r="BT47" s="68"/>
      <c r="BU47" t="b">
        <f t="shared" si="0"/>
        <v>0</v>
      </c>
    </row>
    <row r="48" spans="1:73" x14ac:dyDescent="0.25">
      <c r="A48" s="28"/>
      <c r="B48" s="29"/>
      <c r="C48" s="29"/>
      <c r="D48" s="30"/>
      <c r="E48" s="29"/>
      <c r="F48" s="30"/>
      <c r="G48" s="29"/>
      <c r="H48" s="69"/>
      <c r="I48" s="64"/>
      <c r="J48" s="69"/>
      <c r="K48" s="64"/>
      <c r="L48" s="69"/>
      <c r="M48" s="65"/>
      <c r="N48" s="69"/>
      <c r="O48" s="64"/>
      <c r="P48" s="69"/>
      <c r="Q48" s="64"/>
      <c r="R48" s="69"/>
      <c r="S48" s="64"/>
      <c r="T48" s="69"/>
      <c r="U48" s="64"/>
      <c r="V48" s="69"/>
      <c r="W48" s="65"/>
      <c r="X48" s="69"/>
      <c r="Y48" s="64"/>
      <c r="Z48" s="69"/>
      <c r="AA48" s="64"/>
      <c r="AB48" s="69"/>
      <c r="AC48" s="64"/>
      <c r="AD48" s="69"/>
      <c r="AE48" s="65"/>
      <c r="AF48" s="69"/>
      <c r="AG48" s="65"/>
      <c r="AH48" s="69"/>
      <c r="AI48" s="64"/>
      <c r="AJ48" s="69"/>
      <c r="AK48" s="64"/>
      <c r="AL48" s="69"/>
      <c r="AM48" s="64"/>
      <c r="AN48" s="69"/>
      <c r="AO48" s="64"/>
      <c r="AP48" s="69"/>
      <c r="AQ48" s="64"/>
      <c r="AR48" s="69"/>
      <c r="AS48" s="64"/>
      <c r="AT48" s="69"/>
      <c r="AU48" s="64"/>
      <c r="AV48" s="69"/>
      <c r="AW48" s="64"/>
      <c r="AX48" s="69"/>
      <c r="AY48" s="64"/>
      <c r="AZ48" s="69"/>
      <c r="BA48" s="64"/>
      <c r="BB48" s="69"/>
      <c r="BC48" s="64"/>
      <c r="BD48" s="69"/>
      <c r="BE48" s="64"/>
      <c r="BF48" s="69"/>
      <c r="BG48" s="64"/>
      <c r="BH48" s="69"/>
      <c r="BI48" s="64"/>
      <c r="BJ48" s="69"/>
      <c r="BK48" s="64"/>
      <c r="BL48" s="69"/>
      <c r="BM48" s="64"/>
      <c r="BN48" s="69"/>
      <c r="BO48" s="64"/>
      <c r="BP48" s="69"/>
      <c r="BQ48" s="64"/>
      <c r="BR48" s="69"/>
      <c r="BS48" s="64"/>
      <c r="BT48" s="69"/>
      <c r="BU48" t="b">
        <f t="shared" si="0"/>
        <v>0</v>
      </c>
    </row>
    <row r="49" spans="1:73" x14ac:dyDescent="0.25">
      <c r="A49" s="25"/>
      <c r="B49" s="26"/>
      <c r="C49" s="26"/>
      <c r="D49" s="27"/>
      <c r="E49" s="26"/>
      <c r="F49" s="27"/>
      <c r="G49" s="26"/>
      <c r="H49" s="68"/>
      <c r="I49" s="62"/>
      <c r="J49" s="68"/>
      <c r="K49" s="62"/>
      <c r="L49" s="68"/>
      <c r="M49" s="63"/>
      <c r="N49" s="68"/>
      <c r="O49" s="62"/>
      <c r="P49" s="68"/>
      <c r="Q49" s="62"/>
      <c r="R49" s="68"/>
      <c r="S49" s="62"/>
      <c r="T49" s="68"/>
      <c r="U49" s="62"/>
      <c r="V49" s="68"/>
      <c r="W49" s="63"/>
      <c r="X49" s="68"/>
      <c r="Y49" s="62"/>
      <c r="Z49" s="68"/>
      <c r="AA49" s="62"/>
      <c r="AB49" s="68"/>
      <c r="AC49" s="62"/>
      <c r="AD49" s="68"/>
      <c r="AE49" s="63"/>
      <c r="AF49" s="68"/>
      <c r="AG49" s="63"/>
      <c r="AH49" s="68"/>
      <c r="AI49" s="62"/>
      <c r="AJ49" s="68"/>
      <c r="AK49" s="62"/>
      <c r="AL49" s="68"/>
      <c r="AM49" s="62"/>
      <c r="AN49" s="68"/>
      <c r="AO49" s="62"/>
      <c r="AP49" s="68"/>
      <c r="AQ49" s="62"/>
      <c r="AR49" s="68"/>
      <c r="AS49" s="62"/>
      <c r="AT49" s="68"/>
      <c r="AU49" s="62"/>
      <c r="AV49" s="68"/>
      <c r="AW49" s="62"/>
      <c r="AX49" s="68"/>
      <c r="AY49" s="62"/>
      <c r="AZ49" s="68"/>
      <c r="BA49" s="62"/>
      <c r="BB49" s="68"/>
      <c r="BC49" s="62"/>
      <c r="BD49" s="68"/>
      <c r="BE49" s="62"/>
      <c r="BF49" s="68"/>
      <c r="BG49" s="62"/>
      <c r="BH49" s="68"/>
      <c r="BI49" s="62"/>
      <c r="BJ49" s="68"/>
      <c r="BK49" s="62"/>
      <c r="BL49" s="68"/>
      <c r="BM49" s="62"/>
      <c r="BN49" s="68"/>
      <c r="BO49" s="62"/>
      <c r="BP49" s="68"/>
      <c r="BQ49" s="62"/>
      <c r="BR49" s="68"/>
      <c r="BS49" s="62"/>
      <c r="BT49" s="68"/>
      <c r="BU49" t="b">
        <f t="shared" si="0"/>
        <v>0</v>
      </c>
    </row>
    <row r="50" spans="1:73" x14ac:dyDescent="0.25">
      <c r="A50" s="28"/>
      <c r="B50" s="29"/>
      <c r="C50" s="29"/>
      <c r="D50" s="30"/>
      <c r="E50" s="29"/>
      <c r="F50" s="30"/>
      <c r="G50" s="29"/>
      <c r="H50" s="69"/>
      <c r="I50" s="64"/>
      <c r="J50" s="69"/>
      <c r="K50" s="64"/>
      <c r="L50" s="69"/>
      <c r="M50" s="65"/>
      <c r="N50" s="69"/>
      <c r="O50" s="64"/>
      <c r="P50" s="69"/>
      <c r="Q50" s="64"/>
      <c r="R50" s="69"/>
      <c r="S50" s="64"/>
      <c r="T50" s="69"/>
      <c r="U50" s="64"/>
      <c r="V50" s="69"/>
      <c r="W50" s="65"/>
      <c r="X50" s="69"/>
      <c r="Y50" s="64"/>
      <c r="Z50" s="69"/>
      <c r="AA50" s="64"/>
      <c r="AB50" s="69"/>
      <c r="AC50" s="64"/>
      <c r="AD50" s="69"/>
      <c r="AE50" s="65"/>
      <c r="AF50" s="69"/>
      <c r="AG50" s="65"/>
      <c r="AH50" s="69"/>
      <c r="AI50" s="64"/>
      <c r="AJ50" s="69"/>
      <c r="AK50" s="64"/>
      <c r="AL50" s="69"/>
      <c r="AM50" s="64"/>
      <c r="AN50" s="69"/>
      <c r="AO50" s="64"/>
      <c r="AP50" s="69"/>
      <c r="AQ50" s="64"/>
      <c r="AR50" s="69"/>
      <c r="AS50" s="64"/>
      <c r="AT50" s="69"/>
      <c r="AU50" s="64"/>
      <c r="AV50" s="69"/>
      <c r="AW50" s="64"/>
      <c r="AX50" s="69"/>
      <c r="AY50" s="64"/>
      <c r="AZ50" s="69"/>
      <c r="BA50" s="64"/>
      <c r="BB50" s="69"/>
      <c r="BC50" s="64"/>
      <c r="BD50" s="69"/>
      <c r="BE50" s="64"/>
      <c r="BF50" s="69"/>
      <c r="BG50" s="64"/>
      <c r="BH50" s="69"/>
      <c r="BI50" s="64"/>
      <c r="BJ50" s="69"/>
      <c r="BK50" s="64"/>
      <c r="BL50" s="69"/>
      <c r="BM50" s="64"/>
      <c r="BN50" s="69"/>
      <c r="BO50" s="64"/>
      <c r="BP50" s="69"/>
      <c r="BQ50" s="64"/>
      <c r="BR50" s="69"/>
      <c r="BS50" s="64"/>
      <c r="BT50" s="69"/>
      <c r="BU50" t="b">
        <f t="shared" si="0"/>
        <v>0</v>
      </c>
    </row>
    <row r="51" spans="1:73" x14ac:dyDescent="0.25">
      <c r="A51" s="25"/>
      <c r="B51" s="26"/>
      <c r="C51" s="26"/>
      <c r="D51" s="27"/>
      <c r="E51" s="26"/>
      <c r="F51" s="27"/>
      <c r="G51" s="26"/>
      <c r="H51" s="68"/>
      <c r="I51" s="62"/>
      <c r="J51" s="68"/>
      <c r="K51" s="62"/>
      <c r="L51" s="68"/>
      <c r="M51" s="63"/>
      <c r="N51" s="68"/>
      <c r="O51" s="62"/>
      <c r="P51" s="68"/>
      <c r="Q51" s="62"/>
      <c r="R51" s="68"/>
      <c r="S51" s="62"/>
      <c r="T51" s="68"/>
      <c r="U51" s="62"/>
      <c r="V51" s="68"/>
      <c r="W51" s="63"/>
      <c r="X51" s="68"/>
      <c r="Y51" s="62"/>
      <c r="Z51" s="68"/>
      <c r="AA51" s="62"/>
      <c r="AB51" s="68"/>
      <c r="AC51" s="62"/>
      <c r="AD51" s="68"/>
      <c r="AE51" s="63"/>
      <c r="AF51" s="68"/>
      <c r="AG51" s="63"/>
      <c r="AH51" s="68"/>
      <c r="AI51" s="62"/>
      <c r="AJ51" s="68"/>
      <c r="AK51" s="62"/>
      <c r="AL51" s="68"/>
      <c r="AM51" s="62"/>
      <c r="AN51" s="68"/>
      <c r="AO51" s="62"/>
      <c r="AP51" s="68"/>
      <c r="AQ51" s="62"/>
      <c r="AR51" s="68"/>
      <c r="AS51" s="62"/>
      <c r="AT51" s="68"/>
      <c r="AU51" s="62"/>
      <c r="AV51" s="68"/>
      <c r="AW51" s="62"/>
      <c r="AX51" s="68"/>
      <c r="AY51" s="62"/>
      <c r="AZ51" s="68"/>
      <c r="BA51" s="62"/>
      <c r="BB51" s="68"/>
      <c r="BC51" s="62"/>
      <c r="BD51" s="68"/>
      <c r="BE51" s="62"/>
      <c r="BF51" s="68"/>
      <c r="BG51" s="62"/>
      <c r="BH51" s="68"/>
      <c r="BI51" s="62"/>
      <c r="BJ51" s="68"/>
      <c r="BK51" s="62"/>
      <c r="BL51" s="68"/>
      <c r="BM51" s="62"/>
      <c r="BN51" s="68"/>
      <c r="BO51" s="62"/>
      <c r="BP51" s="68"/>
      <c r="BQ51" s="62"/>
      <c r="BR51" s="68"/>
      <c r="BS51" s="62"/>
      <c r="BT51" s="68"/>
      <c r="BU51" t="b">
        <f t="shared" si="0"/>
        <v>0</v>
      </c>
    </row>
    <row r="52" spans="1:73" x14ac:dyDescent="0.25">
      <c r="A52" s="28"/>
      <c r="B52" s="29"/>
      <c r="C52" s="29"/>
      <c r="D52" s="30"/>
      <c r="E52" s="29"/>
      <c r="F52" s="30"/>
      <c r="G52" s="29"/>
      <c r="H52" s="69"/>
      <c r="I52" s="64"/>
      <c r="J52" s="69"/>
      <c r="K52" s="64"/>
      <c r="L52" s="69"/>
      <c r="M52" s="65"/>
      <c r="N52" s="69"/>
      <c r="O52" s="64"/>
      <c r="P52" s="69"/>
      <c r="Q52" s="64"/>
      <c r="R52" s="69"/>
      <c r="S52" s="64"/>
      <c r="T52" s="69"/>
      <c r="U52" s="64"/>
      <c r="V52" s="69"/>
      <c r="W52" s="65"/>
      <c r="X52" s="69"/>
      <c r="Y52" s="64"/>
      <c r="Z52" s="69"/>
      <c r="AA52" s="64"/>
      <c r="AB52" s="69"/>
      <c r="AC52" s="64"/>
      <c r="AD52" s="69"/>
      <c r="AE52" s="65"/>
      <c r="AF52" s="69"/>
      <c r="AG52" s="65"/>
      <c r="AH52" s="69"/>
      <c r="AI52" s="64"/>
      <c r="AJ52" s="69"/>
      <c r="AK52" s="64"/>
      <c r="AL52" s="69"/>
      <c r="AM52" s="64"/>
      <c r="AN52" s="69"/>
      <c r="AO52" s="64"/>
      <c r="AP52" s="69"/>
      <c r="AQ52" s="64"/>
      <c r="AR52" s="69"/>
      <c r="AS52" s="64"/>
      <c r="AT52" s="69"/>
      <c r="AU52" s="64"/>
      <c r="AV52" s="69"/>
      <c r="AW52" s="64"/>
      <c r="AX52" s="69"/>
      <c r="AY52" s="64"/>
      <c r="AZ52" s="69"/>
      <c r="BA52" s="64"/>
      <c r="BB52" s="69"/>
      <c r="BC52" s="64"/>
      <c r="BD52" s="69"/>
      <c r="BE52" s="64"/>
      <c r="BF52" s="69"/>
      <c r="BG52" s="64"/>
      <c r="BH52" s="69"/>
      <c r="BI52" s="64"/>
      <c r="BJ52" s="69"/>
      <c r="BK52" s="64"/>
      <c r="BL52" s="69"/>
      <c r="BM52" s="64"/>
      <c r="BN52" s="69"/>
      <c r="BO52" s="64"/>
      <c r="BP52" s="69"/>
      <c r="BQ52" s="64"/>
      <c r="BR52" s="69"/>
      <c r="BS52" s="64"/>
      <c r="BT52" s="69"/>
      <c r="BU52" t="b">
        <f t="shared" si="0"/>
        <v>0</v>
      </c>
    </row>
    <row r="53" spans="1:73" x14ac:dyDescent="0.25">
      <c r="A53" s="25"/>
      <c r="B53" s="26"/>
      <c r="C53" s="26"/>
      <c r="D53" s="27"/>
      <c r="E53" s="26"/>
      <c r="F53" s="27"/>
      <c r="G53" s="26"/>
      <c r="H53" s="68"/>
      <c r="I53" s="62"/>
      <c r="J53" s="68"/>
      <c r="K53" s="62"/>
      <c r="L53" s="68"/>
      <c r="M53" s="63"/>
      <c r="N53" s="68"/>
      <c r="O53" s="62"/>
      <c r="P53" s="68"/>
      <c r="Q53" s="62"/>
      <c r="R53" s="68"/>
      <c r="S53" s="62"/>
      <c r="T53" s="68"/>
      <c r="U53" s="62"/>
      <c r="V53" s="68"/>
      <c r="W53" s="63"/>
      <c r="X53" s="68"/>
      <c r="Y53" s="62"/>
      <c r="Z53" s="68"/>
      <c r="AA53" s="62"/>
      <c r="AB53" s="68"/>
      <c r="AC53" s="62"/>
      <c r="AD53" s="68"/>
      <c r="AE53" s="63"/>
      <c r="AF53" s="68"/>
      <c r="AG53" s="63"/>
      <c r="AH53" s="68"/>
      <c r="AI53" s="62"/>
      <c r="AJ53" s="68"/>
      <c r="AK53" s="62"/>
      <c r="AL53" s="68"/>
      <c r="AM53" s="62"/>
      <c r="AN53" s="68"/>
      <c r="AO53" s="62"/>
      <c r="AP53" s="68"/>
      <c r="AQ53" s="62"/>
      <c r="AR53" s="68"/>
      <c r="AS53" s="62"/>
      <c r="AT53" s="68"/>
      <c r="AU53" s="62"/>
      <c r="AV53" s="68"/>
      <c r="AW53" s="62"/>
      <c r="AX53" s="68"/>
      <c r="AY53" s="62"/>
      <c r="AZ53" s="68"/>
      <c r="BA53" s="62"/>
      <c r="BB53" s="68"/>
      <c r="BC53" s="62"/>
      <c r="BD53" s="68"/>
      <c r="BE53" s="62"/>
      <c r="BF53" s="68"/>
      <c r="BG53" s="62"/>
      <c r="BH53" s="68"/>
      <c r="BI53" s="62"/>
      <c r="BJ53" s="68"/>
      <c r="BK53" s="62"/>
      <c r="BL53" s="68"/>
      <c r="BM53" s="62"/>
      <c r="BN53" s="68"/>
      <c r="BO53" s="62"/>
      <c r="BP53" s="68"/>
      <c r="BQ53" s="62"/>
      <c r="BR53" s="68"/>
      <c r="BS53" s="62"/>
      <c r="BT53" s="68"/>
      <c r="BU53" t="b">
        <f t="shared" si="0"/>
        <v>0</v>
      </c>
    </row>
    <row r="54" spans="1:73" x14ac:dyDescent="0.25">
      <c r="A54" s="28"/>
      <c r="B54" s="29"/>
      <c r="C54" s="29"/>
      <c r="D54" s="30"/>
      <c r="E54" s="29"/>
      <c r="F54" s="30"/>
      <c r="G54" s="29"/>
      <c r="H54" s="69"/>
      <c r="I54" s="64"/>
      <c r="J54" s="69"/>
      <c r="K54" s="64"/>
      <c r="L54" s="69"/>
      <c r="M54" s="65"/>
      <c r="N54" s="69"/>
      <c r="O54" s="64"/>
      <c r="P54" s="69"/>
      <c r="Q54" s="64"/>
      <c r="R54" s="69"/>
      <c r="S54" s="64"/>
      <c r="T54" s="69"/>
      <c r="U54" s="64"/>
      <c r="V54" s="69"/>
      <c r="W54" s="65"/>
      <c r="X54" s="69"/>
      <c r="Y54" s="64"/>
      <c r="Z54" s="69"/>
      <c r="AA54" s="64"/>
      <c r="AB54" s="69"/>
      <c r="AC54" s="64"/>
      <c r="AD54" s="69"/>
      <c r="AE54" s="65"/>
      <c r="AF54" s="69"/>
      <c r="AG54" s="65"/>
      <c r="AH54" s="69"/>
      <c r="AI54" s="64"/>
      <c r="AJ54" s="69"/>
      <c r="AK54" s="64"/>
      <c r="AL54" s="69"/>
      <c r="AM54" s="64"/>
      <c r="AN54" s="69"/>
      <c r="AO54" s="64"/>
      <c r="AP54" s="69"/>
      <c r="AQ54" s="64"/>
      <c r="AR54" s="69"/>
      <c r="AS54" s="64"/>
      <c r="AT54" s="69"/>
      <c r="AU54" s="64"/>
      <c r="AV54" s="69"/>
      <c r="AW54" s="64"/>
      <c r="AX54" s="69"/>
      <c r="AY54" s="64"/>
      <c r="AZ54" s="69"/>
      <c r="BA54" s="64"/>
      <c r="BB54" s="69"/>
      <c r="BC54" s="64"/>
      <c r="BD54" s="69"/>
      <c r="BE54" s="64"/>
      <c r="BF54" s="69"/>
      <c r="BG54" s="64"/>
      <c r="BH54" s="69"/>
      <c r="BI54" s="64"/>
      <c r="BJ54" s="69"/>
      <c r="BK54" s="64"/>
      <c r="BL54" s="69"/>
      <c r="BM54" s="64"/>
      <c r="BN54" s="69"/>
      <c r="BO54" s="64"/>
      <c r="BP54" s="69"/>
      <c r="BQ54" s="64"/>
      <c r="BR54" s="69"/>
      <c r="BS54" s="64"/>
      <c r="BT54" s="69"/>
      <c r="BU54" t="b">
        <f t="shared" si="0"/>
        <v>0</v>
      </c>
    </row>
    <row r="55" spans="1:73" x14ac:dyDescent="0.25">
      <c r="A55" s="25"/>
      <c r="B55" s="26"/>
      <c r="C55" s="26"/>
      <c r="D55" s="27"/>
      <c r="E55" s="26"/>
      <c r="F55" s="27"/>
      <c r="G55" s="26"/>
      <c r="H55" s="68"/>
      <c r="I55" s="62"/>
      <c r="J55" s="68"/>
      <c r="K55" s="62"/>
      <c r="L55" s="68"/>
      <c r="M55" s="63"/>
      <c r="N55" s="68"/>
      <c r="O55" s="62"/>
      <c r="P55" s="68"/>
      <c r="Q55" s="62"/>
      <c r="R55" s="68"/>
      <c r="S55" s="62"/>
      <c r="T55" s="68"/>
      <c r="U55" s="62"/>
      <c r="V55" s="68"/>
      <c r="W55" s="63"/>
      <c r="X55" s="68"/>
      <c r="Y55" s="62"/>
      <c r="Z55" s="68"/>
      <c r="AA55" s="62"/>
      <c r="AB55" s="68"/>
      <c r="AC55" s="62"/>
      <c r="AD55" s="68"/>
      <c r="AE55" s="63"/>
      <c r="AF55" s="68"/>
      <c r="AG55" s="63"/>
      <c r="AH55" s="68"/>
      <c r="AI55" s="62"/>
      <c r="AJ55" s="68"/>
      <c r="AK55" s="62"/>
      <c r="AL55" s="68"/>
      <c r="AM55" s="62"/>
      <c r="AN55" s="68"/>
      <c r="AO55" s="62"/>
      <c r="AP55" s="68"/>
      <c r="AQ55" s="62"/>
      <c r="AR55" s="68"/>
      <c r="AS55" s="62"/>
      <c r="AT55" s="68"/>
      <c r="AU55" s="62"/>
      <c r="AV55" s="68"/>
      <c r="AW55" s="62"/>
      <c r="AX55" s="68"/>
      <c r="AY55" s="62"/>
      <c r="AZ55" s="68"/>
      <c r="BA55" s="62"/>
      <c r="BB55" s="68"/>
      <c r="BC55" s="62"/>
      <c r="BD55" s="68"/>
      <c r="BE55" s="62"/>
      <c r="BF55" s="68"/>
      <c r="BG55" s="62"/>
      <c r="BH55" s="68"/>
      <c r="BI55" s="62"/>
      <c r="BJ55" s="68"/>
      <c r="BK55" s="62"/>
      <c r="BL55" s="68"/>
      <c r="BM55" s="62"/>
      <c r="BN55" s="68"/>
      <c r="BO55" s="62"/>
      <c r="BP55" s="68"/>
      <c r="BQ55" s="62"/>
      <c r="BR55" s="68"/>
      <c r="BS55" s="62"/>
      <c r="BT55" s="68"/>
      <c r="BU55" t="b">
        <f t="shared" si="0"/>
        <v>0</v>
      </c>
    </row>
    <row r="56" spans="1:73" x14ac:dyDescent="0.25">
      <c r="A56" s="28"/>
      <c r="B56" s="29"/>
      <c r="C56" s="29"/>
      <c r="D56" s="30"/>
      <c r="E56" s="29"/>
      <c r="F56" s="30"/>
      <c r="G56" s="29"/>
      <c r="H56" s="69"/>
      <c r="I56" s="64"/>
      <c r="J56" s="69"/>
      <c r="K56" s="64"/>
      <c r="L56" s="69"/>
      <c r="M56" s="65"/>
      <c r="N56" s="69"/>
      <c r="O56" s="64"/>
      <c r="P56" s="69"/>
      <c r="Q56" s="64"/>
      <c r="R56" s="69"/>
      <c r="S56" s="64"/>
      <c r="T56" s="69"/>
      <c r="U56" s="64"/>
      <c r="V56" s="69"/>
      <c r="W56" s="65"/>
      <c r="X56" s="69"/>
      <c r="Y56" s="64"/>
      <c r="Z56" s="69"/>
      <c r="AA56" s="64"/>
      <c r="AB56" s="69"/>
      <c r="AC56" s="64"/>
      <c r="AD56" s="69"/>
      <c r="AE56" s="65"/>
      <c r="AF56" s="69"/>
      <c r="AG56" s="65"/>
      <c r="AH56" s="69"/>
      <c r="AI56" s="64"/>
      <c r="AJ56" s="69"/>
      <c r="AK56" s="64"/>
      <c r="AL56" s="69"/>
      <c r="AM56" s="64"/>
      <c r="AN56" s="69"/>
      <c r="AO56" s="64"/>
      <c r="AP56" s="69"/>
      <c r="AQ56" s="64"/>
      <c r="AR56" s="69"/>
      <c r="AS56" s="64"/>
      <c r="AT56" s="69"/>
      <c r="AU56" s="64"/>
      <c r="AV56" s="69"/>
      <c r="AW56" s="64"/>
      <c r="AX56" s="69"/>
      <c r="AY56" s="64"/>
      <c r="AZ56" s="69"/>
      <c r="BA56" s="64"/>
      <c r="BB56" s="69"/>
      <c r="BC56" s="64"/>
      <c r="BD56" s="69"/>
      <c r="BE56" s="64"/>
      <c r="BF56" s="69"/>
      <c r="BG56" s="64"/>
      <c r="BH56" s="69"/>
      <c r="BI56" s="64"/>
      <c r="BJ56" s="69"/>
      <c r="BK56" s="64"/>
      <c r="BL56" s="69"/>
      <c r="BM56" s="64"/>
      <c r="BN56" s="69"/>
      <c r="BO56" s="64"/>
      <c r="BP56" s="69"/>
      <c r="BQ56" s="64"/>
      <c r="BR56" s="69"/>
      <c r="BS56" s="64"/>
      <c r="BT56" s="69"/>
      <c r="BU56" t="b">
        <f t="shared" si="0"/>
        <v>0</v>
      </c>
    </row>
    <row r="57" spans="1:73" x14ac:dyDescent="0.25">
      <c r="A57" s="25"/>
      <c r="B57" s="26"/>
      <c r="C57" s="26"/>
      <c r="D57" s="27"/>
      <c r="E57" s="26"/>
      <c r="F57" s="27"/>
      <c r="G57" s="26"/>
      <c r="H57" s="68"/>
      <c r="I57" s="62"/>
      <c r="J57" s="68"/>
      <c r="K57" s="62"/>
      <c r="L57" s="68"/>
      <c r="M57" s="63"/>
      <c r="N57" s="68"/>
      <c r="O57" s="62"/>
      <c r="P57" s="68"/>
      <c r="Q57" s="62"/>
      <c r="R57" s="68"/>
      <c r="S57" s="62"/>
      <c r="T57" s="68"/>
      <c r="U57" s="62"/>
      <c r="V57" s="68"/>
      <c r="W57" s="63"/>
      <c r="X57" s="68"/>
      <c r="Y57" s="62"/>
      <c r="Z57" s="68"/>
      <c r="AA57" s="62"/>
      <c r="AB57" s="68"/>
      <c r="AC57" s="62"/>
      <c r="AD57" s="68"/>
      <c r="AE57" s="63"/>
      <c r="AF57" s="68"/>
      <c r="AG57" s="63"/>
      <c r="AH57" s="68"/>
      <c r="AI57" s="62"/>
      <c r="AJ57" s="68"/>
      <c r="AK57" s="62"/>
      <c r="AL57" s="68"/>
      <c r="AM57" s="62"/>
      <c r="AN57" s="68"/>
      <c r="AO57" s="62"/>
      <c r="AP57" s="68"/>
      <c r="AQ57" s="62"/>
      <c r="AR57" s="68"/>
      <c r="AS57" s="62"/>
      <c r="AT57" s="68"/>
      <c r="AU57" s="62"/>
      <c r="AV57" s="68"/>
      <c r="AW57" s="62"/>
      <c r="AX57" s="68"/>
      <c r="AY57" s="62"/>
      <c r="AZ57" s="68"/>
      <c r="BA57" s="62"/>
      <c r="BB57" s="68"/>
      <c r="BC57" s="62"/>
      <c r="BD57" s="68"/>
      <c r="BE57" s="62"/>
      <c r="BF57" s="68"/>
      <c r="BG57" s="62"/>
      <c r="BH57" s="68"/>
      <c r="BI57" s="62"/>
      <c r="BJ57" s="68"/>
      <c r="BK57" s="62"/>
      <c r="BL57" s="68"/>
      <c r="BM57" s="62"/>
      <c r="BN57" s="68"/>
      <c r="BO57" s="62"/>
      <c r="BP57" s="68"/>
      <c r="BQ57" s="62"/>
      <c r="BR57" s="68"/>
      <c r="BS57" s="62"/>
      <c r="BT57" s="68"/>
      <c r="BU57" t="b">
        <f t="shared" si="0"/>
        <v>0</v>
      </c>
    </row>
    <row r="58" spans="1:73" x14ac:dyDescent="0.25">
      <c r="A58" s="28"/>
      <c r="B58" s="29"/>
      <c r="C58" s="29"/>
      <c r="D58" s="30"/>
      <c r="E58" s="29"/>
      <c r="F58" s="30"/>
      <c r="G58" s="29"/>
      <c r="H58" s="69"/>
      <c r="I58" s="64"/>
      <c r="J58" s="69"/>
      <c r="K58" s="64"/>
      <c r="L58" s="69"/>
      <c r="M58" s="65"/>
      <c r="N58" s="69"/>
      <c r="O58" s="64"/>
      <c r="P58" s="69"/>
      <c r="Q58" s="64"/>
      <c r="R58" s="69"/>
      <c r="S58" s="64"/>
      <c r="T58" s="69"/>
      <c r="U58" s="64"/>
      <c r="V58" s="69"/>
      <c r="W58" s="65"/>
      <c r="X58" s="69"/>
      <c r="Y58" s="64"/>
      <c r="Z58" s="69"/>
      <c r="AA58" s="64"/>
      <c r="AB58" s="69"/>
      <c r="AC58" s="64"/>
      <c r="AD58" s="69"/>
      <c r="AE58" s="65"/>
      <c r="AF58" s="69"/>
      <c r="AG58" s="65"/>
      <c r="AH58" s="69"/>
      <c r="AI58" s="64"/>
      <c r="AJ58" s="69"/>
      <c r="AK58" s="64"/>
      <c r="AL58" s="69"/>
      <c r="AM58" s="64"/>
      <c r="AN58" s="69"/>
      <c r="AO58" s="64"/>
      <c r="AP58" s="69"/>
      <c r="AQ58" s="64"/>
      <c r="AR58" s="69"/>
      <c r="AS58" s="64"/>
      <c r="AT58" s="69"/>
      <c r="AU58" s="64"/>
      <c r="AV58" s="69"/>
      <c r="AW58" s="64"/>
      <c r="AX58" s="69"/>
      <c r="AY58" s="64"/>
      <c r="AZ58" s="69"/>
      <c r="BA58" s="64"/>
      <c r="BB58" s="69"/>
      <c r="BC58" s="64"/>
      <c r="BD58" s="69"/>
      <c r="BE58" s="64"/>
      <c r="BF58" s="69"/>
      <c r="BG58" s="64"/>
      <c r="BH58" s="69"/>
      <c r="BI58" s="64"/>
      <c r="BJ58" s="69"/>
      <c r="BK58" s="64"/>
      <c r="BL58" s="69"/>
      <c r="BM58" s="64"/>
      <c r="BN58" s="69"/>
      <c r="BO58" s="64"/>
      <c r="BP58" s="69"/>
      <c r="BQ58" s="64"/>
      <c r="BR58" s="69"/>
      <c r="BS58" s="64"/>
      <c r="BT58" s="69"/>
      <c r="BU58" t="b">
        <f t="shared" si="0"/>
        <v>0</v>
      </c>
    </row>
    <row r="59" spans="1:73" x14ac:dyDescent="0.25">
      <c r="A59" s="25"/>
      <c r="B59" s="26"/>
      <c r="C59" s="26"/>
      <c r="D59" s="27"/>
      <c r="E59" s="26"/>
      <c r="F59" s="27"/>
      <c r="G59" s="26"/>
      <c r="H59" s="68"/>
      <c r="I59" s="62"/>
      <c r="J59" s="68"/>
      <c r="K59" s="62"/>
      <c r="L59" s="68"/>
      <c r="M59" s="63"/>
      <c r="N59" s="68"/>
      <c r="O59" s="62"/>
      <c r="P59" s="68"/>
      <c r="Q59" s="62"/>
      <c r="R59" s="68"/>
      <c r="S59" s="62"/>
      <c r="T59" s="68"/>
      <c r="U59" s="62"/>
      <c r="V59" s="68"/>
      <c r="W59" s="63"/>
      <c r="X59" s="68"/>
      <c r="Y59" s="62"/>
      <c r="Z59" s="68"/>
      <c r="AA59" s="62"/>
      <c r="AB59" s="68"/>
      <c r="AC59" s="62"/>
      <c r="AD59" s="68"/>
      <c r="AE59" s="63"/>
      <c r="AF59" s="68"/>
      <c r="AG59" s="63"/>
      <c r="AH59" s="68"/>
      <c r="AI59" s="62"/>
      <c r="AJ59" s="68"/>
      <c r="AK59" s="62"/>
      <c r="AL59" s="68"/>
      <c r="AM59" s="62"/>
      <c r="AN59" s="68"/>
      <c r="AO59" s="62"/>
      <c r="AP59" s="68"/>
      <c r="AQ59" s="62"/>
      <c r="AR59" s="68"/>
      <c r="AS59" s="62"/>
      <c r="AT59" s="68"/>
      <c r="AU59" s="62"/>
      <c r="AV59" s="68"/>
      <c r="AW59" s="62"/>
      <c r="AX59" s="68"/>
      <c r="AY59" s="62"/>
      <c r="AZ59" s="68"/>
      <c r="BA59" s="62"/>
      <c r="BB59" s="68"/>
      <c r="BC59" s="62"/>
      <c r="BD59" s="68"/>
      <c r="BE59" s="62"/>
      <c r="BF59" s="68"/>
      <c r="BG59" s="62"/>
      <c r="BH59" s="68"/>
      <c r="BI59" s="62"/>
      <c r="BJ59" s="68"/>
      <c r="BK59" s="62"/>
      <c r="BL59" s="68"/>
      <c r="BM59" s="62"/>
      <c r="BN59" s="68"/>
      <c r="BO59" s="62"/>
      <c r="BP59" s="68"/>
      <c r="BQ59" s="62"/>
      <c r="BR59" s="68"/>
      <c r="BS59" s="62"/>
      <c r="BT59" s="68"/>
      <c r="BU59" t="b">
        <f t="shared" si="0"/>
        <v>0</v>
      </c>
    </row>
    <row r="60" spans="1:73" x14ac:dyDescent="0.25">
      <c r="A60" s="28"/>
      <c r="B60" s="29"/>
      <c r="C60" s="29"/>
      <c r="D60" s="30"/>
      <c r="E60" s="29"/>
      <c r="F60" s="30"/>
      <c r="G60" s="29"/>
      <c r="H60" s="69"/>
      <c r="I60" s="64"/>
      <c r="J60" s="69"/>
      <c r="K60" s="64"/>
      <c r="L60" s="69"/>
      <c r="M60" s="65"/>
      <c r="N60" s="69"/>
      <c r="O60" s="64"/>
      <c r="P60" s="69"/>
      <c r="Q60" s="64"/>
      <c r="R60" s="69"/>
      <c r="S60" s="64"/>
      <c r="T60" s="69"/>
      <c r="U60" s="64"/>
      <c r="V60" s="69"/>
      <c r="W60" s="65"/>
      <c r="X60" s="69"/>
      <c r="Y60" s="64"/>
      <c r="Z60" s="69"/>
      <c r="AA60" s="64"/>
      <c r="AB60" s="69"/>
      <c r="AC60" s="64"/>
      <c r="AD60" s="69"/>
      <c r="AE60" s="65"/>
      <c r="AF60" s="69"/>
      <c r="AG60" s="65"/>
      <c r="AH60" s="69"/>
      <c r="AI60" s="64"/>
      <c r="AJ60" s="69"/>
      <c r="AK60" s="64"/>
      <c r="AL60" s="69"/>
      <c r="AM60" s="64"/>
      <c r="AN60" s="69"/>
      <c r="AO60" s="64"/>
      <c r="AP60" s="69"/>
      <c r="AQ60" s="64"/>
      <c r="AR60" s="69"/>
      <c r="AS60" s="64"/>
      <c r="AT60" s="69"/>
      <c r="AU60" s="64"/>
      <c r="AV60" s="69"/>
      <c r="AW60" s="64"/>
      <c r="AX60" s="69"/>
      <c r="AY60" s="64"/>
      <c r="AZ60" s="69"/>
      <c r="BA60" s="64"/>
      <c r="BB60" s="69"/>
      <c r="BC60" s="64"/>
      <c r="BD60" s="69"/>
      <c r="BE60" s="64"/>
      <c r="BF60" s="69"/>
      <c r="BG60" s="64"/>
      <c r="BH60" s="69"/>
      <c r="BI60" s="64"/>
      <c r="BJ60" s="69"/>
      <c r="BK60" s="64"/>
      <c r="BL60" s="69"/>
      <c r="BM60" s="64"/>
      <c r="BN60" s="69"/>
      <c r="BO60" s="64"/>
      <c r="BP60" s="69"/>
      <c r="BQ60" s="64"/>
      <c r="BR60" s="69"/>
      <c r="BS60" s="64"/>
      <c r="BT60" s="69"/>
      <c r="BU60" t="b">
        <f t="shared" si="0"/>
        <v>0</v>
      </c>
    </row>
    <row r="61" spans="1:73" x14ac:dyDescent="0.25">
      <c r="A61" s="25"/>
      <c r="B61" s="26"/>
      <c r="C61" s="26"/>
      <c r="D61" s="27"/>
      <c r="E61" s="26"/>
      <c r="F61" s="27"/>
      <c r="G61" s="26"/>
      <c r="H61" s="68"/>
      <c r="I61" s="62"/>
      <c r="J61" s="68"/>
      <c r="K61" s="62"/>
      <c r="L61" s="68"/>
      <c r="M61" s="63"/>
      <c r="N61" s="68"/>
      <c r="O61" s="62"/>
      <c r="P61" s="68"/>
      <c r="Q61" s="62"/>
      <c r="R61" s="68"/>
      <c r="S61" s="62"/>
      <c r="T61" s="68"/>
      <c r="U61" s="62"/>
      <c r="V61" s="68"/>
      <c r="W61" s="63"/>
      <c r="X61" s="68"/>
      <c r="Y61" s="62"/>
      <c r="Z61" s="68"/>
      <c r="AA61" s="62"/>
      <c r="AB61" s="68"/>
      <c r="AC61" s="62"/>
      <c r="AD61" s="68"/>
      <c r="AE61" s="63"/>
      <c r="AF61" s="68"/>
      <c r="AG61" s="63"/>
      <c r="AH61" s="68"/>
      <c r="AI61" s="62"/>
      <c r="AJ61" s="68"/>
      <c r="AK61" s="62"/>
      <c r="AL61" s="68"/>
      <c r="AM61" s="62"/>
      <c r="AN61" s="68"/>
      <c r="AO61" s="62"/>
      <c r="AP61" s="68"/>
      <c r="AQ61" s="62"/>
      <c r="AR61" s="68"/>
      <c r="AS61" s="62"/>
      <c r="AT61" s="68"/>
      <c r="AU61" s="62"/>
      <c r="AV61" s="68"/>
      <c r="AW61" s="62"/>
      <c r="AX61" s="68"/>
      <c r="AY61" s="62"/>
      <c r="AZ61" s="68"/>
      <c r="BA61" s="62"/>
      <c r="BB61" s="68"/>
      <c r="BC61" s="62"/>
      <c r="BD61" s="68"/>
      <c r="BE61" s="62"/>
      <c r="BF61" s="68"/>
      <c r="BG61" s="62"/>
      <c r="BH61" s="68"/>
      <c r="BI61" s="62"/>
      <c r="BJ61" s="68"/>
      <c r="BK61" s="62"/>
      <c r="BL61" s="68"/>
      <c r="BM61" s="62"/>
      <c r="BN61" s="68"/>
      <c r="BO61" s="62"/>
      <c r="BP61" s="68"/>
      <c r="BQ61" s="62"/>
      <c r="BR61" s="68"/>
      <c r="BS61" s="62"/>
      <c r="BT61" s="68"/>
      <c r="BU61" t="b">
        <f t="shared" si="0"/>
        <v>0</v>
      </c>
    </row>
    <row r="62" spans="1:73" x14ac:dyDescent="0.25">
      <c r="A62" s="28"/>
      <c r="B62" s="29"/>
      <c r="C62" s="29"/>
      <c r="D62" s="30"/>
      <c r="E62" s="29"/>
      <c r="F62" s="30"/>
      <c r="G62" s="29"/>
      <c r="H62" s="69"/>
      <c r="I62" s="64"/>
      <c r="J62" s="69"/>
      <c r="K62" s="64"/>
      <c r="L62" s="69"/>
      <c r="M62" s="65"/>
      <c r="N62" s="69"/>
      <c r="O62" s="64"/>
      <c r="P62" s="69"/>
      <c r="Q62" s="64"/>
      <c r="R62" s="69"/>
      <c r="S62" s="64"/>
      <c r="T62" s="69"/>
      <c r="U62" s="64"/>
      <c r="V62" s="69"/>
      <c r="W62" s="65"/>
      <c r="X62" s="69"/>
      <c r="Y62" s="64"/>
      <c r="Z62" s="69"/>
      <c r="AA62" s="64"/>
      <c r="AB62" s="69"/>
      <c r="AC62" s="64"/>
      <c r="AD62" s="69"/>
      <c r="AE62" s="65"/>
      <c r="AF62" s="69"/>
      <c r="AG62" s="65"/>
      <c r="AH62" s="69"/>
      <c r="AI62" s="64"/>
      <c r="AJ62" s="69"/>
      <c r="AK62" s="64"/>
      <c r="AL62" s="69"/>
      <c r="AM62" s="64"/>
      <c r="AN62" s="69"/>
      <c r="AO62" s="64"/>
      <c r="AP62" s="69"/>
      <c r="AQ62" s="64"/>
      <c r="AR62" s="69"/>
      <c r="AS62" s="64"/>
      <c r="AT62" s="69"/>
      <c r="AU62" s="64"/>
      <c r="AV62" s="69"/>
      <c r="AW62" s="64"/>
      <c r="AX62" s="69"/>
      <c r="AY62" s="64"/>
      <c r="AZ62" s="69"/>
      <c r="BA62" s="64"/>
      <c r="BB62" s="69"/>
      <c r="BC62" s="64"/>
      <c r="BD62" s="69"/>
      <c r="BE62" s="64"/>
      <c r="BF62" s="69"/>
      <c r="BG62" s="64"/>
      <c r="BH62" s="69"/>
      <c r="BI62" s="64"/>
      <c r="BJ62" s="69"/>
      <c r="BK62" s="64"/>
      <c r="BL62" s="69"/>
      <c r="BM62" s="64"/>
      <c r="BN62" s="69"/>
      <c r="BO62" s="64"/>
      <c r="BP62" s="69"/>
      <c r="BQ62" s="64"/>
      <c r="BR62" s="69"/>
      <c r="BS62" s="64"/>
      <c r="BT62" s="69"/>
      <c r="BU62" t="b">
        <f t="shared" si="0"/>
        <v>0</v>
      </c>
    </row>
    <row r="63" spans="1:73" x14ac:dyDescent="0.25">
      <c r="A63" s="25"/>
      <c r="B63" s="26"/>
      <c r="C63" s="26"/>
      <c r="D63" s="27"/>
      <c r="E63" s="26"/>
      <c r="F63" s="27"/>
      <c r="G63" s="26"/>
      <c r="H63" s="68"/>
      <c r="I63" s="62"/>
      <c r="J63" s="68"/>
      <c r="K63" s="62"/>
      <c r="L63" s="68"/>
      <c r="M63" s="63"/>
      <c r="N63" s="68"/>
      <c r="O63" s="62"/>
      <c r="P63" s="68"/>
      <c r="Q63" s="62"/>
      <c r="R63" s="68"/>
      <c r="S63" s="62"/>
      <c r="T63" s="68"/>
      <c r="U63" s="62"/>
      <c r="V63" s="68"/>
      <c r="W63" s="63"/>
      <c r="X63" s="68"/>
      <c r="Y63" s="62"/>
      <c r="Z63" s="68"/>
      <c r="AA63" s="62"/>
      <c r="AB63" s="68"/>
      <c r="AC63" s="62"/>
      <c r="AD63" s="68"/>
      <c r="AE63" s="63"/>
      <c r="AF63" s="68"/>
      <c r="AG63" s="63"/>
      <c r="AH63" s="68"/>
      <c r="AI63" s="62"/>
      <c r="AJ63" s="68"/>
      <c r="AK63" s="62"/>
      <c r="AL63" s="68"/>
      <c r="AM63" s="62"/>
      <c r="AN63" s="68"/>
      <c r="AO63" s="62"/>
      <c r="AP63" s="68"/>
      <c r="AQ63" s="62"/>
      <c r="AR63" s="68"/>
      <c r="AS63" s="62"/>
      <c r="AT63" s="68"/>
      <c r="AU63" s="62"/>
      <c r="AV63" s="68"/>
      <c r="AW63" s="62"/>
      <c r="AX63" s="68"/>
      <c r="AY63" s="62"/>
      <c r="AZ63" s="68"/>
      <c r="BA63" s="62"/>
      <c r="BB63" s="68"/>
      <c r="BC63" s="62"/>
      <c r="BD63" s="68"/>
      <c r="BE63" s="62"/>
      <c r="BF63" s="68"/>
      <c r="BG63" s="62"/>
      <c r="BH63" s="68"/>
      <c r="BI63" s="62"/>
      <c r="BJ63" s="68"/>
      <c r="BK63" s="62"/>
      <c r="BL63" s="68"/>
      <c r="BM63" s="62"/>
      <c r="BN63" s="68"/>
      <c r="BO63" s="62"/>
      <c r="BP63" s="68"/>
      <c r="BQ63" s="62"/>
      <c r="BR63" s="68"/>
      <c r="BS63" s="62"/>
      <c r="BT63" s="68"/>
      <c r="BU63" t="b">
        <f t="shared" si="0"/>
        <v>0</v>
      </c>
    </row>
    <row r="64" spans="1:73" x14ac:dyDescent="0.25">
      <c r="A64" s="28"/>
      <c r="B64" s="29"/>
      <c r="C64" s="29"/>
      <c r="D64" s="30"/>
      <c r="E64" s="29"/>
      <c r="F64" s="30"/>
      <c r="G64" s="29"/>
      <c r="H64" s="69"/>
      <c r="I64" s="64"/>
      <c r="J64" s="69"/>
      <c r="K64" s="64"/>
      <c r="L64" s="69"/>
      <c r="M64" s="65"/>
      <c r="N64" s="69"/>
      <c r="O64" s="64"/>
      <c r="P64" s="69"/>
      <c r="Q64" s="64"/>
      <c r="R64" s="69"/>
      <c r="S64" s="64"/>
      <c r="T64" s="69"/>
      <c r="U64" s="64"/>
      <c r="V64" s="69"/>
      <c r="W64" s="65"/>
      <c r="X64" s="69"/>
      <c r="Y64" s="64"/>
      <c r="Z64" s="69"/>
      <c r="AA64" s="64"/>
      <c r="AB64" s="69"/>
      <c r="AC64" s="64"/>
      <c r="AD64" s="69"/>
      <c r="AE64" s="65"/>
      <c r="AF64" s="69"/>
      <c r="AG64" s="65"/>
      <c r="AH64" s="69"/>
      <c r="AI64" s="64"/>
      <c r="AJ64" s="69"/>
      <c r="AK64" s="64"/>
      <c r="AL64" s="69"/>
      <c r="AM64" s="64"/>
      <c r="AN64" s="69"/>
      <c r="AO64" s="64"/>
      <c r="AP64" s="69"/>
      <c r="AQ64" s="64"/>
      <c r="AR64" s="69"/>
      <c r="AS64" s="64"/>
      <c r="AT64" s="69"/>
      <c r="AU64" s="64"/>
      <c r="AV64" s="69"/>
      <c r="AW64" s="64"/>
      <c r="AX64" s="69"/>
      <c r="AY64" s="64"/>
      <c r="AZ64" s="69"/>
      <c r="BA64" s="64"/>
      <c r="BB64" s="69"/>
      <c r="BC64" s="64"/>
      <c r="BD64" s="69"/>
      <c r="BE64" s="64"/>
      <c r="BF64" s="69"/>
      <c r="BG64" s="64"/>
      <c r="BH64" s="69"/>
      <c r="BI64" s="64"/>
      <c r="BJ64" s="69"/>
      <c r="BK64" s="64"/>
      <c r="BL64" s="69"/>
      <c r="BM64" s="64"/>
      <c r="BN64" s="69"/>
      <c r="BO64" s="64"/>
      <c r="BP64" s="69"/>
      <c r="BQ64" s="64"/>
      <c r="BR64" s="69"/>
      <c r="BS64" s="64"/>
      <c r="BT64" s="69"/>
      <c r="BU64" t="b">
        <f t="shared" si="0"/>
        <v>0</v>
      </c>
    </row>
    <row r="65" spans="1:73" x14ac:dyDescent="0.25">
      <c r="A65" s="25"/>
      <c r="B65" s="26"/>
      <c r="C65" s="26"/>
      <c r="D65" s="27"/>
      <c r="E65" s="26"/>
      <c r="F65" s="27"/>
      <c r="G65" s="26"/>
      <c r="H65" s="68"/>
      <c r="I65" s="62"/>
      <c r="J65" s="68"/>
      <c r="K65" s="62"/>
      <c r="L65" s="68"/>
      <c r="M65" s="63"/>
      <c r="N65" s="68"/>
      <c r="O65" s="62"/>
      <c r="P65" s="68"/>
      <c r="Q65" s="62"/>
      <c r="R65" s="68"/>
      <c r="S65" s="62"/>
      <c r="T65" s="68"/>
      <c r="U65" s="62"/>
      <c r="V65" s="68"/>
      <c r="W65" s="63"/>
      <c r="X65" s="68"/>
      <c r="Y65" s="62"/>
      <c r="Z65" s="68"/>
      <c r="AA65" s="62"/>
      <c r="AB65" s="68"/>
      <c r="AC65" s="62"/>
      <c r="AD65" s="68"/>
      <c r="AE65" s="63"/>
      <c r="AF65" s="68"/>
      <c r="AG65" s="63"/>
      <c r="AH65" s="68"/>
      <c r="AI65" s="62"/>
      <c r="AJ65" s="68"/>
      <c r="AK65" s="62"/>
      <c r="AL65" s="68"/>
      <c r="AM65" s="62"/>
      <c r="AN65" s="68"/>
      <c r="AO65" s="62"/>
      <c r="AP65" s="68"/>
      <c r="AQ65" s="62"/>
      <c r="AR65" s="68"/>
      <c r="AS65" s="62"/>
      <c r="AT65" s="68"/>
      <c r="AU65" s="62"/>
      <c r="AV65" s="68"/>
      <c r="AW65" s="62"/>
      <c r="AX65" s="68"/>
      <c r="AY65" s="62"/>
      <c r="AZ65" s="68"/>
      <c r="BA65" s="62"/>
      <c r="BB65" s="68"/>
      <c r="BC65" s="62"/>
      <c r="BD65" s="68"/>
      <c r="BE65" s="62"/>
      <c r="BF65" s="68"/>
      <c r="BG65" s="62"/>
      <c r="BH65" s="68"/>
      <c r="BI65" s="62"/>
      <c r="BJ65" s="68"/>
      <c r="BK65" s="62"/>
      <c r="BL65" s="68"/>
      <c r="BM65" s="62"/>
      <c r="BN65" s="68"/>
      <c r="BO65" s="62"/>
      <c r="BP65" s="68"/>
      <c r="BQ65" s="62"/>
      <c r="BR65" s="68"/>
      <c r="BS65" s="62"/>
      <c r="BT65" s="68"/>
      <c r="BU65" t="b">
        <f t="shared" si="0"/>
        <v>0</v>
      </c>
    </row>
    <row r="66" spans="1:73" x14ac:dyDescent="0.25">
      <c r="A66" s="28"/>
      <c r="B66" s="29"/>
      <c r="C66" s="29"/>
      <c r="D66" s="30"/>
      <c r="E66" s="29"/>
      <c r="F66" s="30"/>
      <c r="G66" s="29"/>
      <c r="H66" s="69"/>
      <c r="I66" s="64"/>
      <c r="J66" s="69"/>
      <c r="K66" s="64"/>
      <c r="L66" s="69"/>
      <c r="M66" s="65"/>
      <c r="N66" s="69"/>
      <c r="O66" s="64"/>
      <c r="P66" s="69"/>
      <c r="Q66" s="64"/>
      <c r="R66" s="69"/>
      <c r="S66" s="64"/>
      <c r="T66" s="69"/>
      <c r="U66" s="64"/>
      <c r="V66" s="69"/>
      <c r="W66" s="65"/>
      <c r="X66" s="69"/>
      <c r="Y66" s="64"/>
      <c r="Z66" s="69"/>
      <c r="AA66" s="64"/>
      <c r="AB66" s="69"/>
      <c r="AC66" s="64"/>
      <c r="AD66" s="69"/>
      <c r="AE66" s="65"/>
      <c r="AF66" s="69"/>
      <c r="AG66" s="65"/>
      <c r="AH66" s="69"/>
      <c r="AI66" s="64"/>
      <c r="AJ66" s="69"/>
      <c r="AK66" s="64"/>
      <c r="AL66" s="69"/>
      <c r="AM66" s="64"/>
      <c r="AN66" s="69"/>
      <c r="AO66" s="64"/>
      <c r="AP66" s="69"/>
      <c r="AQ66" s="64"/>
      <c r="AR66" s="69"/>
      <c r="AS66" s="64"/>
      <c r="AT66" s="69"/>
      <c r="AU66" s="64"/>
      <c r="AV66" s="69"/>
      <c r="AW66" s="64"/>
      <c r="AX66" s="69"/>
      <c r="AY66" s="64"/>
      <c r="AZ66" s="69"/>
      <c r="BA66" s="64"/>
      <c r="BB66" s="69"/>
      <c r="BC66" s="64"/>
      <c r="BD66" s="69"/>
      <c r="BE66" s="64"/>
      <c r="BF66" s="69"/>
      <c r="BG66" s="64"/>
      <c r="BH66" s="69"/>
      <c r="BI66" s="64"/>
      <c r="BJ66" s="69"/>
      <c r="BK66" s="64"/>
      <c r="BL66" s="69"/>
      <c r="BM66" s="64"/>
      <c r="BN66" s="69"/>
      <c r="BO66" s="64"/>
      <c r="BP66" s="69"/>
      <c r="BQ66" s="64"/>
      <c r="BR66" s="69"/>
      <c r="BS66" s="64"/>
      <c r="BT66" s="69"/>
      <c r="BU66" t="b">
        <f t="shared" si="0"/>
        <v>0</v>
      </c>
    </row>
    <row r="67" spans="1:73" x14ac:dyDescent="0.25">
      <c r="A67" s="25"/>
      <c r="B67" s="26"/>
      <c r="C67" s="26"/>
      <c r="D67" s="27"/>
      <c r="E67" s="26"/>
      <c r="F67" s="27"/>
      <c r="G67" s="26"/>
      <c r="H67" s="68"/>
      <c r="I67" s="62"/>
      <c r="J67" s="68"/>
      <c r="K67" s="62"/>
      <c r="L67" s="68"/>
      <c r="M67" s="63"/>
      <c r="N67" s="68"/>
      <c r="O67" s="62"/>
      <c r="P67" s="68"/>
      <c r="Q67" s="62"/>
      <c r="R67" s="68"/>
      <c r="S67" s="62"/>
      <c r="T67" s="68"/>
      <c r="U67" s="62"/>
      <c r="V67" s="68"/>
      <c r="W67" s="63"/>
      <c r="X67" s="68"/>
      <c r="Y67" s="62"/>
      <c r="Z67" s="68"/>
      <c r="AA67" s="62"/>
      <c r="AB67" s="68"/>
      <c r="AC67" s="62"/>
      <c r="AD67" s="68"/>
      <c r="AE67" s="63"/>
      <c r="AF67" s="68"/>
      <c r="AG67" s="63"/>
      <c r="AH67" s="68"/>
      <c r="AI67" s="62"/>
      <c r="AJ67" s="68"/>
      <c r="AK67" s="62"/>
      <c r="AL67" s="68"/>
      <c r="AM67" s="62"/>
      <c r="AN67" s="68"/>
      <c r="AO67" s="62"/>
      <c r="AP67" s="68"/>
      <c r="AQ67" s="62"/>
      <c r="AR67" s="68"/>
      <c r="AS67" s="62"/>
      <c r="AT67" s="68"/>
      <c r="AU67" s="62"/>
      <c r="AV67" s="68"/>
      <c r="AW67" s="62"/>
      <c r="AX67" s="68"/>
      <c r="AY67" s="62"/>
      <c r="AZ67" s="68"/>
      <c r="BA67" s="62"/>
      <c r="BB67" s="68"/>
      <c r="BC67" s="62"/>
      <c r="BD67" s="68"/>
      <c r="BE67" s="62"/>
      <c r="BF67" s="68"/>
      <c r="BG67" s="62"/>
      <c r="BH67" s="68"/>
      <c r="BI67" s="62"/>
      <c r="BJ67" s="68"/>
      <c r="BK67" s="62"/>
      <c r="BL67" s="68"/>
      <c r="BM67" s="62"/>
      <c r="BN67" s="68"/>
      <c r="BO67" s="62"/>
      <c r="BP67" s="68"/>
      <c r="BQ67" s="62"/>
      <c r="BR67" s="68"/>
      <c r="BS67" s="62"/>
      <c r="BT67" s="68"/>
      <c r="BU67" t="b">
        <f t="shared" ref="BU67:BU100" si="1">NOT(AND(BR67="",BP67="",BN67="",BL67="",BJ67="",BH67="",BF67="",BD67="",BB67="",AZ67="",AX67="",AV67="",AT67="",AR67="",AP67="",AN67="",AL67="",AJ67="",AH67="",AF67="",AD67="",AB67="",Z67="",X67="",V67="",T67="",R67="",P67="",N67="", L67="",J67=""))</f>
        <v>0</v>
      </c>
    </row>
    <row r="68" spans="1:73" x14ac:dyDescent="0.25">
      <c r="A68" s="28"/>
      <c r="B68" s="29"/>
      <c r="C68" s="29"/>
      <c r="D68" s="30"/>
      <c r="E68" s="29"/>
      <c r="F68" s="30"/>
      <c r="G68" s="29"/>
      <c r="H68" s="69"/>
      <c r="I68" s="64"/>
      <c r="J68" s="69"/>
      <c r="K68" s="64"/>
      <c r="L68" s="69"/>
      <c r="M68" s="65"/>
      <c r="N68" s="69"/>
      <c r="O68" s="64"/>
      <c r="P68" s="69"/>
      <c r="Q68" s="64"/>
      <c r="R68" s="69"/>
      <c r="S68" s="64"/>
      <c r="T68" s="69"/>
      <c r="U68" s="64"/>
      <c r="V68" s="69"/>
      <c r="W68" s="65"/>
      <c r="X68" s="69"/>
      <c r="Y68" s="64"/>
      <c r="Z68" s="69"/>
      <c r="AA68" s="64"/>
      <c r="AB68" s="69"/>
      <c r="AC68" s="64"/>
      <c r="AD68" s="69"/>
      <c r="AE68" s="65"/>
      <c r="AF68" s="69"/>
      <c r="AG68" s="65"/>
      <c r="AH68" s="69"/>
      <c r="AI68" s="64"/>
      <c r="AJ68" s="69"/>
      <c r="AK68" s="64"/>
      <c r="AL68" s="69"/>
      <c r="AM68" s="64"/>
      <c r="AN68" s="69"/>
      <c r="AO68" s="64"/>
      <c r="AP68" s="69"/>
      <c r="AQ68" s="64"/>
      <c r="AR68" s="69"/>
      <c r="AS68" s="64"/>
      <c r="AT68" s="69"/>
      <c r="AU68" s="64"/>
      <c r="AV68" s="69"/>
      <c r="AW68" s="64"/>
      <c r="AX68" s="69"/>
      <c r="AY68" s="64"/>
      <c r="AZ68" s="69"/>
      <c r="BA68" s="64"/>
      <c r="BB68" s="69"/>
      <c r="BC68" s="64"/>
      <c r="BD68" s="69"/>
      <c r="BE68" s="64"/>
      <c r="BF68" s="69"/>
      <c r="BG68" s="64"/>
      <c r="BH68" s="69"/>
      <c r="BI68" s="64"/>
      <c r="BJ68" s="69"/>
      <c r="BK68" s="64"/>
      <c r="BL68" s="69"/>
      <c r="BM68" s="64"/>
      <c r="BN68" s="69"/>
      <c r="BO68" s="64"/>
      <c r="BP68" s="69"/>
      <c r="BQ68" s="64"/>
      <c r="BR68" s="69"/>
      <c r="BS68" s="64"/>
      <c r="BT68" s="69"/>
      <c r="BU68" t="b">
        <f t="shared" si="1"/>
        <v>0</v>
      </c>
    </row>
    <row r="69" spans="1:73" x14ac:dyDescent="0.25">
      <c r="A69" s="25"/>
      <c r="B69" s="26"/>
      <c r="C69" s="26"/>
      <c r="D69" s="27"/>
      <c r="E69" s="26"/>
      <c r="F69" s="27"/>
      <c r="G69" s="26"/>
      <c r="H69" s="68"/>
      <c r="I69" s="62"/>
      <c r="J69" s="68"/>
      <c r="K69" s="62"/>
      <c r="L69" s="68"/>
      <c r="M69" s="63"/>
      <c r="N69" s="68"/>
      <c r="O69" s="62"/>
      <c r="P69" s="68"/>
      <c r="Q69" s="62"/>
      <c r="R69" s="68"/>
      <c r="S69" s="62"/>
      <c r="T69" s="68"/>
      <c r="U69" s="62"/>
      <c r="V69" s="68"/>
      <c r="W69" s="63"/>
      <c r="X69" s="68"/>
      <c r="Y69" s="62"/>
      <c r="Z69" s="68"/>
      <c r="AA69" s="62"/>
      <c r="AB69" s="68"/>
      <c r="AC69" s="62"/>
      <c r="AD69" s="68"/>
      <c r="AE69" s="63"/>
      <c r="AF69" s="68"/>
      <c r="AG69" s="63"/>
      <c r="AH69" s="68"/>
      <c r="AI69" s="62"/>
      <c r="AJ69" s="68"/>
      <c r="AK69" s="62"/>
      <c r="AL69" s="68"/>
      <c r="AM69" s="62"/>
      <c r="AN69" s="68"/>
      <c r="AO69" s="62"/>
      <c r="AP69" s="68"/>
      <c r="AQ69" s="62"/>
      <c r="AR69" s="68"/>
      <c r="AS69" s="62"/>
      <c r="AT69" s="68"/>
      <c r="AU69" s="62"/>
      <c r="AV69" s="68"/>
      <c r="AW69" s="62"/>
      <c r="AX69" s="68"/>
      <c r="AY69" s="62"/>
      <c r="AZ69" s="68"/>
      <c r="BA69" s="62"/>
      <c r="BB69" s="68"/>
      <c r="BC69" s="62"/>
      <c r="BD69" s="68"/>
      <c r="BE69" s="62"/>
      <c r="BF69" s="68"/>
      <c r="BG69" s="62"/>
      <c r="BH69" s="68"/>
      <c r="BI69" s="62"/>
      <c r="BJ69" s="68"/>
      <c r="BK69" s="62"/>
      <c r="BL69" s="68"/>
      <c r="BM69" s="62"/>
      <c r="BN69" s="68"/>
      <c r="BO69" s="62"/>
      <c r="BP69" s="68"/>
      <c r="BQ69" s="62"/>
      <c r="BR69" s="68"/>
      <c r="BS69" s="62"/>
      <c r="BT69" s="68"/>
      <c r="BU69" t="b">
        <f t="shared" si="1"/>
        <v>0</v>
      </c>
    </row>
    <row r="70" spans="1:73" x14ac:dyDescent="0.25">
      <c r="A70" s="28"/>
      <c r="B70" s="29"/>
      <c r="C70" s="29"/>
      <c r="D70" s="30"/>
      <c r="E70" s="29"/>
      <c r="F70" s="30"/>
      <c r="G70" s="29"/>
      <c r="H70" s="69"/>
      <c r="I70" s="64"/>
      <c r="J70" s="69"/>
      <c r="K70" s="64"/>
      <c r="L70" s="69"/>
      <c r="M70" s="65"/>
      <c r="N70" s="69"/>
      <c r="O70" s="64"/>
      <c r="P70" s="69"/>
      <c r="Q70" s="64"/>
      <c r="R70" s="69"/>
      <c r="S70" s="64"/>
      <c r="T70" s="69"/>
      <c r="U70" s="64"/>
      <c r="V70" s="69"/>
      <c r="W70" s="65"/>
      <c r="X70" s="69"/>
      <c r="Y70" s="64"/>
      <c r="Z70" s="69"/>
      <c r="AA70" s="64"/>
      <c r="AB70" s="69"/>
      <c r="AC70" s="64"/>
      <c r="AD70" s="69"/>
      <c r="AE70" s="65"/>
      <c r="AF70" s="69"/>
      <c r="AG70" s="65"/>
      <c r="AH70" s="69"/>
      <c r="AI70" s="64"/>
      <c r="AJ70" s="69"/>
      <c r="AK70" s="64"/>
      <c r="AL70" s="69"/>
      <c r="AM70" s="64"/>
      <c r="AN70" s="69"/>
      <c r="AO70" s="64"/>
      <c r="AP70" s="69"/>
      <c r="AQ70" s="64"/>
      <c r="AR70" s="69"/>
      <c r="AS70" s="64"/>
      <c r="AT70" s="69"/>
      <c r="AU70" s="64"/>
      <c r="AV70" s="69"/>
      <c r="AW70" s="64"/>
      <c r="AX70" s="69"/>
      <c r="AY70" s="64"/>
      <c r="AZ70" s="69"/>
      <c r="BA70" s="64"/>
      <c r="BB70" s="69"/>
      <c r="BC70" s="64"/>
      <c r="BD70" s="69"/>
      <c r="BE70" s="64"/>
      <c r="BF70" s="69"/>
      <c r="BG70" s="64"/>
      <c r="BH70" s="69"/>
      <c r="BI70" s="64"/>
      <c r="BJ70" s="69"/>
      <c r="BK70" s="64"/>
      <c r="BL70" s="69"/>
      <c r="BM70" s="64"/>
      <c r="BN70" s="69"/>
      <c r="BO70" s="64"/>
      <c r="BP70" s="69"/>
      <c r="BQ70" s="64"/>
      <c r="BR70" s="69"/>
      <c r="BS70" s="64"/>
      <c r="BT70" s="69"/>
      <c r="BU70" t="b">
        <f t="shared" si="1"/>
        <v>0</v>
      </c>
    </row>
    <row r="71" spans="1:73" x14ac:dyDescent="0.25">
      <c r="A71" s="25"/>
      <c r="B71" s="26"/>
      <c r="C71" s="26"/>
      <c r="D71" s="27"/>
      <c r="E71" s="26"/>
      <c r="F71" s="27"/>
      <c r="G71" s="26"/>
      <c r="H71" s="68"/>
      <c r="I71" s="62"/>
      <c r="J71" s="68"/>
      <c r="K71" s="62"/>
      <c r="L71" s="68"/>
      <c r="M71" s="63"/>
      <c r="N71" s="68"/>
      <c r="O71" s="62"/>
      <c r="P71" s="68"/>
      <c r="Q71" s="62"/>
      <c r="R71" s="68"/>
      <c r="S71" s="62"/>
      <c r="T71" s="68"/>
      <c r="U71" s="62"/>
      <c r="V71" s="68"/>
      <c r="W71" s="63"/>
      <c r="X71" s="68"/>
      <c r="Y71" s="62"/>
      <c r="Z71" s="68"/>
      <c r="AA71" s="62"/>
      <c r="AB71" s="68"/>
      <c r="AC71" s="62"/>
      <c r="AD71" s="68"/>
      <c r="AE71" s="63"/>
      <c r="AF71" s="68"/>
      <c r="AG71" s="63"/>
      <c r="AH71" s="68"/>
      <c r="AI71" s="62"/>
      <c r="AJ71" s="68"/>
      <c r="AK71" s="62"/>
      <c r="AL71" s="68"/>
      <c r="AM71" s="62"/>
      <c r="AN71" s="68"/>
      <c r="AO71" s="62"/>
      <c r="AP71" s="68"/>
      <c r="AQ71" s="62"/>
      <c r="AR71" s="68"/>
      <c r="AS71" s="62"/>
      <c r="AT71" s="68"/>
      <c r="AU71" s="62"/>
      <c r="AV71" s="68"/>
      <c r="AW71" s="62"/>
      <c r="AX71" s="68"/>
      <c r="AY71" s="62"/>
      <c r="AZ71" s="68"/>
      <c r="BA71" s="62"/>
      <c r="BB71" s="68"/>
      <c r="BC71" s="62"/>
      <c r="BD71" s="68"/>
      <c r="BE71" s="62"/>
      <c r="BF71" s="68"/>
      <c r="BG71" s="62"/>
      <c r="BH71" s="68"/>
      <c r="BI71" s="62"/>
      <c r="BJ71" s="68"/>
      <c r="BK71" s="62"/>
      <c r="BL71" s="68"/>
      <c r="BM71" s="62"/>
      <c r="BN71" s="68"/>
      <c r="BO71" s="62"/>
      <c r="BP71" s="68"/>
      <c r="BQ71" s="62"/>
      <c r="BR71" s="68"/>
      <c r="BS71" s="62"/>
      <c r="BT71" s="68"/>
      <c r="BU71" t="b">
        <f t="shared" si="1"/>
        <v>0</v>
      </c>
    </row>
    <row r="72" spans="1:73" x14ac:dyDescent="0.25">
      <c r="A72" s="28"/>
      <c r="B72" s="29"/>
      <c r="C72" s="29"/>
      <c r="D72" s="30"/>
      <c r="E72" s="29"/>
      <c r="F72" s="30"/>
      <c r="G72" s="29"/>
      <c r="H72" s="69"/>
      <c r="I72" s="64"/>
      <c r="J72" s="69"/>
      <c r="K72" s="64"/>
      <c r="L72" s="69"/>
      <c r="M72" s="65"/>
      <c r="N72" s="69"/>
      <c r="O72" s="64"/>
      <c r="P72" s="69"/>
      <c r="Q72" s="64"/>
      <c r="R72" s="69"/>
      <c r="S72" s="64"/>
      <c r="T72" s="69"/>
      <c r="U72" s="64"/>
      <c r="V72" s="69"/>
      <c r="W72" s="65"/>
      <c r="X72" s="69"/>
      <c r="Y72" s="64"/>
      <c r="Z72" s="69"/>
      <c r="AA72" s="64"/>
      <c r="AB72" s="69"/>
      <c r="AC72" s="64"/>
      <c r="AD72" s="69"/>
      <c r="AE72" s="65"/>
      <c r="AF72" s="69"/>
      <c r="AG72" s="65"/>
      <c r="AH72" s="69"/>
      <c r="AI72" s="64"/>
      <c r="AJ72" s="69"/>
      <c r="AK72" s="64"/>
      <c r="AL72" s="69"/>
      <c r="AM72" s="64"/>
      <c r="AN72" s="69"/>
      <c r="AO72" s="64"/>
      <c r="AP72" s="69"/>
      <c r="AQ72" s="64"/>
      <c r="AR72" s="69"/>
      <c r="AS72" s="64"/>
      <c r="AT72" s="69"/>
      <c r="AU72" s="64"/>
      <c r="AV72" s="69"/>
      <c r="AW72" s="64"/>
      <c r="AX72" s="69"/>
      <c r="AY72" s="64"/>
      <c r="AZ72" s="69"/>
      <c r="BA72" s="64"/>
      <c r="BB72" s="69"/>
      <c r="BC72" s="64"/>
      <c r="BD72" s="69"/>
      <c r="BE72" s="64"/>
      <c r="BF72" s="69"/>
      <c r="BG72" s="64"/>
      <c r="BH72" s="69"/>
      <c r="BI72" s="64"/>
      <c r="BJ72" s="69"/>
      <c r="BK72" s="64"/>
      <c r="BL72" s="69"/>
      <c r="BM72" s="64"/>
      <c r="BN72" s="69"/>
      <c r="BO72" s="64"/>
      <c r="BP72" s="69"/>
      <c r="BQ72" s="64"/>
      <c r="BR72" s="69"/>
      <c r="BS72" s="64"/>
      <c r="BT72" s="69"/>
      <c r="BU72" t="b">
        <f t="shared" si="1"/>
        <v>0</v>
      </c>
    </row>
    <row r="73" spans="1:73" x14ac:dyDescent="0.25">
      <c r="A73" s="25"/>
      <c r="B73" s="26"/>
      <c r="C73" s="26"/>
      <c r="D73" s="27"/>
      <c r="E73" s="26"/>
      <c r="F73" s="27"/>
      <c r="G73" s="26"/>
      <c r="H73" s="68"/>
      <c r="I73" s="62"/>
      <c r="J73" s="68"/>
      <c r="K73" s="62"/>
      <c r="L73" s="68"/>
      <c r="M73" s="63"/>
      <c r="N73" s="68"/>
      <c r="O73" s="62"/>
      <c r="P73" s="68"/>
      <c r="Q73" s="62"/>
      <c r="R73" s="68"/>
      <c r="S73" s="62"/>
      <c r="T73" s="68"/>
      <c r="U73" s="62"/>
      <c r="V73" s="68"/>
      <c r="W73" s="63"/>
      <c r="X73" s="68"/>
      <c r="Y73" s="62"/>
      <c r="Z73" s="68"/>
      <c r="AA73" s="62"/>
      <c r="AB73" s="68"/>
      <c r="AC73" s="62"/>
      <c r="AD73" s="68"/>
      <c r="AE73" s="63"/>
      <c r="AF73" s="68"/>
      <c r="AG73" s="63"/>
      <c r="AH73" s="68"/>
      <c r="AI73" s="62"/>
      <c r="AJ73" s="68"/>
      <c r="AK73" s="62"/>
      <c r="AL73" s="68"/>
      <c r="AM73" s="62"/>
      <c r="AN73" s="68"/>
      <c r="AO73" s="62"/>
      <c r="AP73" s="68"/>
      <c r="AQ73" s="62"/>
      <c r="AR73" s="68"/>
      <c r="AS73" s="62"/>
      <c r="AT73" s="68"/>
      <c r="AU73" s="62"/>
      <c r="AV73" s="68"/>
      <c r="AW73" s="62"/>
      <c r="AX73" s="68"/>
      <c r="AY73" s="62"/>
      <c r="AZ73" s="68"/>
      <c r="BA73" s="62"/>
      <c r="BB73" s="68"/>
      <c r="BC73" s="62"/>
      <c r="BD73" s="68"/>
      <c r="BE73" s="62"/>
      <c r="BF73" s="68"/>
      <c r="BG73" s="62"/>
      <c r="BH73" s="68"/>
      <c r="BI73" s="62"/>
      <c r="BJ73" s="68"/>
      <c r="BK73" s="62"/>
      <c r="BL73" s="68"/>
      <c r="BM73" s="62"/>
      <c r="BN73" s="68"/>
      <c r="BO73" s="62"/>
      <c r="BP73" s="68"/>
      <c r="BQ73" s="62"/>
      <c r="BR73" s="68"/>
      <c r="BS73" s="62"/>
      <c r="BT73" s="68"/>
      <c r="BU73" t="b">
        <f t="shared" si="1"/>
        <v>0</v>
      </c>
    </row>
    <row r="74" spans="1:73" x14ac:dyDescent="0.25">
      <c r="A74" s="28"/>
      <c r="B74" s="29"/>
      <c r="C74" s="29"/>
      <c r="D74" s="30"/>
      <c r="E74" s="29"/>
      <c r="F74" s="30"/>
      <c r="G74" s="29"/>
      <c r="H74" s="69"/>
      <c r="I74" s="64"/>
      <c r="J74" s="69"/>
      <c r="K74" s="64"/>
      <c r="L74" s="69"/>
      <c r="M74" s="65"/>
      <c r="N74" s="69"/>
      <c r="O74" s="64"/>
      <c r="P74" s="69"/>
      <c r="Q74" s="64"/>
      <c r="R74" s="69"/>
      <c r="S74" s="64"/>
      <c r="T74" s="69"/>
      <c r="U74" s="64"/>
      <c r="V74" s="69"/>
      <c r="W74" s="65"/>
      <c r="X74" s="69"/>
      <c r="Y74" s="64"/>
      <c r="Z74" s="69"/>
      <c r="AA74" s="64"/>
      <c r="AB74" s="69"/>
      <c r="AC74" s="64"/>
      <c r="AD74" s="69"/>
      <c r="AE74" s="65"/>
      <c r="AF74" s="69"/>
      <c r="AG74" s="65"/>
      <c r="AH74" s="69"/>
      <c r="AI74" s="64"/>
      <c r="AJ74" s="69"/>
      <c r="AK74" s="64"/>
      <c r="AL74" s="69"/>
      <c r="AM74" s="64"/>
      <c r="AN74" s="69"/>
      <c r="AO74" s="64"/>
      <c r="AP74" s="69"/>
      <c r="AQ74" s="64"/>
      <c r="AR74" s="69"/>
      <c r="AS74" s="64"/>
      <c r="AT74" s="69"/>
      <c r="AU74" s="64"/>
      <c r="AV74" s="69"/>
      <c r="AW74" s="64"/>
      <c r="AX74" s="69"/>
      <c r="AY74" s="64"/>
      <c r="AZ74" s="69"/>
      <c r="BA74" s="64"/>
      <c r="BB74" s="69"/>
      <c r="BC74" s="64"/>
      <c r="BD74" s="69"/>
      <c r="BE74" s="64"/>
      <c r="BF74" s="69"/>
      <c r="BG74" s="64"/>
      <c r="BH74" s="69"/>
      <c r="BI74" s="64"/>
      <c r="BJ74" s="69"/>
      <c r="BK74" s="64"/>
      <c r="BL74" s="69"/>
      <c r="BM74" s="64"/>
      <c r="BN74" s="69"/>
      <c r="BO74" s="64"/>
      <c r="BP74" s="69"/>
      <c r="BQ74" s="64"/>
      <c r="BR74" s="69"/>
      <c r="BS74" s="64"/>
      <c r="BT74" s="69"/>
      <c r="BU74" t="b">
        <f t="shared" si="1"/>
        <v>0</v>
      </c>
    </row>
    <row r="75" spans="1:73" x14ac:dyDescent="0.25">
      <c r="A75" s="25"/>
      <c r="B75" s="26"/>
      <c r="C75" s="26"/>
      <c r="D75" s="27"/>
      <c r="E75" s="26"/>
      <c r="F75" s="27"/>
      <c r="G75" s="26"/>
      <c r="H75" s="68"/>
      <c r="I75" s="62"/>
      <c r="J75" s="68"/>
      <c r="K75" s="62"/>
      <c r="L75" s="68"/>
      <c r="M75" s="63"/>
      <c r="N75" s="68"/>
      <c r="O75" s="62"/>
      <c r="P75" s="68"/>
      <c r="Q75" s="62"/>
      <c r="R75" s="68"/>
      <c r="S75" s="62"/>
      <c r="T75" s="68"/>
      <c r="U75" s="62"/>
      <c r="V75" s="68"/>
      <c r="W75" s="63"/>
      <c r="X75" s="68"/>
      <c r="Y75" s="62"/>
      <c r="Z75" s="68"/>
      <c r="AA75" s="62"/>
      <c r="AB75" s="68"/>
      <c r="AC75" s="62"/>
      <c r="AD75" s="68"/>
      <c r="AE75" s="63"/>
      <c r="AF75" s="68"/>
      <c r="AG75" s="63"/>
      <c r="AH75" s="68"/>
      <c r="AI75" s="62"/>
      <c r="AJ75" s="68"/>
      <c r="AK75" s="62"/>
      <c r="AL75" s="68"/>
      <c r="AM75" s="62"/>
      <c r="AN75" s="68"/>
      <c r="AO75" s="62"/>
      <c r="AP75" s="68"/>
      <c r="AQ75" s="62"/>
      <c r="AR75" s="68"/>
      <c r="AS75" s="62"/>
      <c r="AT75" s="68"/>
      <c r="AU75" s="62"/>
      <c r="AV75" s="68"/>
      <c r="AW75" s="62"/>
      <c r="AX75" s="68"/>
      <c r="AY75" s="62"/>
      <c r="AZ75" s="68"/>
      <c r="BA75" s="62"/>
      <c r="BB75" s="68"/>
      <c r="BC75" s="62"/>
      <c r="BD75" s="68"/>
      <c r="BE75" s="62"/>
      <c r="BF75" s="68"/>
      <c r="BG75" s="62"/>
      <c r="BH75" s="68"/>
      <c r="BI75" s="62"/>
      <c r="BJ75" s="68"/>
      <c r="BK75" s="62"/>
      <c r="BL75" s="68"/>
      <c r="BM75" s="62"/>
      <c r="BN75" s="68"/>
      <c r="BO75" s="62"/>
      <c r="BP75" s="68"/>
      <c r="BQ75" s="62"/>
      <c r="BR75" s="68"/>
      <c r="BS75" s="62"/>
      <c r="BT75" s="68"/>
      <c r="BU75" t="b">
        <f t="shared" si="1"/>
        <v>0</v>
      </c>
    </row>
    <row r="76" spans="1:73" x14ac:dyDescent="0.25">
      <c r="A76" s="28"/>
      <c r="B76" s="29"/>
      <c r="C76" s="29"/>
      <c r="D76" s="30"/>
      <c r="E76" s="29"/>
      <c r="F76" s="30"/>
      <c r="G76" s="29"/>
      <c r="H76" s="69"/>
      <c r="I76" s="64"/>
      <c r="J76" s="69"/>
      <c r="K76" s="64"/>
      <c r="L76" s="69"/>
      <c r="M76" s="65"/>
      <c r="N76" s="69"/>
      <c r="O76" s="64"/>
      <c r="P76" s="69"/>
      <c r="Q76" s="64"/>
      <c r="R76" s="69"/>
      <c r="S76" s="64"/>
      <c r="T76" s="69"/>
      <c r="U76" s="64"/>
      <c r="V76" s="69"/>
      <c r="W76" s="65"/>
      <c r="X76" s="69"/>
      <c r="Y76" s="64"/>
      <c r="Z76" s="69"/>
      <c r="AA76" s="64"/>
      <c r="AB76" s="69"/>
      <c r="AC76" s="64"/>
      <c r="AD76" s="69"/>
      <c r="AE76" s="65"/>
      <c r="AF76" s="69"/>
      <c r="AG76" s="65"/>
      <c r="AH76" s="69"/>
      <c r="AI76" s="64"/>
      <c r="AJ76" s="69"/>
      <c r="AK76" s="64"/>
      <c r="AL76" s="69"/>
      <c r="AM76" s="64"/>
      <c r="AN76" s="69"/>
      <c r="AO76" s="64"/>
      <c r="AP76" s="69"/>
      <c r="AQ76" s="64"/>
      <c r="AR76" s="69"/>
      <c r="AS76" s="64"/>
      <c r="AT76" s="69"/>
      <c r="AU76" s="64"/>
      <c r="AV76" s="69"/>
      <c r="AW76" s="64"/>
      <c r="AX76" s="69"/>
      <c r="AY76" s="64"/>
      <c r="AZ76" s="69"/>
      <c r="BA76" s="64"/>
      <c r="BB76" s="69"/>
      <c r="BC76" s="64"/>
      <c r="BD76" s="69"/>
      <c r="BE76" s="64"/>
      <c r="BF76" s="69"/>
      <c r="BG76" s="64"/>
      <c r="BH76" s="69"/>
      <c r="BI76" s="64"/>
      <c r="BJ76" s="69"/>
      <c r="BK76" s="64"/>
      <c r="BL76" s="69"/>
      <c r="BM76" s="64"/>
      <c r="BN76" s="69"/>
      <c r="BO76" s="64"/>
      <c r="BP76" s="69"/>
      <c r="BQ76" s="64"/>
      <c r="BR76" s="69"/>
      <c r="BS76" s="64"/>
      <c r="BT76" s="69"/>
      <c r="BU76" t="b">
        <f t="shared" si="1"/>
        <v>0</v>
      </c>
    </row>
    <row r="77" spans="1:73" x14ac:dyDescent="0.25">
      <c r="A77" s="25"/>
      <c r="B77" s="26"/>
      <c r="C77" s="26"/>
      <c r="D77" s="27"/>
      <c r="E77" s="26"/>
      <c r="F77" s="27"/>
      <c r="G77" s="26"/>
      <c r="H77" s="68"/>
      <c r="I77" s="62"/>
      <c r="J77" s="68"/>
      <c r="K77" s="62"/>
      <c r="L77" s="68"/>
      <c r="M77" s="63"/>
      <c r="N77" s="68"/>
      <c r="O77" s="62"/>
      <c r="P77" s="68"/>
      <c r="Q77" s="62"/>
      <c r="R77" s="68"/>
      <c r="S77" s="62"/>
      <c r="T77" s="68"/>
      <c r="U77" s="62"/>
      <c r="V77" s="68"/>
      <c r="W77" s="63"/>
      <c r="X77" s="68"/>
      <c r="Y77" s="62"/>
      <c r="Z77" s="68"/>
      <c r="AA77" s="62"/>
      <c r="AB77" s="68"/>
      <c r="AC77" s="62"/>
      <c r="AD77" s="68"/>
      <c r="AE77" s="63"/>
      <c r="AF77" s="68"/>
      <c r="AG77" s="63"/>
      <c r="AH77" s="68"/>
      <c r="AI77" s="62"/>
      <c r="AJ77" s="68"/>
      <c r="AK77" s="62"/>
      <c r="AL77" s="68"/>
      <c r="AM77" s="62"/>
      <c r="AN77" s="68"/>
      <c r="AO77" s="62"/>
      <c r="AP77" s="68"/>
      <c r="AQ77" s="62"/>
      <c r="AR77" s="68"/>
      <c r="AS77" s="62"/>
      <c r="AT77" s="68"/>
      <c r="AU77" s="62"/>
      <c r="AV77" s="68"/>
      <c r="AW77" s="62"/>
      <c r="AX77" s="68"/>
      <c r="AY77" s="62"/>
      <c r="AZ77" s="68"/>
      <c r="BA77" s="62"/>
      <c r="BB77" s="68"/>
      <c r="BC77" s="62"/>
      <c r="BD77" s="68"/>
      <c r="BE77" s="62"/>
      <c r="BF77" s="68"/>
      <c r="BG77" s="62"/>
      <c r="BH77" s="68"/>
      <c r="BI77" s="62"/>
      <c r="BJ77" s="68"/>
      <c r="BK77" s="62"/>
      <c r="BL77" s="68"/>
      <c r="BM77" s="62"/>
      <c r="BN77" s="68"/>
      <c r="BO77" s="62"/>
      <c r="BP77" s="68"/>
      <c r="BQ77" s="62"/>
      <c r="BR77" s="68"/>
      <c r="BS77" s="62"/>
      <c r="BT77" s="68"/>
      <c r="BU77" t="b">
        <f t="shared" si="1"/>
        <v>0</v>
      </c>
    </row>
    <row r="78" spans="1:73" x14ac:dyDescent="0.25">
      <c r="A78" s="28"/>
      <c r="B78" s="29"/>
      <c r="C78" s="29"/>
      <c r="D78" s="30"/>
      <c r="E78" s="29"/>
      <c r="F78" s="30"/>
      <c r="G78" s="29"/>
      <c r="H78" s="69"/>
      <c r="I78" s="64"/>
      <c r="J78" s="69"/>
      <c r="K78" s="64"/>
      <c r="L78" s="69"/>
      <c r="M78" s="65"/>
      <c r="N78" s="69"/>
      <c r="O78" s="64"/>
      <c r="P78" s="69"/>
      <c r="Q78" s="64"/>
      <c r="R78" s="69"/>
      <c r="S78" s="64"/>
      <c r="T78" s="69"/>
      <c r="U78" s="64"/>
      <c r="V78" s="69"/>
      <c r="W78" s="65"/>
      <c r="X78" s="69"/>
      <c r="Y78" s="64"/>
      <c r="Z78" s="69"/>
      <c r="AA78" s="64"/>
      <c r="AB78" s="69"/>
      <c r="AC78" s="64"/>
      <c r="AD78" s="69"/>
      <c r="AE78" s="65"/>
      <c r="AF78" s="69"/>
      <c r="AG78" s="65"/>
      <c r="AH78" s="69"/>
      <c r="AI78" s="64"/>
      <c r="AJ78" s="69"/>
      <c r="AK78" s="64"/>
      <c r="AL78" s="69"/>
      <c r="AM78" s="64"/>
      <c r="AN78" s="69"/>
      <c r="AO78" s="64"/>
      <c r="AP78" s="69"/>
      <c r="AQ78" s="64"/>
      <c r="AR78" s="69"/>
      <c r="AS78" s="64"/>
      <c r="AT78" s="69"/>
      <c r="AU78" s="64"/>
      <c r="AV78" s="69"/>
      <c r="AW78" s="64"/>
      <c r="AX78" s="69"/>
      <c r="AY78" s="64"/>
      <c r="AZ78" s="69"/>
      <c r="BA78" s="64"/>
      <c r="BB78" s="69"/>
      <c r="BC78" s="64"/>
      <c r="BD78" s="69"/>
      <c r="BE78" s="64"/>
      <c r="BF78" s="69"/>
      <c r="BG78" s="64"/>
      <c r="BH78" s="69"/>
      <c r="BI78" s="64"/>
      <c r="BJ78" s="69"/>
      <c r="BK78" s="64"/>
      <c r="BL78" s="69"/>
      <c r="BM78" s="64"/>
      <c r="BN78" s="69"/>
      <c r="BO78" s="64"/>
      <c r="BP78" s="69"/>
      <c r="BQ78" s="64"/>
      <c r="BR78" s="69"/>
      <c r="BS78" s="64"/>
      <c r="BT78" s="69"/>
      <c r="BU78" t="b">
        <f t="shared" si="1"/>
        <v>0</v>
      </c>
    </row>
    <row r="79" spans="1:73" x14ac:dyDescent="0.25">
      <c r="A79" s="25"/>
      <c r="B79" s="26"/>
      <c r="C79" s="26"/>
      <c r="D79" s="27"/>
      <c r="E79" s="26"/>
      <c r="F79" s="27"/>
      <c r="G79" s="26"/>
      <c r="H79" s="68"/>
      <c r="I79" s="62"/>
      <c r="J79" s="68"/>
      <c r="K79" s="62"/>
      <c r="L79" s="68"/>
      <c r="M79" s="63"/>
      <c r="N79" s="68"/>
      <c r="O79" s="62"/>
      <c r="P79" s="68"/>
      <c r="Q79" s="62"/>
      <c r="R79" s="68"/>
      <c r="S79" s="62"/>
      <c r="T79" s="68"/>
      <c r="U79" s="62"/>
      <c r="V79" s="68"/>
      <c r="W79" s="63"/>
      <c r="X79" s="68"/>
      <c r="Y79" s="62"/>
      <c r="Z79" s="68"/>
      <c r="AA79" s="62"/>
      <c r="AB79" s="68"/>
      <c r="AC79" s="62"/>
      <c r="AD79" s="68"/>
      <c r="AE79" s="63"/>
      <c r="AF79" s="68"/>
      <c r="AG79" s="63"/>
      <c r="AH79" s="68"/>
      <c r="AI79" s="62"/>
      <c r="AJ79" s="68"/>
      <c r="AK79" s="62"/>
      <c r="AL79" s="68"/>
      <c r="AM79" s="62"/>
      <c r="AN79" s="68"/>
      <c r="AO79" s="62"/>
      <c r="AP79" s="68"/>
      <c r="AQ79" s="62"/>
      <c r="AR79" s="68"/>
      <c r="AS79" s="62"/>
      <c r="AT79" s="68"/>
      <c r="AU79" s="62"/>
      <c r="AV79" s="68"/>
      <c r="AW79" s="62"/>
      <c r="AX79" s="68"/>
      <c r="AY79" s="62"/>
      <c r="AZ79" s="68"/>
      <c r="BA79" s="62"/>
      <c r="BB79" s="68"/>
      <c r="BC79" s="62"/>
      <c r="BD79" s="68"/>
      <c r="BE79" s="62"/>
      <c r="BF79" s="68"/>
      <c r="BG79" s="62"/>
      <c r="BH79" s="68"/>
      <c r="BI79" s="62"/>
      <c r="BJ79" s="68"/>
      <c r="BK79" s="62"/>
      <c r="BL79" s="68"/>
      <c r="BM79" s="62"/>
      <c r="BN79" s="68"/>
      <c r="BO79" s="62"/>
      <c r="BP79" s="68"/>
      <c r="BQ79" s="62"/>
      <c r="BR79" s="68"/>
      <c r="BS79" s="62"/>
      <c r="BT79" s="68"/>
      <c r="BU79" t="b">
        <f t="shared" si="1"/>
        <v>0</v>
      </c>
    </row>
    <row r="80" spans="1:73" x14ac:dyDescent="0.25">
      <c r="A80" s="28"/>
      <c r="B80" s="29"/>
      <c r="C80" s="29"/>
      <c r="D80" s="30"/>
      <c r="E80" s="29"/>
      <c r="F80" s="30"/>
      <c r="G80" s="29"/>
      <c r="H80" s="69"/>
      <c r="I80" s="64"/>
      <c r="J80" s="69"/>
      <c r="K80" s="64"/>
      <c r="L80" s="69"/>
      <c r="M80" s="65"/>
      <c r="N80" s="69"/>
      <c r="O80" s="64"/>
      <c r="P80" s="69"/>
      <c r="Q80" s="64"/>
      <c r="R80" s="69"/>
      <c r="S80" s="64"/>
      <c r="T80" s="69"/>
      <c r="U80" s="64"/>
      <c r="V80" s="69"/>
      <c r="W80" s="65"/>
      <c r="X80" s="69"/>
      <c r="Y80" s="64"/>
      <c r="Z80" s="69"/>
      <c r="AA80" s="64"/>
      <c r="AB80" s="69"/>
      <c r="AC80" s="64"/>
      <c r="AD80" s="69"/>
      <c r="AE80" s="65"/>
      <c r="AF80" s="69"/>
      <c r="AG80" s="65"/>
      <c r="AH80" s="69"/>
      <c r="AI80" s="64"/>
      <c r="AJ80" s="69"/>
      <c r="AK80" s="64"/>
      <c r="AL80" s="69"/>
      <c r="AM80" s="64"/>
      <c r="AN80" s="69"/>
      <c r="AO80" s="64"/>
      <c r="AP80" s="69"/>
      <c r="AQ80" s="64"/>
      <c r="AR80" s="69"/>
      <c r="AS80" s="64"/>
      <c r="AT80" s="69"/>
      <c r="AU80" s="64"/>
      <c r="AV80" s="69"/>
      <c r="AW80" s="64"/>
      <c r="AX80" s="69"/>
      <c r="AY80" s="64"/>
      <c r="AZ80" s="69"/>
      <c r="BA80" s="64"/>
      <c r="BB80" s="69"/>
      <c r="BC80" s="64"/>
      <c r="BD80" s="69"/>
      <c r="BE80" s="64"/>
      <c r="BF80" s="69"/>
      <c r="BG80" s="64"/>
      <c r="BH80" s="69"/>
      <c r="BI80" s="64"/>
      <c r="BJ80" s="69"/>
      <c r="BK80" s="64"/>
      <c r="BL80" s="69"/>
      <c r="BM80" s="64"/>
      <c r="BN80" s="69"/>
      <c r="BO80" s="64"/>
      <c r="BP80" s="69"/>
      <c r="BQ80" s="64"/>
      <c r="BR80" s="69"/>
      <c r="BS80" s="64"/>
      <c r="BT80" s="69"/>
      <c r="BU80" t="b">
        <f t="shared" si="1"/>
        <v>0</v>
      </c>
    </row>
    <row r="81" spans="1:73" x14ac:dyDescent="0.25">
      <c r="A81" s="25"/>
      <c r="B81" s="26"/>
      <c r="C81" s="26"/>
      <c r="D81" s="27"/>
      <c r="E81" s="26"/>
      <c r="F81" s="27"/>
      <c r="G81" s="26"/>
      <c r="H81" s="68"/>
      <c r="I81" s="62"/>
      <c r="J81" s="68"/>
      <c r="K81" s="62"/>
      <c r="L81" s="68"/>
      <c r="M81" s="63"/>
      <c r="N81" s="68"/>
      <c r="O81" s="62"/>
      <c r="P81" s="68"/>
      <c r="Q81" s="62"/>
      <c r="R81" s="68"/>
      <c r="S81" s="62"/>
      <c r="T81" s="68"/>
      <c r="U81" s="62"/>
      <c r="V81" s="68"/>
      <c r="W81" s="63"/>
      <c r="X81" s="68"/>
      <c r="Y81" s="62"/>
      <c r="Z81" s="68"/>
      <c r="AA81" s="62"/>
      <c r="AB81" s="68"/>
      <c r="AC81" s="62"/>
      <c r="AD81" s="68"/>
      <c r="AE81" s="63"/>
      <c r="AF81" s="68"/>
      <c r="AG81" s="63"/>
      <c r="AH81" s="68"/>
      <c r="AI81" s="62"/>
      <c r="AJ81" s="68"/>
      <c r="AK81" s="62"/>
      <c r="AL81" s="68"/>
      <c r="AM81" s="62"/>
      <c r="AN81" s="68"/>
      <c r="AO81" s="62"/>
      <c r="AP81" s="68"/>
      <c r="AQ81" s="62"/>
      <c r="AR81" s="68"/>
      <c r="AS81" s="62"/>
      <c r="AT81" s="68"/>
      <c r="AU81" s="62"/>
      <c r="AV81" s="68"/>
      <c r="AW81" s="62"/>
      <c r="AX81" s="68"/>
      <c r="AY81" s="62"/>
      <c r="AZ81" s="68"/>
      <c r="BA81" s="62"/>
      <c r="BB81" s="68"/>
      <c r="BC81" s="62"/>
      <c r="BD81" s="68"/>
      <c r="BE81" s="62"/>
      <c r="BF81" s="68"/>
      <c r="BG81" s="62"/>
      <c r="BH81" s="68"/>
      <c r="BI81" s="62"/>
      <c r="BJ81" s="68"/>
      <c r="BK81" s="62"/>
      <c r="BL81" s="68"/>
      <c r="BM81" s="62"/>
      <c r="BN81" s="68"/>
      <c r="BO81" s="62"/>
      <c r="BP81" s="68"/>
      <c r="BQ81" s="62"/>
      <c r="BR81" s="68"/>
      <c r="BS81" s="62"/>
      <c r="BT81" s="68"/>
      <c r="BU81" t="b">
        <f t="shared" si="1"/>
        <v>0</v>
      </c>
    </row>
    <row r="82" spans="1:73" x14ac:dyDescent="0.25">
      <c r="A82" s="28"/>
      <c r="B82" s="29"/>
      <c r="C82" s="29"/>
      <c r="D82" s="30"/>
      <c r="E82" s="29"/>
      <c r="F82" s="30"/>
      <c r="G82" s="29"/>
      <c r="H82" s="69"/>
      <c r="I82" s="64"/>
      <c r="J82" s="69"/>
      <c r="K82" s="64"/>
      <c r="L82" s="69"/>
      <c r="M82" s="65"/>
      <c r="N82" s="69"/>
      <c r="O82" s="64"/>
      <c r="P82" s="69"/>
      <c r="Q82" s="64"/>
      <c r="R82" s="69"/>
      <c r="S82" s="64"/>
      <c r="T82" s="69"/>
      <c r="U82" s="64"/>
      <c r="V82" s="69"/>
      <c r="W82" s="65"/>
      <c r="X82" s="69"/>
      <c r="Y82" s="64"/>
      <c r="Z82" s="69"/>
      <c r="AA82" s="64"/>
      <c r="AB82" s="69"/>
      <c r="AC82" s="64"/>
      <c r="AD82" s="69"/>
      <c r="AE82" s="65"/>
      <c r="AF82" s="69"/>
      <c r="AG82" s="65"/>
      <c r="AH82" s="69"/>
      <c r="AI82" s="64"/>
      <c r="AJ82" s="69"/>
      <c r="AK82" s="64"/>
      <c r="AL82" s="69"/>
      <c r="AM82" s="64"/>
      <c r="AN82" s="69"/>
      <c r="AO82" s="64"/>
      <c r="AP82" s="69"/>
      <c r="AQ82" s="64"/>
      <c r="AR82" s="69"/>
      <c r="AS82" s="64"/>
      <c r="AT82" s="69"/>
      <c r="AU82" s="64"/>
      <c r="AV82" s="69"/>
      <c r="AW82" s="64"/>
      <c r="AX82" s="69"/>
      <c r="AY82" s="64"/>
      <c r="AZ82" s="69"/>
      <c r="BA82" s="64"/>
      <c r="BB82" s="69"/>
      <c r="BC82" s="64"/>
      <c r="BD82" s="69"/>
      <c r="BE82" s="64"/>
      <c r="BF82" s="69"/>
      <c r="BG82" s="64"/>
      <c r="BH82" s="69"/>
      <c r="BI82" s="64"/>
      <c r="BJ82" s="69"/>
      <c r="BK82" s="64"/>
      <c r="BL82" s="69"/>
      <c r="BM82" s="64"/>
      <c r="BN82" s="69"/>
      <c r="BO82" s="64"/>
      <c r="BP82" s="69"/>
      <c r="BQ82" s="64"/>
      <c r="BR82" s="69"/>
      <c r="BS82" s="64"/>
      <c r="BT82" s="69"/>
      <c r="BU82" t="b">
        <f t="shared" si="1"/>
        <v>0</v>
      </c>
    </row>
    <row r="83" spans="1:73" x14ac:dyDescent="0.25">
      <c r="A83" s="25"/>
      <c r="B83" s="26"/>
      <c r="C83" s="26"/>
      <c r="D83" s="27"/>
      <c r="E83" s="26"/>
      <c r="F83" s="27"/>
      <c r="G83" s="26"/>
      <c r="H83" s="68"/>
      <c r="I83" s="62"/>
      <c r="J83" s="68"/>
      <c r="K83" s="62"/>
      <c r="L83" s="68"/>
      <c r="M83" s="63"/>
      <c r="N83" s="68"/>
      <c r="O83" s="62"/>
      <c r="P83" s="68"/>
      <c r="Q83" s="62"/>
      <c r="R83" s="68"/>
      <c r="S83" s="62"/>
      <c r="T83" s="68"/>
      <c r="U83" s="62"/>
      <c r="V83" s="68"/>
      <c r="W83" s="63"/>
      <c r="X83" s="68"/>
      <c r="Y83" s="62"/>
      <c r="Z83" s="68"/>
      <c r="AA83" s="62"/>
      <c r="AB83" s="68"/>
      <c r="AC83" s="62"/>
      <c r="AD83" s="68"/>
      <c r="AE83" s="63"/>
      <c r="AF83" s="68"/>
      <c r="AG83" s="63"/>
      <c r="AH83" s="68"/>
      <c r="AI83" s="62"/>
      <c r="AJ83" s="68"/>
      <c r="AK83" s="62"/>
      <c r="AL83" s="68"/>
      <c r="AM83" s="62"/>
      <c r="AN83" s="68"/>
      <c r="AO83" s="62"/>
      <c r="AP83" s="68"/>
      <c r="AQ83" s="62"/>
      <c r="AR83" s="68"/>
      <c r="AS83" s="62"/>
      <c r="AT83" s="68"/>
      <c r="AU83" s="62"/>
      <c r="AV83" s="68"/>
      <c r="AW83" s="62"/>
      <c r="AX83" s="68"/>
      <c r="AY83" s="62"/>
      <c r="AZ83" s="68"/>
      <c r="BA83" s="62"/>
      <c r="BB83" s="68"/>
      <c r="BC83" s="62"/>
      <c r="BD83" s="68"/>
      <c r="BE83" s="62"/>
      <c r="BF83" s="68"/>
      <c r="BG83" s="62"/>
      <c r="BH83" s="68"/>
      <c r="BI83" s="62"/>
      <c r="BJ83" s="68"/>
      <c r="BK83" s="62"/>
      <c r="BL83" s="68"/>
      <c r="BM83" s="62"/>
      <c r="BN83" s="68"/>
      <c r="BO83" s="62"/>
      <c r="BP83" s="68"/>
      <c r="BQ83" s="62"/>
      <c r="BR83" s="68"/>
      <c r="BS83" s="62"/>
      <c r="BT83" s="68"/>
      <c r="BU83" t="b">
        <f t="shared" si="1"/>
        <v>0</v>
      </c>
    </row>
    <row r="84" spans="1:73" x14ac:dyDescent="0.25">
      <c r="A84" s="28"/>
      <c r="B84" s="29"/>
      <c r="C84" s="29"/>
      <c r="D84" s="30"/>
      <c r="E84" s="29"/>
      <c r="F84" s="30"/>
      <c r="G84" s="29"/>
      <c r="H84" s="69"/>
      <c r="I84" s="64"/>
      <c r="J84" s="69"/>
      <c r="K84" s="64"/>
      <c r="L84" s="69"/>
      <c r="M84" s="65"/>
      <c r="N84" s="69"/>
      <c r="O84" s="64"/>
      <c r="P84" s="69"/>
      <c r="Q84" s="64"/>
      <c r="R84" s="69"/>
      <c r="S84" s="64"/>
      <c r="T84" s="69"/>
      <c r="U84" s="64"/>
      <c r="V84" s="69"/>
      <c r="W84" s="65"/>
      <c r="X84" s="69"/>
      <c r="Y84" s="64"/>
      <c r="Z84" s="69"/>
      <c r="AA84" s="64"/>
      <c r="AB84" s="69"/>
      <c r="AC84" s="64"/>
      <c r="AD84" s="69"/>
      <c r="AE84" s="65"/>
      <c r="AF84" s="69"/>
      <c r="AG84" s="65"/>
      <c r="AH84" s="69"/>
      <c r="AI84" s="64"/>
      <c r="AJ84" s="69"/>
      <c r="AK84" s="64"/>
      <c r="AL84" s="69"/>
      <c r="AM84" s="64"/>
      <c r="AN84" s="69"/>
      <c r="AO84" s="64"/>
      <c r="AP84" s="69"/>
      <c r="AQ84" s="64"/>
      <c r="AR84" s="69"/>
      <c r="AS84" s="64"/>
      <c r="AT84" s="69"/>
      <c r="AU84" s="64"/>
      <c r="AV84" s="69"/>
      <c r="AW84" s="64"/>
      <c r="AX84" s="69"/>
      <c r="AY84" s="64"/>
      <c r="AZ84" s="69"/>
      <c r="BA84" s="64"/>
      <c r="BB84" s="69"/>
      <c r="BC84" s="64"/>
      <c r="BD84" s="69"/>
      <c r="BE84" s="64"/>
      <c r="BF84" s="69"/>
      <c r="BG84" s="64"/>
      <c r="BH84" s="69"/>
      <c r="BI84" s="64"/>
      <c r="BJ84" s="69"/>
      <c r="BK84" s="64"/>
      <c r="BL84" s="69"/>
      <c r="BM84" s="64"/>
      <c r="BN84" s="69"/>
      <c r="BO84" s="64"/>
      <c r="BP84" s="69"/>
      <c r="BQ84" s="64"/>
      <c r="BR84" s="69"/>
      <c r="BS84" s="64"/>
      <c r="BT84" s="69"/>
      <c r="BU84" t="b">
        <f t="shared" si="1"/>
        <v>0</v>
      </c>
    </row>
    <row r="85" spans="1:73" x14ac:dyDescent="0.25">
      <c r="A85" s="25"/>
      <c r="B85" s="26"/>
      <c r="C85" s="26"/>
      <c r="D85" s="27"/>
      <c r="E85" s="26"/>
      <c r="F85" s="27"/>
      <c r="G85" s="26"/>
      <c r="H85" s="68"/>
      <c r="I85" s="62"/>
      <c r="J85" s="68"/>
      <c r="K85" s="62"/>
      <c r="L85" s="68"/>
      <c r="M85" s="63"/>
      <c r="N85" s="68"/>
      <c r="O85" s="62"/>
      <c r="P85" s="68"/>
      <c r="Q85" s="62"/>
      <c r="R85" s="68"/>
      <c r="S85" s="62"/>
      <c r="T85" s="68"/>
      <c r="U85" s="62"/>
      <c r="V85" s="68"/>
      <c r="W85" s="63"/>
      <c r="X85" s="68"/>
      <c r="Y85" s="62"/>
      <c r="Z85" s="68"/>
      <c r="AA85" s="62"/>
      <c r="AB85" s="68"/>
      <c r="AC85" s="62"/>
      <c r="AD85" s="68"/>
      <c r="AE85" s="63"/>
      <c r="AF85" s="68"/>
      <c r="AG85" s="63"/>
      <c r="AH85" s="68"/>
      <c r="AI85" s="62"/>
      <c r="AJ85" s="68"/>
      <c r="AK85" s="62"/>
      <c r="AL85" s="68"/>
      <c r="AM85" s="62"/>
      <c r="AN85" s="68"/>
      <c r="AO85" s="62"/>
      <c r="AP85" s="68"/>
      <c r="AQ85" s="62"/>
      <c r="AR85" s="68"/>
      <c r="AS85" s="62"/>
      <c r="AT85" s="68"/>
      <c r="AU85" s="62"/>
      <c r="AV85" s="68"/>
      <c r="AW85" s="62"/>
      <c r="AX85" s="68"/>
      <c r="AY85" s="62"/>
      <c r="AZ85" s="68"/>
      <c r="BA85" s="62"/>
      <c r="BB85" s="68"/>
      <c r="BC85" s="62"/>
      <c r="BD85" s="68"/>
      <c r="BE85" s="62"/>
      <c r="BF85" s="68"/>
      <c r="BG85" s="62"/>
      <c r="BH85" s="68"/>
      <c r="BI85" s="62"/>
      <c r="BJ85" s="68"/>
      <c r="BK85" s="62"/>
      <c r="BL85" s="68"/>
      <c r="BM85" s="62"/>
      <c r="BN85" s="68"/>
      <c r="BO85" s="62"/>
      <c r="BP85" s="68"/>
      <c r="BQ85" s="62"/>
      <c r="BR85" s="68"/>
      <c r="BS85" s="62"/>
      <c r="BT85" s="68"/>
      <c r="BU85" t="b">
        <f t="shared" si="1"/>
        <v>0</v>
      </c>
    </row>
    <row r="86" spans="1:73" x14ac:dyDescent="0.25">
      <c r="A86" s="28"/>
      <c r="B86" s="29"/>
      <c r="C86" s="29"/>
      <c r="D86" s="30"/>
      <c r="E86" s="29"/>
      <c r="F86" s="30"/>
      <c r="G86" s="29"/>
      <c r="H86" s="69"/>
      <c r="I86" s="64"/>
      <c r="J86" s="69"/>
      <c r="K86" s="64"/>
      <c r="L86" s="69"/>
      <c r="M86" s="65"/>
      <c r="N86" s="69"/>
      <c r="O86" s="64"/>
      <c r="P86" s="69"/>
      <c r="Q86" s="64"/>
      <c r="R86" s="69"/>
      <c r="S86" s="64"/>
      <c r="T86" s="69"/>
      <c r="U86" s="64"/>
      <c r="V86" s="69"/>
      <c r="W86" s="65"/>
      <c r="X86" s="69"/>
      <c r="Y86" s="64"/>
      <c r="Z86" s="69"/>
      <c r="AA86" s="64"/>
      <c r="AB86" s="69"/>
      <c r="AC86" s="64"/>
      <c r="AD86" s="69"/>
      <c r="AE86" s="65"/>
      <c r="AF86" s="69"/>
      <c r="AG86" s="65"/>
      <c r="AH86" s="69"/>
      <c r="AI86" s="64"/>
      <c r="AJ86" s="69"/>
      <c r="AK86" s="64"/>
      <c r="AL86" s="69"/>
      <c r="AM86" s="64"/>
      <c r="AN86" s="69"/>
      <c r="AO86" s="64"/>
      <c r="AP86" s="69"/>
      <c r="AQ86" s="64"/>
      <c r="AR86" s="69"/>
      <c r="AS86" s="64"/>
      <c r="AT86" s="69"/>
      <c r="AU86" s="64"/>
      <c r="AV86" s="69"/>
      <c r="AW86" s="64"/>
      <c r="AX86" s="69"/>
      <c r="AY86" s="64"/>
      <c r="AZ86" s="69"/>
      <c r="BA86" s="64"/>
      <c r="BB86" s="69"/>
      <c r="BC86" s="64"/>
      <c r="BD86" s="69"/>
      <c r="BE86" s="64"/>
      <c r="BF86" s="69"/>
      <c r="BG86" s="64"/>
      <c r="BH86" s="69"/>
      <c r="BI86" s="64"/>
      <c r="BJ86" s="69"/>
      <c r="BK86" s="64"/>
      <c r="BL86" s="69"/>
      <c r="BM86" s="64"/>
      <c r="BN86" s="69"/>
      <c r="BO86" s="64"/>
      <c r="BP86" s="69"/>
      <c r="BQ86" s="64"/>
      <c r="BR86" s="69"/>
      <c r="BS86" s="64"/>
      <c r="BT86" s="69"/>
      <c r="BU86" t="b">
        <f t="shared" si="1"/>
        <v>0</v>
      </c>
    </row>
    <row r="87" spans="1:73" x14ac:dyDescent="0.25">
      <c r="A87" s="25"/>
      <c r="B87" s="26"/>
      <c r="C87" s="26"/>
      <c r="D87" s="27"/>
      <c r="E87" s="26"/>
      <c r="F87" s="27"/>
      <c r="G87" s="26"/>
      <c r="H87" s="68"/>
      <c r="I87" s="62"/>
      <c r="J87" s="68"/>
      <c r="K87" s="62"/>
      <c r="L87" s="68"/>
      <c r="M87" s="63"/>
      <c r="N87" s="68"/>
      <c r="O87" s="62"/>
      <c r="P87" s="68"/>
      <c r="Q87" s="62"/>
      <c r="R87" s="68"/>
      <c r="S87" s="62"/>
      <c r="T87" s="68"/>
      <c r="U87" s="62"/>
      <c r="V87" s="68"/>
      <c r="W87" s="63"/>
      <c r="X87" s="68"/>
      <c r="Y87" s="62"/>
      <c r="Z87" s="68"/>
      <c r="AA87" s="62"/>
      <c r="AB87" s="68"/>
      <c r="AC87" s="62"/>
      <c r="AD87" s="68"/>
      <c r="AE87" s="63"/>
      <c r="AF87" s="68"/>
      <c r="AG87" s="63"/>
      <c r="AH87" s="68"/>
      <c r="AI87" s="62"/>
      <c r="AJ87" s="68"/>
      <c r="AK87" s="62"/>
      <c r="AL87" s="68"/>
      <c r="AM87" s="62"/>
      <c r="AN87" s="68"/>
      <c r="AO87" s="62"/>
      <c r="AP87" s="68"/>
      <c r="AQ87" s="62"/>
      <c r="AR87" s="68"/>
      <c r="AS87" s="62"/>
      <c r="AT87" s="68"/>
      <c r="AU87" s="62"/>
      <c r="AV87" s="68"/>
      <c r="AW87" s="62"/>
      <c r="AX87" s="68"/>
      <c r="AY87" s="62"/>
      <c r="AZ87" s="68"/>
      <c r="BA87" s="62"/>
      <c r="BB87" s="68"/>
      <c r="BC87" s="62"/>
      <c r="BD87" s="68"/>
      <c r="BE87" s="62"/>
      <c r="BF87" s="68"/>
      <c r="BG87" s="62"/>
      <c r="BH87" s="68"/>
      <c r="BI87" s="62"/>
      <c r="BJ87" s="68"/>
      <c r="BK87" s="62"/>
      <c r="BL87" s="68"/>
      <c r="BM87" s="62"/>
      <c r="BN87" s="68"/>
      <c r="BO87" s="62"/>
      <c r="BP87" s="68"/>
      <c r="BQ87" s="62"/>
      <c r="BR87" s="68"/>
      <c r="BS87" s="62"/>
      <c r="BT87" s="68"/>
      <c r="BU87" t="b">
        <f t="shared" si="1"/>
        <v>0</v>
      </c>
    </row>
    <row r="88" spans="1:73" x14ac:dyDescent="0.25">
      <c r="A88" s="28"/>
      <c r="B88" s="29"/>
      <c r="C88" s="29"/>
      <c r="D88" s="30"/>
      <c r="E88" s="29"/>
      <c r="F88" s="30"/>
      <c r="G88" s="29"/>
      <c r="H88" s="69"/>
      <c r="I88" s="64"/>
      <c r="J88" s="69"/>
      <c r="K88" s="64"/>
      <c r="L88" s="69"/>
      <c r="M88" s="65"/>
      <c r="N88" s="69"/>
      <c r="O88" s="64"/>
      <c r="P88" s="69"/>
      <c r="Q88" s="64"/>
      <c r="R88" s="69"/>
      <c r="S88" s="64"/>
      <c r="T88" s="69"/>
      <c r="U88" s="64"/>
      <c r="V88" s="69"/>
      <c r="W88" s="65"/>
      <c r="X88" s="69"/>
      <c r="Y88" s="64"/>
      <c r="Z88" s="69"/>
      <c r="AA88" s="64"/>
      <c r="AB88" s="69"/>
      <c r="AC88" s="64"/>
      <c r="AD88" s="69"/>
      <c r="AE88" s="65"/>
      <c r="AF88" s="69"/>
      <c r="AG88" s="65"/>
      <c r="AH88" s="69"/>
      <c r="AI88" s="64"/>
      <c r="AJ88" s="69"/>
      <c r="AK88" s="64"/>
      <c r="AL88" s="69"/>
      <c r="AM88" s="64"/>
      <c r="AN88" s="69"/>
      <c r="AO88" s="64"/>
      <c r="AP88" s="69"/>
      <c r="AQ88" s="64"/>
      <c r="AR88" s="69"/>
      <c r="AS88" s="64"/>
      <c r="AT88" s="69"/>
      <c r="AU88" s="64"/>
      <c r="AV88" s="69"/>
      <c r="AW88" s="64"/>
      <c r="AX88" s="69"/>
      <c r="AY88" s="64"/>
      <c r="AZ88" s="69"/>
      <c r="BA88" s="64"/>
      <c r="BB88" s="69"/>
      <c r="BC88" s="64"/>
      <c r="BD88" s="69"/>
      <c r="BE88" s="64"/>
      <c r="BF88" s="69"/>
      <c r="BG88" s="64"/>
      <c r="BH88" s="69"/>
      <c r="BI88" s="64"/>
      <c r="BJ88" s="69"/>
      <c r="BK88" s="64"/>
      <c r="BL88" s="69"/>
      <c r="BM88" s="64"/>
      <c r="BN88" s="69"/>
      <c r="BO88" s="64"/>
      <c r="BP88" s="69"/>
      <c r="BQ88" s="64"/>
      <c r="BR88" s="69"/>
      <c r="BS88" s="64"/>
      <c r="BT88" s="69"/>
      <c r="BU88" t="b">
        <f t="shared" si="1"/>
        <v>0</v>
      </c>
    </row>
    <row r="89" spans="1:73" x14ac:dyDescent="0.25">
      <c r="A89" s="25"/>
      <c r="B89" s="26"/>
      <c r="C89" s="26"/>
      <c r="D89" s="27"/>
      <c r="E89" s="26"/>
      <c r="F89" s="27"/>
      <c r="G89" s="26"/>
      <c r="H89" s="68"/>
      <c r="I89" s="62"/>
      <c r="J89" s="68"/>
      <c r="K89" s="62"/>
      <c r="L89" s="68"/>
      <c r="M89" s="63"/>
      <c r="N89" s="68"/>
      <c r="O89" s="62"/>
      <c r="P89" s="68"/>
      <c r="Q89" s="62"/>
      <c r="R89" s="68"/>
      <c r="S89" s="62"/>
      <c r="T89" s="68"/>
      <c r="U89" s="62"/>
      <c r="V89" s="68"/>
      <c r="W89" s="63"/>
      <c r="X89" s="68"/>
      <c r="Y89" s="62"/>
      <c r="Z89" s="68"/>
      <c r="AA89" s="62"/>
      <c r="AB89" s="68"/>
      <c r="AC89" s="62"/>
      <c r="AD89" s="68"/>
      <c r="AE89" s="63"/>
      <c r="AF89" s="68"/>
      <c r="AG89" s="63"/>
      <c r="AH89" s="68"/>
      <c r="AI89" s="62"/>
      <c r="AJ89" s="68"/>
      <c r="AK89" s="62"/>
      <c r="AL89" s="68"/>
      <c r="AM89" s="62"/>
      <c r="AN89" s="68"/>
      <c r="AO89" s="62"/>
      <c r="AP89" s="68"/>
      <c r="AQ89" s="62"/>
      <c r="AR89" s="68"/>
      <c r="AS89" s="62"/>
      <c r="AT89" s="68"/>
      <c r="AU89" s="62"/>
      <c r="AV89" s="68"/>
      <c r="AW89" s="62"/>
      <c r="AX89" s="68"/>
      <c r="AY89" s="62"/>
      <c r="AZ89" s="68"/>
      <c r="BA89" s="62"/>
      <c r="BB89" s="68"/>
      <c r="BC89" s="62"/>
      <c r="BD89" s="68"/>
      <c r="BE89" s="62"/>
      <c r="BF89" s="68"/>
      <c r="BG89" s="62"/>
      <c r="BH89" s="68"/>
      <c r="BI89" s="62"/>
      <c r="BJ89" s="68"/>
      <c r="BK89" s="62"/>
      <c r="BL89" s="68"/>
      <c r="BM89" s="62"/>
      <c r="BN89" s="68"/>
      <c r="BO89" s="62"/>
      <c r="BP89" s="68"/>
      <c r="BQ89" s="62"/>
      <c r="BR89" s="68"/>
      <c r="BS89" s="62"/>
      <c r="BT89" s="68"/>
      <c r="BU89" t="b">
        <f t="shared" si="1"/>
        <v>0</v>
      </c>
    </row>
    <row r="90" spans="1:73" x14ac:dyDescent="0.25">
      <c r="A90" s="28"/>
      <c r="B90" s="29"/>
      <c r="C90" s="29"/>
      <c r="D90" s="30"/>
      <c r="E90" s="29"/>
      <c r="F90" s="30"/>
      <c r="G90" s="29"/>
      <c r="H90" s="69"/>
      <c r="I90" s="64"/>
      <c r="J90" s="69"/>
      <c r="K90" s="64"/>
      <c r="L90" s="69"/>
      <c r="M90" s="65"/>
      <c r="N90" s="69"/>
      <c r="O90" s="64"/>
      <c r="P90" s="69"/>
      <c r="Q90" s="64"/>
      <c r="R90" s="69"/>
      <c r="S90" s="64"/>
      <c r="T90" s="69"/>
      <c r="U90" s="64"/>
      <c r="V90" s="69"/>
      <c r="W90" s="65"/>
      <c r="X90" s="69"/>
      <c r="Y90" s="64"/>
      <c r="Z90" s="69"/>
      <c r="AA90" s="64"/>
      <c r="AB90" s="69"/>
      <c r="AC90" s="64"/>
      <c r="AD90" s="69"/>
      <c r="AE90" s="65"/>
      <c r="AF90" s="69"/>
      <c r="AG90" s="65"/>
      <c r="AH90" s="69"/>
      <c r="AI90" s="64"/>
      <c r="AJ90" s="69"/>
      <c r="AK90" s="64"/>
      <c r="AL90" s="69"/>
      <c r="AM90" s="64"/>
      <c r="AN90" s="69"/>
      <c r="AO90" s="64"/>
      <c r="AP90" s="69"/>
      <c r="AQ90" s="64"/>
      <c r="AR90" s="69"/>
      <c r="AS90" s="64"/>
      <c r="AT90" s="69"/>
      <c r="AU90" s="64"/>
      <c r="AV90" s="69"/>
      <c r="AW90" s="64"/>
      <c r="AX90" s="69"/>
      <c r="AY90" s="64"/>
      <c r="AZ90" s="69"/>
      <c r="BA90" s="64"/>
      <c r="BB90" s="69"/>
      <c r="BC90" s="64"/>
      <c r="BD90" s="69"/>
      <c r="BE90" s="64"/>
      <c r="BF90" s="69"/>
      <c r="BG90" s="64"/>
      <c r="BH90" s="69"/>
      <c r="BI90" s="64"/>
      <c r="BJ90" s="69"/>
      <c r="BK90" s="64"/>
      <c r="BL90" s="69"/>
      <c r="BM90" s="64"/>
      <c r="BN90" s="69"/>
      <c r="BO90" s="64"/>
      <c r="BP90" s="69"/>
      <c r="BQ90" s="64"/>
      <c r="BR90" s="69"/>
      <c r="BS90" s="64"/>
      <c r="BT90" s="69"/>
      <c r="BU90" t="b">
        <f t="shared" si="1"/>
        <v>0</v>
      </c>
    </row>
    <row r="91" spans="1:73" x14ac:dyDescent="0.25">
      <c r="A91" s="25"/>
      <c r="B91" s="26"/>
      <c r="C91" s="26"/>
      <c r="D91" s="27"/>
      <c r="E91" s="26"/>
      <c r="F91" s="27"/>
      <c r="G91" s="26"/>
      <c r="H91" s="68"/>
      <c r="I91" s="62"/>
      <c r="J91" s="68"/>
      <c r="K91" s="62"/>
      <c r="L91" s="68"/>
      <c r="M91" s="63"/>
      <c r="N91" s="68"/>
      <c r="O91" s="62"/>
      <c r="P91" s="68"/>
      <c r="Q91" s="62"/>
      <c r="R91" s="68"/>
      <c r="S91" s="62"/>
      <c r="T91" s="68"/>
      <c r="U91" s="62"/>
      <c r="V91" s="68"/>
      <c r="W91" s="63"/>
      <c r="X91" s="68"/>
      <c r="Y91" s="62"/>
      <c r="Z91" s="68"/>
      <c r="AA91" s="62"/>
      <c r="AB91" s="68"/>
      <c r="AC91" s="62"/>
      <c r="AD91" s="68"/>
      <c r="AE91" s="63"/>
      <c r="AF91" s="68"/>
      <c r="AG91" s="63"/>
      <c r="AH91" s="68"/>
      <c r="AI91" s="62"/>
      <c r="AJ91" s="68"/>
      <c r="AK91" s="62"/>
      <c r="AL91" s="68"/>
      <c r="AM91" s="62"/>
      <c r="AN91" s="68"/>
      <c r="AO91" s="62"/>
      <c r="AP91" s="68"/>
      <c r="AQ91" s="62"/>
      <c r="AR91" s="68"/>
      <c r="AS91" s="62"/>
      <c r="AT91" s="68"/>
      <c r="AU91" s="62"/>
      <c r="AV91" s="68"/>
      <c r="AW91" s="62"/>
      <c r="AX91" s="68"/>
      <c r="AY91" s="62"/>
      <c r="AZ91" s="68"/>
      <c r="BA91" s="62"/>
      <c r="BB91" s="68"/>
      <c r="BC91" s="62"/>
      <c r="BD91" s="68"/>
      <c r="BE91" s="62"/>
      <c r="BF91" s="68"/>
      <c r="BG91" s="62"/>
      <c r="BH91" s="68"/>
      <c r="BI91" s="62"/>
      <c r="BJ91" s="68"/>
      <c r="BK91" s="62"/>
      <c r="BL91" s="68"/>
      <c r="BM91" s="62"/>
      <c r="BN91" s="68"/>
      <c r="BO91" s="62"/>
      <c r="BP91" s="68"/>
      <c r="BQ91" s="62"/>
      <c r="BR91" s="68"/>
      <c r="BS91" s="62"/>
      <c r="BT91" s="68"/>
      <c r="BU91" t="b">
        <f t="shared" si="1"/>
        <v>0</v>
      </c>
    </row>
    <row r="92" spans="1:73" x14ac:dyDescent="0.25">
      <c r="A92" s="28"/>
      <c r="B92" s="29"/>
      <c r="C92" s="29"/>
      <c r="D92" s="30"/>
      <c r="E92" s="29"/>
      <c r="F92" s="30"/>
      <c r="G92" s="29"/>
      <c r="H92" s="69"/>
      <c r="I92" s="64"/>
      <c r="J92" s="69"/>
      <c r="K92" s="64"/>
      <c r="L92" s="69"/>
      <c r="M92" s="65"/>
      <c r="N92" s="69"/>
      <c r="O92" s="64"/>
      <c r="P92" s="69"/>
      <c r="Q92" s="64"/>
      <c r="R92" s="69"/>
      <c r="S92" s="64"/>
      <c r="T92" s="69"/>
      <c r="U92" s="64"/>
      <c r="V92" s="69"/>
      <c r="W92" s="65"/>
      <c r="X92" s="69"/>
      <c r="Y92" s="64"/>
      <c r="Z92" s="69"/>
      <c r="AA92" s="64"/>
      <c r="AB92" s="69"/>
      <c r="AC92" s="64"/>
      <c r="AD92" s="69"/>
      <c r="AE92" s="65"/>
      <c r="AF92" s="69"/>
      <c r="AG92" s="65"/>
      <c r="AH92" s="69"/>
      <c r="AI92" s="64"/>
      <c r="AJ92" s="69"/>
      <c r="AK92" s="64"/>
      <c r="AL92" s="69"/>
      <c r="AM92" s="64"/>
      <c r="AN92" s="69"/>
      <c r="AO92" s="64"/>
      <c r="AP92" s="69"/>
      <c r="AQ92" s="64"/>
      <c r="AR92" s="69"/>
      <c r="AS92" s="64"/>
      <c r="AT92" s="69"/>
      <c r="AU92" s="64"/>
      <c r="AV92" s="69"/>
      <c r="AW92" s="64"/>
      <c r="AX92" s="69"/>
      <c r="AY92" s="64"/>
      <c r="AZ92" s="69"/>
      <c r="BA92" s="64"/>
      <c r="BB92" s="69"/>
      <c r="BC92" s="64"/>
      <c r="BD92" s="69"/>
      <c r="BE92" s="64"/>
      <c r="BF92" s="69"/>
      <c r="BG92" s="64"/>
      <c r="BH92" s="69"/>
      <c r="BI92" s="64"/>
      <c r="BJ92" s="69"/>
      <c r="BK92" s="64"/>
      <c r="BL92" s="69"/>
      <c r="BM92" s="64"/>
      <c r="BN92" s="69"/>
      <c r="BO92" s="64"/>
      <c r="BP92" s="69"/>
      <c r="BQ92" s="64"/>
      <c r="BR92" s="69"/>
      <c r="BS92" s="64"/>
      <c r="BT92" s="69"/>
      <c r="BU92" t="b">
        <f t="shared" si="1"/>
        <v>0</v>
      </c>
    </row>
    <row r="93" spans="1:73" x14ac:dyDescent="0.25">
      <c r="A93" s="25"/>
      <c r="B93" s="26"/>
      <c r="C93" s="26"/>
      <c r="D93" s="27"/>
      <c r="E93" s="26"/>
      <c r="F93" s="27"/>
      <c r="G93" s="26"/>
      <c r="H93" s="68"/>
      <c r="I93" s="62"/>
      <c r="J93" s="68"/>
      <c r="K93" s="62"/>
      <c r="L93" s="68"/>
      <c r="M93" s="63"/>
      <c r="N93" s="68"/>
      <c r="O93" s="62"/>
      <c r="P93" s="68"/>
      <c r="Q93" s="62"/>
      <c r="R93" s="68"/>
      <c r="S93" s="62"/>
      <c r="T93" s="68"/>
      <c r="U93" s="62"/>
      <c r="V93" s="68"/>
      <c r="W93" s="63"/>
      <c r="X93" s="68"/>
      <c r="Y93" s="62"/>
      <c r="Z93" s="68"/>
      <c r="AA93" s="62"/>
      <c r="AB93" s="68"/>
      <c r="AC93" s="62"/>
      <c r="AD93" s="68"/>
      <c r="AE93" s="63"/>
      <c r="AF93" s="68"/>
      <c r="AG93" s="63"/>
      <c r="AH93" s="68"/>
      <c r="AI93" s="62"/>
      <c r="AJ93" s="68"/>
      <c r="AK93" s="62"/>
      <c r="AL93" s="68"/>
      <c r="AM93" s="62"/>
      <c r="AN93" s="68"/>
      <c r="AO93" s="62"/>
      <c r="AP93" s="68"/>
      <c r="AQ93" s="62"/>
      <c r="AR93" s="68"/>
      <c r="AS93" s="62"/>
      <c r="AT93" s="68"/>
      <c r="AU93" s="62"/>
      <c r="AV93" s="68"/>
      <c r="AW93" s="62"/>
      <c r="AX93" s="68"/>
      <c r="AY93" s="62"/>
      <c r="AZ93" s="68"/>
      <c r="BA93" s="62"/>
      <c r="BB93" s="68"/>
      <c r="BC93" s="62"/>
      <c r="BD93" s="68"/>
      <c r="BE93" s="62"/>
      <c r="BF93" s="68"/>
      <c r="BG93" s="62"/>
      <c r="BH93" s="68"/>
      <c r="BI93" s="62"/>
      <c r="BJ93" s="68"/>
      <c r="BK93" s="62"/>
      <c r="BL93" s="68"/>
      <c r="BM93" s="62"/>
      <c r="BN93" s="68"/>
      <c r="BO93" s="62"/>
      <c r="BP93" s="68"/>
      <c r="BQ93" s="62"/>
      <c r="BR93" s="68"/>
      <c r="BS93" s="62"/>
      <c r="BT93" s="68"/>
      <c r="BU93" t="b">
        <f t="shared" si="1"/>
        <v>0</v>
      </c>
    </row>
    <row r="94" spans="1:73" x14ac:dyDescent="0.25">
      <c r="A94" s="28"/>
      <c r="B94" s="29"/>
      <c r="C94" s="29"/>
      <c r="D94" s="30"/>
      <c r="E94" s="29"/>
      <c r="F94" s="30"/>
      <c r="G94" s="29"/>
      <c r="H94" s="69"/>
      <c r="I94" s="64"/>
      <c r="J94" s="69"/>
      <c r="K94" s="64"/>
      <c r="L94" s="69"/>
      <c r="M94" s="65"/>
      <c r="N94" s="69"/>
      <c r="O94" s="64"/>
      <c r="P94" s="69"/>
      <c r="Q94" s="64"/>
      <c r="R94" s="69"/>
      <c r="S94" s="64"/>
      <c r="T94" s="69"/>
      <c r="U94" s="64"/>
      <c r="V94" s="69"/>
      <c r="W94" s="65"/>
      <c r="X94" s="69"/>
      <c r="Y94" s="64"/>
      <c r="Z94" s="69"/>
      <c r="AA94" s="64"/>
      <c r="AB94" s="69"/>
      <c r="AC94" s="64"/>
      <c r="AD94" s="69"/>
      <c r="AE94" s="65"/>
      <c r="AF94" s="69"/>
      <c r="AG94" s="65"/>
      <c r="AH94" s="69"/>
      <c r="AI94" s="64"/>
      <c r="AJ94" s="69"/>
      <c r="AK94" s="64"/>
      <c r="AL94" s="69"/>
      <c r="AM94" s="64"/>
      <c r="AN94" s="69"/>
      <c r="AO94" s="64"/>
      <c r="AP94" s="69"/>
      <c r="AQ94" s="64"/>
      <c r="AR94" s="69"/>
      <c r="AS94" s="64"/>
      <c r="AT94" s="69"/>
      <c r="AU94" s="64"/>
      <c r="AV94" s="69"/>
      <c r="AW94" s="64"/>
      <c r="AX94" s="69"/>
      <c r="AY94" s="64"/>
      <c r="AZ94" s="69"/>
      <c r="BA94" s="64"/>
      <c r="BB94" s="69"/>
      <c r="BC94" s="64"/>
      <c r="BD94" s="69"/>
      <c r="BE94" s="64"/>
      <c r="BF94" s="69"/>
      <c r="BG94" s="64"/>
      <c r="BH94" s="69"/>
      <c r="BI94" s="64"/>
      <c r="BJ94" s="69"/>
      <c r="BK94" s="64"/>
      <c r="BL94" s="69"/>
      <c r="BM94" s="64"/>
      <c r="BN94" s="69"/>
      <c r="BO94" s="64"/>
      <c r="BP94" s="69"/>
      <c r="BQ94" s="64"/>
      <c r="BR94" s="69"/>
      <c r="BS94" s="64"/>
      <c r="BT94" s="69"/>
      <c r="BU94" t="b">
        <f t="shared" si="1"/>
        <v>0</v>
      </c>
    </row>
    <row r="95" spans="1:73" x14ac:dyDescent="0.25">
      <c r="A95" s="25"/>
      <c r="B95" s="26"/>
      <c r="C95" s="26"/>
      <c r="D95" s="27"/>
      <c r="E95" s="26"/>
      <c r="F95" s="27"/>
      <c r="G95" s="26"/>
      <c r="H95" s="68"/>
      <c r="I95" s="62"/>
      <c r="J95" s="68"/>
      <c r="K95" s="62"/>
      <c r="L95" s="68"/>
      <c r="M95" s="63"/>
      <c r="N95" s="68"/>
      <c r="O95" s="62"/>
      <c r="P95" s="68"/>
      <c r="Q95" s="62"/>
      <c r="R95" s="68"/>
      <c r="S95" s="62"/>
      <c r="T95" s="68"/>
      <c r="U95" s="62"/>
      <c r="V95" s="68"/>
      <c r="W95" s="63"/>
      <c r="X95" s="68"/>
      <c r="Y95" s="62"/>
      <c r="Z95" s="68"/>
      <c r="AA95" s="62"/>
      <c r="AB95" s="68"/>
      <c r="AC95" s="62"/>
      <c r="AD95" s="68"/>
      <c r="AE95" s="63"/>
      <c r="AF95" s="68"/>
      <c r="AG95" s="63"/>
      <c r="AH95" s="68"/>
      <c r="AI95" s="62"/>
      <c r="AJ95" s="68"/>
      <c r="AK95" s="62"/>
      <c r="AL95" s="68"/>
      <c r="AM95" s="62"/>
      <c r="AN95" s="68"/>
      <c r="AO95" s="62"/>
      <c r="AP95" s="68"/>
      <c r="AQ95" s="62"/>
      <c r="AR95" s="68"/>
      <c r="AS95" s="62"/>
      <c r="AT95" s="68"/>
      <c r="AU95" s="62"/>
      <c r="AV95" s="68"/>
      <c r="AW95" s="62"/>
      <c r="AX95" s="68"/>
      <c r="AY95" s="62"/>
      <c r="AZ95" s="68"/>
      <c r="BA95" s="62"/>
      <c r="BB95" s="68"/>
      <c r="BC95" s="62"/>
      <c r="BD95" s="68"/>
      <c r="BE95" s="62"/>
      <c r="BF95" s="68"/>
      <c r="BG95" s="62"/>
      <c r="BH95" s="68"/>
      <c r="BI95" s="62"/>
      <c r="BJ95" s="68"/>
      <c r="BK95" s="62"/>
      <c r="BL95" s="68"/>
      <c r="BM95" s="62"/>
      <c r="BN95" s="68"/>
      <c r="BO95" s="62"/>
      <c r="BP95" s="68"/>
      <c r="BQ95" s="62"/>
      <c r="BR95" s="68"/>
      <c r="BS95" s="62"/>
      <c r="BT95" s="68"/>
      <c r="BU95" t="b">
        <f t="shared" si="1"/>
        <v>0</v>
      </c>
    </row>
    <row r="96" spans="1:73" x14ac:dyDescent="0.25">
      <c r="A96" s="28"/>
      <c r="B96" s="29"/>
      <c r="C96" s="29"/>
      <c r="D96" s="30"/>
      <c r="E96" s="29"/>
      <c r="F96" s="30"/>
      <c r="G96" s="29"/>
      <c r="H96" s="69"/>
      <c r="I96" s="64"/>
      <c r="J96" s="69"/>
      <c r="K96" s="64"/>
      <c r="L96" s="69"/>
      <c r="M96" s="65"/>
      <c r="N96" s="69"/>
      <c r="O96" s="64"/>
      <c r="P96" s="69"/>
      <c r="Q96" s="64"/>
      <c r="R96" s="69"/>
      <c r="S96" s="64"/>
      <c r="T96" s="69"/>
      <c r="U96" s="64"/>
      <c r="V96" s="69"/>
      <c r="W96" s="65"/>
      <c r="X96" s="69"/>
      <c r="Y96" s="64"/>
      <c r="Z96" s="69"/>
      <c r="AA96" s="64"/>
      <c r="AB96" s="69"/>
      <c r="AC96" s="64"/>
      <c r="AD96" s="69"/>
      <c r="AE96" s="65"/>
      <c r="AF96" s="69"/>
      <c r="AG96" s="65"/>
      <c r="AH96" s="69"/>
      <c r="AI96" s="64"/>
      <c r="AJ96" s="69"/>
      <c r="AK96" s="64"/>
      <c r="AL96" s="69"/>
      <c r="AM96" s="64"/>
      <c r="AN96" s="69"/>
      <c r="AO96" s="64"/>
      <c r="AP96" s="69"/>
      <c r="AQ96" s="64"/>
      <c r="AR96" s="69"/>
      <c r="AS96" s="64"/>
      <c r="AT96" s="69"/>
      <c r="AU96" s="64"/>
      <c r="AV96" s="69"/>
      <c r="AW96" s="64"/>
      <c r="AX96" s="69"/>
      <c r="AY96" s="64"/>
      <c r="AZ96" s="69"/>
      <c r="BA96" s="64"/>
      <c r="BB96" s="69"/>
      <c r="BC96" s="64"/>
      <c r="BD96" s="69"/>
      <c r="BE96" s="64"/>
      <c r="BF96" s="69"/>
      <c r="BG96" s="64"/>
      <c r="BH96" s="69"/>
      <c r="BI96" s="64"/>
      <c r="BJ96" s="69"/>
      <c r="BK96" s="64"/>
      <c r="BL96" s="69"/>
      <c r="BM96" s="64"/>
      <c r="BN96" s="69"/>
      <c r="BO96" s="64"/>
      <c r="BP96" s="69"/>
      <c r="BQ96" s="64"/>
      <c r="BR96" s="69"/>
      <c r="BS96" s="64"/>
      <c r="BT96" s="69"/>
      <c r="BU96" t="b">
        <f t="shared" si="1"/>
        <v>0</v>
      </c>
    </row>
    <row r="97" spans="1:73" x14ac:dyDescent="0.25">
      <c r="A97" s="25"/>
      <c r="B97" s="26"/>
      <c r="C97" s="26"/>
      <c r="D97" s="27"/>
      <c r="E97" s="26"/>
      <c r="F97" s="27"/>
      <c r="G97" s="26"/>
      <c r="H97" s="68"/>
      <c r="I97" s="62"/>
      <c r="J97" s="68"/>
      <c r="K97" s="62"/>
      <c r="L97" s="68"/>
      <c r="M97" s="63"/>
      <c r="N97" s="68"/>
      <c r="O97" s="62"/>
      <c r="P97" s="68"/>
      <c r="Q97" s="62"/>
      <c r="R97" s="68"/>
      <c r="S97" s="62"/>
      <c r="T97" s="68"/>
      <c r="U97" s="62"/>
      <c r="V97" s="68"/>
      <c r="W97" s="63"/>
      <c r="X97" s="68"/>
      <c r="Y97" s="62"/>
      <c r="Z97" s="68"/>
      <c r="AA97" s="62"/>
      <c r="AB97" s="68"/>
      <c r="AC97" s="62"/>
      <c r="AD97" s="68"/>
      <c r="AE97" s="63"/>
      <c r="AF97" s="68"/>
      <c r="AG97" s="63"/>
      <c r="AH97" s="68"/>
      <c r="AI97" s="62"/>
      <c r="AJ97" s="68"/>
      <c r="AK97" s="62"/>
      <c r="AL97" s="68"/>
      <c r="AM97" s="62"/>
      <c r="AN97" s="68"/>
      <c r="AO97" s="62"/>
      <c r="AP97" s="68"/>
      <c r="AQ97" s="62"/>
      <c r="AR97" s="68"/>
      <c r="AS97" s="62"/>
      <c r="AT97" s="68"/>
      <c r="AU97" s="62"/>
      <c r="AV97" s="68"/>
      <c r="AW97" s="62"/>
      <c r="AX97" s="68"/>
      <c r="AY97" s="62"/>
      <c r="AZ97" s="68"/>
      <c r="BA97" s="62"/>
      <c r="BB97" s="68"/>
      <c r="BC97" s="62"/>
      <c r="BD97" s="68"/>
      <c r="BE97" s="62"/>
      <c r="BF97" s="68"/>
      <c r="BG97" s="62"/>
      <c r="BH97" s="68"/>
      <c r="BI97" s="62"/>
      <c r="BJ97" s="68"/>
      <c r="BK97" s="62"/>
      <c r="BL97" s="68"/>
      <c r="BM97" s="62"/>
      <c r="BN97" s="68"/>
      <c r="BO97" s="62"/>
      <c r="BP97" s="68"/>
      <c r="BQ97" s="62"/>
      <c r="BR97" s="68"/>
      <c r="BS97" s="62"/>
      <c r="BT97" s="68"/>
      <c r="BU97" t="b">
        <f t="shared" si="1"/>
        <v>0</v>
      </c>
    </row>
    <row r="98" spans="1:73" x14ac:dyDescent="0.25">
      <c r="A98" s="28"/>
      <c r="B98" s="29"/>
      <c r="C98" s="29"/>
      <c r="D98" s="30"/>
      <c r="E98" s="29"/>
      <c r="F98" s="30"/>
      <c r="G98" s="29"/>
      <c r="H98" s="69"/>
      <c r="I98" s="64"/>
      <c r="J98" s="69"/>
      <c r="K98" s="64"/>
      <c r="L98" s="69"/>
      <c r="M98" s="65"/>
      <c r="N98" s="69"/>
      <c r="O98" s="64"/>
      <c r="P98" s="69"/>
      <c r="Q98" s="64"/>
      <c r="R98" s="69"/>
      <c r="S98" s="64"/>
      <c r="T98" s="69"/>
      <c r="U98" s="64"/>
      <c r="V98" s="69"/>
      <c r="W98" s="65"/>
      <c r="X98" s="69"/>
      <c r="Y98" s="64"/>
      <c r="Z98" s="69"/>
      <c r="AA98" s="64"/>
      <c r="AB98" s="69"/>
      <c r="AC98" s="64"/>
      <c r="AD98" s="69"/>
      <c r="AE98" s="65"/>
      <c r="AF98" s="69"/>
      <c r="AG98" s="65"/>
      <c r="AH98" s="69"/>
      <c r="AI98" s="64"/>
      <c r="AJ98" s="69"/>
      <c r="AK98" s="64"/>
      <c r="AL98" s="69"/>
      <c r="AM98" s="64"/>
      <c r="AN98" s="69"/>
      <c r="AO98" s="64"/>
      <c r="AP98" s="69"/>
      <c r="AQ98" s="64"/>
      <c r="AR98" s="69"/>
      <c r="AS98" s="64"/>
      <c r="AT98" s="69"/>
      <c r="AU98" s="64"/>
      <c r="AV98" s="69"/>
      <c r="AW98" s="64"/>
      <c r="AX98" s="69"/>
      <c r="AY98" s="64"/>
      <c r="AZ98" s="69"/>
      <c r="BA98" s="64"/>
      <c r="BB98" s="69"/>
      <c r="BC98" s="64"/>
      <c r="BD98" s="69"/>
      <c r="BE98" s="64"/>
      <c r="BF98" s="69"/>
      <c r="BG98" s="64"/>
      <c r="BH98" s="69"/>
      <c r="BI98" s="64"/>
      <c r="BJ98" s="69"/>
      <c r="BK98" s="64"/>
      <c r="BL98" s="69"/>
      <c r="BM98" s="64"/>
      <c r="BN98" s="69"/>
      <c r="BO98" s="64"/>
      <c r="BP98" s="69"/>
      <c r="BQ98" s="64"/>
      <c r="BR98" s="69"/>
      <c r="BS98" s="64"/>
      <c r="BT98" s="69"/>
      <c r="BU98" t="b">
        <f t="shared" si="1"/>
        <v>0</v>
      </c>
    </row>
    <row r="99" spans="1:73" x14ac:dyDescent="0.25">
      <c r="A99" s="25"/>
      <c r="B99" s="26"/>
      <c r="C99" s="26"/>
      <c r="D99" s="27"/>
      <c r="E99" s="26"/>
      <c r="F99" s="27"/>
      <c r="G99" s="26"/>
      <c r="H99" s="68"/>
      <c r="I99" s="62"/>
      <c r="J99" s="68"/>
      <c r="K99" s="62"/>
      <c r="L99" s="68"/>
      <c r="M99" s="63"/>
      <c r="N99" s="68"/>
      <c r="O99" s="62"/>
      <c r="P99" s="68"/>
      <c r="Q99" s="62"/>
      <c r="R99" s="68"/>
      <c r="S99" s="62"/>
      <c r="T99" s="68"/>
      <c r="U99" s="62"/>
      <c r="V99" s="68"/>
      <c r="W99" s="63"/>
      <c r="X99" s="68"/>
      <c r="Y99" s="62"/>
      <c r="Z99" s="68"/>
      <c r="AA99" s="62"/>
      <c r="AB99" s="68"/>
      <c r="AC99" s="62"/>
      <c r="AD99" s="68"/>
      <c r="AE99" s="63"/>
      <c r="AF99" s="68"/>
      <c r="AG99" s="63"/>
      <c r="AH99" s="68"/>
      <c r="AI99" s="62"/>
      <c r="AJ99" s="68"/>
      <c r="AK99" s="62"/>
      <c r="AL99" s="68"/>
      <c r="AM99" s="62"/>
      <c r="AN99" s="68"/>
      <c r="AO99" s="62"/>
      <c r="AP99" s="68"/>
      <c r="AQ99" s="62"/>
      <c r="AR99" s="68"/>
      <c r="AS99" s="62"/>
      <c r="AT99" s="68"/>
      <c r="AU99" s="62"/>
      <c r="AV99" s="68"/>
      <c r="AW99" s="62"/>
      <c r="AX99" s="68"/>
      <c r="AY99" s="62"/>
      <c r="AZ99" s="68"/>
      <c r="BA99" s="62"/>
      <c r="BB99" s="68"/>
      <c r="BC99" s="62"/>
      <c r="BD99" s="68"/>
      <c r="BE99" s="62"/>
      <c r="BF99" s="68"/>
      <c r="BG99" s="62"/>
      <c r="BH99" s="68"/>
      <c r="BI99" s="62"/>
      <c r="BJ99" s="68"/>
      <c r="BK99" s="62"/>
      <c r="BL99" s="68"/>
      <c r="BM99" s="62"/>
      <c r="BN99" s="68"/>
      <c r="BO99" s="62"/>
      <c r="BP99" s="68"/>
      <c r="BQ99" s="62"/>
      <c r="BR99" s="68"/>
      <c r="BS99" s="62"/>
      <c r="BT99" s="68"/>
      <c r="BU99" t="b">
        <f t="shared" si="1"/>
        <v>0</v>
      </c>
    </row>
    <row r="100" spans="1:73" x14ac:dyDescent="0.25">
      <c r="A100" s="28"/>
      <c r="B100" s="29"/>
      <c r="C100" s="29"/>
      <c r="D100" s="30"/>
      <c r="E100" s="29"/>
      <c r="F100" s="30"/>
      <c r="G100" s="29"/>
      <c r="H100" s="69"/>
      <c r="I100" s="64"/>
      <c r="J100" s="69"/>
      <c r="K100" s="64"/>
      <c r="L100" s="69"/>
      <c r="M100" s="65"/>
      <c r="N100" s="69"/>
      <c r="O100" s="64"/>
      <c r="P100" s="69"/>
      <c r="Q100" s="64"/>
      <c r="R100" s="69"/>
      <c r="S100" s="64"/>
      <c r="T100" s="69"/>
      <c r="U100" s="64"/>
      <c r="V100" s="69"/>
      <c r="W100" s="65"/>
      <c r="X100" s="69"/>
      <c r="Y100" s="64"/>
      <c r="Z100" s="69"/>
      <c r="AA100" s="64"/>
      <c r="AB100" s="69"/>
      <c r="AC100" s="64"/>
      <c r="AD100" s="69"/>
      <c r="AE100" s="65"/>
      <c r="AF100" s="69"/>
      <c r="AG100" s="65"/>
      <c r="AH100" s="69"/>
      <c r="AI100" s="64"/>
      <c r="AJ100" s="69"/>
      <c r="AK100" s="64"/>
      <c r="AL100" s="69"/>
      <c r="AM100" s="64"/>
      <c r="AN100" s="69"/>
      <c r="AO100" s="64"/>
      <c r="AP100" s="69"/>
      <c r="AQ100" s="64"/>
      <c r="AR100" s="69"/>
      <c r="AS100" s="64"/>
      <c r="AT100" s="69"/>
      <c r="AU100" s="64"/>
      <c r="AV100" s="69"/>
      <c r="AW100" s="64"/>
      <c r="AX100" s="69"/>
      <c r="AY100" s="64"/>
      <c r="AZ100" s="69"/>
      <c r="BA100" s="64"/>
      <c r="BB100" s="69"/>
      <c r="BC100" s="64"/>
      <c r="BD100" s="69"/>
      <c r="BE100" s="64"/>
      <c r="BF100" s="69"/>
      <c r="BG100" s="64"/>
      <c r="BH100" s="69"/>
      <c r="BI100" s="64"/>
      <c r="BJ100" s="69"/>
      <c r="BK100" s="64"/>
      <c r="BL100" s="69"/>
      <c r="BM100" s="64"/>
      <c r="BN100" s="69"/>
      <c r="BO100" s="64"/>
      <c r="BP100" s="69"/>
      <c r="BQ100" s="64"/>
      <c r="BR100" s="69"/>
      <c r="BS100" s="64"/>
      <c r="BT100" s="69"/>
      <c r="BU100" t="b">
        <f t="shared" si="1"/>
        <v>0</v>
      </c>
    </row>
    <row r="101" spans="1:73" x14ac:dyDescent="0.25">
      <c r="A101" s="28"/>
      <c r="B101" s="29"/>
      <c r="C101" s="29"/>
      <c r="D101" s="30"/>
      <c r="E101" s="29"/>
      <c r="F101" s="30"/>
      <c r="G101" s="29"/>
      <c r="H101" s="69"/>
      <c r="I101" s="64"/>
      <c r="J101" s="69"/>
      <c r="K101" s="64"/>
      <c r="L101" s="69"/>
      <c r="M101" s="65"/>
      <c r="N101" s="69"/>
      <c r="O101" s="64"/>
      <c r="P101" s="69"/>
      <c r="Q101" s="64"/>
      <c r="R101" s="69"/>
      <c r="S101" s="64"/>
      <c r="T101" s="69"/>
      <c r="U101" s="64"/>
      <c r="V101" s="69"/>
      <c r="W101" s="65"/>
      <c r="X101" s="69"/>
      <c r="Y101" s="64"/>
      <c r="Z101" s="69"/>
      <c r="AA101" s="64"/>
      <c r="AB101" s="69"/>
      <c r="AC101" s="64"/>
      <c r="AD101" s="69"/>
      <c r="AE101" s="65"/>
      <c r="AF101" s="69"/>
      <c r="AG101" s="65"/>
      <c r="AH101" s="69"/>
      <c r="AI101" s="64"/>
      <c r="AJ101" s="69"/>
      <c r="AK101" s="64"/>
      <c r="AL101" s="69"/>
      <c r="AM101" s="64"/>
      <c r="AN101" s="69"/>
      <c r="AO101" s="64"/>
      <c r="AP101" s="69"/>
      <c r="AQ101" s="64"/>
      <c r="AR101" s="69"/>
      <c r="AS101" s="64"/>
      <c r="AT101" s="69"/>
      <c r="AU101" s="64"/>
      <c r="AV101" s="69"/>
      <c r="AW101" s="64"/>
      <c r="AX101" s="69"/>
      <c r="AY101" s="64"/>
      <c r="AZ101" s="69"/>
      <c r="BA101" s="64"/>
      <c r="BB101" s="69"/>
      <c r="BC101" s="64"/>
      <c r="BD101" s="69"/>
      <c r="BE101" s="64"/>
      <c r="BF101" s="69"/>
      <c r="BG101" s="64"/>
      <c r="BH101" s="69"/>
      <c r="BI101" s="64"/>
      <c r="BJ101" s="69"/>
      <c r="BK101" s="64"/>
      <c r="BL101" s="69"/>
      <c r="BM101" s="64"/>
      <c r="BN101" s="69"/>
      <c r="BO101" s="64"/>
      <c r="BP101" s="69"/>
      <c r="BQ101" s="64"/>
      <c r="BR101" s="69"/>
      <c r="BS101" s="64"/>
      <c r="BT101" s="69"/>
      <c r="BU101" t="b">
        <f t="shared" ref="BU101:BU164" si="2">NOT(AND(BR101="",BP101="",BN101="",BL101="",BJ101="",BH101="",BF101="",BD101="",BB101="",AZ101="",AX101="",AV101="",AT101="",AR101="",AP101="",AN101="",AL101="",AJ101="",AH101="",AF101="",AD101="",AB101="",Z101="",X101="",V101="",T101="",R101="",P101="",N101="", L101="",J101=""))</f>
        <v>0</v>
      </c>
    </row>
    <row r="102" spans="1:73" x14ac:dyDescent="0.25">
      <c r="A102" s="28"/>
      <c r="B102" s="29"/>
      <c r="C102" s="29"/>
      <c r="D102" s="30"/>
      <c r="E102" s="29"/>
      <c r="F102" s="30"/>
      <c r="G102" s="29"/>
      <c r="H102" s="69"/>
      <c r="I102" s="64"/>
      <c r="J102" s="69"/>
      <c r="K102" s="64"/>
      <c r="L102" s="69"/>
      <c r="M102" s="65"/>
      <c r="N102" s="69"/>
      <c r="O102" s="64"/>
      <c r="P102" s="69"/>
      <c r="Q102" s="64"/>
      <c r="R102" s="69"/>
      <c r="S102" s="64"/>
      <c r="T102" s="69"/>
      <c r="U102" s="64"/>
      <c r="V102" s="69"/>
      <c r="W102" s="65"/>
      <c r="X102" s="69"/>
      <c r="Y102" s="64"/>
      <c r="Z102" s="69"/>
      <c r="AA102" s="64"/>
      <c r="AB102" s="69"/>
      <c r="AC102" s="64"/>
      <c r="AD102" s="69"/>
      <c r="AE102" s="65"/>
      <c r="AF102" s="69"/>
      <c r="AG102" s="65"/>
      <c r="AH102" s="69"/>
      <c r="AI102" s="64"/>
      <c r="AJ102" s="69"/>
      <c r="AK102" s="64"/>
      <c r="AL102" s="69"/>
      <c r="AM102" s="64"/>
      <c r="AN102" s="69"/>
      <c r="AO102" s="64"/>
      <c r="AP102" s="69"/>
      <c r="AQ102" s="64"/>
      <c r="AR102" s="69"/>
      <c r="AS102" s="64"/>
      <c r="AT102" s="69"/>
      <c r="AU102" s="64"/>
      <c r="AV102" s="69"/>
      <c r="AW102" s="64"/>
      <c r="AX102" s="69"/>
      <c r="AY102" s="64"/>
      <c r="AZ102" s="69"/>
      <c r="BA102" s="64"/>
      <c r="BB102" s="69"/>
      <c r="BC102" s="64"/>
      <c r="BD102" s="69"/>
      <c r="BE102" s="64"/>
      <c r="BF102" s="69"/>
      <c r="BG102" s="64"/>
      <c r="BH102" s="69"/>
      <c r="BI102" s="64"/>
      <c r="BJ102" s="69"/>
      <c r="BK102" s="64"/>
      <c r="BL102" s="69"/>
      <c r="BM102" s="64"/>
      <c r="BN102" s="69"/>
      <c r="BO102" s="64"/>
      <c r="BP102" s="69"/>
      <c r="BQ102" s="64"/>
      <c r="BR102" s="69"/>
      <c r="BS102" s="64"/>
      <c r="BT102" s="69"/>
      <c r="BU102" t="b">
        <f t="shared" si="2"/>
        <v>0</v>
      </c>
    </row>
    <row r="103" spans="1:73" x14ac:dyDescent="0.25">
      <c r="A103" s="28"/>
      <c r="B103" s="29"/>
      <c r="C103" s="29"/>
      <c r="D103" s="30"/>
      <c r="E103" s="29"/>
      <c r="F103" s="30"/>
      <c r="G103" s="29"/>
      <c r="H103" s="69"/>
      <c r="I103" s="64"/>
      <c r="J103" s="69"/>
      <c r="K103" s="64"/>
      <c r="L103" s="69"/>
      <c r="M103" s="65"/>
      <c r="N103" s="69"/>
      <c r="O103" s="64"/>
      <c r="P103" s="69"/>
      <c r="Q103" s="64"/>
      <c r="R103" s="69"/>
      <c r="S103" s="64"/>
      <c r="T103" s="69"/>
      <c r="U103" s="64"/>
      <c r="V103" s="69"/>
      <c r="W103" s="65"/>
      <c r="X103" s="69"/>
      <c r="Y103" s="64"/>
      <c r="Z103" s="69"/>
      <c r="AA103" s="64"/>
      <c r="AB103" s="69"/>
      <c r="AC103" s="64"/>
      <c r="AD103" s="69"/>
      <c r="AE103" s="65"/>
      <c r="AF103" s="69"/>
      <c r="AG103" s="65"/>
      <c r="AH103" s="69"/>
      <c r="AI103" s="64"/>
      <c r="AJ103" s="69"/>
      <c r="AK103" s="64"/>
      <c r="AL103" s="69"/>
      <c r="AM103" s="64"/>
      <c r="AN103" s="69"/>
      <c r="AO103" s="64"/>
      <c r="AP103" s="69"/>
      <c r="AQ103" s="64"/>
      <c r="AR103" s="69"/>
      <c r="AS103" s="64"/>
      <c r="AT103" s="69"/>
      <c r="AU103" s="64"/>
      <c r="AV103" s="69"/>
      <c r="AW103" s="64"/>
      <c r="AX103" s="69"/>
      <c r="AY103" s="64"/>
      <c r="AZ103" s="69"/>
      <c r="BA103" s="64"/>
      <c r="BB103" s="69"/>
      <c r="BC103" s="64"/>
      <c r="BD103" s="69"/>
      <c r="BE103" s="64"/>
      <c r="BF103" s="69"/>
      <c r="BG103" s="64"/>
      <c r="BH103" s="69"/>
      <c r="BI103" s="64"/>
      <c r="BJ103" s="69"/>
      <c r="BK103" s="64"/>
      <c r="BL103" s="69"/>
      <c r="BM103" s="64"/>
      <c r="BN103" s="69"/>
      <c r="BO103" s="64"/>
      <c r="BP103" s="69"/>
      <c r="BQ103" s="64"/>
      <c r="BR103" s="69"/>
      <c r="BS103" s="64"/>
      <c r="BT103" s="69"/>
      <c r="BU103" t="b">
        <f t="shared" si="2"/>
        <v>0</v>
      </c>
    </row>
    <row r="104" spans="1:73" x14ac:dyDescent="0.25">
      <c r="A104" s="28"/>
      <c r="B104" s="29"/>
      <c r="C104" s="29"/>
      <c r="D104" s="30"/>
      <c r="E104" s="29"/>
      <c r="F104" s="30"/>
      <c r="G104" s="29"/>
      <c r="H104" s="69"/>
      <c r="I104" s="64"/>
      <c r="J104" s="69"/>
      <c r="K104" s="64"/>
      <c r="L104" s="69"/>
      <c r="M104" s="65"/>
      <c r="N104" s="69"/>
      <c r="O104" s="64"/>
      <c r="P104" s="69"/>
      <c r="Q104" s="64"/>
      <c r="R104" s="69"/>
      <c r="S104" s="64"/>
      <c r="T104" s="69"/>
      <c r="U104" s="64"/>
      <c r="V104" s="69"/>
      <c r="W104" s="65"/>
      <c r="X104" s="69"/>
      <c r="Y104" s="64"/>
      <c r="Z104" s="69"/>
      <c r="AA104" s="64"/>
      <c r="AB104" s="69"/>
      <c r="AC104" s="64"/>
      <c r="AD104" s="69"/>
      <c r="AE104" s="65"/>
      <c r="AF104" s="69"/>
      <c r="AG104" s="65"/>
      <c r="AH104" s="69"/>
      <c r="AI104" s="64"/>
      <c r="AJ104" s="69"/>
      <c r="AK104" s="64"/>
      <c r="AL104" s="69"/>
      <c r="AM104" s="64"/>
      <c r="AN104" s="69"/>
      <c r="AO104" s="64"/>
      <c r="AP104" s="69"/>
      <c r="AQ104" s="64"/>
      <c r="AR104" s="69"/>
      <c r="AS104" s="64"/>
      <c r="AT104" s="69"/>
      <c r="AU104" s="64"/>
      <c r="AV104" s="69"/>
      <c r="AW104" s="64"/>
      <c r="AX104" s="69"/>
      <c r="AY104" s="64"/>
      <c r="AZ104" s="69"/>
      <c r="BA104" s="64"/>
      <c r="BB104" s="69"/>
      <c r="BC104" s="64"/>
      <c r="BD104" s="69"/>
      <c r="BE104" s="64"/>
      <c r="BF104" s="69"/>
      <c r="BG104" s="64"/>
      <c r="BH104" s="69"/>
      <c r="BI104" s="64"/>
      <c r="BJ104" s="69"/>
      <c r="BK104" s="64"/>
      <c r="BL104" s="69"/>
      <c r="BM104" s="64"/>
      <c r="BN104" s="69"/>
      <c r="BO104" s="64"/>
      <c r="BP104" s="69"/>
      <c r="BQ104" s="64"/>
      <c r="BR104" s="69"/>
      <c r="BS104" s="64"/>
      <c r="BT104" s="69"/>
      <c r="BU104" t="b">
        <f t="shared" si="2"/>
        <v>0</v>
      </c>
    </row>
    <row r="105" spans="1:73" x14ac:dyDescent="0.25">
      <c r="A105" s="28"/>
      <c r="B105" s="29"/>
      <c r="C105" s="29"/>
      <c r="D105" s="30"/>
      <c r="E105" s="29"/>
      <c r="F105" s="30"/>
      <c r="G105" s="29"/>
      <c r="H105" s="69"/>
      <c r="I105" s="64"/>
      <c r="J105" s="69"/>
      <c r="K105" s="64"/>
      <c r="L105" s="69"/>
      <c r="M105" s="65"/>
      <c r="N105" s="69"/>
      <c r="O105" s="64"/>
      <c r="P105" s="69"/>
      <c r="Q105" s="64"/>
      <c r="R105" s="69"/>
      <c r="S105" s="64"/>
      <c r="T105" s="69"/>
      <c r="U105" s="64"/>
      <c r="V105" s="69"/>
      <c r="W105" s="65"/>
      <c r="X105" s="69"/>
      <c r="Y105" s="64"/>
      <c r="Z105" s="69"/>
      <c r="AA105" s="64"/>
      <c r="AB105" s="69"/>
      <c r="AC105" s="64"/>
      <c r="AD105" s="69"/>
      <c r="AE105" s="65"/>
      <c r="AF105" s="69"/>
      <c r="AG105" s="65"/>
      <c r="AH105" s="69"/>
      <c r="AI105" s="64"/>
      <c r="AJ105" s="69"/>
      <c r="AK105" s="64"/>
      <c r="AL105" s="69"/>
      <c r="AM105" s="64"/>
      <c r="AN105" s="69"/>
      <c r="AO105" s="64"/>
      <c r="AP105" s="69"/>
      <c r="AQ105" s="64"/>
      <c r="AR105" s="69"/>
      <c r="AS105" s="64"/>
      <c r="AT105" s="69"/>
      <c r="AU105" s="64"/>
      <c r="AV105" s="69"/>
      <c r="AW105" s="64"/>
      <c r="AX105" s="69"/>
      <c r="AY105" s="64"/>
      <c r="AZ105" s="69"/>
      <c r="BA105" s="64"/>
      <c r="BB105" s="69"/>
      <c r="BC105" s="64"/>
      <c r="BD105" s="69"/>
      <c r="BE105" s="64"/>
      <c r="BF105" s="69"/>
      <c r="BG105" s="64"/>
      <c r="BH105" s="69"/>
      <c r="BI105" s="64"/>
      <c r="BJ105" s="69"/>
      <c r="BK105" s="64"/>
      <c r="BL105" s="69"/>
      <c r="BM105" s="64"/>
      <c r="BN105" s="69"/>
      <c r="BO105" s="64"/>
      <c r="BP105" s="69"/>
      <c r="BQ105" s="64"/>
      <c r="BR105" s="69"/>
      <c r="BS105" s="64"/>
      <c r="BT105" s="69"/>
      <c r="BU105" t="b">
        <f t="shared" si="2"/>
        <v>0</v>
      </c>
    </row>
    <row r="106" spans="1:73" x14ac:dyDescent="0.25">
      <c r="A106" s="28"/>
      <c r="B106" s="29"/>
      <c r="C106" s="29"/>
      <c r="D106" s="30"/>
      <c r="E106" s="29"/>
      <c r="F106" s="30"/>
      <c r="G106" s="29"/>
      <c r="H106" s="69"/>
      <c r="I106" s="64"/>
      <c r="J106" s="69"/>
      <c r="K106" s="64"/>
      <c r="L106" s="69"/>
      <c r="M106" s="65"/>
      <c r="N106" s="69"/>
      <c r="O106" s="64"/>
      <c r="P106" s="69"/>
      <c r="Q106" s="64"/>
      <c r="R106" s="69"/>
      <c r="S106" s="64"/>
      <c r="T106" s="69"/>
      <c r="U106" s="64"/>
      <c r="V106" s="69"/>
      <c r="W106" s="65"/>
      <c r="X106" s="69"/>
      <c r="Y106" s="64"/>
      <c r="Z106" s="69"/>
      <c r="AA106" s="64"/>
      <c r="AB106" s="69"/>
      <c r="AC106" s="64"/>
      <c r="AD106" s="69"/>
      <c r="AE106" s="65"/>
      <c r="AF106" s="69"/>
      <c r="AG106" s="65"/>
      <c r="AH106" s="69"/>
      <c r="AI106" s="64"/>
      <c r="AJ106" s="69"/>
      <c r="AK106" s="64"/>
      <c r="AL106" s="69"/>
      <c r="AM106" s="64"/>
      <c r="AN106" s="69"/>
      <c r="AO106" s="64"/>
      <c r="AP106" s="69"/>
      <c r="AQ106" s="64"/>
      <c r="AR106" s="69"/>
      <c r="AS106" s="64"/>
      <c r="AT106" s="69"/>
      <c r="AU106" s="64"/>
      <c r="AV106" s="69"/>
      <c r="AW106" s="64"/>
      <c r="AX106" s="69"/>
      <c r="AY106" s="64"/>
      <c r="AZ106" s="69"/>
      <c r="BA106" s="64"/>
      <c r="BB106" s="69"/>
      <c r="BC106" s="64"/>
      <c r="BD106" s="69"/>
      <c r="BE106" s="64"/>
      <c r="BF106" s="69"/>
      <c r="BG106" s="64"/>
      <c r="BH106" s="69"/>
      <c r="BI106" s="64"/>
      <c r="BJ106" s="69"/>
      <c r="BK106" s="64"/>
      <c r="BL106" s="69"/>
      <c r="BM106" s="64"/>
      <c r="BN106" s="69"/>
      <c r="BO106" s="64"/>
      <c r="BP106" s="69"/>
      <c r="BQ106" s="64"/>
      <c r="BR106" s="69"/>
      <c r="BS106" s="64"/>
      <c r="BT106" s="69"/>
      <c r="BU106" t="b">
        <f t="shared" si="2"/>
        <v>0</v>
      </c>
    </row>
    <row r="107" spans="1:73" x14ac:dyDescent="0.25">
      <c r="A107" s="28"/>
      <c r="B107" s="29"/>
      <c r="C107" s="29"/>
      <c r="D107" s="30"/>
      <c r="E107" s="29"/>
      <c r="F107" s="30"/>
      <c r="G107" s="29"/>
      <c r="H107" s="69"/>
      <c r="I107" s="64"/>
      <c r="J107" s="69"/>
      <c r="K107" s="64"/>
      <c r="L107" s="69"/>
      <c r="M107" s="65"/>
      <c r="N107" s="69"/>
      <c r="O107" s="64"/>
      <c r="P107" s="69"/>
      <c r="Q107" s="64"/>
      <c r="R107" s="69"/>
      <c r="S107" s="64"/>
      <c r="T107" s="69"/>
      <c r="U107" s="64"/>
      <c r="V107" s="69"/>
      <c r="W107" s="65"/>
      <c r="X107" s="69"/>
      <c r="Y107" s="64"/>
      <c r="Z107" s="69"/>
      <c r="AA107" s="64"/>
      <c r="AB107" s="69"/>
      <c r="AC107" s="64"/>
      <c r="AD107" s="69"/>
      <c r="AE107" s="65"/>
      <c r="AF107" s="69"/>
      <c r="AG107" s="65"/>
      <c r="AH107" s="69"/>
      <c r="AI107" s="64"/>
      <c r="AJ107" s="69"/>
      <c r="AK107" s="64"/>
      <c r="AL107" s="69"/>
      <c r="AM107" s="64"/>
      <c r="AN107" s="69"/>
      <c r="AO107" s="64"/>
      <c r="AP107" s="69"/>
      <c r="AQ107" s="64"/>
      <c r="AR107" s="69"/>
      <c r="AS107" s="64"/>
      <c r="AT107" s="69"/>
      <c r="AU107" s="64"/>
      <c r="AV107" s="69"/>
      <c r="AW107" s="64"/>
      <c r="AX107" s="69"/>
      <c r="AY107" s="64"/>
      <c r="AZ107" s="69"/>
      <c r="BA107" s="64"/>
      <c r="BB107" s="69"/>
      <c r="BC107" s="64"/>
      <c r="BD107" s="69"/>
      <c r="BE107" s="64"/>
      <c r="BF107" s="69"/>
      <c r="BG107" s="64"/>
      <c r="BH107" s="69"/>
      <c r="BI107" s="64"/>
      <c r="BJ107" s="69"/>
      <c r="BK107" s="64"/>
      <c r="BL107" s="69"/>
      <c r="BM107" s="64"/>
      <c r="BN107" s="69"/>
      <c r="BO107" s="64"/>
      <c r="BP107" s="69"/>
      <c r="BQ107" s="64"/>
      <c r="BR107" s="69"/>
      <c r="BS107" s="64"/>
      <c r="BT107" s="69"/>
      <c r="BU107" t="b">
        <f t="shared" si="2"/>
        <v>0</v>
      </c>
    </row>
    <row r="108" spans="1:73" x14ac:dyDescent="0.25">
      <c r="A108" s="28"/>
      <c r="B108" s="29"/>
      <c r="C108" s="29"/>
      <c r="D108" s="30"/>
      <c r="E108" s="29"/>
      <c r="F108" s="30"/>
      <c r="G108" s="29"/>
      <c r="H108" s="69"/>
      <c r="I108" s="64"/>
      <c r="J108" s="69"/>
      <c r="K108" s="64"/>
      <c r="L108" s="69"/>
      <c r="M108" s="65"/>
      <c r="N108" s="69"/>
      <c r="O108" s="64"/>
      <c r="P108" s="69"/>
      <c r="Q108" s="64"/>
      <c r="R108" s="69"/>
      <c r="S108" s="64"/>
      <c r="T108" s="69"/>
      <c r="U108" s="64"/>
      <c r="V108" s="69"/>
      <c r="W108" s="65"/>
      <c r="X108" s="69"/>
      <c r="Y108" s="64"/>
      <c r="Z108" s="69"/>
      <c r="AA108" s="64"/>
      <c r="AB108" s="69"/>
      <c r="AC108" s="64"/>
      <c r="AD108" s="69"/>
      <c r="AE108" s="65"/>
      <c r="AF108" s="69"/>
      <c r="AG108" s="65"/>
      <c r="AH108" s="69"/>
      <c r="AI108" s="64"/>
      <c r="AJ108" s="69"/>
      <c r="AK108" s="64"/>
      <c r="AL108" s="69"/>
      <c r="AM108" s="64"/>
      <c r="AN108" s="69"/>
      <c r="AO108" s="64"/>
      <c r="AP108" s="69"/>
      <c r="AQ108" s="64"/>
      <c r="AR108" s="69"/>
      <c r="AS108" s="64"/>
      <c r="AT108" s="69"/>
      <c r="AU108" s="64"/>
      <c r="AV108" s="69"/>
      <c r="AW108" s="64"/>
      <c r="AX108" s="69"/>
      <c r="AY108" s="64"/>
      <c r="AZ108" s="69"/>
      <c r="BA108" s="64"/>
      <c r="BB108" s="69"/>
      <c r="BC108" s="64"/>
      <c r="BD108" s="69"/>
      <c r="BE108" s="64"/>
      <c r="BF108" s="69"/>
      <c r="BG108" s="64"/>
      <c r="BH108" s="69"/>
      <c r="BI108" s="64"/>
      <c r="BJ108" s="69"/>
      <c r="BK108" s="64"/>
      <c r="BL108" s="69"/>
      <c r="BM108" s="64"/>
      <c r="BN108" s="69"/>
      <c r="BO108" s="64"/>
      <c r="BP108" s="69"/>
      <c r="BQ108" s="64"/>
      <c r="BR108" s="69"/>
      <c r="BS108" s="64"/>
      <c r="BT108" s="69"/>
      <c r="BU108" t="b">
        <f t="shared" si="2"/>
        <v>0</v>
      </c>
    </row>
    <row r="109" spans="1:73" x14ac:dyDescent="0.25">
      <c r="A109" s="28"/>
      <c r="B109" s="29"/>
      <c r="C109" s="29"/>
      <c r="D109" s="30"/>
      <c r="E109" s="29"/>
      <c r="F109" s="30"/>
      <c r="G109" s="29"/>
      <c r="H109" s="69"/>
      <c r="I109" s="64"/>
      <c r="J109" s="69"/>
      <c r="K109" s="64"/>
      <c r="L109" s="69"/>
      <c r="M109" s="65"/>
      <c r="N109" s="69"/>
      <c r="O109" s="64"/>
      <c r="P109" s="69"/>
      <c r="Q109" s="64"/>
      <c r="R109" s="69"/>
      <c r="S109" s="64"/>
      <c r="T109" s="69"/>
      <c r="U109" s="64"/>
      <c r="V109" s="69"/>
      <c r="W109" s="65"/>
      <c r="X109" s="69"/>
      <c r="Y109" s="64"/>
      <c r="Z109" s="69"/>
      <c r="AA109" s="64"/>
      <c r="AB109" s="69"/>
      <c r="AC109" s="64"/>
      <c r="AD109" s="69"/>
      <c r="AE109" s="65"/>
      <c r="AF109" s="69"/>
      <c r="AG109" s="65"/>
      <c r="AH109" s="69"/>
      <c r="AI109" s="64"/>
      <c r="AJ109" s="69"/>
      <c r="AK109" s="64"/>
      <c r="AL109" s="69"/>
      <c r="AM109" s="64"/>
      <c r="AN109" s="69"/>
      <c r="AO109" s="64"/>
      <c r="AP109" s="69"/>
      <c r="AQ109" s="64"/>
      <c r="AR109" s="69"/>
      <c r="AS109" s="64"/>
      <c r="AT109" s="69"/>
      <c r="AU109" s="64"/>
      <c r="AV109" s="69"/>
      <c r="AW109" s="64"/>
      <c r="AX109" s="69"/>
      <c r="AY109" s="64"/>
      <c r="AZ109" s="69"/>
      <c r="BA109" s="64"/>
      <c r="BB109" s="69"/>
      <c r="BC109" s="64"/>
      <c r="BD109" s="69"/>
      <c r="BE109" s="64"/>
      <c r="BF109" s="69"/>
      <c r="BG109" s="64"/>
      <c r="BH109" s="69"/>
      <c r="BI109" s="64"/>
      <c r="BJ109" s="69"/>
      <c r="BK109" s="64"/>
      <c r="BL109" s="69"/>
      <c r="BM109" s="64"/>
      <c r="BN109" s="69"/>
      <c r="BO109" s="64"/>
      <c r="BP109" s="69"/>
      <c r="BQ109" s="64"/>
      <c r="BR109" s="69"/>
      <c r="BS109" s="64"/>
      <c r="BT109" s="69"/>
      <c r="BU109" t="b">
        <f t="shared" si="2"/>
        <v>0</v>
      </c>
    </row>
    <row r="110" spans="1:73" x14ac:dyDescent="0.25">
      <c r="A110" s="28"/>
      <c r="B110" s="29"/>
      <c r="C110" s="29"/>
      <c r="D110" s="30"/>
      <c r="E110" s="29"/>
      <c r="F110" s="30"/>
      <c r="G110" s="29"/>
      <c r="H110" s="69"/>
      <c r="I110" s="64"/>
      <c r="J110" s="69"/>
      <c r="K110" s="64"/>
      <c r="L110" s="69"/>
      <c r="M110" s="65"/>
      <c r="N110" s="69"/>
      <c r="O110" s="64"/>
      <c r="P110" s="69"/>
      <c r="Q110" s="64"/>
      <c r="R110" s="69"/>
      <c r="S110" s="64"/>
      <c r="T110" s="69"/>
      <c r="U110" s="64"/>
      <c r="V110" s="69"/>
      <c r="W110" s="65"/>
      <c r="X110" s="69"/>
      <c r="Y110" s="64"/>
      <c r="Z110" s="69"/>
      <c r="AA110" s="64"/>
      <c r="AB110" s="69"/>
      <c r="AC110" s="64"/>
      <c r="AD110" s="69"/>
      <c r="AE110" s="65"/>
      <c r="AF110" s="69"/>
      <c r="AG110" s="65"/>
      <c r="AH110" s="69"/>
      <c r="AI110" s="64"/>
      <c r="AJ110" s="69"/>
      <c r="AK110" s="64"/>
      <c r="AL110" s="69"/>
      <c r="AM110" s="64"/>
      <c r="AN110" s="69"/>
      <c r="AO110" s="64"/>
      <c r="AP110" s="69"/>
      <c r="AQ110" s="64"/>
      <c r="AR110" s="69"/>
      <c r="AS110" s="64"/>
      <c r="AT110" s="69"/>
      <c r="AU110" s="64"/>
      <c r="AV110" s="69"/>
      <c r="AW110" s="64"/>
      <c r="AX110" s="69"/>
      <c r="AY110" s="64"/>
      <c r="AZ110" s="69"/>
      <c r="BA110" s="64"/>
      <c r="BB110" s="69"/>
      <c r="BC110" s="64"/>
      <c r="BD110" s="69"/>
      <c r="BE110" s="64"/>
      <c r="BF110" s="69"/>
      <c r="BG110" s="64"/>
      <c r="BH110" s="69"/>
      <c r="BI110" s="64"/>
      <c r="BJ110" s="69"/>
      <c r="BK110" s="64"/>
      <c r="BL110" s="69"/>
      <c r="BM110" s="64"/>
      <c r="BN110" s="69"/>
      <c r="BO110" s="64"/>
      <c r="BP110" s="69"/>
      <c r="BQ110" s="64"/>
      <c r="BR110" s="69"/>
      <c r="BS110" s="64"/>
      <c r="BT110" s="69"/>
      <c r="BU110" t="b">
        <f t="shared" si="2"/>
        <v>0</v>
      </c>
    </row>
    <row r="111" spans="1:73" x14ac:dyDescent="0.25">
      <c r="A111" s="28"/>
      <c r="B111" s="29"/>
      <c r="C111" s="29"/>
      <c r="D111" s="30"/>
      <c r="E111" s="29"/>
      <c r="F111" s="30"/>
      <c r="G111" s="29"/>
      <c r="H111" s="69"/>
      <c r="I111" s="64"/>
      <c r="J111" s="69"/>
      <c r="K111" s="64"/>
      <c r="L111" s="69"/>
      <c r="M111" s="65"/>
      <c r="N111" s="69"/>
      <c r="O111" s="64"/>
      <c r="P111" s="69"/>
      <c r="Q111" s="64"/>
      <c r="R111" s="69"/>
      <c r="S111" s="64"/>
      <c r="T111" s="69"/>
      <c r="U111" s="64"/>
      <c r="V111" s="69"/>
      <c r="W111" s="65"/>
      <c r="X111" s="69"/>
      <c r="Y111" s="64"/>
      <c r="Z111" s="69"/>
      <c r="AA111" s="64"/>
      <c r="AB111" s="69"/>
      <c r="AC111" s="64"/>
      <c r="AD111" s="69"/>
      <c r="AE111" s="65"/>
      <c r="AF111" s="69"/>
      <c r="AG111" s="65"/>
      <c r="AH111" s="69"/>
      <c r="AI111" s="64"/>
      <c r="AJ111" s="69"/>
      <c r="AK111" s="64"/>
      <c r="AL111" s="69"/>
      <c r="AM111" s="64"/>
      <c r="AN111" s="69"/>
      <c r="AO111" s="64"/>
      <c r="AP111" s="69"/>
      <c r="AQ111" s="64"/>
      <c r="AR111" s="69"/>
      <c r="AS111" s="64"/>
      <c r="AT111" s="69"/>
      <c r="AU111" s="64"/>
      <c r="AV111" s="69"/>
      <c r="AW111" s="64"/>
      <c r="AX111" s="69"/>
      <c r="AY111" s="64"/>
      <c r="AZ111" s="69"/>
      <c r="BA111" s="64"/>
      <c r="BB111" s="69"/>
      <c r="BC111" s="64"/>
      <c r="BD111" s="69"/>
      <c r="BE111" s="64"/>
      <c r="BF111" s="69"/>
      <c r="BG111" s="64"/>
      <c r="BH111" s="69"/>
      <c r="BI111" s="64"/>
      <c r="BJ111" s="69"/>
      <c r="BK111" s="64"/>
      <c r="BL111" s="69"/>
      <c r="BM111" s="64"/>
      <c r="BN111" s="69"/>
      <c r="BO111" s="64"/>
      <c r="BP111" s="69"/>
      <c r="BQ111" s="64"/>
      <c r="BR111" s="69"/>
      <c r="BS111" s="64"/>
      <c r="BT111" s="69"/>
      <c r="BU111" t="b">
        <f t="shared" si="2"/>
        <v>0</v>
      </c>
    </row>
    <row r="112" spans="1:73" x14ac:dyDescent="0.25">
      <c r="A112" s="28"/>
      <c r="B112" s="29"/>
      <c r="C112" s="29"/>
      <c r="D112" s="30"/>
      <c r="E112" s="29"/>
      <c r="F112" s="30"/>
      <c r="G112" s="29"/>
      <c r="H112" s="69"/>
      <c r="I112" s="64"/>
      <c r="J112" s="69"/>
      <c r="K112" s="64"/>
      <c r="L112" s="69"/>
      <c r="M112" s="65"/>
      <c r="N112" s="69"/>
      <c r="O112" s="64"/>
      <c r="P112" s="69"/>
      <c r="Q112" s="64"/>
      <c r="R112" s="69"/>
      <c r="S112" s="64"/>
      <c r="T112" s="69"/>
      <c r="U112" s="64"/>
      <c r="V112" s="69"/>
      <c r="W112" s="65"/>
      <c r="X112" s="69"/>
      <c r="Y112" s="64"/>
      <c r="Z112" s="69"/>
      <c r="AA112" s="64"/>
      <c r="AB112" s="69"/>
      <c r="AC112" s="64"/>
      <c r="AD112" s="69"/>
      <c r="AE112" s="65"/>
      <c r="AF112" s="69"/>
      <c r="AG112" s="65"/>
      <c r="AH112" s="69"/>
      <c r="AI112" s="64"/>
      <c r="AJ112" s="69"/>
      <c r="AK112" s="64"/>
      <c r="AL112" s="69"/>
      <c r="AM112" s="64"/>
      <c r="AN112" s="69"/>
      <c r="AO112" s="64"/>
      <c r="AP112" s="69"/>
      <c r="AQ112" s="64"/>
      <c r="AR112" s="69"/>
      <c r="AS112" s="64"/>
      <c r="AT112" s="69"/>
      <c r="AU112" s="64"/>
      <c r="AV112" s="69"/>
      <c r="AW112" s="64"/>
      <c r="AX112" s="69"/>
      <c r="AY112" s="64"/>
      <c r="AZ112" s="69"/>
      <c r="BA112" s="64"/>
      <c r="BB112" s="69"/>
      <c r="BC112" s="64"/>
      <c r="BD112" s="69"/>
      <c r="BE112" s="64"/>
      <c r="BF112" s="69"/>
      <c r="BG112" s="64"/>
      <c r="BH112" s="69"/>
      <c r="BI112" s="64"/>
      <c r="BJ112" s="69"/>
      <c r="BK112" s="64"/>
      <c r="BL112" s="69"/>
      <c r="BM112" s="64"/>
      <c r="BN112" s="69"/>
      <c r="BO112" s="64"/>
      <c r="BP112" s="69"/>
      <c r="BQ112" s="64"/>
      <c r="BR112" s="69"/>
      <c r="BS112" s="64"/>
      <c r="BT112" s="69"/>
      <c r="BU112" t="b">
        <f t="shared" si="2"/>
        <v>0</v>
      </c>
    </row>
    <row r="113" spans="1:73" x14ac:dyDescent="0.25">
      <c r="A113" s="28"/>
      <c r="B113" s="29"/>
      <c r="C113" s="29"/>
      <c r="D113" s="30"/>
      <c r="E113" s="29"/>
      <c r="F113" s="30"/>
      <c r="G113" s="29"/>
      <c r="H113" s="69"/>
      <c r="I113" s="64"/>
      <c r="J113" s="69"/>
      <c r="K113" s="64"/>
      <c r="L113" s="69"/>
      <c r="M113" s="65"/>
      <c r="N113" s="69"/>
      <c r="O113" s="64"/>
      <c r="P113" s="69"/>
      <c r="Q113" s="64"/>
      <c r="R113" s="69"/>
      <c r="S113" s="64"/>
      <c r="T113" s="69"/>
      <c r="U113" s="64"/>
      <c r="V113" s="69"/>
      <c r="W113" s="65"/>
      <c r="X113" s="69"/>
      <c r="Y113" s="64"/>
      <c r="Z113" s="69"/>
      <c r="AA113" s="64"/>
      <c r="AB113" s="69"/>
      <c r="AC113" s="64"/>
      <c r="AD113" s="69"/>
      <c r="AE113" s="65"/>
      <c r="AF113" s="69"/>
      <c r="AG113" s="65"/>
      <c r="AH113" s="69"/>
      <c r="AI113" s="64"/>
      <c r="AJ113" s="69"/>
      <c r="AK113" s="64"/>
      <c r="AL113" s="69"/>
      <c r="AM113" s="64"/>
      <c r="AN113" s="69"/>
      <c r="AO113" s="64"/>
      <c r="AP113" s="69"/>
      <c r="AQ113" s="64"/>
      <c r="AR113" s="69"/>
      <c r="AS113" s="64"/>
      <c r="AT113" s="69"/>
      <c r="AU113" s="64"/>
      <c r="AV113" s="69"/>
      <c r="AW113" s="64"/>
      <c r="AX113" s="69"/>
      <c r="AY113" s="64"/>
      <c r="AZ113" s="69"/>
      <c r="BA113" s="64"/>
      <c r="BB113" s="69"/>
      <c r="BC113" s="64"/>
      <c r="BD113" s="69"/>
      <c r="BE113" s="64"/>
      <c r="BF113" s="69"/>
      <c r="BG113" s="64"/>
      <c r="BH113" s="69"/>
      <c r="BI113" s="64"/>
      <c r="BJ113" s="69"/>
      <c r="BK113" s="64"/>
      <c r="BL113" s="69"/>
      <c r="BM113" s="64"/>
      <c r="BN113" s="69"/>
      <c r="BO113" s="64"/>
      <c r="BP113" s="69"/>
      <c r="BQ113" s="64"/>
      <c r="BR113" s="69"/>
      <c r="BS113" s="64"/>
      <c r="BT113" s="69"/>
      <c r="BU113" t="b">
        <f t="shared" si="2"/>
        <v>0</v>
      </c>
    </row>
    <row r="114" spans="1:73" x14ac:dyDescent="0.25">
      <c r="A114" s="28"/>
      <c r="B114" s="29"/>
      <c r="C114" s="29"/>
      <c r="D114" s="30"/>
      <c r="E114" s="29"/>
      <c r="F114" s="30"/>
      <c r="G114" s="29"/>
      <c r="H114" s="69"/>
      <c r="I114" s="64"/>
      <c r="J114" s="69"/>
      <c r="K114" s="64"/>
      <c r="L114" s="69"/>
      <c r="M114" s="65"/>
      <c r="N114" s="69"/>
      <c r="O114" s="64"/>
      <c r="P114" s="69"/>
      <c r="Q114" s="64"/>
      <c r="R114" s="69"/>
      <c r="S114" s="64"/>
      <c r="T114" s="69"/>
      <c r="U114" s="64"/>
      <c r="V114" s="69"/>
      <c r="W114" s="65"/>
      <c r="X114" s="69"/>
      <c r="Y114" s="64"/>
      <c r="Z114" s="69"/>
      <c r="AA114" s="64"/>
      <c r="AB114" s="69"/>
      <c r="AC114" s="64"/>
      <c r="AD114" s="69"/>
      <c r="AE114" s="65"/>
      <c r="AF114" s="69"/>
      <c r="AG114" s="65"/>
      <c r="AH114" s="69"/>
      <c r="AI114" s="64"/>
      <c r="AJ114" s="69"/>
      <c r="AK114" s="64"/>
      <c r="AL114" s="69"/>
      <c r="AM114" s="64"/>
      <c r="AN114" s="69"/>
      <c r="AO114" s="64"/>
      <c r="AP114" s="69"/>
      <c r="AQ114" s="64"/>
      <c r="AR114" s="69"/>
      <c r="AS114" s="64"/>
      <c r="AT114" s="69"/>
      <c r="AU114" s="64"/>
      <c r="AV114" s="69"/>
      <c r="AW114" s="64"/>
      <c r="AX114" s="69"/>
      <c r="AY114" s="64"/>
      <c r="AZ114" s="69"/>
      <c r="BA114" s="64"/>
      <c r="BB114" s="69"/>
      <c r="BC114" s="64"/>
      <c r="BD114" s="69"/>
      <c r="BE114" s="64"/>
      <c r="BF114" s="69"/>
      <c r="BG114" s="64"/>
      <c r="BH114" s="69"/>
      <c r="BI114" s="64"/>
      <c r="BJ114" s="69"/>
      <c r="BK114" s="64"/>
      <c r="BL114" s="69"/>
      <c r="BM114" s="64"/>
      <c r="BN114" s="69"/>
      <c r="BO114" s="64"/>
      <c r="BP114" s="69"/>
      <c r="BQ114" s="64"/>
      <c r="BR114" s="69"/>
      <c r="BS114" s="64"/>
      <c r="BT114" s="69"/>
      <c r="BU114" t="b">
        <f t="shared" si="2"/>
        <v>0</v>
      </c>
    </row>
    <row r="115" spans="1:73" x14ac:dyDescent="0.25">
      <c r="A115" s="28"/>
      <c r="B115" s="29"/>
      <c r="C115" s="29"/>
      <c r="D115" s="30"/>
      <c r="E115" s="29"/>
      <c r="F115" s="30"/>
      <c r="G115" s="29"/>
      <c r="H115" s="69"/>
      <c r="I115" s="64"/>
      <c r="J115" s="69"/>
      <c r="K115" s="64"/>
      <c r="L115" s="69"/>
      <c r="M115" s="65"/>
      <c r="N115" s="69"/>
      <c r="O115" s="64"/>
      <c r="P115" s="69"/>
      <c r="Q115" s="64"/>
      <c r="R115" s="69"/>
      <c r="S115" s="64"/>
      <c r="T115" s="69"/>
      <c r="U115" s="64"/>
      <c r="V115" s="69"/>
      <c r="W115" s="65"/>
      <c r="X115" s="69"/>
      <c r="Y115" s="64"/>
      <c r="Z115" s="69"/>
      <c r="AA115" s="64"/>
      <c r="AB115" s="69"/>
      <c r="AC115" s="64"/>
      <c r="AD115" s="69"/>
      <c r="AE115" s="65"/>
      <c r="AF115" s="69"/>
      <c r="AG115" s="65"/>
      <c r="AH115" s="69"/>
      <c r="AI115" s="64"/>
      <c r="AJ115" s="69"/>
      <c r="AK115" s="64"/>
      <c r="AL115" s="69"/>
      <c r="AM115" s="64"/>
      <c r="AN115" s="69"/>
      <c r="AO115" s="64"/>
      <c r="AP115" s="69"/>
      <c r="AQ115" s="64"/>
      <c r="AR115" s="69"/>
      <c r="AS115" s="64"/>
      <c r="AT115" s="69"/>
      <c r="AU115" s="64"/>
      <c r="AV115" s="69"/>
      <c r="AW115" s="64"/>
      <c r="AX115" s="69"/>
      <c r="AY115" s="64"/>
      <c r="AZ115" s="69"/>
      <c r="BA115" s="64"/>
      <c r="BB115" s="69"/>
      <c r="BC115" s="64"/>
      <c r="BD115" s="69"/>
      <c r="BE115" s="64"/>
      <c r="BF115" s="69"/>
      <c r="BG115" s="64"/>
      <c r="BH115" s="69"/>
      <c r="BI115" s="64"/>
      <c r="BJ115" s="69"/>
      <c r="BK115" s="64"/>
      <c r="BL115" s="69"/>
      <c r="BM115" s="64"/>
      <c r="BN115" s="69"/>
      <c r="BO115" s="64"/>
      <c r="BP115" s="69"/>
      <c r="BQ115" s="64"/>
      <c r="BR115" s="69"/>
      <c r="BS115" s="64"/>
      <c r="BT115" s="69"/>
      <c r="BU115" t="b">
        <f t="shared" si="2"/>
        <v>0</v>
      </c>
    </row>
    <row r="116" spans="1:73" x14ac:dyDescent="0.25">
      <c r="A116" s="28"/>
      <c r="B116" s="29"/>
      <c r="C116" s="29"/>
      <c r="D116" s="30"/>
      <c r="E116" s="29"/>
      <c r="F116" s="30"/>
      <c r="G116" s="29"/>
      <c r="H116" s="69"/>
      <c r="I116" s="64"/>
      <c r="J116" s="69"/>
      <c r="K116" s="64"/>
      <c r="L116" s="69"/>
      <c r="M116" s="65"/>
      <c r="N116" s="69"/>
      <c r="O116" s="64"/>
      <c r="P116" s="69"/>
      <c r="Q116" s="64"/>
      <c r="R116" s="69"/>
      <c r="S116" s="64"/>
      <c r="T116" s="69"/>
      <c r="U116" s="64"/>
      <c r="V116" s="69"/>
      <c r="W116" s="65"/>
      <c r="X116" s="69"/>
      <c r="Y116" s="64"/>
      <c r="Z116" s="69"/>
      <c r="AA116" s="64"/>
      <c r="AB116" s="69"/>
      <c r="AC116" s="64"/>
      <c r="AD116" s="69"/>
      <c r="AE116" s="65"/>
      <c r="AF116" s="69"/>
      <c r="AG116" s="65"/>
      <c r="AH116" s="69"/>
      <c r="AI116" s="64"/>
      <c r="AJ116" s="69"/>
      <c r="AK116" s="64"/>
      <c r="AL116" s="69"/>
      <c r="AM116" s="64"/>
      <c r="AN116" s="69"/>
      <c r="AO116" s="64"/>
      <c r="AP116" s="69"/>
      <c r="AQ116" s="64"/>
      <c r="AR116" s="69"/>
      <c r="AS116" s="64"/>
      <c r="AT116" s="69"/>
      <c r="AU116" s="64"/>
      <c r="AV116" s="69"/>
      <c r="AW116" s="64"/>
      <c r="AX116" s="69"/>
      <c r="AY116" s="64"/>
      <c r="AZ116" s="69"/>
      <c r="BA116" s="64"/>
      <c r="BB116" s="69"/>
      <c r="BC116" s="64"/>
      <c r="BD116" s="69"/>
      <c r="BE116" s="64"/>
      <c r="BF116" s="69"/>
      <c r="BG116" s="64"/>
      <c r="BH116" s="69"/>
      <c r="BI116" s="64"/>
      <c r="BJ116" s="69"/>
      <c r="BK116" s="64"/>
      <c r="BL116" s="69"/>
      <c r="BM116" s="64"/>
      <c r="BN116" s="69"/>
      <c r="BO116" s="64"/>
      <c r="BP116" s="69"/>
      <c r="BQ116" s="64"/>
      <c r="BR116" s="69"/>
      <c r="BS116" s="64"/>
      <c r="BT116" s="69"/>
      <c r="BU116" t="b">
        <f t="shared" si="2"/>
        <v>0</v>
      </c>
    </row>
    <row r="117" spans="1:73" x14ac:dyDescent="0.25">
      <c r="A117" s="28"/>
      <c r="B117" s="29"/>
      <c r="C117" s="29"/>
      <c r="D117" s="30"/>
      <c r="E117" s="29"/>
      <c r="F117" s="30"/>
      <c r="G117" s="29"/>
      <c r="H117" s="69"/>
      <c r="I117" s="64"/>
      <c r="J117" s="69"/>
      <c r="K117" s="64"/>
      <c r="L117" s="69"/>
      <c r="M117" s="65"/>
      <c r="N117" s="69"/>
      <c r="O117" s="64"/>
      <c r="P117" s="69"/>
      <c r="Q117" s="64"/>
      <c r="R117" s="69"/>
      <c r="S117" s="64"/>
      <c r="T117" s="69"/>
      <c r="U117" s="64"/>
      <c r="V117" s="69"/>
      <c r="W117" s="65"/>
      <c r="X117" s="69"/>
      <c r="Y117" s="64"/>
      <c r="Z117" s="69"/>
      <c r="AA117" s="64"/>
      <c r="AB117" s="69"/>
      <c r="AC117" s="64"/>
      <c r="AD117" s="69"/>
      <c r="AE117" s="65"/>
      <c r="AF117" s="69"/>
      <c r="AG117" s="65"/>
      <c r="AH117" s="69"/>
      <c r="AI117" s="64"/>
      <c r="AJ117" s="69"/>
      <c r="AK117" s="64"/>
      <c r="AL117" s="69"/>
      <c r="AM117" s="64"/>
      <c r="AN117" s="69"/>
      <c r="AO117" s="64"/>
      <c r="AP117" s="69"/>
      <c r="AQ117" s="64"/>
      <c r="AR117" s="69"/>
      <c r="AS117" s="64"/>
      <c r="AT117" s="69"/>
      <c r="AU117" s="64"/>
      <c r="AV117" s="69"/>
      <c r="AW117" s="64"/>
      <c r="AX117" s="69"/>
      <c r="AY117" s="64"/>
      <c r="AZ117" s="69"/>
      <c r="BA117" s="64"/>
      <c r="BB117" s="69"/>
      <c r="BC117" s="64"/>
      <c r="BD117" s="69"/>
      <c r="BE117" s="64"/>
      <c r="BF117" s="69"/>
      <c r="BG117" s="64"/>
      <c r="BH117" s="69"/>
      <c r="BI117" s="64"/>
      <c r="BJ117" s="69"/>
      <c r="BK117" s="64"/>
      <c r="BL117" s="69"/>
      <c r="BM117" s="64"/>
      <c r="BN117" s="69"/>
      <c r="BO117" s="64"/>
      <c r="BP117" s="69"/>
      <c r="BQ117" s="64"/>
      <c r="BR117" s="69"/>
      <c r="BS117" s="64"/>
      <c r="BT117" s="69"/>
      <c r="BU117" t="b">
        <f t="shared" si="2"/>
        <v>0</v>
      </c>
    </row>
    <row r="118" spans="1:73" x14ac:dyDescent="0.25">
      <c r="A118" s="28"/>
      <c r="B118" s="29"/>
      <c r="C118" s="29"/>
      <c r="D118" s="30"/>
      <c r="E118" s="29"/>
      <c r="F118" s="30"/>
      <c r="G118" s="29"/>
      <c r="H118" s="69"/>
      <c r="I118" s="64"/>
      <c r="J118" s="69"/>
      <c r="K118" s="64"/>
      <c r="L118" s="69"/>
      <c r="M118" s="65"/>
      <c r="N118" s="69"/>
      <c r="O118" s="64"/>
      <c r="P118" s="69"/>
      <c r="Q118" s="64"/>
      <c r="R118" s="69"/>
      <c r="S118" s="64"/>
      <c r="T118" s="69"/>
      <c r="U118" s="64"/>
      <c r="V118" s="69"/>
      <c r="W118" s="65"/>
      <c r="X118" s="69"/>
      <c r="Y118" s="64"/>
      <c r="Z118" s="69"/>
      <c r="AA118" s="64"/>
      <c r="AB118" s="69"/>
      <c r="AC118" s="64"/>
      <c r="AD118" s="69"/>
      <c r="AE118" s="65"/>
      <c r="AF118" s="69"/>
      <c r="AG118" s="65"/>
      <c r="AH118" s="69"/>
      <c r="AI118" s="64"/>
      <c r="AJ118" s="69"/>
      <c r="AK118" s="64"/>
      <c r="AL118" s="69"/>
      <c r="AM118" s="64"/>
      <c r="AN118" s="69"/>
      <c r="AO118" s="64"/>
      <c r="AP118" s="69"/>
      <c r="AQ118" s="64"/>
      <c r="AR118" s="69"/>
      <c r="AS118" s="64"/>
      <c r="AT118" s="69"/>
      <c r="AU118" s="64"/>
      <c r="AV118" s="69"/>
      <c r="AW118" s="64"/>
      <c r="AX118" s="69"/>
      <c r="AY118" s="64"/>
      <c r="AZ118" s="69"/>
      <c r="BA118" s="64"/>
      <c r="BB118" s="69"/>
      <c r="BC118" s="64"/>
      <c r="BD118" s="69"/>
      <c r="BE118" s="64"/>
      <c r="BF118" s="69"/>
      <c r="BG118" s="64"/>
      <c r="BH118" s="69"/>
      <c r="BI118" s="64"/>
      <c r="BJ118" s="69"/>
      <c r="BK118" s="64"/>
      <c r="BL118" s="69"/>
      <c r="BM118" s="64"/>
      <c r="BN118" s="69"/>
      <c r="BO118" s="64"/>
      <c r="BP118" s="69"/>
      <c r="BQ118" s="64"/>
      <c r="BR118" s="69"/>
      <c r="BS118" s="64"/>
      <c r="BT118" s="69"/>
      <c r="BU118" t="b">
        <f t="shared" si="2"/>
        <v>0</v>
      </c>
    </row>
    <row r="119" spans="1:73" x14ac:dyDescent="0.25">
      <c r="A119" s="28"/>
      <c r="B119" s="29"/>
      <c r="C119" s="29"/>
      <c r="D119" s="30"/>
      <c r="E119" s="29"/>
      <c r="F119" s="30"/>
      <c r="G119" s="29"/>
      <c r="H119" s="69"/>
      <c r="I119" s="64"/>
      <c r="J119" s="69"/>
      <c r="K119" s="64"/>
      <c r="L119" s="69"/>
      <c r="M119" s="65"/>
      <c r="N119" s="69"/>
      <c r="O119" s="64"/>
      <c r="P119" s="69"/>
      <c r="Q119" s="64"/>
      <c r="R119" s="69"/>
      <c r="S119" s="64"/>
      <c r="T119" s="69"/>
      <c r="U119" s="64"/>
      <c r="V119" s="69"/>
      <c r="W119" s="65"/>
      <c r="X119" s="69"/>
      <c r="Y119" s="64"/>
      <c r="Z119" s="69"/>
      <c r="AA119" s="64"/>
      <c r="AB119" s="69"/>
      <c r="AC119" s="64"/>
      <c r="AD119" s="69"/>
      <c r="AE119" s="65"/>
      <c r="AF119" s="69"/>
      <c r="AG119" s="65"/>
      <c r="AH119" s="69"/>
      <c r="AI119" s="64"/>
      <c r="AJ119" s="69"/>
      <c r="AK119" s="64"/>
      <c r="AL119" s="69"/>
      <c r="AM119" s="64"/>
      <c r="AN119" s="69"/>
      <c r="AO119" s="64"/>
      <c r="AP119" s="69"/>
      <c r="AQ119" s="64"/>
      <c r="AR119" s="69"/>
      <c r="AS119" s="64"/>
      <c r="AT119" s="69"/>
      <c r="AU119" s="64"/>
      <c r="AV119" s="69"/>
      <c r="AW119" s="64"/>
      <c r="AX119" s="69"/>
      <c r="AY119" s="64"/>
      <c r="AZ119" s="69"/>
      <c r="BA119" s="64"/>
      <c r="BB119" s="69"/>
      <c r="BC119" s="64"/>
      <c r="BD119" s="69"/>
      <c r="BE119" s="64"/>
      <c r="BF119" s="69"/>
      <c r="BG119" s="64"/>
      <c r="BH119" s="69"/>
      <c r="BI119" s="64"/>
      <c r="BJ119" s="69"/>
      <c r="BK119" s="64"/>
      <c r="BL119" s="69"/>
      <c r="BM119" s="64"/>
      <c r="BN119" s="69"/>
      <c r="BO119" s="64"/>
      <c r="BP119" s="69"/>
      <c r="BQ119" s="64"/>
      <c r="BR119" s="69"/>
      <c r="BS119" s="64"/>
      <c r="BT119" s="69"/>
      <c r="BU119" t="b">
        <f t="shared" si="2"/>
        <v>0</v>
      </c>
    </row>
    <row r="120" spans="1:73" x14ac:dyDescent="0.25">
      <c r="A120" s="28"/>
      <c r="B120" s="29"/>
      <c r="C120" s="29"/>
      <c r="D120" s="30"/>
      <c r="E120" s="29"/>
      <c r="F120" s="30"/>
      <c r="G120" s="29"/>
      <c r="H120" s="69"/>
      <c r="I120" s="64"/>
      <c r="J120" s="69"/>
      <c r="K120" s="64"/>
      <c r="L120" s="69"/>
      <c r="M120" s="65"/>
      <c r="N120" s="69"/>
      <c r="O120" s="64"/>
      <c r="P120" s="69"/>
      <c r="Q120" s="64"/>
      <c r="R120" s="69"/>
      <c r="S120" s="64"/>
      <c r="T120" s="69"/>
      <c r="U120" s="64"/>
      <c r="V120" s="69"/>
      <c r="W120" s="65"/>
      <c r="X120" s="69"/>
      <c r="Y120" s="64"/>
      <c r="Z120" s="69"/>
      <c r="AA120" s="64"/>
      <c r="AB120" s="69"/>
      <c r="AC120" s="64"/>
      <c r="AD120" s="69"/>
      <c r="AE120" s="65"/>
      <c r="AF120" s="69"/>
      <c r="AG120" s="65"/>
      <c r="AH120" s="69"/>
      <c r="AI120" s="64"/>
      <c r="AJ120" s="69"/>
      <c r="AK120" s="64"/>
      <c r="AL120" s="69"/>
      <c r="AM120" s="64"/>
      <c r="AN120" s="69"/>
      <c r="AO120" s="64"/>
      <c r="AP120" s="69"/>
      <c r="AQ120" s="64"/>
      <c r="AR120" s="69"/>
      <c r="AS120" s="64"/>
      <c r="AT120" s="69"/>
      <c r="AU120" s="64"/>
      <c r="AV120" s="69"/>
      <c r="AW120" s="64"/>
      <c r="AX120" s="69"/>
      <c r="AY120" s="64"/>
      <c r="AZ120" s="69"/>
      <c r="BA120" s="64"/>
      <c r="BB120" s="69"/>
      <c r="BC120" s="64"/>
      <c r="BD120" s="69"/>
      <c r="BE120" s="64"/>
      <c r="BF120" s="69"/>
      <c r="BG120" s="64"/>
      <c r="BH120" s="69"/>
      <c r="BI120" s="64"/>
      <c r="BJ120" s="69"/>
      <c r="BK120" s="64"/>
      <c r="BL120" s="69"/>
      <c r="BM120" s="64"/>
      <c r="BN120" s="69"/>
      <c r="BO120" s="64"/>
      <c r="BP120" s="69"/>
      <c r="BQ120" s="64"/>
      <c r="BR120" s="69"/>
      <c r="BS120" s="64"/>
      <c r="BT120" s="69"/>
      <c r="BU120" t="b">
        <f t="shared" si="2"/>
        <v>0</v>
      </c>
    </row>
    <row r="121" spans="1:73" x14ac:dyDescent="0.25">
      <c r="A121" s="28"/>
      <c r="B121" s="29"/>
      <c r="C121" s="29"/>
      <c r="D121" s="30"/>
      <c r="E121" s="29"/>
      <c r="F121" s="30"/>
      <c r="G121" s="29"/>
      <c r="H121" s="69"/>
      <c r="I121" s="64"/>
      <c r="J121" s="69"/>
      <c r="K121" s="64"/>
      <c r="L121" s="69"/>
      <c r="M121" s="65"/>
      <c r="N121" s="69"/>
      <c r="O121" s="64"/>
      <c r="P121" s="69"/>
      <c r="Q121" s="64"/>
      <c r="R121" s="69"/>
      <c r="S121" s="64"/>
      <c r="T121" s="69"/>
      <c r="U121" s="64"/>
      <c r="V121" s="69"/>
      <c r="W121" s="65"/>
      <c r="X121" s="69"/>
      <c r="Y121" s="64"/>
      <c r="Z121" s="69"/>
      <c r="AA121" s="64"/>
      <c r="AB121" s="69"/>
      <c r="AC121" s="64"/>
      <c r="AD121" s="69"/>
      <c r="AE121" s="65"/>
      <c r="AF121" s="69"/>
      <c r="AG121" s="65"/>
      <c r="AH121" s="69"/>
      <c r="AI121" s="64"/>
      <c r="AJ121" s="69"/>
      <c r="AK121" s="64"/>
      <c r="AL121" s="69"/>
      <c r="AM121" s="64"/>
      <c r="AN121" s="69"/>
      <c r="AO121" s="64"/>
      <c r="AP121" s="69"/>
      <c r="AQ121" s="64"/>
      <c r="AR121" s="69"/>
      <c r="AS121" s="64"/>
      <c r="AT121" s="69"/>
      <c r="AU121" s="64"/>
      <c r="AV121" s="69"/>
      <c r="AW121" s="64"/>
      <c r="AX121" s="69"/>
      <c r="AY121" s="64"/>
      <c r="AZ121" s="69"/>
      <c r="BA121" s="64"/>
      <c r="BB121" s="69"/>
      <c r="BC121" s="64"/>
      <c r="BD121" s="69"/>
      <c r="BE121" s="64"/>
      <c r="BF121" s="69"/>
      <c r="BG121" s="64"/>
      <c r="BH121" s="69"/>
      <c r="BI121" s="64"/>
      <c r="BJ121" s="69"/>
      <c r="BK121" s="64"/>
      <c r="BL121" s="69"/>
      <c r="BM121" s="64"/>
      <c r="BN121" s="69"/>
      <c r="BO121" s="64"/>
      <c r="BP121" s="69"/>
      <c r="BQ121" s="64"/>
      <c r="BR121" s="69"/>
      <c r="BS121" s="64"/>
      <c r="BT121" s="69"/>
      <c r="BU121" t="b">
        <f t="shared" si="2"/>
        <v>0</v>
      </c>
    </row>
    <row r="122" spans="1:73" x14ac:dyDescent="0.25">
      <c r="A122" s="28"/>
      <c r="B122" s="29"/>
      <c r="C122" s="29"/>
      <c r="D122" s="30"/>
      <c r="E122" s="29"/>
      <c r="F122" s="30"/>
      <c r="G122" s="29"/>
      <c r="H122" s="69"/>
      <c r="I122" s="64"/>
      <c r="J122" s="69"/>
      <c r="K122" s="64"/>
      <c r="L122" s="69"/>
      <c r="M122" s="65"/>
      <c r="N122" s="69"/>
      <c r="O122" s="64"/>
      <c r="P122" s="69"/>
      <c r="Q122" s="64"/>
      <c r="R122" s="69"/>
      <c r="S122" s="64"/>
      <c r="T122" s="69"/>
      <c r="U122" s="64"/>
      <c r="V122" s="69"/>
      <c r="W122" s="65"/>
      <c r="X122" s="69"/>
      <c r="Y122" s="64"/>
      <c r="Z122" s="69"/>
      <c r="AA122" s="64"/>
      <c r="AB122" s="69"/>
      <c r="AC122" s="64"/>
      <c r="AD122" s="69"/>
      <c r="AE122" s="65"/>
      <c r="AF122" s="69"/>
      <c r="AG122" s="65"/>
      <c r="AH122" s="69"/>
      <c r="AI122" s="64"/>
      <c r="AJ122" s="69"/>
      <c r="AK122" s="64"/>
      <c r="AL122" s="69"/>
      <c r="AM122" s="64"/>
      <c r="AN122" s="69"/>
      <c r="AO122" s="64"/>
      <c r="AP122" s="69"/>
      <c r="AQ122" s="64"/>
      <c r="AR122" s="69"/>
      <c r="AS122" s="64"/>
      <c r="AT122" s="69"/>
      <c r="AU122" s="64"/>
      <c r="AV122" s="69"/>
      <c r="AW122" s="64"/>
      <c r="AX122" s="69"/>
      <c r="AY122" s="64"/>
      <c r="AZ122" s="69"/>
      <c r="BA122" s="64"/>
      <c r="BB122" s="69"/>
      <c r="BC122" s="64"/>
      <c r="BD122" s="69"/>
      <c r="BE122" s="64"/>
      <c r="BF122" s="69"/>
      <c r="BG122" s="64"/>
      <c r="BH122" s="69"/>
      <c r="BI122" s="64"/>
      <c r="BJ122" s="69"/>
      <c r="BK122" s="64"/>
      <c r="BL122" s="69"/>
      <c r="BM122" s="64"/>
      <c r="BN122" s="69"/>
      <c r="BO122" s="64"/>
      <c r="BP122" s="69"/>
      <c r="BQ122" s="64"/>
      <c r="BR122" s="69"/>
      <c r="BS122" s="64"/>
      <c r="BT122" s="69"/>
      <c r="BU122" t="b">
        <f t="shared" si="2"/>
        <v>0</v>
      </c>
    </row>
    <row r="123" spans="1:73" x14ac:dyDescent="0.25">
      <c r="A123" s="28"/>
      <c r="B123" s="29"/>
      <c r="C123" s="29"/>
      <c r="D123" s="30"/>
      <c r="E123" s="29"/>
      <c r="F123" s="30"/>
      <c r="G123" s="29"/>
      <c r="H123" s="69"/>
      <c r="I123" s="64"/>
      <c r="J123" s="69"/>
      <c r="K123" s="64"/>
      <c r="L123" s="69"/>
      <c r="M123" s="65"/>
      <c r="N123" s="69"/>
      <c r="O123" s="64"/>
      <c r="P123" s="69"/>
      <c r="Q123" s="64"/>
      <c r="R123" s="69"/>
      <c r="S123" s="64"/>
      <c r="T123" s="69"/>
      <c r="U123" s="64"/>
      <c r="V123" s="69"/>
      <c r="W123" s="65"/>
      <c r="X123" s="69"/>
      <c r="Y123" s="64"/>
      <c r="Z123" s="69"/>
      <c r="AA123" s="64"/>
      <c r="AB123" s="69"/>
      <c r="AC123" s="64"/>
      <c r="AD123" s="69"/>
      <c r="AE123" s="65"/>
      <c r="AF123" s="69"/>
      <c r="AG123" s="65"/>
      <c r="AH123" s="69"/>
      <c r="AI123" s="64"/>
      <c r="AJ123" s="69"/>
      <c r="AK123" s="64"/>
      <c r="AL123" s="69"/>
      <c r="AM123" s="64"/>
      <c r="AN123" s="69"/>
      <c r="AO123" s="64"/>
      <c r="AP123" s="69"/>
      <c r="AQ123" s="64"/>
      <c r="AR123" s="69"/>
      <c r="AS123" s="64"/>
      <c r="AT123" s="69"/>
      <c r="AU123" s="64"/>
      <c r="AV123" s="69"/>
      <c r="AW123" s="64"/>
      <c r="AX123" s="69"/>
      <c r="AY123" s="64"/>
      <c r="AZ123" s="69"/>
      <c r="BA123" s="64"/>
      <c r="BB123" s="69"/>
      <c r="BC123" s="64"/>
      <c r="BD123" s="69"/>
      <c r="BE123" s="64"/>
      <c r="BF123" s="69"/>
      <c r="BG123" s="64"/>
      <c r="BH123" s="69"/>
      <c r="BI123" s="64"/>
      <c r="BJ123" s="69"/>
      <c r="BK123" s="64"/>
      <c r="BL123" s="69"/>
      <c r="BM123" s="64"/>
      <c r="BN123" s="69"/>
      <c r="BO123" s="64"/>
      <c r="BP123" s="69"/>
      <c r="BQ123" s="64"/>
      <c r="BR123" s="69"/>
      <c r="BS123" s="64"/>
      <c r="BT123" s="69"/>
      <c r="BU123" t="b">
        <f t="shared" si="2"/>
        <v>0</v>
      </c>
    </row>
    <row r="124" spans="1:73" x14ac:dyDescent="0.25">
      <c r="A124" s="28"/>
      <c r="B124" s="29"/>
      <c r="C124" s="29"/>
      <c r="D124" s="30"/>
      <c r="E124" s="29"/>
      <c r="F124" s="30"/>
      <c r="G124" s="29"/>
      <c r="H124" s="69"/>
      <c r="I124" s="64"/>
      <c r="J124" s="69"/>
      <c r="K124" s="64"/>
      <c r="L124" s="69"/>
      <c r="M124" s="65"/>
      <c r="N124" s="69"/>
      <c r="O124" s="64"/>
      <c r="P124" s="69"/>
      <c r="Q124" s="64"/>
      <c r="R124" s="69"/>
      <c r="S124" s="64"/>
      <c r="T124" s="69"/>
      <c r="U124" s="64"/>
      <c r="V124" s="69"/>
      <c r="W124" s="65"/>
      <c r="X124" s="69"/>
      <c r="Y124" s="64"/>
      <c r="Z124" s="69"/>
      <c r="AA124" s="64"/>
      <c r="AB124" s="69"/>
      <c r="AC124" s="64"/>
      <c r="AD124" s="69"/>
      <c r="AE124" s="65"/>
      <c r="AF124" s="69"/>
      <c r="AG124" s="65"/>
      <c r="AH124" s="69"/>
      <c r="AI124" s="64"/>
      <c r="AJ124" s="69"/>
      <c r="AK124" s="64"/>
      <c r="AL124" s="69"/>
      <c r="AM124" s="64"/>
      <c r="AN124" s="69"/>
      <c r="AO124" s="64"/>
      <c r="AP124" s="69"/>
      <c r="AQ124" s="64"/>
      <c r="AR124" s="69"/>
      <c r="AS124" s="64"/>
      <c r="AT124" s="69"/>
      <c r="AU124" s="64"/>
      <c r="AV124" s="69"/>
      <c r="AW124" s="64"/>
      <c r="AX124" s="69"/>
      <c r="AY124" s="64"/>
      <c r="AZ124" s="69"/>
      <c r="BA124" s="64"/>
      <c r="BB124" s="69"/>
      <c r="BC124" s="64"/>
      <c r="BD124" s="69"/>
      <c r="BE124" s="64"/>
      <c r="BF124" s="69"/>
      <c r="BG124" s="64"/>
      <c r="BH124" s="69"/>
      <c r="BI124" s="64"/>
      <c r="BJ124" s="69"/>
      <c r="BK124" s="64"/>
      <c r="BL124" s="69"/>
      <c r="BM124" s="64"/>
      <c r="BN124" s="69"/>
      <c r="BO124" s="64"/>
      <c r="BP124" s="69"/>
      <c r="BQ124" s="64"/>
      <c r="BR124" s="69"/>
      <c r="BS124" s="64"/>
      <c r="BT124" s="69"/>
      <c r="BU124" t="b">
        <f t="shared" si="2"/>
        <v>0</v>
      </c>
    </row>
    <row r="125" spans="1:73" x14ac:dyDescent="0.25">
      <c r="A125" s="28"/>
      <c r="B125" s="29"/>
      <c r="C125" s="29"/>
      <c r="D125" s="30"/>
      <c r="E125" s="29"/>
      <c r="F125" s="30"/>
      <c r="G125" s="29"/>
      <c r="H125" s="69"/>
      <c r="I125" s="64"/>
      <c r="J125" s="69"/>
      <c r="K125" s="64"/>
      <c r="L125" s="69"/>
      <c r="M125" s="65"/>
      <c r="N125" s="69"/>
      <c r="O125" s="64"/>
      <c r="P125" s="69"/>
      <c r="Q125" s="64"/>
      <c r="R125" s="69"/>
      <c r="S125" s="64"/>
      <c r="T125" s="69"/>
      <c r="U125" s="64"/>
      <c r="V125" s="69"/>
      <c r="W125" s="65"/>
      <c r="X125" s="69"/>
      <c r="Y125" s="64"/>
      <c r="Z125" s="69"/>
      <c r="AA125" s="64"/>
      <c r="AB125" s="69"/>
      <c r="AC125" s="64"/>
      <c r="AD125" s="69"/>
      <c r="AE125" s="65"/>
      <c r="AF125" s="69"/>
      <c r="AG125" s="65"/>
      <c r="AH125" s="69"/>
      <c r="AI125" s="64"/>
      <c r="AJ125" s="69"/>
      <c r="AK125" s="64"/>
      <c r="AL125" s="69"/>
      <c r="AM125" s="64"/>
      <c r="AN125" s="69"/>
      <c r="AO125" s="64"/>
      <c r="AP125" s="69"/>
      <c r="AQ125" s="64"/>
      <c r="AR125" s="69"/>
      <c r="AS125" s="64"/>
      <c r="AT125" s="69"/>
      <c r="AU125" s="64"/>
      <c r="AV125" s="69"/>
      <c r="AW125" s="64"/>
      <c r="AX125" s="69"/>
      <c r="AY125" s="64"/>
      <c r="AZ125" s="69"/>
      <c r="BA125" s="64"/>
      <c r="BB125" s="69"/>
      <c r="BC125" s="64"/>
      <c r="BD125" s="69"/>
      <c r="BE125" s="64"/>
      <c r="BF125" s="69"/>
      <c r="BG125" s="64"/>
      <c r="BH125" s="69"/>
      <c r="BI125" s="64"/>
      <c r="BJ125" s="69"/>
      <c r="BK125" s="64"/>
      <c r="BL125" s="69"/>
      <c r="BM125" s="64"/>
      <c r="BN125" s="69"/>
      <c r="BO125" s="64"/>
      <c r="BP125" s="69"/>
      <c r="BQ125" s="64"/>
      <c r="BR125" s="69"/>
      <c r="BS125" s="64"/>
      <c r="BT125" s="69"/>
      <c r="BU125" t="b">
        <f t="shared" si="2"/>
        <v>0</v>
      </c>
    </row>
    <row r="126" spans="1:73" x14ac:dyDescent="0.25">
      <c r="A126" s="28"/>
      <c r="B126" s="29"/>
      <c r="C126" s="29"/>
      <c r="D126" s="30"/>
      <c r="E126" s="29"/>
      <c r="F126" s="30"/>
      <c r="G126" s="29"/>
      <c r="H126" s="69"/>
      <c r="I126" s="64"/>
      <c r="J126" s="69"/>
      <c r="K126" s="64"/>
      <c r="L126" s="69"/>
      <c r="M126" s="65"/>
      <c r="N126" s="69"/>
      <c r="O126" s="64"/>
      <c r="P126" s="69"/>
      <c r="Q126" s="64"/>
      <c r="R126" s="69"/>
      <c r="S126" s="64"/>
      <c r="T126" s="69"/>
      <c r="U126" s="64"/>
      <c r="V126" s="69"/>
      <c r="W126" s="65"/>
      <c r="X126" s="69"/>
      <c r="Y126" s="64"/>
      <c r="Z126" s="69"/>
      <c r="AA126" s="64"/>
      <c r="AB126" s="69"/>
      <c r="AC126" s="64"/>
      <c r="AD126" s="69"/>
      <c r="AE126" s="65"/>
      <c r="AF126" s="69"/>
      <c r="AG126" s="65"/>
      <c r="AH126" s="69"/>
      <c r="AI126" s="64"/>
      <c r="AJ126" s="69"/>
      <c r="AK126" s="64"/>
      <c r="AL126" s="69"/>
      <c r="AM126" s="64"/>
      <c r="AN126" s="69"/>
      <c r="AO126" s="64"/>
      <c r="AP126" s="69"/>
      <c r="AQ126" s="64"/>
      <c r="AR126" s="69"/>
      <c r="AS126" s="64"/>
      <c r="AT126" s="69"/>
      <c r="AU126" s="64"/>
      <c r="AV126" s="69"/>
      <c r="AW126" s="64"/>
      <c r="AX126" s="69"/>
      <c r="AY126" s="64"/>
      <c r="AZ126" s="69"/>
      <c r="BA126" s="64"/>
      <c r="BB126" s="69"/>
      <c r="BC126" s="64"/>
      <c r="BD126" s="69"/>
      <c r="BE126" s="64"/>
      <c r="BF126" s="69"/>
      <c r="BG126" s="64"/>
      <c r="BH126" s="69"/>
      <c r="BI126" s="64"/>
      <c r="BJ126" s="69"/>
      <c r="BK126" s="64"/>
      <c r="BL126" s="69"/>
      <c r="BM126" s="64"/>
      <c r="BN126" s="69"/>
      <c r="BO126" s="64"/>
      <c r="BP126" s="69"/>
      <c r="BQ126" s="64"/>
      <c r="BR126" s="69"/>
      <c r="BS126" s="64"/>
      <c r="BT126" s="69"/>
      <c r="BU126" t="b">
        <f t="shared" si="2"/>
        <v>0</v>
      </c>
    </row>
    <row r="127" spans="1:73" x14ac:dyDescent="0.25">
      <c r="A127" s="28"/>
      <c r="B127" s="29"/>
      <c r="C127" s="29"/>
      <c r="D127" s="30"/>
      <c r="E127" s="29"/>
      <c r="F127" s="30"/>
      <c r="G127" s="29"/>
      <c r="H127" s="69"/>
      <c r="I127" s="64"/>
      <c r="J127" s="69"/>
      <c r="K127" s="64"/>
      <c r="L127" s="69"/>
      <c r="M127" s="65"/>
      <c r="N127" s="69"/>
      <c r="O127" s="64"/>
      <c r="P127" s="69"/>
      <c r="Q127" s="64"/>
      <c r="R127" s="69"/>
      <c r="S127" s="64"/>
      <c r="T127" s="69"/>
      <c r="U127" s="64"/>
      <c r="V127" s="69"/>
      <c r="W127" s="65"/>
      <c r="X127" s="69"/>
      <c r="Y127" s="64"/>
      <c r="Z127" s="69"/>
      <c r="AA127" s="64"/>
      <c r="AB127" s="69"/>
      <c r="AC127" s="64"/>
      <c r="AD127" s="69"/>
      <c r="AE127" s="65"/>
      <c r="AF127" s="69"/>
      <c r="AG127" s="65"/>
      <c r="AH127" s="69"/>
      <c r="AI127" s="64"/>
      <c r="AJ127" s="69"/>
      <c r="AK127" s="64"/>
      <c r="AL127" s="69"/>
      <c r="AM127" s="64"/>
      <c r="AN127" s="69"/>
      <c r="AO127" s="64"/>
      <c r="AP127" s="69"/>
      <c r="AQ127" s="64"/>
      <c r="AR127" s="69"/>
      <c r="AS127" s="64"/>
      <c r="AT127" s="69"/>
      <c r="AU127" s="64"/>
      <c r="AV127" s="69"/>
      <c r="AW127" s="64"/>
      <c r="AX127" s="69"/>
      <c r="AY127" s="64"/>
      <c r="AZ127" s="69"/>
      <c r="BA127" s="64"/>
      <c r="BB127" s="69"/>
      <c r="BC127" s="64"/>
      <c r="BD127" s="69"/>
      <c r="BE127" s="64"/>
      <c r="BF127" s="69"/>
      <c r="BG127" s="64"/>
      <c r="BH127" s="69"/>
      <c r="BI127" s="64"/>
      <c r="BJ127" s="69"/>
      <c r="BK127" s="64"/>
      <c r="BL127" s="69"/>
      <c r="BM127" s="64"/>
      <c r="BN127" s="69"/>
      <c r="BO127" s="64"/>
      <c r="BP127" s="69"/>
      <c r="BQ127" s="64"/>
      <c r="BR127" s="69"/>
      <c r="BS127" s="64"/>
      <c r="BT127" s="69"/>
      <c r="BU127" t="b">
        <f t="shared" si="2"/>
        <v>0</v>
      </c>
    </row>
    <row r="128" spans="1:73" x14ac:dyDescent="0.25">
      <c r="A128" s="28"/>
      <c r="B128" s="29"/>
      <c r="C128" s="29"/>
      <c r="D128" s="30"/>
      <c r="E128" s="29"/>
      <c r="F128" s="30"/>
      <c r="G128" s="29"/>
      <c r="H128" s="69"/>
      <c r="I128" s="64"/>
      <c r="J128" s="69"/>
      <c r="K128" s="64"/>
      <c r="L128" s="69"/>
      <c r="M128" s="65"/>
      <c r="N128" s="69"/>
      <c r="O128" s="64"/>
      <c r="P128" s="69"/>
      <c r="Q128" s="64"/>
      <c r="R128" s="69"/>
      <c r="S128" s="64"/>
      <c r="T128" s="69"/>
      <c r="U128" s="64"/>
      <c r="V128" s="69"/>
      <c r="W128" s="65"/>
      <c r="X128" s="69"/>
      <c r="Y128" s="64"/>
      <c r="Z128" s="69"/>
      <c r="AA128" s="64"/>
      <c r="AB128" s="69"/>
      <c r="AC128" s="64"/>
      <c r="AD128" s="69"/>
      <c r="AE128" s="65"/>
      <c r="AF128" s="69"/>
      <c r="AG128" s="65"/>
      <c r="AH128" s="69"/>
      <c r="AI128" s="64"/>
      <c r="AJ128" s="69"/>
      <c r="AK128" s="64"/>
      <c r="AL128" s="69"/>
      <c r="AM128" s="64"/>
      <c r="AN128" s="69"/>
      <c r="AO128" s="64"/>
      <c r="AP128" s="69"/>
      <c r="AQ128" s="64"/>
      <c r="AR128" s="69"/>
      <c r="AS128" s="64"/>
      <c r="AT128" s="69"/>
      <c r="AU128" s="64"/>
      <c r="AV128" s="69"/>
      <c r="AW128" s="64"/>
      <c r="AX128" s="69"/>
      <c r="AY128" s="64"/>
      <c r="AZ128" s="69"/>
      <c r="BA128" s="64"/>
      <c r="BB128" s="69"/>
      <c r="BC128" s="64"/>
      <c r="BD128" s="69"/>
      <c r="BE128" s="64"/>
      <c r="BF128" s="69"/>
      <c r="BG128" s="64"/>
      <c r="BH128" s="69"/>
      <c r="BI128" s="64"/>
      <c r="BJ128" s="69"/>
      <c r="BK128" s="64"/>
      <c r="BL128" s="69"/>
      <c r="BM128" s="64"/>
      <c r="BN128" s="69"/>
      <c r="BO128" s="64"/>
      <c r="BP128" s="69"/>
      <c r="BQ128" s="64"/>
      <c r="BR128" s="69"/>
      <c r="BS128" s="64"/>
      <c r="BT128" s="69"/>
      <c r="BU128" t="b">
        <f t="shared" si="2"/>
        <v>0</v>
      </c>
    </row>
    <row r="129" spans="1:73" x14ac:dyDescent="0.25">
      <c r="A129" s="28"/>
      <c r="B129" s="29"/>
      <c r="C129" s="29"/>
      <c r="D129" s="30"/>
      <c r="E129" s="29"/>
      <c r="F129" s="30"/>
      <c r="G129" s="29"/>
      <c r="H129" s="69"/>
      <c r="I129" s="64"/>
      <c r="J129" s="69"/>
      <c r="K129" s="64"/>
      <c r="L129" s="69"/>
      <c r="M129" s="65"/>
      <c r="N129" s="69"/>
      <c r="O129" s="64"/>
      <c r="P129" s="69"/>
      <c r="Q129" s="64"/>
      <c r="R129" s="69"/>
      <c r="S129" s="64"/>
      <c r="T129" s="69"/>
      <c r="U129" s="64"/>
      <c r="V129" s="69"/>
      <c r="W129" s="65"/>
      <c r="X129" s="69"/>
      <c r="Y129" s="64"/>
      <c r="Z129" s="69"/>
      <c r="AA129" s="64"/>
      <c r="AB129" s="69"/>
      <c r="AC129" s="64"/>
      <c r="AD129" s="69"/>
      <c r="AE129" s="65"/>
      <c r="AF129" s="69"/>
      <c r="AG129" s="65"/>
      <c r="AH129" s="69"/>
      <c r="AI129" s="64"/>
      <c r="AJ129" s="69"/>
      <c r="AK129" s="64"/>
      <c r="AL129" s="69"/>
      <c r="AM129" s="64"/>
      <c r="AN129" s="69"/>
      <c r="AO129" s="64"/>
      <c r="AP129" s="69"/>
      <c r="AQ129" s="64"/>
      <c r="AR129" s="69"/>
      <c r="AS129" s="64"/>
      <c r="AT129" s="69"/>
      <c r="AU129" s="64"/>
      <c r="AV129" s="69"/>
      <c r="AW129" s="64"/>
      <c r="AX129" s="69"/>
      <c r="AY129" s="64"/>
      <c r="AZ129" s="69"/>
      <c r="BA129" s="64"/>
      <c r="BB129" s="69"/>
      <c r="BC129" s="64"/>
      <c r="BD129" s="69"/>
      <c r="BE129" s="64"/>
      <c r="BF129" s="69"/>
      <c r="BG129" s="64"/>
      <c r="BH129" s="69"/>
      <c r="BI129" s="64"/>
      <c r="BJ129" s="69"/>
      <c r="BK129" s="64"/>
      <c r="BL129" s="69"/>
      <c r="BM129" s="64"/>
      <c r="BN129" s="69"/>
      <c r="BO129" s="64"/>
      <c r="BP129" s="69"/>
      <c r="BQ129" s="64"/>
      <c r="BR129" s="69"/>
      <c r="BS129" s="64"/>
      <c r="BT129" s="69"/>
      <c r="BU129" t="b">
        <f t="shared" si="2"/>
        <v>0</v>
      </c>
    </row>
    <row r="130" spans="1:73" x14ac:dyDescent="0.25">
      <c r="A130" s="28"/>
      <c r="B130" s="29"/>
      <c r="C130" s="29"/>
      <c r="D130" s="30"/>
      <c r="E130" s="29"/>
      <c r="F130" s="30"/>
      <c r="G130" s="29"/>
      <c r="H130" s="69"/>
      <c r="I130" s="64"/>
      <c r="J130" s="69"/>
      <c r="K130" s="64"/>
      <c r="L130" s="69"/>
      <c r="M130" s="65"/>
      <c r="N130" s="69"/>
      <c r="O130" s="64"/>
      <c r="P130" s="69"/>
      <c r="Q130" s="64"/>
      <c r="R130" s="69"/>
      <c r="S130" s="64"/>
      <c r="T130" s="69"/>
      <c r="U130" s="64"/>
      <c r="V130" s="69"/>
      <c r="W130" s="65"/>
      <c r="X130" s="69"/>
      <c r="Y130" s="64"/>
      <c r="Z130" s="69"/>
      <c r="AA130" s="64"/>
      <c r="AB130" s="69"/>
      <c r="AC130" s="64"/>
      <c r="AD130" s="69"/>
      <c r="AE130" s="65"/>
      <c r="AF130" s="69"/>
      <c r="AG130" s="65"/>
      <c r="AH130" s="69"/>
      <c r="AI130" s="64"/>
      <c r="AJ130" s="69"/>
      <c r="AK130" s="64"/>
      <c r="AL130" s="69"/>
      <c r="AM130" s="64"/>
      <c r="AN130" s="69"/>
      <c r="AO130" s="64"/>
      <c r="AP130" s="69"/>
      <c r="AQ130" s="64"/>
      <c r="AR130" s="69"/>
      <c r="AS130" s="64"/>
      <c r="AT130" s="69"/>
      <c r="AU130" s="64"/>
      <c r="AV130" s="69"/>
      <c r="AW130" s="64"/>
      <c r="AX130" s="69"/>
      <c r="AY130" s="64"/>
      <c r="AZ130" s="69"/>
      <c r="BA130" s="64"/>
      <c r="BB130" s="69"/>
      <c r="BC130" s="64"/>
      <c r="BD130" s="69"/>
      <c r="BE130" s="64"/>
      <c r="BF130" s="69"/>
      <c r="BG130" s="64"/>
      <c r="BH130" s="69"/>
      <c r="BI130" s="64"/>
      <c r="BJ130" s="69"/>
      <c r="BK130" s="64"/>
      <c r="BL130" s="69"/>
      <c r="BM130" s="64"/>
      <c r="BN130" s="69"/>
      <c r="BO130" s="64"/>
      <c r="BP130" s="69"/>
      <c r="BQ130" s="64"/>
      <c r="BR130" s="69"/>
      <c r="BS130" s="64"/>
      <c r="BT130" s="69"/>
      <c r="BU130" t="b">
        <f t="shared" si="2"/>
        <v>0</v>
      </c>
    </row>
    <row r="131" spans="1:73" x14ac:dyDescent="0.25">
      <c r="A131" s="28"/>
      <c r="B131" s="29"/>
      <c r="C131" s="29"/>
      <c r="D131" s="30"/>
      <c r="E131" s="29"/>
      <c r="F131" s="30"/>
      <c r="G131" s="29"/>
      <c r="H131" s="69"/>
      <c r="I131" s="64"/>
      <c r="J131" s="69"/>
      <c r="K131" s="64"/>
      <c r="L131" s="69"/>
      <c r="M131" s="65"/>
      <c r="N131" s="69"/>
      <c r="O131" s="64"/>
      <c r="P131" s="69"/>
      <c r="Q131" s="64"/>
      <c r="R131" s="69"/>
      <c r="S131" s="64"/>
      <c r="T131" s="69"/>
      <c r="U131" s="64"/>
      <c r="V131" s="69"/>
      <c r="W131" s="65"/>
      <c r="X131" s="69"/>
      <c r="Y131" s="64"/>
      <c r="Z131" s="69"/>
      <c r="AA131" s="64"/>
      <c r="AB131" s="69"/>
      <c r="AC131" s="64"/>
      <c r="AD131" s="69"/>
      <c r="AE131" s="65"/>
      <c r="AF131" s="69"/>
      <c r="AG131" s="65"/>
      <c r="AH131" s="69"/>
      <c r="AI131" s="64"/>
      <c r="AJ131" s="69"/>
      <c r="AK131" s="64"/>
      <c r="AL131" s="69"/>
      <c r="AM131" s="64"/>
      <c r="AN131" s="69"/>
      <c r="AO131" s="64"/>
      <c r="AP131" s="69"/>
      <c r="AQ131" s="64"/>
      <c r="AR131" s="69"/>
      <c r="AS131" s="64"/>
      <c r="AT131" s="69"/>
      <c r="AU131" s="64"/>
      <c r="AV131" s="69"/>
      <c r="AW131" s="64"/>
      <c r="AX131" s="69"/>
      <c r="AY131" s="64"/>
      <c r="AZ131" s="69"/>
      <c r="BA131" s="64"/>
      <c r="BB131" s="69"/>
      <c r="BC131" s="64"/>
      <c r="BD131" s="69"/>
      <c r="BE131" s="64"/>
      <c r="BF131" s="69"/>
      <c r="BG131" s="64"/>
      <c r="BH131" s="69"/>
      <c r="BI131" s="64"/>
      <c r="BJ131" s="69"/>
      <c r="BK131" s="64"/>
      <c r="BL131" s="69"/>
      <c r="BM131" s="64"/>
      <c r="BN131" s="69"/>
      <c r="BO131" s="64"/>
      <c r="BP131" s="69"/>
      <c r="BQ131" s="64"/>
      <c r="BR131" s="69"/>
      <c r="BS131" s="64"/>
      <c r="BT131" s="69"/>
      <c r="BU131" t="b">
        <f t="shared" si="2"/>
        <v>0</v>
      </c>
    </row>
    <row r="132" spans="1:73" x14ac:dyDescent="0.25">
      <c r="A132" s="28"/>
      <c r="B132" s="29"/>
      <c r="C132" s="29"/>
      <c r="D132" s="30"/>
      <c r="E132" s="29"/>
      <c r="F132" s="30"/>
      <c r="G132" s="29"/>
      <c r="H132" s="69"/>
      <c r="I132" s="64"/>
      <c r="J132" s="69"/>
      <c r="K132" s="64"/>
      <c r="L132" s="69"/>
      <c r="M132" s="65"/>
      <c r="N132" s="69"/>
      <c r="O132" s="64"/>
      <c r="P132" s="69"/>
      <c r="Q132" s="64"/>
      <c r="R132" s="69"/>
      <c r="S132" s="64"/>
      <c r="T132" s="69"/>
      <c r="U132" s="64"/>
      <c r="V132" s="69"/>
      <c r="W132" s="65"/>
      <c r="X132" s="69"/>
      <c r="Y132" s="64"/>
      <c r="Z132" s="69"/>
      <c r="AA132" s="64"/>
      <c r="AB132" s="69"/>
      <c r="AC132" s="64"/>
      <c r="AD132" s="69"/>
      <c r="AE132" s="65"/>
      <c r="AF132" s="69"/>
      <c r="AG132" s="65"/>
      <c r="AH132" s="69"/>
      <c r="AI132" s="64"/>
      <c r="AJ132" s="69"/>
      <c r="AK132" s="64"/>
      <c r="AL132" s="69"/>
      <c r="AM132" s="64"/>
      <c r="AN132" s="69"/>
      <c r="AO132" s="64"/>
      <c r="AP132" s="69"/>
      <c r="AQ132" s="64"/>
      <c r="AR132" s="69"/>
      <c r="AS132" s="64"/>
      <c r="AT132" s="69"/>
      <c r="AU132" s="64"/>
      <c r="AV132" s="69"/>
      <c r="AW132" s="64"/>
      <c r="AX132" s="69"/>
      <c r="AY132" s="64"/>
      <c r="AZ132" s="69"/>
      <c r="BA132" s="64"/>
      <c r="BB132" s="69"/>
      <c r="BC132" s="64"/>
      <c r="BD132" s="69"/>
      <c r="BE132" s="64"/>
      <c r="BF132" s="69"/>
      <c r="BG132" s="64"/>
      <c r="BH132" s="69"/>
      <c r="BI132" s="64"/>
      <c r="BJ132" s="69"/>
      <c r="BK132" s="64"/>
      <c r="BL132" s="69"/>
      <c r="BM132" s="64"/>
      <c r="BN132" s="69"/>
      <c r="BO132" s="64"/>
      <c r="BP132" s="69"/>
      <c r="BQ132" s="64"/>
      <c r="BR132" s="69"/>
      <c r="BS132" s="64"/>
      <c r="BT132" s="69"/>
      <c r="BU132" t="b">
        <f t="shared" si="2"/>
        <v>0</v>
      </c>
    </row>
    <row r="133" spans="1:73" x14ac:dyDescent="0.25">
      <c r="A133" s="28"/>
      <c r="B133" s="29"/>
      <c r="C133" s="29"/>
      <c r="D133" s="30"/>
      <c r="E133" s="29"/>
      <c r="F133" s="30"/>
      <c r="G133" s="29"/>
      <c r="H133" s="69"/>
      <c r="I133" s="64"/>
      <c r="J133" s="69"/>
      <c r="K133" s="64"/>
      <c r="L133" s="69"/>
      <c r="M133" s="65"/>
      <c r="N133" s="69"/>
      <c r="O133" s="64"/>
      <c r="P133" s="69"/>
      <c r="Q133" s="64"/>
      <c r="R133" s="69"/>
      <c r="S133" s="64"/>
      <c r="T133" s="69"/>
      <c r="U133" s="64"/>
      <c r="V133" s="69"/>
      <c r="W133" s="65"/>
      <c r="X133" s="69"/>
      <c r="Y133" s="64"/>
      <c r="Z133" s="69"/>
      <c r="AA133" s="64"/>
      <c r="AB133" s="69"/>
      <c r="AC133" s="64"/>
      <c r="AD133" s="69"/>
      <c r="AE133" s="65"/>
      <c r="AF133" s="69"/>
      <c r="AG133" s="65"/>
      <c r="AH133" s="69"/>
      <c r="AI133" s="64"/>
      <c r="AJ133" s="69"/>
      <c r="AK133" s="64"/>
      <c r="AL133" s="69"/>
      <c r="AM133" s="64"/>
      <c r="AN133" s="69"/>
      <c r="AO133" s="64"/>
      <c r="AP133" s="69"/>
      <c r="AQ133" s="64"/>
      <c r="AR133" s="69"/>
      <c r="AS133" s="64"/>
      <c r="AT133" s="69"/>
      <c r="AU133" s="64"/>
      <c r="AV133" s="69"/>
      <c r="AW133" s="64"/>
      <c r="AX133" s="69"/>
      <c r="AY133" s="64"/>
      <c r="AZ133" s="69"/>
      <c r="BA133" s="64"/>
      <c r="BB133" s="69"/>
      <c r="BC133" s="64"/>
      <c r="BD133" s="69"/>
      <c r="BE133" s="64"/>
      <c r="BF133" s="69"/>
      <c r="BG133" s="64"/>
      <c r="BH133" s="69"/>
      <c r="BI133" s="64"/>
      <c r="BJ133" s="69"/>
      <c r="BK133" s="64"/>
      <c r="BL133" s="69"/>
      <c r="BM133" s="64"/>
      <c r="BN133" s="69"/>
      <c r="BO133" s="64"/>
      <c r="BP133" s="69"/>
      <c r="BQ133" s="64"/>
      <c r="BR133" s="69"/>
      <c r="BS133" s="64"/>
      <c r="BT133" s="69"/>
      <c r="BU133" t="b">
        <f t="shared" si="2"/>
        <v>0</v>
      </c>
    </row>
    <row r="134" spans="1:73" x14ac:dyDescent="0.25">
      <c r="A134" s="28"/>
      <c r="B134" s="29"/>
      <c r="C134" s="29"/>
      <c r="D134" s="30"/>
      <c r="E134" s="29"/>
      <c r="F134" s="30"/>
      <c r="G134" s="29"/>
      <c r="H134" s="69"/>
      <c r="I134" s="64"/>
      <c r="J134" s="69"/>
      <c r="K134" s="64"/>
      <c r="L134" s="69"/>
      <c r="M134" s="65"/>
      <c r="N134" s="69"/>
      <c r="O134" s="64"/>
      <c r="P134" s="69"/>
      <c r="Q134" s="64"/>
      <c r="R134" s="69"/>
      <c r="S134" s="64"/>
      <c r="T134" s="69"/>
      <c r="U134" s="64"/>
      <c r="V134" s="69"/>
      <c r="W134" s="65"/>
      <c r="X134" s="69"/>
      <c r="Y134" s="64"/>
      <c r="Z134" s="69"/>
      <c r="AA134" s="64"/>
      <c r="AB134" s="69"/>
      <c r="AC134" s="64"/>
      <c r="AD134" s="69"/>
      <c r="AE134" s="65"/>
      <c r="AF134" s="69"/>
      <c r="AG134" s="65"/>
      <c r="AH134" s="69"/>
      <c r="AI134" s="64"/>
      <c r="AJ134" s="69"/>
      <c r="AK134" s="64"/>
      <c r="AL134" s="69"/>
      <c r="AM134" s="64"/>
      <c r="AN134" s="69"/>
      <c r="AO134" s="64"/>
      <c r="AP134" s="69"/>
      <c r="AQ134" s="64"/>
      <c r="AR134" s="69"/>
      <c r="AS134" s="64"/>
      <c r="AT134" s="69"/>
      <c r="AU134" s="64"/>
      <c r="AV134" s="69"/>
      <c r="AW134" s="64"/>
      <c r="AX134" s="69"/>
      <c r="AY134" s="64"/>
      <c r="AZ134" s="69"/>
      <c r="BA134" s="64"/>
      <c r="BB134" s="69"/>
      <c r="BC134" s="64"/>
      <c r="BD134" s="69"/>
      <c r="BE134" s="64"/>
      <c r="BF134" s="69"/>
      <c r="BG134" s="64"/>
      <c r="BH134" s="69"/>
      <c r="BI134" s="64"/>
      <c r="BJ134" s="69"/>
      <c r="BK134" s="64"/>
      <c r="BL134" s="69"/>
      <c r="BM134" s="64"/>
      <c r="BN134" s="69"/>
      <c r="BO134" s="64"/>
      <c r="BP134" s="69"/>
      <c r="BQ134" s="64"/>
      <c r="BR134" s="69"/>
      <c r="BS134" s="64"/>
      <c r="BT134" s="69"/>
      <c r="BU134" t="b">
        <f t="shared" si="2"/>
        <v>0</v>
      </c>
    </row>
    <row r="135" spans="1:73" x14ac:dyDescent="0.25">
      <c r="A135" s="28"/>
      <c r="B135" s="29"/>
      <c r="C135" s="29"/>
      <c r="D135" s="30"/>
      <c r="E135" s="29"/>
      <c r="F135" s="30"/>
      <c r="G135" s="29"/>
      <c r="H135" s="69"/>
      <c r="I135" s="64"/>
      <c r="J135" s="69"/>
      <c r="K135" s="64"/>
      <c r="L135" s="69"/>
      <c r="M135" s="65"/>
      <c r="N135" s="69"/>
      <c r="O135" s="64"/>
      <c r="P135" s="69"/>
      <c r="Q135" s="64"/>
      <c r="R135" s="69"/>
      <c r="S135" s="64"/>
      <c r="T135" s="69"/>
      <c r="U135" s="64"/>
      <c r="V135" s="69"/>
      <c r="W135" s="65"/>
      <c r="X135" s="69"/>
      <c r="Y135" s="64"/>
      <c r="Z135" s="69"/>
      <c r="AA135" s="64"/>
      <c r="AB135" s="69"/>
      <c r="AC135" s="64"/>
      <c r="AD135" s="69"/>
      <c r="AE135" s="65"/>
      <c r="AF135" s="69"/>
      <c r="AG135" s="65"/>
      <c r="AH135" s="69"/>
      <c r="AI135" s="64"/>
      <c r="AJ135" s="69"/>
      <c r="AK135" s="64"/>
      <c r="AL135" s="69"/>
      <c r="AM135" s="64"/>
      <c r="AN135" s="69"/>
      <c r="AO135" s="64"/>
      <c r="AP135" s="69"/>
      <c r="AQ135" s="64"/>
      <c r="AR135" s="69"/>
      <c r="AS135" s="64"/>
      <c r="AT135" s="69"/>
      <c r="AU135" s="64"/>
      <c r="AV135" s="69"/>
      <c r="AW135" s="64"/>
      <c r="AX135" s="69"/>
      <c r="AY135" s="64"/>
      <c r="AZ135" s="69"/>
      <c r="BA135" s="64"/>
      <c r="BB135" s="69"/>
      <c r="BC135" s="64"/>
      <c r="BD135" s="69"/>
      <c r="BE135" s="64"/>
      <c r="BF135" s="69"/>
      <c r="BG135" s="64"/>
      <c r="BH135" s="69"/>
      <c r="BI135" s="64"/>
      <c r="BJ135" s="69"/>
      <c r="BK135" s="64"/>
      <c r="BL135" s="69"/>
      <c r="BM135" s="64"/>
      <c r="BN135" s="69"/>
      <c r="BO135" s="64"/>
      <c r="BP135" s="69"/>
      <c r="BQ135" s="64"/>
      <c r="BR135" s="69"/>
      <c r="BS135" s="64"/>
      <c r="BT135" s="69"/>
      <c r="BU135" t="b">
        <f t="shared" si="2"/>
        <v>0</v>
      </c>
    </row>
    <row r="136" spans="1:73" x14ac:dyDescent="0.25">
      <c r="A136" s="28"/>
      <c r="B136" s="29"/>
      <c r="C136" s="29"/>
      <c r="D136" s="30"/>
      <c r="E136" s="29"/>
      <c r="F136" s="30"/>
      <c r="G136" s="29"/>
      <c r="H136" s="69"/>
      <c r="I136" s="64"/>
      <c r="J136" s="69"/>
      <c r="K136" s="64"/>
      <c r="L136" s="69"/>
      <c r="M136" s="65"/>
      <c r="N136" s="69"/>
      <c r="O136" s="64"/>
      <c r="P136" s="69"/>
      <c r="Q136" s="64"/>
      <c r="R136" s="69"/>
      <c r="S136" s="64"/>
      <c r="T136" s="69"/>
      <c r="U136" s="64"/>
      <c r="V136" s="69"/>
      <c r="W136" s="65"/>
      <c r="X136" s="69"/>
      <c r="Y136" s="64"/>
      <c r="Z136" s="69"/>
      <c r="AA136" s="64"/>
      <c r="AB136" s="69"/>
      <c r="AC136" s="64"/>
      <c r="AD136" s="69"/>
      <c r="AE136" s="65"/>
      <c r="AF136" s="69"/>
      <c r="AG136" s="65"/>
      <c r="AH136" s="69"/>
      <c r="AI136" s="64"/>
      <c r="AJ136" s="69"/>
      <c r="AK136" s="64"/>
      <c r="AL136" s="69"/>
      <c r="AM136" s="64"/>
      <c r="AN136" s="69"/>
      <c r="AO136" s="64"/>
      <c r="AP136" s="69"/>
      <c r="AQ136" s="64"/>
      <c r="AR136" s="69"/>
      <c r="AS136" s="64"/>
      <c r="AT136" s="69"/>
      <c r="AU136" s="64"/>
      <c r="AV136" s="69"/>
      <c r="AW136" s="64"/>
      <c r="AX136" s="69"/>
      <c r="AY136" s="64"/>
      <c r="AZ136" s="69"/>
      <c r="BA136" s="64"/>
      <c r="BB136" s="69"/>
      <c r="BC136" s="64"/>
      <c r="BD136" s="69"/>
      <c r="BE136" s="64"/>
      <c r="BF136" s="69"/>
      <c r="BG136" s="64"/>
      <c r="BH136" s="69"/>
      <c r="BI136" s="64"/>
      <c r="BJ136" s="69"/>
      <c r="BK136" s="64"/>
      <c r="BL136" s="69"/>
      <c r="BM136" s="64"/>
      <c r="BN136" s="69"/>
      <c r="BO136" s="64"/>
      <c r="BP136" s="69"/>
      <c r="BQ136" s="64"/>
      <c r="BR136" s="69"/>
      <c r="BS136" s="64"/>
      <c r="BT136" s="69"/>
      <c r="BU136" t="b">
        <f t="shared" si="2"/>
        <v>0</v>
      </c>
    </row>
    <row r="137" spans="1:73" x14ac:dyDescent="0.25">
      <c r="A137" s="28"/>
      <c r="B137" s="29"/>
      <c r="C137" s="29"/>
      <c r="D137" s="30"/>
      <c r="E137" s="29"/>
      <c r="F137" s="30"/>
      <c r="G137" s="29"/>
      <c r="H137" s="69"/>
      <c r="I137" s="64"/>
      <c r="J137" s="69"/>
      <c r="K137" s="64"/>
      <c r="L137" s="69"/>
      <c r="M137" s="65"/>
      <c r="N137" s="69"/>
      <c r="O137" s="64"/>
      <c r="P137" s="69"/>
      <c r="Q137" s="64"/>
      <c r="R137" s="69"/>
      <c r="S137" s="64"/>
      <c r="T137" s="69"/>
      <c r="U137" s="64"/>
      <c r="V137" s="69"/>
      <c r="W137" s="65"/>
      <c r="X137" s="69"/>
      <c r="Y137" s="64"/>
      <c r="Z137" s="69"/>
      <c r="AA137" s="64"/>
      <c r="AB137" s="69"/>
      <c r="AC137" s="64"/>
      <c r="AD137" s="69"/>
      <c r="AE137" s="65"/>
      <c r="AF137" s="69"/>
      <c r="AG137" s="65"/>
      <c r="AH137" s="69"/>
      <c r="AI137" s="64"/>
      <c r="AJ137" s="69"/>
      <c r="AK137" s="64"/>
      <c r="AL137" s="69"/>
      <c r="AM137" s="64"/>
      <c r="AN137" s="69"/>
      <c r="AO137" s="64"/>
      <c r="AP137" s="69"/>
      <c r="AQ137" s="64"/>
      <c r="AR137" s="69"/>
      <c r="AS137" s="64"/>
      <c r="AT137" s="69"/>
      <c r="AU137" s="64"/>
      <c r="AV137" s="69"/>
      <c r="AW137" s="64"/>
      <c r="AX137" s="69"/>
      <c r="AY137" s="64"/>
      <c r="AZ137" s="69"/>
      <c r="BA137" s="64"/>
      <c r="BB137" s="69"/>
      <c r="BC137" s="64"/>
      <c r="BD137" s="69"/>
      <c r="BE137" s="64"/>
      <c r="BF137" s="69"/>
      <c r="BG137" s="64"/>
      <c r="BH137" s="69"/>
      <c r="BI137" s="64"/>
      <c r="BJ137" s="69"/>
      <c r="BK137" s="64"/>
      <c r="BL137" s="69"/>
      <c r="BM137" s="64"/>
      <c r="BN137" s="69"/>
      <c r="BO137" s="64"/>
      <c r="BP137" s="69"/>
      <c r="BQ137" s="64"/>
      <c r="BR137" s="69"/>
      <c r="BS137" s="64"/>
      <c r="BT137" s="69"/>
      <c r="BU137" t="b">
        <f t="shared" si="2"/>
        <v>0</v>
      </c>
    </row>
    <row r="138" spans="1:73" x14ac:dyDescent="0.25">
      <c r="A138" s="28"/>
      <c r="B138" s="29"/>
      <c r="C138" s="29"/>
      <c r="D138" s="30"/>
      <c r="E138" s="29"/>
      <c r="F138" s="30"/>
      <c r="G138" s="29"/>
      <c r="H138" s="69"/>
      <c r="I138" s="64"/>
      <c r="J138" s="69"/>
      <c r="K138" s="64"/>
      <c r="L138" s="69"/>
      <c r="M138" s="65"/>
      <c r="N138" s="69"/>
      <c r="O138" s="64"/>
      <c r="P138" s="69"/>
      <c r="Q138" s="64"/>
      <c r="R138" s="69"/>
      <c r="S138" s="64"/>
      <c r="T138" s="69"/>
      <c r="U138" s="64"/>
      <c r="V138" s="69"/>
      <c r="W138" s="65"/>
      <c r="X138" s="69"/>
      <c r="Y138" s="64"/>
      <c r="Z138" s="69"/>
      <c r="AA138" s="64"/>
      <c r="AB138" s="69"/>
      <c r="AC138" s="64"/>
      <c r="AD138" s="69"/>
      <c r="AE138" s="65"/>
      <c r="AF138" s="69"/>
      <c r="AG138" s="65"/>
      <c r="AH138" s="69"/>
      <c r="AI138" s="64"/>
      <c r="AJ138" s="69"/>
      <c r="AK138" s="64"/>
      <c r="AL138" s="69"/>
      <c r="AM138" s="64"/>
      <c r="AN138" s="69"/>
      <c r="AO138" s="64"/>
      <c r="AP138" s="69"/>
      <c r="AQ138" s="64"/>
      <c r="AR138" s="69"/>
      <c r="AS138" s="64"/>
      <c r="AT138" s="69"/>
      <c r="AU138" s="64"/>
      <c r="AV138" s="69"/>
      <c r="AW138" s="64"/>
      <c r="AX138" s="69"/>
      <c r="AY138" s="64"/>
      <c r="AZ138" s="69"/>
      <c r="BA138" s="64"/>
      <c r="BB138" s="69"/>
      <c r="BC138" s="64"/>
      <c r="BD138" s="69"/>
      <c r="BE138" s="64"/>
      <c r="BF138" s="69"/>
      <c r="BG138" s="64"/>
      <c r="BH138" s="69"/>
      <c r="BI138" s="64"/>
      <c r="BJ138" s="69"/>
      <c r="BK138" s="64"/>
      <c r="BL138" s="69"/>
      <c r="BM138" s="64"/>
      <c r="BN138" s="69"/>
      <c r="BO138" s="64"/>
      <c r="BP138" s="69"/>
      <c r="BQ138" s="64"/>
      <c r="BR138" s="69"/>
      <c r="BS138" s="64"/>
      <c r="BT138" s="69"/>
      <c r="BU138" t="b">
        <f t="shared" si="2"/>
        <v>0</v>
      </c>
    </row>
    <row r="139" spans="1:73" x14ac:dyDescent="0.25">
      <c r="A139" s="28"/>
      <c r="B139" s="29"/>
      <c r="C139" s="29"/>
      <c r="D139" s="30"/>
      <c r="E139" s="29"/>
      <c r="F139" s="30"/>
      <c r="G139" s="29"/>
      <c r="H139" s="69"/>
      <c r="I139" s="64"/>
      <c r="J139" s="69"/>
      <c r="K139" s="64"/>
      <c r="L139" s="69"/>
      <c r="M139" s="65"/>
      <c r="N139" s="69"/>
      <c r="O139" s="64"/>
      <c r="P139" s="69"/>
      <c r="Q139" s="64"/>
      <c r="R139" s="69"/>
      <c r="S139" s="64"/>
      <c r="T139" s="69"/>
      <c r="U139" s="64"/>
      <c r="V139" s="69"/>
      <c r="W139" s="65"/>
      <c r="X139" s="69"/>
      <c r="Y139" s="64"/>
      <c r="Z139" s="69"/>
      <c r="AA139" s="64"/>
      <c r="AB139" s="69"/>
      <c r="AC139" s="64"/>
      <c r="AD139" s="69"/>
      <c r="AE139" s="65"/>
      <c r="AF139" s="69"/>
      <c r="AG139" s="65"/>
      <c r="AH139" s="69"/>
      <c r="AI139" s="64"/>
      <c r="AJ139" s="69"/>
      <c r="AK139" s="64"/>
      <c r="AL139" s="69"/>
      <c r="AM139" s="64"/>
      <c r="AN139" s="69"/>
      <c r="AO139" s="64"/>
      <c r="AP139" s="69"/>
      <c r="AQ139" s="64"/>
      <c r="AR139" s="69"/>
      <c r="AS139" s="64"/>
      <c r="AT139" s="69"/>
      <c r="AU139" s="64"/>
      <c r="AV139" s="69"/>
      <c r="AW139" s="64"/>
      <c r="AX139" s="69"/>
      <c r="AY139" s="64"/>
      <c r="AZ139" s="69"/>
      <c r="BA139" s="64"/>
      <c r="BB139" s="69"/>
      <c r="BC139" s="64"/>
      <c r="BD139" s="69"/>
      <c r="BE139" s="64"/>
      <c r="BF139" s="69"/>
      <c r="BG139" s="64"/>
      <c r="BH139" s="69"/>
      <c r="BI139" s="64"/>
      <c r="BJ139" s="69"/>
      <c r="BK139" s="64"/>
      <c r="BL139" s="69"/>
      <c r="BM139" s="64"/>
      <c r="BN139" s="69"/>
      <c r="BO139" s="64"/>
      <c r="BP139" s="69"/>
      <c r="BQ139" s="64"/>
      <c r="BR139" s="69"/>
      <c r="BS139" s="64"/>
      <c r="BT139" s="69"/>
      <c r="BU139" t="b">
        <f t="shared" si="2"/>
        <v>0</v>
      </c>
    </row>
    <row r="140" spans="1:73" x14ac:dyDescent="0.25">
      <c r="A140" s="28"/>
      <c r="B140" s="29"/>
      <c r="C140" s="29"/>
      <c r="D140" s="30"/>
      <c r="E140" s="29"/>
      <c r="F140" s="30"/>
      <c r="G140" s="29"/>
      <c r="H140" s="69"/>
      <c r="I140" s="64"/>
      <c r="J140" s="69"/>
      <c r="K140" s="64"/>
      <c r="L140" s="69"/>
      <c r="M140" s="65"/>
      <c r="N140" s="69"/>
      <c r="O140" s="64"/>
      <c r="P140" s="69"/>
      <c r="Q140" s="64"/>
      <c r="R140" s="69"/>
      <c r="S140" s="64"/>
      <c r="T140" s="69"/>
      <c r="U140" s="64"/>
      <c r="V140" s="69"/>
      <c r="W140" s="65"/>
      <c r="X140" s="69"/>
      <c r="Y140" s="64"/>
      <c r="Z140" s="69"/>
      <c r="AA140" s="64"/>
      <c r="AB140" s="69"/>
      <c r="AC140" s="64"/>
      <c r="AD140" s="69"/>
      <c r="AE140" s="65"/>
      <c r="AF140" s="69"/>
      <c r="AG140" s="65"/>
      <c r="AH140" s="69"/>
      <c r="AI140" s="64"/>
      <c r="AJ140" s="69"/>
      <c r="AK140" s="64"/>
      <c r="AL140" s="69"/>
      <c r="AM140" s="64"/>
      <c r="AN140" s="69"/>
      <c r="AO140" s="64"/>
      <c r="AP140" s="69"/>
      <c r="AQ140" s="64"/>
      <c r="AR140" s="69"/>
      <c r="AS140" s="64"/>
      <c r="AT140" s="69"/>
      <c r="AU140" s="64"/>
      <c r="AV140" s="69"/>
      <c r="AW140" s="64"/>
      <c r="AX140" s="69"/>
      <c r="AY140" s="64"/>
      <c r="AZ140" s="69"/>
      <c r="BA140" s="64"/>
      <c r="BB140" s="69"/>
      <c r="BC140" s="64"/>
      <c r="BD140" s="69"/>
      <c r="BE140" s="64"/>
      <c r="BF140" s="69"/>
      <c r="BG140" s="64"/>
      <c r="BH140" s="69"/>
      <c r="BI140" s="64"/>
      <c r="BJ140" s="69"/>
      <c r="BK140" s="64"/>
      <c r="BL140" s="69"/>
      <c r="BM140" s="64"/>
      <c r="BN140" s="69"/>
      <c r="BO140" s="64"/>
      <c r="BP140" s="69"/>
      <c r="BQ140" s="64"/>
      <c r="BR140" s="69"/>
      <c r="BS140" s="64"/>
      <c r="BT140" s="69"/>
      <c r="BU140" t="b">
        <f t="shared" si="2"/>
        <v>0</v>
      </c>
    </row>
    <row r="141" spans="1:73" x14ac:dyDescent="0.25">
      <c r="A141" s="28"/>
      <c r="B141" s="29"/>
      <c r="C141" s="29"/>
      <c r="D141" s="30"/>
      <c r="E141" s="29"/>
      <c r="F141" s="30"/>
      <c r="G141" s="29"/>
      <c r="H141" s="69"/>
      <c r="I141" s="64"/>
      <c r="J141" s="69"/>
      <c r="K141" s="64"/>
      <c r="L141" s="69"/>
      <c r="M141" s="65"/>
      <c r="N141" s="69"/>
      <c r="O141" s="64"/>
      <c r="P141" s="69"/>
      <c r="Q141" s="64"/>
      <c r="R141" s="69"/>
      <c r="S141" s="64"/>
      <c r="T141" s="69"/>
      <c r="U141" s="64"/>
      <c r="V141" s="69"/>
      <c r="W141" s="65"/>
      <c r="X141" s="69"/>
      <c r="Y141" s="64"/>
      <c r="Z141" s="69"/>
      <c r="AA141" s="64"/>
      <c r="AB141" s="69"/>
      <c r="AC141" s="64"/>
      <c r="AD141" s="69"/>
      <c r="AE141" s="65"/>
      <c r="AF141" s="69"/>
      <c r="AG141" s="65"/>
      <c r="AH141" s="69"/>
      <c r="AI141" s="64"/>
      <c r="AJ141" s="69"/>
      <c r="AK141" s="64"/>
      <c r="AL141" s="69"/>
      <c r="AM141" s="64"/>
      <c r="AN141" s="69"/>
      <c r="AO141" s="64"/>
      <c r="AP141" s="69"/>
      <c r="AQ141" s="64"/>
      <c r="AR141" s="69"/>
      <c r="AS141" s="64"/>
      <c r="AT141" s="69"/>
      <c r="AU141" s="64"/>
      <c r="AV141" s="69"/>
      <c r="AW141" s="64"/>
      <c r="AX141" s="69"/>
      <c r="AY141" s="64"/>
      <c r="AZ141" s="69"/>
      <c r="BA141" s="64"/>
      <c r="BB141" s="69"/>
      <c r="BC141" s="64"/>
      <c r="BD141" s="69"/>
      <c r="BE141" s="64"/>
      <c r="BF141" s="69"/>
      <c r="BG141" s="64"/>
      <c r="BH141" s="69"/>
      <c r="BI141" s="64"/>
      <c r="BJ141" s="69"/>
      <c r="BK141" s="64"/>
      <c r="BL141" s="69"/>
      <c r="BM141" s="64"/>
      <c r="BN141" s="69"/>
      <c r="BO141" s="64"/>
      <c r="BP141" s="69"/>
      <c r="BQ141" s="64"/>
      <c r="BR141" s="69"/>
      <c r="BS141" s="64"/>
      <c r="BT141" s="69"/>
      <c r="BU141" t="b">
        <f t="shared" si="2"/>
        <v>0</v>
      </c>
    </row>
    <row r="142" spans="1:73" x14ac:dyDescent="0.25">
      <c r="A142" s="28"/>
      <c r="B142" s="29"/>
      <c r="C142" s="29"/>
      <c r="D142" s="30"/>
      <c r="E142" s="29"/>
      <c r="F142" s="30"/>
      <c r="G142" s="29"/>
      <c r="H142" s="69"/>
      <c r="I142" s="64"/>
      <c r="J142" s="69"/>
      <c r="K142" s="64"/>
      <c r="L142" s="69"/>
      <c r="M142" s="65"/>
      <c r="N142" s="69"/>
      <c r="O142" s="64"/>
      <c r="P142" s="69"/>
      <c r="Q142" s="64"/>
      <c r="R142" s="69"/>
      <c r="S142" s="64"/>
      <c r="T142" s="69"/>
      <c r="U142" s="64"/>
      <c r="V142" s="69"/>
      <c r="W142" s="65"/>
      <c r="X142" s="69"/>
      <c r="Y142" s="64"/>
      <c r="Z142" s="69"/>
      <c r="AA142" s="64"/>
      <c r="AB142" s="69"/>
      <c r="AC142" s="64"/>
      <c r="AD142" s="69"/>
      <c r="AE142" s="65"/>
      <c r="AF142" s="69"/>
      <c r="AG142" s="65"/>
      <c r="AH142" s="69"/>
      <c r="AI142" s="64"/>
      <c r="AJ142" s="69"/>
      <c r="AK142" s="64"/>
      <c r="AL142" s="69"/>
      <c r="AM142" s="64"/>
      <c r="AN142" s="69"/>
      <c r="AO142" s="64"/>
      <c r="AP142" s="69"/>
      <c r="AQ142" s="64"/>
      <c r="AR142" s="69"/>
      <c r="AS142" s="64"/>
      <c r="AT142" s="69"/>
      <c r="AU142" s="64"/>
      <c r="AV142" s="69"/>
      <c r="AW142" s="64"/>
      <c r="AX142" s="69"/>
      <c r="AY142" s="64"/>
      <c r="AZ142" s="69"/>
      <c r="BA142" s="64"/>
      <c r="BB142" s="69"/>
      <c r="BC142" s="64"/>
      <c r="BD142" s="69"/>
      <c r="BE142" s="64"/>
      <c r="BF142" s="69"/>
      <c r="BG142" s="64"/>
      <c r="BH142" s="69"/>
      <c r="BI142" s="64"/>
      <c r="BJ142" s="69"/>
      <c r="BK142" s="64"/>
      <c r="BL142" s="69"/>
      <c r="BM142" s="64"/>
      <c r="BN142" s="69"/>
      <c r="BO142" s="64"/>
      <c r="BP142" s="69"/>
      <c r="BQ142" s="64"/>
      <c r="BR142" s="69"/>
      <c r="BS142" s="64"/>
      <c r="BT142" s="69"/>
      <c r="BU142" t="b">
        <f t="shared" si="2"/>
        <v>0</v>
      </c>
    </row>
    <row r="143" spans="1:73" x14ac:dyDescent="0.25">
      <c r="A143" s="28"/>
      <c r="B143" s="29"/>
      <c r="C143" s="29"/>
      <c r="D143" s="30"/>
      <c r="E143" s="29"/>
      <c r="F143" s="30"/>
      <c r="G143" s="29"/>
      <c r="H143" s="69"/>
      <c r="I143" s="64"/>
      <c r="J143" s="69"/>
      <c r="K143" s="64"/>
      <c r="L143" s="69"/>
      <c r="M143" s="65"/>
      <c r="N143" s="69"/>
      <c r="O143" s="64"/>
      <c r="P143" s="69"/>
      <c r="Q143" s="64"/>
      <c r="R143" s="69"/>
      <c r="S143" s="64"/>
      <c r="T143" s="69"/>
      <c r="U143" s="64"/>
      <c r="V143" s="69"/>
      <c r="W143" s="65"/>
      <c r="X143" s="69"/>
      <c r="Y143" s="64"/>
      <c r="Z143" s="69"/>
      <c r="AA143" s="64"/>
      <c r="AB143" s="69"/>
      <c r="AC143" s="64"/>
      <c r="AD143" s="69"/>
      <c r="AE143" s="65"/>
      <c r="AF143" s="69"/>
      <c r="AG143" s="65"/>
      <c r="AH143" s="69"/>
      <c r="AI143" s="64"/>
      <c r="AJ143" s="69"/>
      <c r="AK143" s="64"/>
      <c r="AL143" s="69"/>
      <c r="AM143" s="64"/>
      <c r="AN143" s="69"/>
      <c r="AO143" s="64"/>
      <c r="AP143" s="69"/>
      <c r="AQ143" s="64"/>
      <c r="AR143" s="69"/>
      <c r="AS143" s="64"/>
      <c r="AT143" s="69"/>
      <c r="AU143" s="64"/>
      <c r="AV143" s="69"/>
      <c r="AW143" s="64"/>
      <c r="AX143" s="69"/>
      <c r="AY143" s="64"/>
      <c r="AZ143" s="69"/>
      <c r="BA143" s="64"/>
      <c r="BB143" s="69"/>
      <c r="BC143" s="64"/>
      <c r="BD143" s="69"/>
      <c r="BE143" s="64"/>
      <c r="BF143" s="69"/>
      <c r="BG143" s="64"/>
      <c r="BH143" s="69"/>
      <c r="BI143" s="64"/>
      <c r="BJ143" s="69"/>
      <c r="BK143" s="64"/>
      <c r="BL143" s="69"/>
      <c r="BM143" s="64"/>
      <c r="BN143" s="69"/>
      <c r="BO143" s="64"/>
      <c r="BP143" s="69"/>
      <c r="BQ143" s="64"/>
      <c r="BR143" s="69"/>
      <c r="BS143" s="64"/>
      <c r="BT143" s="69"/>
      <c r="BU143" t="b">
        <f t="shared" si="2"/>
        <v>0</v>
      </c>
    </row>
    <row r="144" spans="1:73" x14ac:dyDescent="0.25">
      <c r="A144" s="28"/>
      <c r="B144" s="29"/>
      <c r="C144" s="29"/>
      <c r="D144" s="30"/>
      <c r="E144" s="29"/>
      <c r="F144" s="30"/>
      <c r="G144" s="29"/>
      <c r="H144" s="69"/>
      <c r="I144" s="64"/>
      <c r="J144" s="69"/>
      <c r="K144" s="64"/>
      <c r="L144" s="69"/>
      <c r="M144" s="65"/>
      <c r="N144" s="69"/>
      <c r="O144" s="64"/>
      <c r="P144" s="69"/>
      <c r="Q144" s="64"/>
      <c r="R144" s="69"/>
      <c r="S144" s="64"/>
      <c r="T144" s="69"/>
      <c r="U144" s="64"/>
      <c r="V144" s="69"/>
      <c r="W144" s="65"/>
      <c r="X144" s="69"/>
      <c r="Y144" s="64"/>
      <c r="Z144" s="69"/>
      <c r="AA144" s="64"/>
      <c r="AB144" s="69"/>
      <c r="AC144" s="64"/>
      <c r="AD144" s="69"/>
      <c r="AE144" s="65"/>
      <c r="AF144" s="69"/>
      <c r="AG144" s="65"/>
      <c r="AH144" s="69"/>
      <c r="AI144" s="64"/>
      <c r="AJ144" s="69"/>
      <c r="AK144" s="64"/>
      <c r="AL144" s="69"/>
      <c r="AM144" s="64"/>
      <c r="AN144" s="69"/>
      <c r="AO144" s="64"/>
      <c r="AP144" s="69"/>
      <c r="AQ144" s="64"/>
      <c r="AR144" s="69"/>
      <c r="AS144" s="64"/>
      <c r="AT144" s="69"/>
      <c r="AU144" s="64"/>
      <c r="AV144" s="69"/>
      <c r="AW144" s="64"/>
      <c r="AX144" s="69"/>
      <c r="AY144" s="64"/>
      <c r="AZ144" s="69"/>
      <c r="BA144" s="64"/>
      <c r="BB144" s="69"/>
      <c r="BC144" s="64"/>
      <c r="BD144" s="69"/>
      <c r="BE144" s="64"/>
      <c r="BF144" s="69"/>
      <c r="BG144" s="64"/>
      <c r="BH144" s="69"/>
      <c r="BI144" s="64"/>
      <c r="BJ144" s="69"/>
      <c r="BK144" s="64"/>
      <c r="BL144" s="69"/>
      <c r="BM144" s="64"/>
      <c r="BN144" s="69"/>
      <c r="BO144" s="64"/>
      <c r="BP144" s="69"/>
      <c r="BQ144" s="64"/>
      <c r="BR144" s="69"/>
      <c r="BS144" s="64"/>
      <c r="BT144" s="69"/>
      <c r="BU144" t="b">
        <f t="shared" si="2"/>
        <v>0</v>
      </c>
    </row>
    <row r="145" spans="1:73" x14ac:dyDescent="0.25">
      <c r="A145" s="28"/>
      <c r="B145" s="29"/>
      <c r="C145" s="29"/>
      <c r="D145" s="30"/>
      <c r="E145" s="29"/>
      <c r="F145" s="30"/>
      <c r="G145" s="29"/>
      <c r="H145" s="69"/>
      <c r="I145" s="64"/>
      <c r="J145" s="69"/>
      <c r="K145" s="64"/>
      <c r="L145" s="69"/>
      <c r="M145" s="65"/>
      <c r="N145" s="69"/>
      <c r="O145" s="64"/>
      <c r="P145" s="69"/>
      <c r="Q145" s="64"/>
      <c r="R145" s="69"/>
      <c r="S145" s="64"/>
      <c r="T145" s="69"/>
      <c r="U145" s="64"/>
      <c r="V145" s="69"/>
      <c r="W145" s="65"/>
      <c r="X145" s="69"/>
      <c r="Y145" s="64"/>
      <c r="Z145" s="69"/>
      <c r="AA145" s="64"/>
      <c r="AB145" s="69"/>
      <c r="AC145" s="64"/>
      <c r="AD145" s="69"/>
      <c r="AE145" s="65"/>
      <c r="AF145" s="69"/>
      <c r="AG145" s="65"/>
      <c r="AH145" s="69"/>
      <c r="AI145" s="64"/>
      <c r="AJ145" s="69"/>
      <c r="AK145" s="64"/>
      <c r="AL145" s="69"/>
      <c r="AM145" s="64"/>
      <c r="AN145" s="69"/>
      <c r="AO145" s="64"/>
      <c r="AP145" s="69"/>
      <c r="AQ145" s="64"/>
      <c r="AR145" s="69"/>
      <c r="AS145" s="64"/>
      <c r="AT145" s="69"/>
      <c r="AU145" s="64"/>
      <c r="AV145" s="69"/>
      <c r="AW145" s="64"/>
      <c r="AX145" s="69"/>
      <c r="AY145" s="64"/>
      <c r="AZ145" s="69"/>
      <c r="BA145" s="64"/>
      <c r="BB145" s="69"/>
      <c r="BC145" s="64"/>
      <c r="BD145" s="69"/>
      <c r="BE145" s="64"/>
      <c r="BF145" s="69"/>
      <c r="BG145" s="64"/>
      <c r="BH145" s="69"/>
      <c r="BI145" s="64"/>
      <c r="BJ145" s="69"/>
      <c r="BK145" s="64"/>
      <c r="BL145" s="69"/>
      <c r="BM145" s="64"/>
      <c r="BN145" s="69"/>
      <c r="BO145" s="64"/>
      <c r="BP145" s="69"/>
      <c r="BQ145" s="64"/>
      <c r="BR145" s="69"/>
      <c r="BS145" s="64"/>
      <c r="BT145" s="69"/>
      <c r="BU145" t="b">
        <f t="shared" si="2"/>
        <v>0</v>
      </c>
    </row>
    <row r="146" spans="1:73" x14ac:dyDescent="0.25">
      <c r="A146" s="28"/>
      <c r="B146" s="29"/>
      <c r="C146" s="29"/>
      <c r="D146" s="30"/>
      <c r="E146" s="29"/>
      <c r="F146" s="30"/>
      <c r="G146" s="29"/>
      <c r="H146" s="69"/>
      <c r="I146" s="64"/>
      <c r="J146" s="69"/>
      <c r="K146" s="64"/>
      <c r="L146" s="69"/>
      <c r="M146" s="65"/>
      <c r="N146" s="69"/>
      <c r="O146" s="64"/>
      <c r="P146" s="69"/>
      <c r="Q146" s="64"/>
      <c r="R146" s="69"/>
      <c r="S146" s="64"/>
      <c r="T146" s="69"/>
      <c r="U146" s="64"/>
      <c r="V146" s="69"/>
      <c r="W146" s="65"/>
      <c r="X146" s="69"/>
      <c r="Y146" s="64"/>
      <c r="Z146" s="69"/>
      <c r="AA146" s="64"/>
      <c r="AB146" s="69"/>
      <c r="AC146" s="64"/>
      <c r="AD146" s="69"/>
      <c r="AE146" s="65"/>
      <c r="AF146" s="69"/>
      <c r="AG146" s="65"/>
      <c r="AH146" s="69"/>
      <c r="AI146" s="64"/>
      <c r="AJ146" s="69"/>
      <c r="AK146" s="64"/>
      <c r="AL146" s="69"/>
      <c r="AM146" s="64"/>
      <c r="AN146" s="69"/>
      <c r="AO146" s="64"/>
      <c r="AP146" s="69"/>
      <c r="AQ146" s="64"/>
      <c r="AR146" s="69"/>
      <c r="AS146" s="64"/>
      <c r="AT146" s="69"/>
      <c r="AU146" s="64"/>
      <c r="AV146" s="69"/>
      <c r="AW146" s="64"/>
      <c r="AX146" s="69"/>
      <c r="AY146" s="64"/>
      <c r="AZ146" s="69"/>
      <c r="BA146" s="64"/>
      <c r="BB146" s="69"/>
      <c r="BC146" s="64"/>
      <c r="BD146" s="69"/>
      <c r="BE146" s="64"/>
      <c r="BF146" s="69"/>
      <c r="BG146" s="64"/>
      <c r="BH146" s="69"/>
      <c r="BI146" s="64"/>
      <c r="BJ146" s="69"/>
      <c r="BK146" s="64"/>
      <c r="BL146" s="69"/>
      <c r="BM146" s="64"/>
      <c r="BN146" s="69"/>
      <c r="BO146" s="64"/>
      <c r="BP146" s="69"/>
      <c r="BQ146" s="64"/>
      <c r="BR146" s="69"/>
      <c r="BS146" s="64"/>
      <c r="BT146" s="69"/>
      <c r="BU146" t="b">
        <f t="shared" si="2"/>
        <v>0</v>
      </c>
    </row>
    <row r="147" spans="1:73" x14ac:dyDescent="0.25">
      <c r="A147" s="28"/>
      <c r="B147" s="29"/>
      <c r="C147" s="29"/>
      <c r="D147" s="30"/>
      <c r="E147" s="29"/>
      <c r="F147" s="30"/>
      <c r="G147" s="29"/>
      <c r="H147" s="69"/>
      <c r="I147" s="64"/>
      <c r="J147" s="69"/>
      <c r="K147" s="64"/>
      <c r="L147" s="69"/>
      <c r="M147" s="65"/>
      <c r="N147" s="69"/>
      <c r="O147" s="64"/>
      <c r="P147" s="69"/>
      <c r="Q147" s="64"/>
      <c r="R147" s="69"/>
      <c r="S147" s="64"/>
      <c r="T147" s="69"/>
      <c r="U147" s="64"/>
      <c r="V147" s="69"/>
      <c r="W147" s="65"/>
      <c r="X147" s="69"/>
      <c r="Y147" s="64"/>
      <c r="Z147" s="69"/>
      <c r="AA147" s="64"/>
      <c r="AB147" s="69"/>
      <c r="AC147" s="64"/>
      <c r="AD147" s="69"/>
      <c r="AE147" s="65"/>
      <c r="AF147" s="69"/>
      <c r="AG147" s="65"/>
      <c r="AH147" s="69"/>
      <c r="AI147" s="64"/>
      <c r="AJ147" s="69"/>
      <c r="AK147" s="64"/>
      <c r="AL147" s="69"/>
      <c r="AM147" s="64"/>
      <c r="AN147" s="69"/>
      <c r="AO147" s="64"/>
      <c r="AP147" s="69"/>
      <c r="AQ147" s="64"/>
      <c r="AR147" s="69"/>
      <c r="AS147" s="64"/>
      <c r="AT147" s="69"/>
      <c r="AU147" s="64"/>
      <c r="AV147" s="69"/>
      <c r="AW147" s="64"/>
      <c r="AX147" s="69"/>
      <c r="AY147" s="64"/>
      <c r="AZ147" s="69"/>
      <c r="BA147" s="64"/>
      <c r="BB147" s="69"/>
      <c r="BC147" s="64"/>
      <c r="BD147" s="69"/>
      <c r="BE147" s="64"/>
      <c r="BF147" s="69"/>
      <c r="BG147" s="64"/>
      <c r="BH147" s="69"/>
      <c r="BI147" s="64"/>
      <c r="BJ147" s="69"/>
      <c r="BK147" s="64"/>
      <c r="BL147" s="69"/>
      <c r="BM147" s="64"/>
      <c r="BN147" s="69"/>
      <c r="BO147" s="64"/>
      <c r="BP147" s="69"/>
      <c r="BQ147" s="64"/>
      <c r="BR147" s="69"/>
      <c r="BS147" s="64"/>
      <c r="BT147" s="69"/>
      <c r="BU147" t="b">
        <f t="shared" si="2"/>
        <v>0</v>
      </c>
    </row>
    <row r="148" spans="1:73" x14ac:dyDescent="0.25">
      <c r="A148" s="28"/>
      <c r="B148" s="29"/>
      <c r="C148" s="29"/>
      <c r="D148" s="30"/>
      <c r="E148" s="29"/>
      <c r="F148" s="30"/>
      <c r="G148" s="29"/>
      <c r="H148" s="69"/>
      <c r="I148" s="64"/>
      <c r="J148" s="69"/>
      <c r="K148" s="64"/>
      <c r="L148" s="69"/>
      <c r="M148" s="65"/>
      <c r="N148" s="69"/>
      <c r="O148" s="64"/>
      <c r="P148" s="69"/>
      <c r="Q148" s="64"/>
      <c r="R148" s="69"/>
      <c r="S148" s="64"/>
      <c r="T148" s="69"/>
      <c r="U148" s="64"/>
      <c r="V148" s="69"/>
      <c r="W148" s="65"/>
      <c r="X148" s="69"/>
      <c r="Y148" s="64"/>
      <c r="Z148" s="69"/>
      <c r="AA148" s="64"/>
      <c r="AB148" s="69"/>
      <c r="AC148" s="64"/>
      <c r="AD148" s="69"/>
      <c r="AE148" s="65"/>
      <c r="AF148" s="69"/>
      <c r="AG148" s="65"/>
      <c r="AH148" s="69"/>
      <c r="AI148" s="64"/>
      <c r="AJ148" s="69"/>
      <c r="AK148" s="64"/>
      <c r="AL148" s="69"/>
      <c r="AM148" s="64"/>
      <c r="AN148" s="69"/>
      <c r="AO148" s="64"/>
      <c r="AP148" s="69"/>
      <c r="AQ148" s="64"/>
      <c r="AR148" s="69"/>
      <c r="AS148" s="64"/>
      <c r="AT148" s="69"/>
      <c r="AU148" s="64"/>
      <c r="AV148" s="69"/>
      <c r="AW148" s="64"/>
      <c r="AX148" s="69"/>
      <c r="AY148" s="64"/>
      <c r="AZ148" s="69"/>
      <c r="BA148" s="64"/>
      <c r="BB148" s="69"/>
      <c r="BC148" s="64"/>
      <c r="BD148" s="69"/>
      <c r="BE148" s="64"/>
      <c r="BF148" s="69"/>
      <c r="BG148" s="64"/>
      <c r="BH148" s="69"/>
      <c r="BI148" s="64"/>
      <c r="BJ148" s="69"/>
      <c r="BK148" s="64"/>
      <c r="BL148" s="69"/>
      <c r="BM148" s="64"/>
      <c r="BN148" s="69"/>
      <c r="BO148" s="64"/>
      <c r="BP148" s="69"/>
      <c r="BQ148" s="64"/>
      <c r="BR148" s="69"/>
      <c r="BS148" s="64"/>
      <c r="BT148" s="69"/>
      <c r="BU148" t="b">
        <f t="shared" si="2"/>
        <v>0</v>
      </c>
    </row>
    <row r="149" spans="1:73" x14ac:dyDescent="0.25">
      <c r="A149" s="28"/>
      <c r="B149" s="29"/>
      <c r="C149" s="29"/>
      <c r="D149" s="30"/>
      <c r="E149" s="29"/>
      <c r="F149" s="30"/>
      <c r="G149" s="29"/>
      <c r="H149" s="69"/>
      <c r="I149" s="64"/>
      <c r="J149" s="69"/>
      <c r="K149" s="64"/>
      <c r="L149" s="69"/>
      <c r="M149" s="65"/>
      <c r="N149" s="69"/>
      <c r="O149" s="64"/>
      <c r="P149" s="69"/>
      <c r="Q149" s="64"/>
      <c r="R149" s="69"/>
      <c r="S149" s="64"/>
      <c r="T149" s="69"/>
      <c r="U149" s="64"/>
      <c r="V149" s="69"/>
      <c r="W149" s="65"/>
      <c r="X149" s="69"/>
      <c r="Y149" s="64"/>
      <c r="Z149" s="69"/>
      <c r="AA149" s="64"/>
      <c r="AB149" s="69"/>
      <c r="AC149" s="64"/>
      <c r="AD149" s="69"/>
      <c r="AE149" s="65"/>
      <c r="AF149" s="69"/>
      <c r="AG149" s="65"/>
      <c r="AH149" s="69"/>
      <c r="AI149" s="64"/>
      <c r="AJ149" s="69"/>
      <c r="AK149" s="64"/>
      <c r="AL149" s="69"/>
      <c r="AM149" s="64"/>
      <c r="AN149" s="69"/>
      <c r="AO149" s="64"/>
      <c r="AP149" s="69"/>
      <c r="AQ149" s="64"/>
      <c r="AR149" s="69"/>
      <c r="AS149" s="64"/>
      <c r="AT149" s="69"/>
      <c r="AU149" s="64"/>
      <c r="AV149" s="69"/>
      <c r="AW149" s="64"/>
      <c r="AX149" s="69"/>
      <c r="AY149" s="64"/>
      <c r="AZ149" s="69"/>
      <c r="BA149" s="64"/>
      <c r="BB149" s="69"/>
      <c r="BC149" s="64"/>
      <c r="BD149" s="69"/>
      <c r="BE149" s="64"/>
      <c r="BF149" s="69"/>
      <c r="BG149" s="64"/>
      <c r="BH149" s="69"/>
      <c r="BI149" s="64"/>
      <c r="BJ149" s="69"/>
      <c r="BK149" s="64"/>
      <c r="BL149" s="69"/>
      <c r="BM149" s="64"/>
      <c r="BN149" s="69"/>
      <c r="BO149" s="64"/>
      <c r="BP149" s="69"/>
      <c r="BQ149" s="64"/>
      <c r="BR149" s="69"/>
      <c r="BS149" s="64"/>
      <c r="BT149" s="69"/>
      <c r="BU149" t="b">
        <f t="shared" si="2"/>
        <v>0</v>
      </c>
    </row>
    <row r="150" spans="1:73" x14ac:dyDescent="0.25">
      <c r="A150" s="28"/>
      <c r="B150" s="29"/>
      <c r="C150" s="29"/>
      <c r="D150" s="30"/>
      <c r="E150" s="29"/>
      <c r="F150" s="30"/>
      <c r="G150" s="29"/>
      <c r="H150" s="69"/>
      <c r="I150" s="64"/>
      <c r="J150" s="69"/>
      <c r="K150" s="64"/>
      <c r="L150" s="69"/>
      <c r="M150" s="65"/>
      <c r="N150" s="69"/>
      <c r="O150" s="64"/>
      <c r="P150" s="69"/>
      <c r="Q150" s="64"/>
      <c r="R150" s="69"/>
      <c r="S150" s="64"/>
      <c r="T150" s="69"/>
      <c r="U150" s="64"/>
      <c r="V150" s="69"/>
      <c r="W150" s="65"/>
      <c r="X150" s="69"/>
      <c r="Y150" s="64"/>
      <c r="Z150" s="69"/>
      <c r="AA150" s="64"/>
      <c r="AB150" s="69"/>
      <c r="AC150" s="64"/>
      <c r="AD150" s="69"/>
      <c r="AE150" s="65"/>
      <c r="AF150" s="69"/>
      <c r="AG150" s="65"/>
      <c r="AH150" s="69"/>
      <c r="AI150" s="64"/>
      <c r="AJ150" s="69"/>
      <c r="AK150" s="64"/>
      <c r="AL150" s="69"/>
      <c r="AM150" s="64"/>
      <c r="AN150" s="69"/>
      <c r="AO150" s="64"/>
      <c r="AP150" s="69"/>
      <c r="AQ150" s="64"/>
      <c r="AR150" s="69"/>
      <c r="AS150" s="64"/>
      <c r="AT150" s="69"/>
      <c r="AU150" s="64"/>
      <c r="AV150" s="69"/>
      <c r="AW150" s="64"/>
      <c r="AX150" s="69"/>
      <c r="AY150" s="64"/>
      <c r="AZ150" s="69"/>
      <c r="BA150" s="64"/>
      <c r="BB150" s="69"/>
      <c r="BC150" s="64"/>
      <c r="BD150" s="69"/>
      <c r="BE150" s="64"/>
      <c r="BF150" s="69"/>
      <c r="BG150" s="64"/>
      <c r="BH150" s="69"/>
      <c r="BI150" s="64"/>
      <c r="BJ150" s="69"/>
      <c r="BK150" s="64"/>
      <c r="BL150" s="69"/>
      <c r="BM150" s="64"/>
      <c r="BN150" s="69"/>
      <c r="BO150" s="64"/>
      <c r="BP150" s="69"/>
      <c r="BQ150" s="64"/>
      <c r="BR150" s="69"/>
      <c r="BS150" s="64"/>
      <c r="BT150" s="69"/>
      <c r="BU150" t="b">
        <f t="shared" si="2"/>
        <v>0</v>
      </c>
    </row>
    <row r="151" spans="1:73" x14ac:dyDescent="0.25">
      <c r="A151" s="28"/>
      <c r="B151" s="29"/>
      <c r="C151" s="29"/>
      <c r="D151" s="30"/>
      <c r="E151" s="29"/>
      <c r="F151" s="30"/>
      <c r="G151" s="29"/>
      <c r="H151" s="69"/>
      <c r="I151" s="64"/>
      <c r="J151" s="69"/>
      <c r="K151" s="64"/>
      <c r="L151" s="69"/>
      <c r="M151" s="65"/>
      <c r="N151" s="69"/>
      <c r="O151" s="64"/>
      <c r="P151" s="69"/>
      <c r="Q151" s="64"/>
      <c r="R151" s="69"/>
      <c r="S151" s="64"/>
      <c r="T151" s="69"/>
      <c r="U151" s="64"/>
      <c r="V151" s="69"/>
      <c r="W151" s="65"/>
      <c r="X151" s="69"/>
      <c r="Y151" s="64"/>
      <c r="Z151" s="69"/>
      <c r="AA151" s="64"/>
      <c r="AB151" s="69"/>
      <c r="AC151" s="64"/>
      <c r="AD151" s="69"/>
      <c r="AE151" s="65"/>
      <c r="AF151" s="69"/>
      <c r="AG151" s="65"/>
      <c r="AH151" s="69"/>
      <c r="AI151" s="64"/>
      <c r="AJ151" s="69"/>
      <c r="AK151" s="64"/>
      <c r="AL151" s="69"/>
      <c r="AM151" s="64"/>
      <c r="AN151" s="69"/>
      <c r="AO151" s="64"/>
      <c r="AP151" s="69"/>
      <c r="AQ151" s="64"/>
      <c r="AR151" s="69"/>
      <c r="AS151" s="64"/>
      <c r="AT151" s="69"/>
      <c r="AU151" s="64"/>
      <c r="AV151" s="69"/>
      <c r="AW151" s="64"/>
      <c r="AX151" s="69"/>
      <c r="AY151" s="64"/>
      <c r="AZ151" s="69"/>
      <c r="BA151" s="64"/>
      <c r="BB151" s="69"/>
      <c r="BC151" s="64"/>
      <c r="BD151" s="69"/>
      <c r="BE151" s="64"/>
      <c r="BF151" s="69"/>
      <c r="BG151" s="64"/>
      <c r="BH151" s="69"/>
      <c r="BI151" s="64"/>
      <c r="BJ151" s="69"/>
      <c r="BK151" s="64"/>
      <c r="BL151" s="69"/>
      <c r="BM151" s="64"/>
      <c r="BN151" s="69"/>
      <c r="BO151" s="64"/>
      <c r="BP151" s="69"/>
      <c r="BQ151" s="64"/>
      <c r="BR151" s="69"/>
      <c r="BS151" s="64"/>
      <c r="BT151" s="69"/>
      <c r="BU151" t="b">
        <f t="shared" si="2"/>
        <v>0</v>
      </c>
    </row>
    <row r="152" spans="1:73" x14ac:dyDescent="0.25">
      <c r="A152" s="28"/>
      <c r="B152" s="29"/>
      <c r="C152" s="29"/>
      <c r="D152" s="30"/>
      <c r="E152" s="29"/>
      <c r="F152" s="30"/>
      <c r="G152" s="29"/>
      <c r="H152" s="69"/>
      <c r="I152" s="64"/>
      <c r="J152" s="69"/>
      <c r="K152" s="64"/>
      <c r="L152" s="69"/>
      <c r="M152" s="65"/>
      <c r="N152" s="69"/>
      <c r="O152" s="64"/>
      <c r="P152" s="69"/>
      <c r="Q152" s="64"/>
      <c r="R152" s="69"/>
      <c r="S152" s="64"/>
      <c r="T152" s="69"/>
      <c r="U152" s="64"/>
      <c r="V152" s="69"/>
      <c r="W152" s="65"/>
      <c r="X152" s="69"/>
      <c r="Y152" s="64"/>
      <c r="Z152" s="69"/>
      <c r="AA152" s="64"/>
      <c r="AB152" s="69"/>
      <c r="AC152" s="64"/>
      <c r="AD152" s="69"/>
      <c r="AE152" s="65"/>
      <c r="AF152" s="69"/>
      <c r="AG152" s="65"/>
      <c r="AH152" s="69"/>
      <c r="AI152" s="64"/>
      <c r="AJ152" s="69"/>
      <c r="AK152" s="64"/>
      <c r="AL152" s="69"/>
      <c r="AM152" s="64"/>
      <c r="AN152" s="69"/>
      <c r="AO152" s="64"/>
      <c r="AP152" s="69"/>
      <c r="AQ152" s="64"/>
      <c r="AR152" s="69"/>
      <c r="AS152" s="64"/>
      <c r="AT152" s="69"/>
      <c r="AU152" s="64"/>
      <c r="AV152" s="69"/>
      <c r="AW152" s="64"/>
      <c r="AX152" s="69"/>
      <c r="AY152" s="64"/>
      <c r="AZ152" s="69"/>
      <c r="BA152" s="64"/>
      <c r="BB152" s="69"/>
      <c r="BC152" s="64"/>
      <c r="BD152" s="69"/>
      <c r="BE152" s="64"/>
      <c r="BF152" s="69"/>
      <c r="BG152" s="64"/>
      <c r="BH152" s="69"/>
      <c r="BI152" s="64"/>
      <c r="BJ152" s="69"/>
      <c r="BK152" s="64"/>
      <c r="BL152" s="69"/>
      <c r="BM152" s="64"/>
      <c r="BN152" s="69"/>
      <c r="BO152" s="64"/>
      <c r="BP152" s="69"/>
      <c r="BQ152" s="64"/>
      <c r="BR152" s="69"/>
      <c r="BS152" s="64"/>
      <c r="BT152" s="69"/>
      <c r="BU152" t="b">
        <f t="shared" si="2"/>
        <v>0</v>
      </c>
    </row>
    <row r="153" spans="1:73" x14ac:dyDescent="0.25">
      <c r="A153" s="28"/>
      <c r="B153" s="29"/>
      <c r="C153" s="29"/>
      <c r="D153" s="30"/>
      <c r="E153" s="29"/>
      <c r="F153" s="30"/>
      <c r="G153" s="29"/>
      <c r="H153" s="69"/>
      <c r="I153" s="64"/>
      <c r="J153" s="69"/>
      <c r="K153" s="64"/>
      <c r="L153" s="69"/>
      <c r="M153" s="65"/>
      <c r="N153" s="69"/>
      <c r="O153" s="64"/>
      <c r="P153" s="69"/>
      <c r="Q153" s="64"/>
      <c r="R153" s="69"/>
      <c r="S153" s="64"/>
      <c r="T153" s="69"/>
      <c r="U153" s="64"/>
      <c r="V153" s="69"/>
      <c r="W153" s="65"/>
      <c r="X153" s="69"/>
      <c r="Y153" s="64"/>
      <c r="Z153" s="69"/>
      <c r="AA153" s="64"/>
      <c r="AB153" s="69"/>
      <c r="AC153" s="64"/>
      <c r="AD153" s="69"/>
      <c r="AE153" s="65"/>
      <c r="AF153" s="69"/>
      <c r="AG153" s="65"/>
      <c r="AH153" s="69"/>
      <c r="AI153" s="64"/>
      <c r="AJ153" s="69"/>
      <c r="AK153" s="64"/>
      <c r="AL153" s="69"/>
      <c r="AM153" s="64"/>
      <c r="AN153" s="69"/>
      <c r="AO153" s="64"/>
      <c r="AP153" s="69"/>
      <c r="AQ153" s="64"/>
      <c r="AR153" s="69"/>
      <c r="AS153" s="64"/>
      <c r="AT153" s="69"/>
      <c r="AU153" s="64"/>
      <c r="AV153" s="69"/>
      <c r="AW153" s="64"/>
      <c r="AX153" s="69"/>
      <c r="AY153" s="64"/>
      <c r="AZ153" s="69"/>
      <c r="BA153" s="64"/>
      <c r="BB153" s="69"/>
      <c r="BC153" s="64"/>
      <c r="BD153" s="69"/>
      <c r="BE153" s="64"/>
      <c r="BF153" s="69"/>
      <c r="BG153" s="64"/>
      <c r="BH153" s="69"/>
      <c r="BI153" s="64"/>
      <c r="BJ153" s="69"/>
      <c r="BK153" s="64"/>
      <c r="BL153" s="69"/>
      <c r="BM153" s="64"/>
      <c r="BN153" s="69"/>
      <c r="BO153" s="64"/>
      <c r="BP153" s="69"/>
      <c r="BQ153" s="64"/>
      <c r="BR153" s="69"/>
      <c r="BS153" s="64"/>
      <c r="BT153" s="69"/>
      <c r="BU153" t="b">
        <f t="shared" si="2"/>
        <v>0</v>
      </c>
    </row>
    <row r="154" spans="1:73" x14ac:dyDescent="0.25">
      <c r="A154" s="28"/>
      <c r="B154" s="29"/>
      <c r="C154" s="29"/>
      <c r="D154" s="30"/>
      <c r="E154" s="29"/>
      <c r="F154" s="30"/>
      <c r="G154" s="29"/>
      <c r="H154" s="69"/>
      <c r="I154" s="64"/>
      <c r="J154" s="69"/>
      <c r="K154" s="64"/>
      <c r="L154" s="69"/>
      <c r="M154" s="65"/>
      <c r="N154" s="69"/>
      <c r="O154" s="64"/>
      <c r="P154" s="69"/>
      <c r="Q154" s="64"/>
      <c r="R154" s="69"/>
      <c r="S154" s="64"/>
      <c r="T154" s="69"/>
      <c r="U154" s="64"/>
      <c r="V154" s="69"/>
      <c r="W154" s="65"/>
      <c r="X154" s="69"/>
      <c r="Y154" s="64"/>
      <c r="Z154" s="69"/>
      <c r="AA154" s="64"/>
      <c r="AB154" s="69"/>
      <c r="AC154" s="64"/>
      <c r="AD154" s="69"/>
      <c r="AE154" s="65"/>
      <c r="AF154" s="69"/>
      <c r="AG154" s="65"/>
      <c r="AH154" s="69"/>
      <c r="AI154" s="64"/>
      <c r="AJ154" s="69"/>
      <c r="AK154" s="64"/>
      <c r="AL154" s="69"/>
      <c r="AM154" s="64"/>
      <c r="AN154" s="69"/>
      <c r="AO154" s="64"/>
      <c r="AP154" s="69"/>
      <c r="AQ154" s="64"/>
      <c r="AR154" s="69"/>
      <c r="AS154" s="64"/>
      <c r="AT154" s="69"/>
      <c r="AU154" s="64"/>
      <c r="AV154" s="69"/>
      <c r="AW154" s="64"/>
      <c r="AX154" s="69"/>
      <c r="AY154" s="64"/>
      <c r="AZ154" s="69"/>
      <c r="BA154" s="64"/>
      <c r="BB154" s="69"/>
      <c r="BC154" s="64"/>
      <c r="BD154" s="69"/>
      <c r="BE154" s="64"/>
      <c r="BF154" s="69"/>
      <c r="BG154" s="64"/>
      <c r="BH154" s="69"/>
      <c r="BI154" s="64"/>
      <c r="BJ154" s="69"/>
      <c r="BK154" s="64"/>
      <c r="BL154" s="69"/>
      <c r="BM154" s="64"/>
      <c r="BN154" s="69"/>
      <c r="BO154" s="64"/>
      <c r="BP154" s="69"/>
      <c r="BQ154" s="64"/>
      <c r="BR154" s="69"/>
      <c r="BS154" s="64"/>
      <c r="BT154" s="69"/>
      <c r="BU154" t="b">
        <f t="shared" si="2"/>
        <v>0</v>
      </c>
    </row>
    <row r="155" spans="1:73" x14ac:dyDescent="0.25">
      <c r="A155" s="28"/>
      <c r="B155" s="29"/>
      <c r="C155" s="29"/>
      <c r="D155" s="30"/>
      <c r="E155" s="29"/>
      <c r="F155" s="30"/>
      <c r="G155" s="29"/>
      <c r="H155" s="69"/>
      <c r="I155" s="64"/>
      <c r="J155" s="69"/>
      <c r="K155" s="64"/>
      <c r="L155" s="69"/>
      <c r="M155" s="65"/>
      <c r="N155" s="69"/>
      <c r="O155" s="64"/>
      <c r="P155" s="69"/>
      <c r="Q155" s="64"/>
      <c r="R155" s="69"/>
      <c r="S155" s="64"/>
      <c r="T155" s="69"/>
      <c r="U155" s="64"/>
      <c r="V155" s="69"/>
      <c r="W155" s="65"/>
      <c r="X155" s="69"/>
      <c r="Y155" s="64"/>
      <c r="Z155" s="69"/>
      <c r="AA155" s="64"/>
      <c r="AB155" s="69"/>
      <c r="AC155" s="64"/>
      <c r="AD155" s="69"/>
      <c r="AE155" s="65"/>
      <c r="AF155" s="69"/>
      <c r="AG155" s="65"/>
      <c r="AH155" s="69"/>
      <c r="AI155" s="64"/>
      <c r="AJ155" s="69"/>
      <c r="AK155" s="64"/>
      <c r="AL155" s="69"/>
      <c r="AM155" s="64"/>
      <c r="AN155" s="69"/>
      <c r="AO155" s="64"/>
      <c r="AP155" s="69"/>
      <c r="AQ155" s="64"/>
      <c r="AR155" s="69"/>
      <c r="AS155" s="64"/>
      <c r="AT155" s="69"/>
      <c r="AU155" s="64"/>
      <c r="AV155" s="69"/>
      <c r="AW155" s="64"/>
      <c r="AX155" s="69"/>
      <c r="AY155" s="64"/>
      <c r="AZ155" s="69"/>
      <c r="BA155" s="64"/>
      <c r="BB155" s="69"/>
      <c r="BC155" s="64"/>
      <c r="BD155" s="69"/>
      <c r="BE155" s="64"/>
      <c r="BF155" s="69"/>
      <c r="BG155" s="64"/>
      <c r="BH155" s="69"/>
      <c r="BI155" s="64"/>
      <c r="BJ155" s="69"/>
      <c r="BK155" s="64"/>
      <c r="BL155" s="69"/>
      <c r="BM155" s="64"/>
      <c r="BN155" s="69"/>
      <c r="BO155" s="64"/>
      <c r="BP155" s="69"/>
      <c r="BQ155" s="64"/>
      <c r="BR155" s="69"/>
      <c r="BS155" s="64"/>
      <c r="BT155" s="69"/>
      <c r="BU155" t="b">
        <f t="shared" si="2"/>
        <v>0</v>
      </c>
    </row>
    <row r="156" spans="1:73" x14ac:dyDescent="0.25">
      <c r="A156" s="28"/>
      <c r="B156" s="29"/>
      <c r="C156" s="29"/>
      <c r="D156" s="30"/>
      <c r="E156" s="29"/>
      <c r="F156" s="30"/>
      <c r="G156" s="29"/>
      <c r="H156" s="69"/>
      <c r="I156" s="64"/>
      <c r="J156" s="69"/>
      <c r="K156" s="64"/>
      <c r="L156" s="69"/>
      <c r="M156" s="65"/>
      <c r="N156" s="69"/>
      <c r="O156" s="64"/>
      <c r="P156" s="69"/>
      <c r="Q156" s="64"/>
      <c r="R156" s="69"/>
      <c r="S156" s="64"/>
      <c r="T156" s="69"/>
      <c r="U156" s="64"/>
      <c r="V156" s="69"/>
      <c r="W156" s="65"/>
      <c r="X156" s="69"/>
      <c r="Y156" s="64"/>
      <c r="Z156" s="69"/>
      <c r="AA156" s="64"/>
      <c r="AB156" s="69"/>
      <c r="AC156" s="64"/>
      <c r="AD156" s="69"/>
      <c r="AE156" s="65"/>
      <c r="AF156" s="69"/>
      <c r="AG156" s="65"/>
      <c r="AH156" s="69"/>
      <c r="AI156" s="64"/>
      <c r="AJ156" s="69"/>
      <c r="AK156" s="64"/>
      <c r="AL156" s="69"/>
      <c r="AM156" s="64"/>
      <c r="AN156" s="69"/>
      <c r="AO156" s="64"/>
      <c r="AP156" s="69"/>
      <c r="AQ156" s="64"/>
      <c r="AR156" s="69"/>
      <c r="AS156" s="64"/>
      <c r="AT156" s="69"/>
      <c r="AU156" s="64"/>
      <c r="AV156" s="69"/>
      <c r="AW156" s="64"/>
      <c r="AX156" s="69"/>
      <c r="AY156" s="64"/>
      <c r="AZ156" s="69"/>
      <c r="BA156" s="64"/>
      <c r="BB156" s="69"/>
      <c r="BC156" s="64"/>
      <c r="BD156" s="69"/>
      <c r="BE156" s="64"/>
      <c r="BF156" s="69"/>
      <c r="BG156" s="64"/>
      <c r="BH156" s="69"/>
      <c r="BI156" s="64"/>
      <c r="BJ156" s="69"/>
      <c r="BK156" s="64"/>
      <c r="BL156" s="69"/>
      <c r="BM156" s="64"/>
      <c r="BN156" s="69"/>
      <c r="BO156" s="64"/>
      <c r="BP156" s="69"/>
      <c r="BQ156" s="64"/>
      <c r="BR156" s="69"/>
      <c r="BS156" s="64"/>
      <c r="BT156" s="69"/>
      <c r="BU156" t="b">
        <f t="shared" si="2"/>
        <v>0</v>
      </c>
    </row>
    <row r="157" spans="1:73" x14ac:dyDescent="0.25">
      <c r="A157" s="28"/>
      <c r="B157" s="29"/>
      <c r="C157" s="29"/>
      <c r="D157" s="30"/>
      <c r="E157" s="29"/>
      <c r="F157" s="30"/>
      <c r="G157" s="29"/>
      <c r="H157" s="69"/>
      <c r="I157" s="64"/>
      <c r="J157" s="69"/>
      <c r="K157" s="64"/>
      <c r="L157" s="69"/>
      <c r="M157" s="65"/>
      <c r="N157" s="69"/>
      <c r="O157" s="64"/>
      <c r="P157" s="69"/>
      <c r="Q157" s="64"/>
      <c r="R157" s="69"/>
      <c r="S157" s="64"/>
      <c r="T157" s="69"/>
      <c r="U157" s="64"/>
      <c r="V157" s="69"/>
      <c r="W157" s="65"/>
      <c r="X157" s="69"/>
      <c r="Y157" s="64"/>
      <c r="Z157" s="69"/>
      <c r="AA157" s="64"/>
      <c r="AB157" s="69"/>
      <c r="AC157" s="64"/>
      <c r="AD157" s="69"/>
      <c r="AE157" s="65"/>
      <c r="AF157" s="69"/>
      <c r="AG157" s="65"/>
      <c r="AH157" s="69"/>
      <c r="AI157" s="64"/>
      <c r="AJ157" s="69"/>
      <c r="AK157" s="64"/>
      <c r="AL157" s="69"/>
      <c r="AM157" s="64"/>
      <c r="AN157" s="69"/>
      <c r="AO157" s="64"/>
      <c r="AP157" s="69"/>
      <c r="AQ157" s="64"/>
      <c r="AR157" s="69"/>
      <c r="AS157" s="64"/>
      <c r="AT157" s="69"/>
      <c r="AU157" s="64"/>
      <c r="AV157" s="69"/>
      <c r="AW157" s="64"/>
      <c r="AX157" s="69"/>
      <c r="AY157" s="64"/>
      <c r="AZ157" s="69"/>
      <c r="BA157" s="64"/>
      <c r="BB157" s="69"/>
      <c r="BC157" s="64"/>
      <c r="BD157" s="69"/>
      <c r="BE157" s="64"/>
      <c r="BF157" s="69"/>
      <c r="BG157" s="64"/>
      <c r="BH157" s="69"/>
      <c r="BI157" s="64"/>
      <c r="BJ157" s="69"/>
      <c r="BK157" s="64"/>
      <c r="BL157" s="69"/>
      <c r="BM157" s="64"/>
      <c r="BN157" s="69"/>
      <c r="BO157" s="64"/>
      <c r="BP157" s="69"/>
      <c r="BQ157" s="64"/>
      <c r="BR157" s="69"/>
      <c r="BS157" s="64"/>
      <c r="BT157" s="69"/>
      <c r="BU157" t="b">
        <f t="shared" si="2"/>
        <v>0</v>
      </c>
    </row>
    <row r="158" spans="1:73" x14ac:dyDescent="0.25">
      <c r="A158" s="28"/>
      <c r="B158" s="29"/>
      <c r="C158" s="29"/>
      <c r="D158" s="30"/>
      <c r="E158" s="29"/>
      <c r="F158" s="30"/>
      <c r="G158" s="29"/>
      <c r="H158" s="69"/>
      <c r="I158" s="64"/>
      <c r="J158" s="69"/>
      <c r="K158" s="64"/>
      <c r="L158" s="69"/>
      <c r="M158" s="65"/>
      <c r="N158" s="69"/>
      <c r="O158" s="64"/>
      <c r="P158" s="69"/>
      <c r="Q158" s="64"/>
      <c r="R158" s="69"/>
      <c r="S158" s="64"/>
      <c r="T158" s="69"/>
      <c r="U158" s="64"/>
      <c r="V158" s="69"/>
      <c r="W158" s="65"/>
      <c r="X158" s="69"/>
      <c r="Y158" s="64"/>
      <c r="Z158" s="69"/>
      <c r="AA158" s="64"/>
      <c r="AB158" s="69"/>
      <c r="AC158" s="64"/>
      <c r="AD158" s="69"/>
      <c r="AE158" s="65"/>
      <c r="AF158" s="69"/>
      <c r="AG158" s="65"/>
      <c r="AH158" s="69"/>
      <c r="AI158" s="64"/>
      <c r="AJ158" s="69"/>
      <c r="AK158" s="64"/>
      <c r="AL158" s="69"/>
      <c r="AM158" s="64"/>
      <c r="AN158" s="69"/>
      <c r="AO158" s="64"/>
      <c r="AP158" s="69"/>
      <c r="AQ158" s="64"/>
      <c r="AR158" s="69"/>
      <c r="AS158" s="64"/>
      <c r="AT158" s="69"/>
      <c r="AU158" s="64"/>
      <c r="AV158" s="69"/>
      <c r="AW158" s="64"/>
      <c r="AX158" s="69"/>
      <c r="AY158" s="64"/>
      <c r="AZ158" s="69"/>
      <c r="BA158" s="64"/>
      <c r="BB158" s="69"/>
      <c r="BC158" s="64"/>
      <c r="BD158" s="69"/>
      <c r="BE158" s="64"/>
      <c r="BF158" s="69"/>
      <c r="BG158" s="64"/>
      <c r="BH158" s="69"/>
      <c r="BI158" s="64"/>
      <c r="BJ158" s="69"/>
      <c r="BK158" s="64"/>
      <c r="BL158" s="69"/>
      <c r="BM158" s="64"/>
      <c r="BN158" s="69"/>
      <c r="BO158" s="64"/>
      <c r="BP158" s="69"/>
      <c r="BQ158" s="64"/>
      <c r="BR158" s="69"/>
      <c r="BS158" s="64"/>
      <c r="BT158" s="69"/>
      <c r="BU158" t="b">
        <f t="shared" si="2"/>
        <v>0</v>
      </c>
    </row>
    <row r="159" spans="1:73" x14ac:dyDescent="0.25">
      <c r="A159" s="28"/>
      <c r="B159" s="29"/>
      <c r="C159" s="29"/>
      <c r="D159" s="30"/>
      <c r="E159" s="29"/>
      <c r="F159" s="30"/>
      <c r="G159" s="29"/>
      <c r="H159" s="69"/>
      <c r="I159" s="64"/>
      <c r="J159" s="69"/>
      <c r="K159" s="64"/>
      <c r="L159" s="69"/>
      <c r="M159" s="65"/>
      <c r="N159" s="69"/>
      <c r="O159" s="64"/>
      <c r="P159" s="69"/>
      <c r="Q159" s="64"/>
      <c r="R159" s="69"/>
      <c r="S159" s="64"/>
      <c r="T159" s="69"/>
      <c r="U159" s="64"/>
      <c r="V159" s="69"/>
      <c r="W159" s="65"/>
      <c r="X159" s="69"/>
      <c r="Y159" s="64"/>
      <c r="Z159" s="69"/>
      <c r="AA159" s="64"/>
      <c r="AB159" s="69"/>
      <c r="AC159" s="64"/>
      <c r="AD159" s="69"/>
      <c r="AE159" s="65"/>
      <c r="AF159" s="69"/>
      <c r="AG159" s="65"/>
      <c r="AH159" s="69"/>
      <c r="AI159" s="64"/>
      <c r="AJ159" s="69"/>
      <c r="AK159" s="64"/>
      <c r="AL159" s="69"/>
      <c r="AM159" s="64"/>
      <c r="AN159" s="69"/>
      <c r="AO159" s="64"/>
      <c r="AP159" s="69"/>
      <c r="AQ159" s="64"/>
      <c r="AR159" s="69"/>
      <c r="AS159" s="64"/>
      <c r="AT159" s="69"/>
      <c r="AU159" s="64"/>
      <c r="AV159" s="69"/>
      <c r="AW159" s="64"/>
      <c r="AX159" s="69"/>
      <c r="AY159" s="64"/>
      <c r="AZ159" s="69"/>
      <c r="BA159" s="64"/>
      <c r="BB159" s="69"/>
      <c r="BC159" s="64"/>
      <c r="BD159" s="69"/>
      <c r="BE159" s="64"/>
      <c r="BF159" s="69"/>
      <c r="BG159" s="64"/>
      <c r="BH159" s="69"/>
      <c r="BI159" s="64"/>
      <c r="BJ159" s="69"/>
      <c r="BK159" s="64"/>
      <c r="BL159" s="69"/>
      <c r="BM159" s="64"/>
      <c r="BN159" s="69"/>
      <c r="BO159" s="64"/>
      <c r="BP159" s="69"/>
      <c r="BQ159" s="64"/>
      <c r="BR159" s="69"/>
      <c r="BS159" s="64"/>
      <c r="BT159" s="69"/>
      <c r="BU159" t="b">
        <f t="shared" si="2"/>
        <v>0</v>
      </c>
    </row>
    <row r="160" spans="1:73" x14ac:dyDescent="0.25">
      <c r="A160" s="28"/>
      <c r="B160" s="29"/>
      <c r="C160" s="29"/>
      <c r="D160" s="30"/>
      <c r="E160" s="29"/>
      <c r="F160" s="30"/>
      <c r="G160" s="29"/>
      <c r="H160" s="69"/>
      <c r="I160" s="64"/>
      <c r="J160" s="69"/>
      <c r="K160" s="64"/>
      <c r="L160" s="69"/>
      <c r="M160" s="65"/>
      <c r="N160" s="69"/>
      <c r="O160" s="64"/>
      <c r="P160" s="69"/>
      <c r="Q160" s="64"/>
      <c r="R160" s="69"/>
      <c r="S160" s="64"/>
      <c r="T160" s="69"/>
      <c r="U160" s="64"/>
      <c r="V160" s="69"/>
      <c r="W160" s="65"/>
      <c r="X160" s="69"/>
      <c r="Y160" s="64"/>
      <c r="Z160" s="69"/>
      <c r="AA160" s="64"/>
      <c r="AB160" s="69"/>
      <c r="AC160" s="64"/>
      <c r="AD160" s="69"/>
      <c r="AE160" s="65"/>
      <c r="AF160" s="69"/>
      <c r="AG160" s="65"/>
      <c r="AH160" s="69"/>
      <c r="AI160" s="64"/>
      <c r="AJ160" s="69"/>
      <c r="AK160" s="64"/>
      <c r="AL160" s="69"/>
      <c r="AM160" s="64"/>
      <c r="AN160" s="69"/>
      <c r="AO160" s="64"/>
      <c r="AP160" s="69"/>
      <c r="AQ160" s="64"/>
      <c r="AR160" s="69"/>
      <c r="AS160" s="64"/>
      <c r="AT160" s="69"/>
      <c r="AU160" s="64"/>
      <c r="AV160" s="69"/>
      <c r="AW160" s="64"/>
      <c r="AX160" s="69"/>
      <c r="AY160" s="64"/>
      <c r="AZ160" s="69"/>
      <c r="BA160" s="64"/>
      <c r="BB160" s="69"/>
      <c r="BC160" s="64"/>
      <c r="BD160" s="69"/>
      <c r="BE160" s="64"/>
      <c r="BF160" s="69"/>
      <c r="BG160" s="64"/>
      <c r="BH160" s="69"/>
      <c r="BI160" s="64"/>
      <c r="BJ160" s="69"/>
      <c r="BK160" s="64"/>
      <c r="BL160" s="69"/>
      <c r="BM160" s="64"/>
      <c r="BN160" s="69"/>
      <c r="BO160" s="64"/>
      <c r="BP160" s="69"/>
      <c r="BQ160" s="64"/>
      <c r="BR160" s="69"/>
      <c r="BS160" s="64"/>
      <c r="BT160" s="69"/>
      <c r="BU160" t="b">
        <f t="shared" si="2"/>
        <v>0</v>
      </c>
    </row>
    <row r="161" spans="1:73" x14ac:dyDescent="0.25">
      <c r="A161" s="28"/>
      <c r="B161" s="29"/>
      <c r="C161" s="29"/>
      <c r="D161" s="30"/>
      <c r="E161" s="29"/>
      <c r="F161" s="30"/>
      <c r="G161" s="29"/>
      <c r="H161" s="69"/>
      <c r="I161" s="64"/>
      <c r="J161" s="69"/>
      <c r="K161" s="64"/>
      <c r="L161" s="69"/>
      <c r="M161" s="65"/>
      <c r="N161" s="69"/>
      <c r="O161" s="64"/>
      <c r="P161" s="69"/>
      <c r="Q161" s="64"/>
      <c r="R161" s="69"/>
      <c r="S161" s="64"/>
      <c r="T161" s="69"/>
      <c r="U161" s="64"/>
      <c r="V161" s="69"/>
      <c r="W161" s="65"/>
      <c r="X161" s="69"/>
      <c r="Y161" s="64"/>
      <c r="Z161" s="69"/>
      <c r="AA161" s="64"/>
      <c r="AB161" s="69"/>
      <c r="AC161" s="64"/>
      <c r="AD161" s="69"/>
      <c r="AE161" s="65"/>
      <c r="AF161" s="69"/>
      <c r="AG161" s="65"/>
      <c r="AH161" s="69"/>
      <c r="AI161" s="64"/>
      <c r="AJ161" s="69"/>
      <c r="AK161" s="64"/>
      <c r="AL161" s="69"/>
      <c r="AM161" s="64"/>
      <c r="AN161" s="69"/>
      <c r="AO161" s="64"/>
      <c r="AP161" s="69"/>
      <c r="AQ161" s="64"/>
      <c r="AR161" s="69"/>
      <c r="AS161" s="64"/>
      <c r="AT161" s="69"/>
      <c r="AU161" s="64"/>
      <c r="AV161" s="69"/>
      <c r="AW161" s="64"/>
      <c r="AX161" s="69"/>
      <c r="AY161" s="64"/>
      <c r="AZ161" s="69"/>
      <c r="BA161" s="64"/>
      <c r="BB161" s="69"/>
      <c r="BC161" s="64"/>
      <c r="BD161" s="69"/>
      <c r="BE161" s="64"/>
      <c r="BF161" s="69"/>
      <c r="BG161" s="64"/>
      <c r="BH161" s="69"/>
      <c r="BI161" s="64"/>
      <c r="BJ161" s="69"/>
      <c r="BK161" s="64"/>
      <c r="BL161" s="69"/>
      <c r="BM161" s="64"/>
      <c r="BN161" s="69"/>
      <c r="BO161" s="64"/>
      <c r="BP161" s="69"/>
      <c r="BQ161" s="64"/>
      <c r="BR161" s="69"/>
      <c r="BS161" s="64"/>
      <c r="BT161" s="69"/>
      <c r="BU161" t="b">
        <f t="shared" si="2"/>
        <v>0</v>
      </c>
    </row>
    <row r="162" spans="1:73" x14ac:dyDescent="0.25">
      <c r="A162" s="28"/>
      <c r="B162" s="29"/>
      <c r="C162" s="29"/>
      <c r="D162" s="30"/>
      <c r="E162" s="29"/>
      <c r="F162" s="30"/>
      <c r="G162" s="29"/>
      <c r="H162" s="69"/>
      <c r="I162" s="64"/>
      <c r="J162" s="69"/>
      <c r="K162" s="64"/>
      <c r="L162" s="69"/>
      <c r="M162" s="65"/>
      <c r="N162" s="69"/>
      <c r="O162" s="64"/>
      <c r="P162" s="69"/>
      <c r="Q162" s="64"/>
      <c r="R162" s="69"/>
      <c r="S162" s="64"/>
      <c r="T162" s="69"/>
      <c r="U162" s="64"/>
      <c r="V162" s="69"/>
      <c r="W162" s="65"/>
      <c r="X162" s="69"/>
      <c r="Y162" s="64"/>
      <c r="Z162" s="69"/>
      <c r="AA162" s="64"/>
      <c r="AB162" s="69"/>
      <c r="AC162" s="64"/>
      <c r="AD162" s="69"/>
      <c r="AE162" s="65"/>
      <c r="AF162" s="69"/>
      <c r="AG162" s="65"/>
      <c r="AH162" s="69"/>
      <c r="AI162" s="64"/>
      <c r="AJ162" s="69"/>
      <c r="AK162" s="64"/>
      <c r="AL162" s="69"/>
      <c r="AM162" s="64"/>
      <c r="AN162" s="69"/>
      <c r="AO162" s="64"/>
      <c r="AP162" s="69"/>
      <c r="AQ162" s="64"/>
      <c r="AR162" s="69"/>
      <c r="AS162" s="64"/>
      <c r="AT162" s="69"/>
      <c r="AU162" s="64"/>
      <c r="AV162" s="69"/>
      <c r="AW162" s="64"/>
      <c r="AX162" s="69"/>
      <c r="AY162" s="64"/>
      <c r="AZ162" s="69"/>
      <c r="BA162" s="64"/>
      <c r="BB162" s="69"/>
      <c r="BC162" s="64"/>
      <c r="BD162" s="69"/>
      <c r="BE162" s="64"/>
      <c r="BF162" s="69"/>
      <c r="BG162" s="64"/>
      <c r="BH162" s="69"/>
      <c r="BI162" s="64"/>
      <c r="BJ162" s="69"/>
      <c r="BK162" s="64"/>
      <c r="BL162" s="69"/>
      <c r="BM162" s="64"/>
      <c r="BN162" s="69"/>
      <c r="BO162" s="64"/>
      <c r="BP162" s="69"/>
      <c r="BQ162" s="64"/>
      <c r="BR162" s="69"/>
      <c r="BS162" s="64"/>
      <c r="BT162" s="69"/>
      <c r="BU162" t="b">
        <f t="shared" si="2"/>
        <v>0</v>
      </c>
    </row>
    <row r="163" spans="1:73" x14ac:dyDescent="0.25">
      <c r="A163" s="28"/>
      <c r="B163" s="29"/>
      <c r="C163" s="29"/>
      <c r="D163" s="30"/>
      <c r="E163" s="29"/>
      <c r="F163" s="30"/>
      <c r="G163" s="29"/>
      <c r="H163" s="69"/>
      <c r="I163" s="64"/>
      <c r="J163" s="69"/>
      <c r="K163" s="64"/>
      <c r="L163" s="69"/>
      <c r="M163" s="65"/>
      <c r="N163" s="69"/>
      <c r="O163" s="64"/>
      <c r="P163" s="69"/>
      <c r="Q163" s="64"/>
      <c r="R163" s="69"/>
      <c r="S163" s="64"/>
      <c r="T163" s="69"/>
      <c r="U163" s="64"/>
      <c r="V163" s="69"/>
      <c r="W163" s="65"/>
      <c r="X163" s="69"/>
      <c r="Y163" s="64"/>
      <c r="Z163" s="69"/>
      <c r="AA163" s="64"/>
      <c r="AB163" s="69"/>
      <c r="AC163" s="64"/>
      <c r="AD163" s="69"/>
      <c r="AE163" s="65"/>
      <c r="AF163" s="69"/>
      <c r="AG163" s="65"/>
      <c r="AH163" s="69"/>
      <c r="AI163" s="64"/>
      <c r="AJ163" s="69"/>
      <c r="AK163" s="64"/>
      <c r="AL163" s="69"/>
      <c r="AM163" s="64"/>
      <c r="AN163" s="69"/>
      <c r="AO163" s="64"/>
      <c r="AP163" s="69"/>
      <c r="AQ163" s="64"/>
      <c r="AR163" s="69"/>
      <c r="AS163" s="64"/>
      <c r="AT163" s="69"/>
      <c r="AU163" s="64"/>
      <c r="AV163" s="69"/>
      <c r="AW163" s="64"/>
      <c r="AX163" s="69"/>
      <c r="AY163" s="64"/>
      <c r="AZ163" s="69"/>
      <c r="BA163" s="64"/>
      <c r="BB163" s="69"/>
      <c r="BC163" s="64"/>
      <c r="BD163" s="69"/>
      <c r="BE163" s="64"/>
      <c r="BF163" s="69"/>
      <c r="BG163" s="64"/>
      <c r="BH163" s="69"/>
      <c r="BI163" s="64"/>
      <c r="BJ163" s="69"/>
      <c r="BK163" s="64"/>
      <c r="BL163" s="69"/>
      <c r="BM163" s="64"/>
      <c r="BN163" s="69"/>
      <c r="BO163" s="64"/>
      <c r="BP163" s="69"/>
      <c r="BQ163" s="64"/>
      <c r="BR163" s="69"/>
      <c r="BS163" s="64"/>
      <c r="BT163" s="69"/>
      <c r="BU163" t="b">
        <f t="shared" si="2"/>
        <v>0</v>
      </c>
    </row>
    <row r="164" spans="1:73" x14ac:dyDescent="0.25">
      <c r="A164" s="28"/>
      <c r="B164" s="29"/>
      <c r="C164" s="29"/>
      <c r="D164" s="30"/>
      <c r="E164" s="29"/>
      <c r="F164" s="30"/>
      <c r="G164" s="29"/>
      <c r="H164" s="69"/>
      <c r="I164" s="64"/>
      <c r="J164" s="69"/>
      <c r="K164" s="64"/>
      <c r="L164" s="69"/>
      <c r="M164" s="65"/>
      <c r="N164" s="69"/>
      <c r="O164" s="64"/>
      <c r="P164" s="69"/>
      <c r="Q164" s="64"/>
      <c r="R164" s="69"/>
      <c r="S164" s="64"/>
      <c r="T164" s="69"/>
      <c r="U164" s="64"/>
      <c r="V164" s="69"/>
      <c r="W164" s="65"/>
      <c r="X164" s="69"/>
      <c r="Y164" s="64"/>
      <c r="Z164" s="69"/>
      <c r="AA164" s="64"/>
      <c r="AB164" s="69"/>
      <c r="AC164" s="64"/>
      <c r="AD164" s="69"/>
      <c r="AE164" s="65"/>
      <c r="AF164" s="69"/>
      <c r="AG164" s="65"/>
      <c r="AH164" s="69"/>
      <c r="AI164" s="64"/>
      <c r="AJ164" s="69"/>
      <c r="AK164" s="64"/>
      <c r="AL164" s="69"/>
      <c r="AM164" s="64"/>
      <c r="AN164" s="69"/>
      <c r="AO164" s="64"/>
      <c r="AP164" s="69"/>
      <c r="AQ164" s="64"/>
      <c r="AR164" s="69"/>
      <c r="AS164" s="64"/>
      <c r="AT164" s="69"/>
      <c r="AU164" s="64"/>
      <c r="AV164" s="69"/>
      <c r="AW164" s="64"/>
      <c r="AX164" s="69"/>
      <c r="AY164" s="64"/>
      <c r="AZ164" s="69"/>
      <c r="BA164" s="64"/>
      <c r="BB164" s="69"/>
      <c r="BC164" s="64"/>
      <c r="BD164" s="69"/>
      <c r="BE164" s="64"/>
      <c r="BF164" s="69"/>
      <c r="BG164" s="64"/>
      <c r="BH164" s="69"/>
      <c r="BI164" s="64"/>
      <c r="BJ164" s="69"/>
      <c r="BK164" s="64"/>
      <c r="BL164" s="69"/>
      <c r="BM164" s="64"/>
      <c r="BN164" s="69"/>
      <c r="BO164" s="64"/>
      <c r="BP164" s="69"/>
      <c r="BQ164" s="64"/>
      <c r="BR164" s="69"/>
      <c r="BS164" s="64"/>
      <c r="BT164" s="69"/>
      <c r="BU164" t="b">
        <f t="shared" si="2"/>
        <v>0</v>
      </c>
    </row>
    <row r="165" spans="1:73" x14ac:dyDescent="0.25">
      <c r="A165" s="28"/>
      <c r="B165" s="29"/>
      <c r="C165" s="29"/>
      <c r="D165" s="30"/>
      <c r="E165" s="29"/>
      <c r="F165" s="30"/>
      <c r="G165" s="29"/>
      <c r="H165" s="69"/>
      <c r="I165" s="64"/>
      <c r="J165" s="69"/>
      <c r="K165" s="64"/>
      <c r="L165" s="69"/>
      <c r="M165" s="65"/>
      <c r="N165" s="69"/>
      <c r="O165" s="64"/>
      <c r="P165" s="69"/>
      <c r="Q165" s="64"/>
      <c r="R165" s="69"/>
      <c r="S165" s="64"/>
      <c r="T165" s="69"/>
      <c r="U165" s="64"/>
      <c r="V165" s="69"/>
      <c r="W165" s="65"/>
      <c r="X165" s="69"/>
      <c r="Y165" s="64"/>
      <c r="Z165" s="69"/>
      <c r="AA165" s="64"/>
      <c r="AB165" s="69"/>
      <c r="AC165" s="64"/>
      <c r="AD165" s="69"/>
      <c r="AE165" s="65"/>
      <c r="AF165" s="69"/>
      <c r="AG165" s="65"/>
      <c r="AH165" s="69"/>
      <c r="AI165" s="64"/>
      <c r="AJ165" s="69"/>
      <c r="AK165" s="64"/>
      <c r="AL165" s="69"/>
      <c r="AM165" s="64"/>
      <c r="AN165" s="69"/>
      <c r="AO165" s="64"/>
      <c r="AP165" s="69"/>
      <c r="AQ165" s="64"/>
      <c r="AR165" s="69"/>
      <c r="AS165" s="64"/>
      <c r="AT165" s="69"/>
      <c r="AU165" s="64"/>
      <c r="AV165" s="69"/>
      <c r="AW165" s="64"/>
      <c r="AX165" s="69"/>
      <c r="AY165" s="64"/>
      <c r="AZ165" s="69"/>
      <c r="BA165" s="64"/>
      <c r="BB165" s="69"/>
      <c r="BC165" s="64"/>
      <c r="BD165" s="69"/>
      <c r="BE165" s="64"/>
      <c r="BF165" s="69"/>
      <c r="BG165" s="64"/>
      <c r="BH165" s="69"/>
      <c r="BI165" s="64"/>
      <c r="BJ165" s="69"/>
      <c r="BK165" s="64"/>
      <c r="BL165" s="69"/>
      <c r="BM165" s="64"/>
      <c r="BN165" s="69"/>
      <c r="BO165" s="64"/>
      <c r="BP165" s="69"/>
      <c r="BQ165" s="64"/>
      <c r="BR165" s="69"/>
      <c r="BS165" s="64"/>
      <c r="BT165" s="69"/>
      <c r="BU165" t="b">
        <f t="shared" ref="BU165:BU228" si="3">NOT(AND(BR165="",BP165="",BN165="",BL165="",BJ165="",BH165="",BF165="",BD165="",BB165="",AZ165="",AX165="",AV165="",AT165="",AR165="",AP165="",AN165="",AL165="",AJ165="",AH165="",AF165="",AD165="",AB165="",Z165="",X165="",V165="",T165="",R165="",P165="",N165="", L165="",J165=""))</f>
        <v>0</v>
      </c>
    </row>
    <row r="166" spans="1:73" x14ac:dyDescent="0.25">
      <c r="A166" s="28"/>
      <c r="B166" s="29"/>
      <c r="C166" s="29"/>
      <c r="D166" s="30"/>
      <c r="E166" s="29"/>
      <c r="F166" s="30"/>
      <c r="G166" s="29"/>
      <c r="H166" s="69"/>
      <c r="I166" s="64"/>
      <c r="J166" s="69"/>
      <c r="K166" s="64"/>
      <c r="L166" s="69"/>
      <c r="M166" s="65"/>
      <c r="N166" s="69"/>
      <c r="O166" s="64"/>
      <c r="P166" s="69"/>
      <c r="Q166" s="64"/>
      <c r="R166" s="69"/>
      <c r="S166" s="64"/>
      <c r="T166" s="69"/>
      <c r="U166" s="64"/>
      <c r="V166" s="69"/>
      <c r="W166" s="65"/>
      <c r="X166" s="69"/>
      <c r="Y166" s="64"/>
      <c r="Z166" s="69"/>
      <c r="AA166" s="64"/>
      <c r="AB166" s="69"/>
      <c r="AC166" s="64"/>
      <c r="AD166" s="69"/>
      <c r="AE166" s="65"/>
      <c r="AF166" s="69"/>
      <c r="AG166" s="65"/>
      <c r="AH166" s="69"/>
      <c r="AI166" s="64"/>
      <c r="AJ166" s="69"/>
      <c r="AK166" s="64"/>
      <c r="AL166" s="69"/>
      <c r="AM166" s="64"/>
      <c r="AN166" s="69"/>
      <c r="AO166" s="64"/>
      <c r="AP166" s="69"/>
      <c r="AQ166" s="64"/>
      <c r="AR166" s="69"/>
      <c r="AS166" s="64"/>
      <c r="AT166" s="69"/>
      <c r="AU166" s="64"/>
      <c r="AV166" s="69"/>
      <c r="AW166" s="64"/>
      <c r="AX166" s="69"/>
      <c r="AY166" s="64"/>
      <c r="AZ166" s="69"/>
      <c r="BA166" s="64"/>
      <c r="BB166" s="69"/>
      <c r="BC166" s="64"/>
      <c r="BD166" s="69"/>
      <c r="BE166" s="64"/>
      <c r="BF166" s="69"/>
      <c r="BG166" s="64"/>
      <c r="BH166" s="69"/>
      <c r="BI166" s="64"/>
      <c r="BJ166" s="69"/>
      <c r="BK166" s="64"/>
      <c r="BL166" s="69"/>
      <c r="BM166" s="64"/>
      <c r="BN166" s="69"/>
      <c r="BO166" s="64"/>
      <c r="BP166" s="69"/>
      <c r="BQ166" s="64"/>
      <c r="BR166" s="69"/>
      <c r="BS166" s="64"/>
      <c r="BT166" s="69"/>
      <c r="BU166" t="b">
        <f t="shared" si="3"/>
        <v>0</v>
      </c>
    </row>
    <row r="167" spans="1:73" x14ac:dyDescent="0.25">
      <c r="A167" s="28"/>
      <c r="B167" s="29"/>
      <c r="C167" s="29"/>
      <c r="D167" s="30"/>
      <c r="E167" s="29"/>
      <c r="F167" s="30"/>
      <c r="G167" s="29"/>
      <c r="H167" s="69"/>
      <c r="I167" s="64"/>
      <c r="J167" s="69"/>
      <c r="K167" s="64"/>
      <c r="L167" s="69"/>
      <c r="M167" s="65"/>
      <c r="N167" s="69"/>
      <c r="O167" s="64"/>
      <c r="P167" s="69"/>
      <c r="Q167" s="64"/>
      <c r="R167" s="69"/>
      <c r="S167" s="64"/>
      <c r="T167" s="69"/>
      <c r="U167" s="64"/>
      <c r="V167" s="69"/>
      <c r="W167" s="65"/>
      <c r="X167" s="69"/>
      <c r="Y167" s="64"/>
      <c r="Z167" s="69"/>
      <c r="AA167" s="64"/>
      <c r="AB167" s="69"/>
      <c r="AC167" s="64"/>
      <c r="AD167" s="69"/>
      <c r="AE167" s="65"/>
      <c r="AF167" s="69"/>
      <c r="AG167" s="65"/>
      <c r="AH167" s="69"/>
      <c r="AI167" s="64"/>
      <c r="AJ167" s="69"/>
      <c r="AK167" s="64"/>
      <c r="AL167" s="69"/>
      <c r="AM167" s="64"/>
      <c r="AN167" s="69"/>
      <c r="AO167" s="64"/>
      <c r="AP167" s="69"/>
      <c r="AQ167" s="64"/>
      <c r="AR167" s="69"/>
      <c r="AS167" s="64"/>
      <c r="AT167" s="69"/>
      <c r="AU167" s="64"/>
      <c r="AV167" s="69"/>
      <c r="AW167" s="64"/>
      <c r="AX167" s="69"/>
      <c r="AY167" s="64"/>
      <c r="AZ167" s="69"/>
      <c r="BA167" s="64"/>
      <c r="BB167" s="69"/>
      <c r="BC167" s="64"/>
      <c r="BD167" s="69"/>
      <c r="BE167" s="64"/>
      <c r="BF167" s="69"/>
      <c r="BG167" s="64"/>
      <c r="BH167" s="69"/>
      <c r="BI167" s="64"/>
      <c r="BJ167" s="69"/>
      <c r="BK167" s="64"/>
      <c r="BL167" s="69"/>
      <c r="BM167" s="64"/>
      <c r="BN167" s="69"/>
      <c r="BO167" s="64"/>
      <c r="BP167" s="69"/>
      <c r="BQ167" s="64"/>
      <c r="BR167" s="69"/>
      <c r="BS167" s="64"/>
      <c r="BT167" s="69"/>
      <c r="BU167" t="b">
        <f t="shared" si="3"/>
        <v>0</v>
      </c>
    </row>
    <row r="168" spans="1:73" x14ac:dyDescent="0.25">
      <c r="A168" s="28"/>
      <c r="B168" s="29"/>
      <c r="C168" s="29"/>
      <c r="D168" s="30"/>
      <c r="E168" s="29"/>
      <c r="F168" s="30"/>
      <c r="G168" s="29"/>
      <c r="H168" s="69"/>
      <c r="I168" s="64"/>
      <c r="J168" s="69"/>
      <c r="K168" s="64"/>
      <c r="L168" s="69"/>
      <c r="M168" s="65"/>
      <c r="N168" s="69"/>
      <c r="O168" s="64"/>
      <c r="P168" s="69"/>
      <c r="Q168" s="64"/>
      <c r="R168" s="69"/>
      <c r="S168" s="64"/>
      <c r="T168" s="69"/>
      <c r="U168" s="64"/>
      <c r="V168" s="69"/>
      <c r="W168" s="65"/>
      <c r="X168" s="69"/>
      <c r="Y168" s="64"/>
      <c r="Z168" s="69"/>
      <c r="AA168" s="64"/>
      <c r="AB168" s="69"/>
      <c r="AC168" s="64"/>
      <c r="AD168" s="69"/>
      <c r="AE168" s="65"/>
      <c r="AF168" s="69"/>
      <c r="AG168" s="65"/>
      <c r="AH168" s="69"/>
      <c r="AI168" s="64"/>
      <c r="AJ168" s="69"/>
      <c r="AK168" s="64"/>
      <c r="AL168" s="69"/>
      <c r="AM168" s="64"/>
      <c r="AN168" s="69"/>
      <c r="AO168" s="64"/>
      <c r="AP168" s="69"/>
      <c r="AQ168" s="64"/>
      <c r="AR168" s="69"/>
      <c r="AS168" s="64"/>
      <c r="AT168" s="69"/>
      <c r="AU168" s="64"/>
      <c r="AV168" s="69"/>
      <c r="AW168" s="64"/>
      <c r="AX168" s="69"/>
      <c r="AY168" s="64"/>
      <c r="AZ168" s="69"/>
      <c r="BA168" s="64"/>
      <c r="BB168" s="69"/>
      <c r="BC168" s="64"/>
      <c r="BD168" s="69"/>
      <c r="BE168" s="64"/>
      <c r="BF168" s="69"/>
      <c r="BG168" s="64"/>
      <c r="BH168" s="69"/>
      <c r="BI168" s="64"/>
      <c r="BJ168" s="69"/>
      <c r="BK168" s="64"/>
      <c r="BL168" s="69"/>
      <c r="BM168" s="64"/>
      <c r="BN168" s="69"/>
      <c r="BO168" s="64"/>
      <c r="BP168" s="69"/>
      <c r="BQ168" s="64"/>
      <c r="BR168" s="69"/>
      <c r="BS168" s="64"/>
      <c r="BT168" s="69"/>
      <c r="BU168" t="b">
        <f t="shared" si="3"/>
        <v>0</v>
      </c>
    </row>
    <row r="169" spans="1:73" x14ac:dyDescent="0.25">
      <c r="A169" s="28"/>
      <c r="B169" s="29"/>
      <c r="C169" s="29"/>
      <c r="D169" s="30"/>
      <c r="E169" s="29"/>
      <c r="F169" s="30"/>
      <c r="G169" s="29"/>
      <c r="H169" s="69"/>
      <c r="I169" s="64"/>
      <c r="J169" s="69"/>
      <c r="K169" s="64"/>
      <c r="L169" s="69"/>
      <c r="M169" s="65"/>
      <c r="N169" s="69"/>
      <c r="O169" s="64"/>
      <c r="P169" s="69"/>
      <c r="Q169" s="64"/>
      <c r="R169" s="69"/>
      <c r="S169" s="64"/>
      <c r="T169" s="69"/>
      <c r="U169" s="64"/>
      <c r="V169" s="69"/>
      <c r="W169" s="65"/>
      <c r="X169" s="69"/>
      <c r="Y169" s="64"/>
      <c r="Z169" s="69"/>
      <c r="AA169" s="64"/>
      <c r="AB169" s="69"/>
      <c r="AC169" s="64"/>
      <c r="AD169" s="69"/>
      <c r="AE169" s="65"/>
      <c r="AF169" s="69"/>
      <c r="AG169" s="65"/>
      <c r="AH169" s="69"/>
      <c r="AI169" s="64"/>
      <c r="AJ169" s="69"/>
      <c r="AK169" s="64"/>
      <c r="AL169" s="69"/>
      <c r="AM169" s="64"/>
      <c r="AN169" s="69"/>
      <c r="AO169" s="64"/>
      <c r="AP169" s="69"/>
      <c r="AQ169" s="64"/>
      <c r="AR169" s="69"/>
      <c r="AS169" s="64"/>
      <c r="AT169" s="69"/>
      <c r="AU169" s="64"/>
      <c r="AV169" s="69"/>
      <c r="AW169" s="64"/>
      <c r="AX169" s="69"/>
      <c r="AY169" s="64"/>
      <c r="AZ169" s="69"/>
      <c r="BA169" s="64"/>
      <c r="BB169" s="69"/>
      <c r="BC169" s="64"/>
      <c r="BD169" s="69"/>
      <c r="BE169" s="64"/>
      <c r="BF169" s="69"/>
      <c r="BG169" s="64"/>
      <c r="BH169" s="69"/>
      <c r="BI169" s="64"/>
      <c r="BJ169" s="69"/>
      <c r="BK169" s="64"/>
      <c r="BL169" s="69"/>
      <c r="BM169" s="64"/>
      <c r="BN169" s="69"/>
      <c r="BO169" s="64"/>
      <c r="BP169" s="69"/>
      <c r="BQ169" s="64"/>
      <c r="BR169" s="69"/>
      <c r="BS169" s="64"/>
      <c r="BT169" s="69"/>
      <c r="BU169" t="b">
        <f t="shared" si="3"/>
        <v>0</v>
      </c>
    </row>
    <row r="170" spans="1:73" x14ac:dyDescent="0.25">
      <c r="A170" s="28"/>
      <c r="B170" s="29"/>
      <c r="C170" s="29"/>
      <c r="D170" s="30"/>
      <c r="E170" s="29"/>
      <c r="F170" s="30"/>
      <c r="G170" s="29"/>
      <c r="H170" s="69"/>
      <c r="I170" s="64"/>
      <c r="J170" s="69"/>
      <c r="K170" s="64"/>
      <c r="L170" s="69"/>
      <c r="M170" s="65"/>
      <c r="N170" s="69"/>
      <c r="O170" s="64"/>
      <c r="P170" s="69"/>
      <c r="Q170" s="64"/>
      <c r="R170" s="69"/>
      <c r="S170" s="64"/>
      <c r="T170" s="69"/>
      <c r="U170" s="64"/>
      <c r="V170" s="69"/>
      <c r="W170" s="65"/>
      <c r="X170" s="69"/>
      <c r="Y170" s="64"/>
      <c r="Z170" s="69"/>
      <c r="AA170" s="64"/>
      <c r="AB170" s="69"/>
      <c r="AC170" s="64"/>
      <c r="AD170" s="69"/>
      <c r="AE170" s="65"/>
      <c r="AF170" s="69"/>
      <c r="AG170" s="65"/>
      <c r="AH170" s="69"/>
      <c r="AI170" s="64"/>
      <c r="AJ170" s="69"/>
      <c r="AK170" s="64"/>
      <c r="AL170" s="69"/>
      <c r="AM170" s="64"/>
      <c r="AN170" s="69"/>
      <c r="AO170" s="64"/>
      <c r="AP170" s="69"/>
      <c r="AQ170" s="64"/>
      <c r="AR170" s="69"/>
      <c r="AS170" s="64"/>
      <c r="AT170" s="69"/>
      <c r="AU170" s="64"/>
      <c r="AV170" s="69"/>
      <c r="AW170" s="64"/>
      <c r="AX170" s="69"/>
      <c r="AY170" s="64"/>
      <c r="AZ170" s="69"/>
      <c r="BA170" s="64"/>
      <c r="BB170" s="69"/>
      <c r="BC170" s="64"/>
      <c r="BD170" s="69"/>
      <c r="BE170" s="64"/>
      <c r="BF170" s="69"/>
      <c r="BG170" s="64"/>
      <c r="BH170" s="69"/>
      <c r="BI170" s="64"/>
      <c r="BJ170" s="69"/>
      <c r="BK170" s="64"/>
      <c r="BL170" s="69"/>
      <c r="BM170" s="64"/>
      <c r="BN170" s="69"/>
      <c r="BO170" s="64"/>
      <c r="BP170" s="69"/>
      <c r="BQ170" s="64"/>
      <c r="BR170" s="69"/>
      <c r="BS170" s="64"/>
      <c r="BT170" s="69"/>
      <c r="BU170" t="b">
        <f t="shared" si="3"/>
        <v>0</v>
      </c>
    </row>
    <row r="171" spans="1:73" x14ac:dyDescent="0.25">
      <c r="A171" s="28"/>
      <c r="B171" s="29"/>
      <c r="C171" s="29"/>
      <c r="D171" s="30"/>
      <c r="E171" s="29"/>
      <c r="F171" s="30"/>
      <c r="G171" s="29"/>
      <c r="H171" s="69"/>
      <c r="I171" s="64"/>
      <c r="J171" s="69"/>
      <c r="K171" s="64"/>
      <c r="L171" s="69"/>
      <c r="M171" s="65"/>
      <c r="N171" s="69"/>
      <c r="O171" s="64"/>
      <c r="P171" s="69"/>
      <c r="Q171" s="64"/>
      <c r="R171" s="69"/>
      <c r="S171" s="64"/>
      <c r="T171" s="69"/>
      <c r="U171" s="64"/>
      <c r="V171" s="69"/>
      <c r="W171" s="65"/>
      <c r="X171" s="69"/>
      <c r="Y171" s="64"/>
      <c r="Z171" s="69"/>
      <c r="AA171" s="64"/>
      <c r="AB171" s="69"/>
      <c r="AC171" s="64"/>
      <c r="AD171" s="69"/>
      <c r="AE171" s="65"/>
      <c r="AF171" s="69"/>
      <c r="AG171" s="65"/>
      <c r="AH171" s="69"/>
      <c r="AI171" s="64"/>
      <c r="AJ171" s="69"/>
      <c r="AK171" s="64"/>
      <c r="AL171" s="69"/>
      <c r="AM171" s="64"/>
      <c r="AN171" s="69"/>
      <c r="AO171" s="64"/>
      <c r="AP171" s="69"/>
      <c r="AQ171" s="64"/>
      <c r="AR171" s="69"/>
      <c r="AS171" s="64"/>
      <c r="AT171" s="69"/>
      <c r="AU171" s="64"/>
      <c r="AV171" s="69"/>
      <c r="AW171" s="64"/>
      <c r="AX171" s="69"/>
      <c r="AY171" s="64"/>
      <c r="AZ171" s="69"/>
      <c r="BA171" s="64"/>
      <c r="BB171" s="69"/>
      <c r="BC171" s="64"/>
      <c r="BD171" s="69"/>
      <c r="BE171" s="64"/>
      <c r="BF171" s="69"/>
      <c r="BG171" s="64"/>
      <c r="BH171" s="69"/>
      <c r="BI171" s="64"/>
      <c r="BJ171" s="69"/>
      <c r="BK171" s="64"/>
      <c r="BL171" s="69"/>
      <c r="BM171" s="64"/>
      <c r="BN171" s="69"/>
      <c r="BO171" s="64"/>
      <c r="BP171" s="69"/>
      <c r="BQ171" s="64"/>
      <c r="BR171" s="69"/>
      <c r="BS171" s="64"/>
      <c r="BT171" s="69"/>
      <c r="BU171" t="b">
        <f t="shared" si="3"/>
        <v>0</v>
      </c>
    </row>
    <row r="172" spans="1:73" x14ac:dyDescent="0.25">
      <c r="A172" s="28"/>
      <c r="B172" s="29"/>
      <c r="C172" s="29"/>
      <c r="D172" s="30"/>
      <c r="E172" s="29"/>
      <c r="F172" s="30"/>
      <c r="G172" s="29"/>
      <c r="H172" s="69"/>
      <c r="I172" s="64"/>
      <c r="J172" s="69"/>
      <c r="K172" s="64"/>
      <c r="L172" s="69"/>
      <c r="M172" s="65"/>
      <c r="N172" s="69"/>
      <c r="O172" s="64"/>
      <c r="P172" s="69"/>
      <c r="Q172" s="64"/>
      <c r="R172" s="69"/>
      <c r="S172" s="64"/>
      <c r="T172" s="69"/>
      <c r="U172" s="64"/>
      <c r="V172" s="69"/>
      <c r="W172" s="65"/>
      <c r="X172" s="69"/>
      <c r="Y172" s="64"/>
      <c r="Z172" s="69"/>
      <c r="AA172" s="64"/>
      <c r="AB172" s="69"/>
      <c r="AC172" s="64"/>
      <c r="AD172" s="69"/>
      <c r="AE172" s="65"/>
      <c r="AF172" s="69"/>
      <c r="AG172" s="65"/>
      <c r="AH172" s="69"/>
      <c r="AI172" s="64"/>
      <c r="AJ172" s="69"/>
      <c r="AK172" s="64"/>
      <c r="AL172" s="69"/>
      <c r="AM172" s="64"/>
      <c r="AN172" s="69"/>
      <c r="AO172" s="64"/>
      <c r="AP172" s="69"/>
      <c r="AQ172" s="64"/>
      <c r="AR172" s="69"/>
      <c r="AS172" s="64"/>
      <c r="AT172" s="69"/>
      <c r="AU172" s="64"/>
      <c r="AV172" s="69"/>
      <c r="AW172" s="64"/>
      <c r="AX172" s="69"/>
      <c r="AY172" s="64"/>
      <c r="AZ172" s="69"/>
      <c r="BA172" s="64"/>
      <c r="BB172" s="69"/>
      <c r="BC172" s="64"/>
      <c r="BD172" s="69"/>
      <c r="BE172" s="64"/>
      <c r="BF172" s="69"/>
      <c r="BG172" s="64"/>
      <c r="BH172" s="69"/>
      <c r="BI172" s="64"/>
      <c r="BJ172" s="69"/>
      <c r="BK172" s="64"/>
      <c r="BL172" s="69"/>
      <c r="BM172" s="64"/>
      <c r="BN172" s="69"/>
      <c r="BO172" s="64"/>
      <c r="BP172" s="69"/>
      <c r="BQ172" s="64"/>
      <c r="BR172" s="69"/>
      <c r="BS172" s="64"/>
      <c r="BT172" s="69"/>
      <c r="BU172" t="b">
        <f t="shared" si="3"/>
        <v>0</v>
      </c>
    </row>
    <row r="173" spans="1:73" x14ac:dyDescent="0.25">
      <c r="A173" s="28"/>
      <c r="B173" s="29"/>
      <c r="C173" s="29"/>
      <c r="D173" s="30"/>
      <c r="E173" s="29"/>
      <c r="F173" s="30"/>
      <c r="G173" s="29"/>
      <c r="H173" s="69"/>
      <c r="I173" s="64"/>
      <c r="J173" s="69"/>
      <c r="K173" s="64"/>
      <c r="L173" s="69"/>
      <c r="M173" s="65"/>
      <c r="N173" s="69"/>
      <c r="O173" s="64"/>
      <c r="P173" s="69"/>
      <c r="Q173" s="64"/>
      <c r="R173" s="69"/>
      <c r="S173" s="64"/>
      <c r="T173" s="69"/>
      <c r="U173" s="64"/>
      <c r="V173" s="69"/>
      <c r="W173" s="65"/>
      <c r="X173" s="69"/>
      <c r="Y173" s="64"/>
      <c r="Z173" s="69"/>
      <c r="AA173" s="64"/>
      <c r="AB173" s="69"/>
      <c r="AC173" s="64"/>
      <c r="AD173" s="69"/>
      <c r="AE173" s="65"/>
      <c r="AF173" s="69"/>
      <c r="AG173" s="65"/>
      <c r="AH173" s="69"/>
      <c r="AI173" s="64"/>
      <c r="AJ173" s="69"/>
      <c r="AK173" s="64"/>
      <c r="AL173" s="69"/>
      <c r="AM173" s="64"/>
      <c r="AN173" s="69"/>
      <c r="AO173" s="64"/>
      <c r="AP173" s="69"/>
      <c r="AQ173" s="64"/>
      <c r="AR173" s="69"/>
      <c r="AS173" s="64"/>
      <c r="AT173" s="69"/>
      <c r="AU173" s="64"/>
      <c r="AV173" s="69"/>
      <c r="AW173" s="64"/>
      <c r="AX173" s="69"/>
      <c r="AY173" s="64"/>
      <c r="AZ173" s="69"/>
      <c r="BA173" s="64"/>
      <c r="BB173" s="69"/>
      <c r="BC173" s="64"/>
      <c r="BD173" s="69"/>
      <c r="BE173" s="64"/>
      <c r="BF173" s="69"/>
      <c r="BG173" s="64"/>
      <c r="BH173" s="69"/>
      <c r="BI173" s="64"/>
      <c r="BJ173" s="69"/>
      <c r="BK173" s="64"/>
      <c r="BL173" s="69"/>
      <c r="BM173" s="64"/>
      <c r="BN173" s="69"/>
      <c r="BO173" s="64"/>
      <c r="BP173" s="69"/>
      <c r="BQ173" s="64"/>
      <c r="BR173" s="69"/>
      <c r="BS173" s="64"/>
      <c r="BT173" s="69"/>
      <c r="BU173" t="b">
        <f t="shared" si="3"/>
        <v>0</v>
      </c>
    </row>
    <row r="174" spans="1:73" x14ac:dyDescent="0.25">
      <c r="A174" s="28"/>
      <c r="B174" s="29"/>
      <c r="C174" s="29"/>
      <c r="D174" s="30"/>
      <c r="E174" s="29"/>
      <c r="F174" s="30"/>
      <c r="G174" s="29"/>
      <c r="H174" s="69"/>
      <c r="I174" s="64"/>
      <c r="J174" s="69"/>
      <c r="K174" s="64"/>
      <c r="L174" s="69"/>
      <c r="M174" s="65"/>
      <c r="N174" s="69"/>
      <c r="O174" s="64"/>
      <c r="P174" s="69"/>
      <c r="Q174" s="64"/>
      <c r="R174" s="69"/>
      <c r="S174" s="64"/>
      <c r="T174" s="69"/>
      <c r="U174" s="64"/>
      <c r="V174" s="69"/>
      <c r="W174" s="65"/>
      <c r="X174" s="69"/>
      <c r="Y174" s="64"/>
      <c r="Z174" s="69"/>
      <c r="AA174" s="64"/>
      <c r="AB174" s="69"/>
      <c r="AC174" s="64"/>
      <c r="AD174" s="69"/>
      <c r="AE174" s="65"/>
      <c r="AF174" s="69"/>
      <c r="AG174" s="65"/>
      <c r="AH174" s="69"/>
      <c r="AI174" s="64"/>
      <c r="AJ174" s="69"/>
      <c r="AK174" s="64"/>
      <c r="AL174" s="69"/>
      <c r="AM174" s="64"/>
      <c r="AN174" s="69"/>
      <c r="AO174" s="64"/>
      <c r="AP174" s="69"/>
      <c r="AQ174" s="64"/>
      <c r="AR174" s="69"/>
      <c r="AS174" s="64"/>
      <c r="AT174" s="69"/>
      <c r="AU174" s="64"/>
      <c r="AV174" s="69"/>
      <c r="AW174" s="64"/>
      <c r="AX174" s="69"/>
      <c r="AY174" s="64"/>
      <c r="AZ174" s="69"/>
      <c r="BA174" s="64"/>
      <c r="BB174" s="69"/>
      <c r="BC174" s="64"/>
      <c r="BD174" s="69"/>
      <c r="BE174" s="64"/>
      <c r="BF174" s="69"/>
      <c r="BG174" s="64"/>
      <c r="BH174" s="69"/>
      <c r="BI174" s="64"/>
      <c r="BJ174" s="69"/>
      <c r="BK174" s="64"/>
      <c r="BL174" s="69"/>
      <c r="BM174" s="64"/>
      <c r="BN174" s="69"/>
      <c r="BO174" s="64"/>
      <c r="BP174" s="69"/>
      <c r="BQ174" s="64"/>
      <c r="BR174" s="69"/>
      <c r="BS174" s="64"/>
      <c r="BT174" s="69"/>
      <c r="BU174" t="b">
        <f t="shared" si="3"/>
        <v>0</v>
      </c>
    </row>
    <row r="175" spans="1:73" x14ac:dyDescent="0.25">
      <c r="A175" s="28"/>
      <c r="B175" s="29"/>
      <c r="C175" s="29"/>
      <c r="D175" s="30"/>
      <c r="E175" s="29"/>
      <c r="F175" s="30"/>
      <c r="G175" s="29"/>
      <c r="H175" s="69"/>
      <c r="I175" s="64"/>
      <c r="J175" s="69"/>
      <c r="K175" s="64"/>
      <c r="L175" s="69"/>
      <c r="M175" s="65"/>
      <c r="N175" s="69"/>
      <c r="O175" s="64"/>
      <c r="P175" s="69"/>
      <c r="Q175" s="64"/>
      <c r="R175" s="69"/>
      <c r="S175" s="64"/>
      <c r="T175" s="69"/>
      <c r="U175" s="64"/>
      <c r="V175" s="69"/>
      <c r="W175" s="65"/>
      <c r="X175" s="69"/>
      <c r="Y175" s="64"/>
      <c r="Z175" s="69"/>
      <c r="AA175" s="64"/>
      <c r="AB175" s="69"/>
      <c r="AC175" s="64"/>
      <c r="AD175" s="69"/>
      <c r="AE175" s="65"/>
      <c r="AF175" s="69"/>
      <c r="AG175" s="65"/>
      <c r="AH175" s="69"/>
      <c r="AI175" s="64"/>
      <c r="AJ175" s="69"/>
      <c r="AK175" s="64"/>
      <c r="AL175" s="69"/>
      <c r="AM175" s="64"/>
      <c r="AN175" s="69"/>
      <c r="AO175" s="64"/>
      <c r="AP175" s="69"/>
      <c r="AQ175" s="64"/>
      <c r="AR175" s="69"/>
      <c r="AS175" s="64"/>
      <c r="AT175" s="69"/>
      <c r="AU175" s="64"/>
      <c r="AV175" s="69"/>
      <c r="AW175" s="64"/>
      <c r="AX175" s="69"/>
      <c r="AY175" s="64"/>
      <c r="AZ175" s="69"/>
      <c r="BA175" s="64"/>
      <c r="BB175" s="69"/>
      <c r="BC175" s="64"/>
      <c r="BD175" s="69"/>
      <c r="BE175" s="64"/>
      <c r="BF175" s="69"/>
      <c r="BG175" s="64"/>
      <c r="BH175" s="69"/>
      <c r="BI175" s="64"/>
      <c r="BJ175" s="69"/>
      <c r="BK175" s="64"/>
      <c r="BL175" s="69"/>
      <c r="BM175" s="64"/>
      <c r="BN175" s="69"/>
      <c r="BO175" s="64"/>
      <c r="BP175" s="69"/>
      <c r="BQ175" s="64"/>
      <c r="BR175" s="69"/>
      <c r="BS175" s="64"/>
      <c r="BT175" s="69"/>
      <c r="BU175" t="b">
        <f t="shared" si="3"/>
        <v>0</v>
      </c>
    </row>
    <row r="176" spans="1:73" x14ac:dyDescent="0.25">
      <c r="A176" s="28"/>
      <c r="B176" s="29"/>
      <c r="C176" s="29"/>
      <c r="D176" s="30"/>
      <c r="E176" s="29"/>
      <c r="F176" s="30"/>
      <c r="G176" s="29"/>
      <c r="H176" s="69"/>
      <c r="I176" s="64"/>
      <c r="J176" s="69"/>
      <c r="K176" s="64"/>
      <c r="L176" s="69"/>
      <c r="M176" s="65"/>
      <c r="N176" s="69"/>
      <c r="O176" s="64"/>
      <c r="P176" s="69"/>
      <c r="Q176" s="64"/>
      <c r="R176" s="69"/>
      <c r="S176" s="64"/>
      <c r="T176" s="69"/>
      <c r="U176" s="64"/>
      <c r="V176" s="69"/>
      <c r="W176" s="65"/>
      <c r="X176" s="69"/>
      <c r="Y176" s="64"/>
      <c r="Z176" s="69"/>
      <c r="AA176" s="64"/>
      <c r="AB176" s="69"/>
      <c r="AC176" s="64"/>
      <c r="AD176" s="69"/>
      <c r="AE176" s="65"/>
      <c r="AF176" s="69"/>
      <c r="AG176" s="65"/>
      <c r="AH176" s="69"/>
      <c r="AI176" s="64"/>
      <c r="AJ176" s="69"/>
      <c r="AK176" s="64"/>
      <c r="AL176" s="69"/>
      <c r="AM176" s="64"/>
      <c r="AN176" s="69"/>
      <c r="AO176" s="64"/>
      <c r="AP176" s="69"/>
      <c r="AQ176" s="64"/>
      <c r="AR176" s="69"/>
      <c r="AS176" s="64"/>
      <c r="AT176" s="69"/>
      <c r="AU176" s="64"/>
      <c r="AV176" s="69"/>
      <c r="AW176" s="64"/>
      <c r="AX176" s="69"/>
      <c r="AY176" s="64"/>
      <c r="AZ176" s="69"/>
      <c r="BA176" s="64"/>
      <c r="BB176" s="69"/>
      <c r="BC176" s="64"/>
      <c r="BD176" s="69"/>
      <c r="BE176" s="64"/>
      <c r="BF176" s="69"/>
      <c r="BG176" s="64"/>
      <c r="BH176" s="69"/>
      <c r="BI176" s="64"/>
      <c r="BJ176" s="69"/>
      <c r="BK176" s="64"/>
      <c r="BL176" s="69"/>
      <c r="BM176" s="64"/>
      <c r="BN176" s="69"/>
      <c r="BO176" s="64"/>
      <c r="BP176" s="69"/>
      <c r="BQ176" s="64"/>
      <c r="BR176" s="69"/>
      <c r="BS176" s="64"/>
      <c r="BT176" s="69"/>
      <c r="BU176" t="b">
        <f t="shared" si="3"/>
        <v>0</v>
      </c>
    </row>
    <row r="177" spans="1:73" x14ac:dyDescent="0.25">
      <c r="A177" s="28"/>
      <c r="B177" s="29"/>
      <c r="C177" s="29"/>
      <c r="D177" s="30"/>
      <c r="E177" s="29"/>
      <c r="F177" s="30"/>
      <c r="G177" s="29"/>
      <c r="H177" s="69"/>
      <c r="I177" s="64"/>
      <c r="J177" s="69"/>
      <c r="K177" s="64"/>
      <c r="L177" s="69"/>
      <c r="M177" s="65"/>
      <c r="N177" s="69"/>
      <c r="O177" s="64"/>
      <c r="P177" s="69"/>
      <c r="Q177" s="64"/>
      <c r="R177" s="69"/>
      <c r="S177" s="64"/>
      <c r="T177" s="69"/>
      <c r="U177" s="64"/>
      <c r="V177" s="69"/>
      <c r="W177" s="65"/>
      <c r="X177" s="69"/>
      <c r="Y177" s="64"/>
      <c r="Z177" s="69"/>
      <c r="AA177" s="64"/>
      <c r="AB177" s="69"/>
      <c r="AC177" s="64"/>
      <c r="AD177" s="69"/>
      <c r="AE177" s="65"/>
      <c r="AF177" s="69"/>
      <c r="AG177" s="65"/>
      <c r="AH177" s="69"/>
      <c r="AI177" s="64"/>
      <c r="AJ177" s="69"/>
      <c r="AK177" s="64"/>
      <c r="AL177" s="69"/>
      <c r="AM177" s="64"/>
      <c r="AN177" s="69"/>
      <c r="AO177" s="64"/>
      <c r="AP177" s="69"/>
      <c r="AQ177" s="64"/>
      <c r="AR177" s="69"/>
      <c r="AS177" s="64"/>
      <c r="AT177" s="69"/>
      <c r="AU177" s="64"/>
      <c r="AV177" s="69"/>
      <c r="AW177" s="64"/>
      <c r="AX177" s="69"/>
      <c r="AY177" s="64"/>
      <c r="AZ177" s="69"/>
      <c r="BA177" s="64"/>
      <c r="BB177" s="69"/>
      <c r="BC177" s="64"/>
      <c r="BD177" s="69"/>
      <c r="BE177" s="64"/>
      <c r="BF177" s="69"/>
      <c r="BG177" s="64"/>
      <c r="BH177" s="69"/>
      <c r="BI177" s="64"/>
      <c r="BJ177" s="69"/>
      <c r="BK177" s="64"/>
      <c r="BL177" s="69"/>
      <c r="BM177" s="64"/>
      <c r="BN177" s="69"/>
      <c r="BO177" s="64"/>
      <c r="BP177" s="69"/>
      <c r="BQ177" s="64"/>
      <c r="BR177" s="69"/>
      <c r="BS177" s="64"/>
      <c r="BT177" s="69"/>
      <c r="BU177" t="b">
        <f t="shared" si="3"/>
        <v>0</v>
      </c>
    </row>
    <row r="178" spans="1:73" x14ac:dyDescent="0.25">
      <c r="A178" s="28"/>
      <c r="B178" s="29"/>
      <c r="C178" s="29"/>
      <c r="D178" s="30"/>
      <c r="E178" s="29"/>
      <c r="F178" s="30"/>
      <c r="G178" s="29"/>
      <c r="H178" s="69"/>
      <c r="I178" s="64"/>
      <c r="J178" s="69"/>
      <c r="K178" s="64"/>
      <c r="L178" s="69"/>
      <c r="M178" s="65"/>
      <c r="N178" s="69"/>
      <c r="O178" s="64"/>
      <c r="P178" s="69"/>
      <c r="Q178" s="64"/>
      <c r="R178" s="69"/>
      <c r="S178" s="64"/>
      <c r="T178" s="69"/>
      <c r="U178" s="64"/>
      <c r="V178" s="69"/>
      <c r="W178" s="65"/>
      <c r="X178" s="69"/>
      <c r="Y178" s="64"/>
      <c r="Z178" s="69"/>
      <c r="AA178" s="64"/>
      <c r="AB178" s="69"/>
      <c r="AC178" s="64"/>
      <c r="AD178" s="69"/>
      <c r="AE178" s="65"/>
      <c r="AF178" s="69"/>
      <c r="AG178" s="65"/>
      <c r="AH178" s="69"/>
      <c r="AI178" s="64"/>
      <c r="AJ178" s="69"/>
      <c r="AK178" s="64"/>
      <c r="AL178" s="69"/>
      <c r="AM178" s="64"/>
      <c r="AN178" s="69"/>
      <c r="AO178" s="64"/>
      <c r="AP178" s="69"/>
      <c r="AQ178" s="64"/>
      <c r="AR178" s="69"/>
      <c r="AS178" s="64"/>
      <c r="AT178" s="69"/>
      <c r="AU178" s="64"/>
      <c r="AV178" s="69"/>
      <c r="AW178" s="64"/>
      <c r="AX178" s="69"/>
      <c r="AY178" s="64"/>
      <c r="AZ178" s="69"/>
      <c r="BA178" s="64"/>
      <c r="BB178" s="69"/>
      <c r="BC178" s="64"/>
      <c r="BD178" s="69"/>
      <c r="BE178" s="64"/>
      <c r="BF178" s="69"/>
      <c r="BG178" s="64"/>
      <c r="BH178" s="69"/>
      <c r="BI178" s="64"/>
      <c r="BJ178" s="69"/>
      <c r="BK178" s="64"/>
      <c r="BL178" s="69"/>
      <c r="BM178" s="64"/>
      <c r="BN178" s="69"/>
      <c r="BO178" s="64"/>
      <c r="BP178" s="69"/>
      <c r="BQ178" s="64"/>
      <c r="BR178" s="69"/>
      <c r="BS178" s="64"/>
      <c r="BT178" s="69"/>
      <c r="BU178" t="b">
        <f t="shared" si="3"/>
        <v>0</v>
      </c>
    </row>
    <row r="179" spans="1:73" x14ac:dyDescent="0.25">
      <c r="A179" s="28"/>
      <c r="B179" s="29"/>
      <c r="C179" s="29"/>
      <c r="D179" s="30"/>
      <c r="E179" s="29"/>
      <c r="F179" s="30"/>
      <c r="G179" s="29"/>
      <c r="H179" s="69"/>
      <c r="I179" s="64"/>
      <c r="J179" s="69"/>
      <c r="K179" s="64"/>
      <c r="L179" s="69"/>
      <c r="M179" s="65"/>
      <c r="N179" s="69"/>
      <c r="O179" s="64"/>
      <c r="P179" s="69"/>
      <c r="Q179" s="64"/>
      <c r="R179" s="69"/>
      <c r="S179" s="64"/>
      <c r="T179" s="69"/>
      <c r="U179" s="64"/>
      <c r="V179" s="69"/>
      <c r="W179" s="65"/>
      <c r="X179" s="69"/>
      <c r="Y179" s="64"/>
      <c r="Z179" s="69"/>
      <c r="AA179" s="64"/>
      <c r="AB179" s="69"/>
      <c r="AC179" s="64"/>
      <c r="AD179" s="69"/>
      <c r="AE179" s="65"/>
      <c r="AF179" s="69"/>
      <c r="AG179" s="65"/>
      <c r="AH179" s="69"/>
      <c r="AI179" s="64"/>
      <c r="AJ179" s="69"/>
      <c r="AK179" s="64"/>
      <c r="AL179" s="69"/>
      <c r="AM179" s="64"/>
      <c r="AN179" s="69"/>
      <c r="AO179" s="64"/>
      <c r="AP179" s="69"/>
      <c r="AQ179" s="64"/>
      <c r="AR179" s="69"/>
      <c r="AS179" s="64"/>
      <c r="AT179" s="69"/>
      <c r="AU179" s="64"/>
      <c r="AV179" s="69"/>
      <c r="AW179" s="64"/>
      <c r="AX179" s="69"/>
      <c r="AY179" s="64"/>
      <c r="AZ179" s="69"/>
      <c r="BA179" s="64"/>
      <c r="BB179" s="69"/>
      <c r="BC179" s="64"/>
      <c r="BD179" s="69"/>
      <c r="BE179" s="64"/>
      <c r="BF179" s="69"/>
      <c r="BG179" s="64"/>
      <c r="BH179" s="69"/>
      <c r="BI179" s="64"/>
      <c r="BJ179" s="69"/>
      <c r="BK179" s="64"/>
      <c r="BL179" s="69"/>
      <c r="BM179" s="64"/>
      <c r="BN179" s="69"/>
      <c r="BO179" s="64"/>
      <c r="BP179" s="69"/>
      <c r="BQ179" s="64"/>
      <c r="BR179" s="69"/>
      <c r="BS179" s="64"/>
      <c r="BT179" s="69"/>
      <c r="BU179" t="b">
        <f t="shared" si="3"/>
        <v>0</v>
      </c>
    </row>
    <row r="180" spans="1:73" x14ac:dyDescent="0.25">
      <c r="A180" s="28"/>
      <c r="B180" s="29"/>
      <c r="C180" s="29"/>
      <c r="D180" s="30"/>
      <c r="E180" s="29"/>
      <c r="F180" s="30"/>
      <c r="G180" s="29"/>
      <c r="H180" s="69"/>
      <c r="I180" s="64"/>
      <c r="J180" s="69"/>
      <c r="K180" s="64"/>
      <c r="L180" s="69"/>
      <c r="M180" s="65"/>
      <c r="N180" s="69"/>
      <c r="O180" s="64"/>
      <c r="P180" s="69"/>
      <c r="Q180" s="64"/>
      <c r="R180" s="69"/>
      <c r="S180" s="64"/>
      <c r="T180" s="69"/>
      <c r="U180" s="64"/>
      <c r="V180" s="69"/>
      <c r="W180" s="65"/>
      <c r="X180" s="69"/>
      <c r="Y180" s="64"/>
      <c r="Z180" s="69"/>
      <c r="AA180" s="64"/>
      <c r="AB180" s="69"/>
      <c r="AC180" s="64"/>
      <c r="AD180" s="69"/>
      <c r="AE180" s="65"/>
      <c r="AF180" s="69"/>
      <c r="AG180" s="65"/>
      <c r="AH180" s="69"/>
      <c r="AI180" s="64"/>
      <c r="AJ180" s="69"/>
      <c r="AK180" s="64"/>
      <c r="AL180" s="69"/>
      <c r="AM180" s="64"/>
      <c r="AN180" s="69"/>
      <c r="AO180" s="64"/>
      <c r="AP180" s="69"/>
      <c r="AQ180" s="64"/>
      <c r="AR180" s="69"/>
      <c r="AS180" s="64"/>
      <c r="AT180" s="69"/>
      <c r="AU180" s="64"/>
      <c r="AV180" s="69"/>
      <c r="AW180" s="64"/>
      <c r="AX180" s="69"/>
      <c r="AY180" s="64"/>
      <c r="AZ180" s="69"/>
      <c r="BA180" s="64"/>
      <c r="BB180" s="69"/>
      <c r="BC180" s="64"/>
      <c r="BD180" s="69"/>
      <c r="BE180" s="64"/>
      <c r="BF180" s="69"/>
      <c r="BG180" s="64"/>
      <c r="BH180" s="69"/>
      <c r="BI180" s="64"/>
      <c r="BJ180" s="69"/>
      <c r="BK180" s="64"/>
      <c r="BL180" s="69"/>
      <c r="BM180" s="64"/>
      <c r="BN180" s="69"/>
      <c r="BO180" s="64"/>
      <c r="BP180" s="69"/>
      <c r="BQ180" s="64"/>
      <c r="BR180" s="69"/>
      <c r="BS180" s="64"/>
      <c r="BT180" s="69"/>
      <c r="BU180" t="b">
        <f t="shared" si="3"/>
        <v>0</v>
      </c>
    </row>
    <row r="181" spans="1:73" x14ac:dyDescent="0.25">
      <c r="A181" s="28"/>
      <c r="B181" s="29"/>
      <c r="C181" s="29"/>
      <c r="D181" s="30"/>
      <c r="E181" s="29"/>
      <c r="F181" s="30"/>
      <c r="G181" s="29"/>
      <c r="H181" s="69"/>
      <c r="I181" s="64"/>
      <c r="J181" s="69"/>
      <c r="K181" s="64"/>
      <c r="L181" s="69"/>
      <c r="M181" s="65"/>
      <c r="N181" s="69"/>
      <c r="O181" s="64"/>
      <c r="P181" s="69"/>
      <c r="Q181" s="64"/>
      <c r="R181" s="69"/>
      <c r="S181" s="64"/>
      <c r="T181" s="69"/>
      <c r="U181" s="64"/>
      <c r="V181" s="69"/>
      <c r="W181" s="65"/>
      <c r="X181" s="69"/>
      <c r="Y181" s="64"/>
      <c r="Z181" s="69"/>
      <c r="AA181" s="64"/>
      <c r="AB181" s="69"/>
      <c r="AC181" s="64"/>
      <c r="AD181" s="69"/>
      <c r="AE181" s="65"/>
      <c r="AF181" s="69"/>
      <c r="AG181" s="65"/>
      <c r="AH181" s="69"/>
      <c r="AI181" s="64"/>
      <c r="AJ181" s="69"/>
      <c r="AK181" s="64"/>
      <c r="AL181" s="69"/>
      <c r="AM181" s="64"/>
      <c r="AN181" s="69"/>
      <c r="AO181" s="64"/>
      <c r="AP181" s="69"/>
      <c r="AQ181" s="64"/>
      <c r="AR181" s="69"/>
      <c r="AS181" s="64"/>
      <c r="AT181" s="69"/>
      <c r="AU181" s="64"/>
      <c r="AV181" s="69"/>
      <c r="AW181" s="64"/>
      <c r="AX181" s="69"/>
      <c r="AY181" s="64"/>
      <c r="AZ181" s="69"/>
      <c r="BA181" s="64"/>
      <c r="BB181" s="69"/>
      <c r="BC181" s="64"/>
      <c r="BD181" s="69"/>
      <c r="BE181" s="64"/>
      <c r="BF181" s="69"/>
      <c r="BG181" s="64"/>
      <c r="BH181" s="69"/>
      <c r="BI181" s="64"/>
      <c r="BJ181" s="69"/>
      <c r="BK181" s="64"/>
      <c r="BL181" s="69"/>
      <c r="BM181" s="64"/>
      <c r="BN181" s="69"/>
      <c r="BO181" s="64"/>
      <c r="BP181" s="69"/>
      <c r="BQ181" s="64"/>
      <c r="BR181" s="69"/>
      <c r="BS181" s="64"/>
      <c r="BT181" s="69"/>
      <c r="BU181" t="b">
        <f t="shared" si="3"/>
        <v>0</v>
      </c>
    </row>
    <row r="182" spans="1:73" x14ac:dyDescent="0.25">
      <c r="A182" s="28"/>
      <c r="B182" s="29"/>
      <c r="C182" s="29"/>
      <c r="D182" s="30"/>
      <c r="E182" s="29"/>
      <c r="F182" s="30"/>
      <c r="G182" s="29"/>
      <c r="H182" s="69"/>
      <c r="I182" s="64"/>
      <c r="J182" s="69"/>
      <c r="K182" s="64"/>
      <c r="L182" s="69"/>
      <c r="M182" s="65"/>
      <c r="N182" s="69"/>
      <c r="O182" s="64"/>
      <c r="P182" s="69"/>
      <c r="Q182" s="64"/>
      <c r="R182" s="69"/>
      <c r="S182" s="64"/>
      <c r="T182" s="69"/>
      <c r="U182" s="64"/>
      <c r="V182" s="69"/>
      <c r="W182" s="65"/>
      <c r="X182" s="69"/>
      <c r="Y182" s="64"/>
      <c r="Z182" s="69"/>
      <c r="AA182" s="64"/>
      <c r="AB182" s="69"/>
      <c r="AC182" s="64"/>
      <c r="AD182" s="69"/>
      <c r="AE182" s="65"/>
      <c r="AF182" s="69"/>
      <c r="AG182" s="65"/>
      <c r="AH182" s="69"/>
      <c r="AI182" s="64"/>
      <c r="AJ182" s="69"/>
      <c r="AK182" s="64"/>
      <c r="AL182" s="69"/>
      <c r="AM182" s="64"/>
      <c r="AN182" s="69"/>
      <c r="AO182" s="64"/>
      <c r="AP182" s="69"/>
      <c r="AQ182" s="64"/>
      <c r="AR182" s="69"/>
      <c r="AS182" s="64"/>
      <c r="AT182" s="69"/>
      <c r="AU182" s="64"/>
      <c r="AV182" s="69"/>
      <c r="AW182" s="64"/>
      <c r="AX182" s="69"/>
      <c r="AY182" s="64"/>
      <c r="AZ182" s="69"/>
      <c r="BA182" s="64"/>
      <c r="BB182" s="69"/>
      <c r="BC182" s="64"/>
      <c r="BD182" s="69"/>
      <c r="BE182" s="64"/>
      <c r="BF182" s="69"/>
      <c r="BG182" s="64"/>
      <c r="BH182" s="69"/>
      <c r="BI182" s="64"/>
      <c r="BJ182" s="69"/>
      <c r="BK182" s="64"/>
      <c r="BL182" s="69"/>
      <c r="BM182" s="64"/>
      <c r="BN182" s="69"/>
      <c r="BO182" s="64"/>
      <c r="BP182" s="69"/>
      <c r="BQ182" s="64"/>
      <c r="BR182" s="69"/>
      <c r="BS182" s="64"/>
      <c r="BT182" s="69"/>
      <c r="BU182" t="b">
        <f t="shared" si="3"/>
        <v>0</v>
      </c>
    </row>
    <row r="183" spans="1:73" x14ac:dyDescent="0.25">
      <c r="A183" s="28"/>
      <c r="B183" s="29"/>
      <c r="C183" s="29"/>
      <c r="D183" s="30"/>
      <c r="E183" s="29"/>
      <c r="F183" s="30"/>
      <c r="G183" s="29"/>
      <c r="H183" s="69"/>
      <c r="I183" s="64"/>
      <c r="J183" s="69"/>
      <c r="K183" s="64"/>
      <c r="L183" s="69"/>
      <c r="M183" s="65"/>
      <c r="N183" s="69"/>
      <c r="O183" s="64"/>
      <c r="P183" s="69"/>
      <c r="Q183" s="64"/>
      <c r="R183" s="69"/>
      <c r="S183" s="64"/>
      <c r="T183" s="69"/>
      <c r="U183" s="64"/>
      <c r="V183" s="69"/>
      <c r="W183" s="65"/>
      <c r="X183" s="69"/>
      <c r="Y183" s="64"/>
      <c r="Z183" s="69"/>
      <c r="AA183" s="64"/>
      <c r="AB183" s="69"/>
      <c r="AC183" s="64"/>
      <c r="AD183" s="69"/>
      <c r="AE183" s="65"/>
      <c r="AF183" s="69"/>
      <c r="AG183" s="65"/>
      <c r="AH183" s="69"/>
      <c r="AI183" s="64"/>
      <c r="AJ183" s="69"/>
      <c r="AK183" s="64"/>
      <c r="AL183" s="69"/>
      <c r="AM183" s="64"/>
      <c r="AN183" s="69"/>
      <c r="AO183" s="64"/>
      <c r="AP183" s="69"/>
      <c r="AQ183" s="64"/>
      <c r="AR183" s="69"/>
      <c r="AS183" s="64"/>
      <c r="AT183" s="69"/>
      <c r="AU183" s="64"/>
      <c r="AV183" s="69"/>
      <c r="AW183" s="64"/>
      <c r="AX183" s="69"/>
      <c r="AY183" s="64"/>
      <c r="AZ183" s="69"/>
      <c r="BA183" s="64"/>
      <c r="BB183" s="69"/>
      <c r="BC183" s="64"/>
      <c r="BD183" s="69"/>
      <c r="BE183" s="64"/>
      <c r="BF183" s="69"/>
      <c r="BG183" s="64"/>
      <c r="BH183" s="69"/>
      <c r="BI183" s="64"/>
      <c r="BJ183" s="69"/>
      <c r="BK183" s="64"/>
      <c r="BL183" s="69"/>
      <c r="BM183" s="64"/>
      <c r="BN183" s="69"/>
      <c r="BO183" s="64"/>
      <c r="BP183" s="69"/>
      <c r="BQ183" s="64"/>
      <c r="BR183" s="69"/>
      <c r="BS183" s="64"/>
      <c r="BT183" s="69"/>
      <c r="BU183" t="b">
        <f t="shared" si="3"/>
        <v>0</v>
      </c>
    </row>
    <row r="184" spans="1:73" x14ac:dyDescent="0.25">
      <c r="A184" s="28"/>
      <c r="B184" s="29"/>
      <c r="C184" s="29"/>
      <c r="D184" s="30"/>
      <c r="E184" s="29"/>
      <c r="F184" s="30"/>
      <c r="G184" s="29"/>
      <c r="H184" s="69"/>
      <c r="I184" s="64"/>
      <c r="J184" s="69"/>
      <c r="K184" s="64"/>
      <c r="L184" s="69"/>
      <c r="M184" s="65"/>
      <c r="N184" s="69"/>
      <c r="O184" s="64"/>
      <c r="P184" s="69"/>
      <c r="Q184" s="64"/>
      <c r="R184" s="69"/>
      <c r="S184" s="64"/>
      <c r="T184" s="69"/>
      <c r="U184" s="64"/>
      <c r="V184" s="69"/>
      <c r="W184" s="65"/>
      <c r="X184" s="69"/>
      <c r="Y184" s="64"/>
      <c r="Z184" s="69"/>
      <c r="AA184" s="64"/>
      <c r="AB184" s="69"/>
      <c r="AC184" s="64"/>
      <c r="AD184" s="69"/>
      <c r="AE184" s="65"/>
      <c r="AF184" s="69"/>
      <c r="AG184" s="65"/>
      <c r="AH184" s="69"/>
      <c r="AI184" s="64"/>
      <c r="AJ184" s="69"/>
      <c r="AK184" s="64"/>
      <c r="AL184" s="69"/>
      <c r="AM184" s="64"/>
      <c r="AN184" s="69"/>
      <c r="AO184" s="64"/>
      <c r="AP184" s="69"/>
      <c r="AQ184" s="64"/>
      <c r="AR184" s="69"/>
      <c r="AS184" s="64"/>
      <c r="AT184" s="69"/>
      <c r="AU184" s="64"/>
      <c r="AV184" s="69"/>
      <c r="AW184" s="64"/>
      <c r="AX184" s="69"/>
      <c r="AY184" s="64"/>
      <c r="AZ184" s="69"/>
      <c r="BA184" s="64"/>
      <c r="BB184" s="69"/>
      <c r="BC184" s="64"/>
      <c r="BD184" s="69"/>
      <c r="BE184" s="64"/>
      <c r="BF184" s="69"/>
      <c r="BG184" s="64"/>
      <c r="BH184" s="69"/>
      <c r="BI184" s="64"/>
      <c r="BJ184" s="69"/>
      <c r="BK184" s="64"/>
      <c r="BL184" s="69"/>
      <c r="BM184" s="64"/>
      <c r="BN184" s="69"/>
      <c r="BO184" s="64"/>
      <c r="BP184" s="69"/>
      <c r="BQ184" s="64"/>
      <c r="BR184" s="69"/>
      <c r="BS184" s="64"/>
      <c r="BT184" s="69"/>
      <c r="BU184" t="b">
        <f t="shared" si="3"/>
        <v>0</v>
      </c>
    </row>
    <row r="185" spans="1:73" x14ac:dyDescent="0.25">
      <c r="A185" s="28"/>
      <c r="B185" s="29"/>
      <c r="C185" s="29"/>
      <c r="D185" s="30"/>
      <c r="E185" s="29"/>
      <c r="F185" s="30"/>
      <c r="G185" s="29"/>
      <c r="H185" s="69"/>
      <c r="I185" s="64"/>
      <c r="J185" s="69"/>
      <c r="K185" s="64"/>
      <c r="L185" s="69"/>
      <c r="M185" s="65"/>
      <c r="N185" s="69"/>
      <c r="O185" s="64"/>
      <c r="P185" s="69"/>
      <c r="Q185" s="64"/>
      <c r="R185" s="69"/>
      <c r="S185" s="64"/>
      <c r="T185" s="69"/>
      <c r="U185" s="64"/>
      <c r="V185" s="69"/>
      <c r="W185" s="65"/>
      <c r="X185" s="69"/>
      <c r="Y185" s="64"/>
      <c r="Z185" s="69"/>
      <c r="AA185" s="64"/>
      <c r="AB185" s="69"/>
      <c r="AC185" s="64"/>
      <c r="AD185" s="69"/>
      <c r="AE185" s="65"/>
      <c r="AF185" s="69"/>
      <c r="AG185" s="65"/>
      <c r="AH185" s="69"/>
      <c r="AI185" s="64"/>
      <c r="AJ185" s="69"/>
      <c r="AK185" s="64"/>
      <c r="AL185" s="69"/>
      <c r="AM185" s="64"/>
      <c r="AN185" s="69"/>
      <c r="AO185" s="64"/>
      <c r="AP185" s="69"/>
      <c r="AQ185" s="64"/>
      <c r="AR185" s="69"/>
      <c r="AS185" s="64"/>
      <c r="AT185" s="69"/>
      <c r="AU185" s="64"/>
      <c r="AV185" s="69"/>
      <c r="AW185" s="64"/>
      <c r="AX185" s="69"/>
      <c r="AY185" s="64"/>
      <c r="AZ185" s="69"/>
      <c r="BA185" s="64"/>
      <c r="BB185" s="69"/>
      <c r="BC185" s="64"/>
      <c r="BD185" s="69"/>
      <c r="BE185" s="64"/>
      <c r="BF185" s="69"/>
      <c r="BG185" s="64"/>
      <c r="BH185" s="69"/>
      <c r="BI185" s="64"/>
      <c r="BJ185" s="69"/>
      <c r="BK185" s="64"/>
      <c r="BL185" s="69"/>
      <c r="BM185" s="64"/>
      <c r="BN185" s="69"/>
      <c r="BO185" s="64"/>
      <c r="BP185" s="69"/>
      <c r="BQ185" s="64"/>
      <c r="BR185" s="69"/>
      <c r="BS185" s="64"/>
      <c r="BT185" s="69"/>
      <c r="BU185" t="b">
        <f t="shared" si="3"/>
        <v>0</v>
      </c>
    </row>
    <row r="186" spans="1:73" x14ac:dyDescent="0.25">
      <c r="A186" s="28"/>
      <c r="B186" s="29"/>
      <c r="C186" s="29"/>
      <c r="D186" s="30"/>
      <c r="E186" s="29"/>
      <c r="F186" s="30"/>
      <c r="G186" s="29"/>
      <c r="H186" s="69"/>
      <c r="I186" s="64"/>
      <c r="J186" s="69"/>
      <c r="K186" s="64"/>
      <c r="L186" s="69"/>
      <c r="M186" s="65"/>
      <c r="N186" s="69"/>
      <c r="O186" s="64"/>
      <c r="P186" s="69"/>
      <c r="Q186" s="64"/>
      <c r="R186" s="69"/>
      <c r="S186" s="64"/>
      <c r="T186" s="69"/>
      <c r="U186" s="64"/>
      <c r="V186" s="69"/>
      <c r="W186" s="65"/>
      <c r="X186" s="69"/>
      <c r="Y186" s="64"/>
      <c r="Z186" s="69"/>
      <c r="AA186" s="64"/>
      <c r="AB186" s="69"/>
      <c r="AC186" s="64"/>
      <c r="AD186" s="69"/>
      <c r="AE186" s="65"/>
      <c r="AF186" s="69"/>
      <c r="AG186" s="65"/>
      <c r="AH186" s="69"/>
      <c r="AI186" s="64"/>
      <c r="AJ186" s="69"/>
      <c r="AK186" s="64"/>
      <c r="AL186" s="69"/>
      <c r="AM186" s="64"/>
      <c r="AN186" s="69"/>
      <c r="AO186" s="64"/>
      <c r="AP186" s="69"/>
      <c r="AQ186" s="64"/>
      <c r="AR186" s="69"/>
      <c r="AS186" s="64"/>
      <c r="AT186" s="69"/>
      <c r="AU186" s="64"/>
      <c r="AV186" s="69"/>
      <c r="AW186" s="64"/>
      <c r="AX186" s="69"/>
      <c r="AY186" s="64"/>
      <c r="AZ186" s="69"/>
      <c r="BA186" s="64"/>
      <c r="BB186" s="69"/>
      <c r="BC186" s="64"/>
      <c r="BD186" s="69"/>
      <c r="BE186" s="64"/>
      <c r="BF186" s="69"/>
      <c r="BG186" s="64"/>
      <c r="BH186" s="69"/>
      <c r="BI186" s="64"/>
      <c r="BJ186" s="69"/>
      <c r="BK186" s="64"/>
      <c r="BL186" s="69"/>
      <c r="BM186" s="64"/>
      <c r="BN186" s="69"/>
      <c r="BO186" s="64"/>
      <c r="BP186" s="69"/>
      <c r="BQ186" s="64"/>
      <c r="BR186" s="69"/>
      <c r="BS186" s="64"/>
      <c r="BT186" s="69"/>
      <c r="BU186" t="b">
        <f t="shared" si="3"/>
        <v>0</v>
      </c>
    </row>
    <row r="187" spans="1:73" x14ac:dyDescent="0.25">
      <c r="A187" s="28"/>
      <c r="B187" s="29"/>
      <c r="C187" s="29"/>
      <c r="D187" s="30"/>
      <c r="E187" s="29"/>
      <c r="F187" s="30"/>
      <c r="G187" s="29"/>
      <c r="H187" s="69"/>
      <c r="I187" s="64"/>
      <c r="J187" s="69"/>
      <c r="K187" s="64"/>
      <c r="L187" s="69"/>
      <c r="M187" s="65"/>
      <c r="N187" s="69"/>
      <c r="O187" s="64"/>
      <c r="P187" s="69"/>
      <c r="Q187" s="64"/>
      <c r="R187" s="69"/>
      <c r="S187" s="64"/>
      <c r="T187" s="69"/>
      <c r="U187" s="64"/>
      <c r="V187" s="69"/>
      <c r="W187" s="65"/>
      <c r="X187" s="69"/>
      <c r="Y187" s="64"/>
      <c r="Z187" s="69"/>
      <c r="AA187" s="64"/>
      <c r="AB187" s="69"/>
      <c r="AC187" s="64"/>
      <c r="AD187" s="69"/>
      <c r="AE187" s="65"/>
      <c r="AF187" s="69"/>
      <c r="AG187" s="65"/>
      <c r="AH187" s="69"/>
      <c r="AI187" s="64"/>
      <c r="AJ187" s="69"/>
      <c r="AK187" s="64"/>
      <c r="AL187" s="69"/>
      <c r="AM187" s="64"/>
      <c r="AN187" s="69"/>
      <c r="AO187" s="64"/>
      <c r="AP187" s="69"/>
      <c r="AQ187" s="64"/>
      <c r="AR187" s="69"/>
      <c r="AS187" s="64"/>
      <c r="AT187" s="69"/>
      <c r="AU187" s="64"/>
      <c r="AV187" s="69"/>
      <c r="AW187" s="64"/>
      <c r="AX187" s="69"/>
      <c r="AY187" s="64"/>
      <c r="AZ187" s="69"/>
      <c r="BA187" s="64"/>
      <c r="BB187" s="69"/>
      <c r="BC187" s="64"/>
      <c r="BD187" s="69"/>
      <c r="BE187" s="64"/>
      <c r="BF187" s="69"/>
      <c r="BG187" s="64"/>
      <c r="BH187" s="69"/>
      <c r="BI187" s="64"/>
      <c r="BJ187" s="69"/>
      <c r="BK187" s="64"/>
      <c r="BL187" s="69"/>
      <c r="BM187" s="64"/>
      <c r="BN187" s="69"/>
      <c r="BO187" s="64"/>
      <c r="BP187" s="69"/>
      <c r="BQ187" s="64"/>
      <c r="BR187" s="69"/>
      <c r="BS187" s="64"/>
      <c r="BT187" s="69"/>
      <c r="BU187" t="b">
        <f t="shared" si="3"/>
        <v>0</v>
      </c>
    </row>
    <row r="188" spans="1:73" x14ac:dyDescent="0.25">
      <c r="A188" s="28"/>
      <c r="B188" s="29"/>
      <c r="C188" s="29"/>
      <c r="D188" s="30"/>
      <c r="E188" s="29"/>
      <c r="F188" s="30"/>
      <c r="G188" s="29"/>
      <c r="H188" s="69"/>
      <c r="I188" s="64"/>
      <c r="J188" s="69"/>
      <c r="K188" s="64"/>
      <c r="L188" s="69"/>
      <c r="M188" s="65"/>
      <c r="N188" s="69"/>
      <c r="O188" s="64"/>
      <c r="P188" s="69"/>
      <c r="Q188" s="64"/>
      <c r="R188" s="69"/>
      <c r="S188" s="64"/>
      <c r="T188" s="69"/>
      <c r="U188" s="64"/>
      <c r="V188" s="69"/>
      <c r="W188" s="65"/>
      <c r="X188" s="69"/>
      <c r="Y188" s="64"/>
      <c r="Z188" s="69"/>
      <c r="AA188" s="64"/>
      <c r="AB188" s="69"/>
      <c r="AC188" s="64"/>
      <c r="AD188" s="69"/>
      <c r="AE188" s="65"/>
      <c r="AF188" s="69"/>
      <c r="AG188" s="65"/>
      <c r="AH188" s="69"/>
      <c r="AI188" s="64"/>
      <c r="AJ188" s="69"/>
      <c r="AK188" s="64"/>
      <c r="AL188" s="69"/>
      <c r="AM188" s="64"/>
      <c r="AN188" s="69"/>
      <c r="AO188" s="64"/>
      <c r="AP188" s="69"/>
      <c r="AQ188" s="64"/>
      <c r="AR188" s="69"/>
      <c r="AS188" s="64"/>
      <c r="AT188" s="69"/>
      <c r="AU188" s="64"/>
      <c r="AV188" s="69"/>
      <c r="AW188" s="64"/>
      <c r="AX188" s="69"/>
      <c r="AY188" s="64"/>
      <c r="AZ188" s="69"/>
      <c r="BA188" s="64"/>
      <c r="BB188" s="69"/>
      <c r="BC188" s="64"/>
      <c r="BD188" s="69"/>
      <c r="BE188" s="64"/>
      <c r="BF188" s="69"/>
      <c r="BG188" s="64"/>
      <c r="BH188" s="69"/>
      <c r="BI188" s="64"/>
      <c r="BJ188" s="69"/>
      <c r="BK188" s="64"/>
      <c r="BL188" s="69"/>
      <c r="BM188" s="64"/>
      <c r="BN188" s="69"/>
      <c r="BO188" s="64"/>
      <c r="BP188" s="69"/>
      <c r="BQ188" s="64"/>
      <c r="BR188" s="69"/>
      <c r="BS188" s="64"/>
      <c r="BT188" s="69"/>
      <c r="BU188" t="b">
        <f t="shared" si="3"/>
        <v>0</v>
      </c>
    </row>
    <row r="189" spans="1:73" x14ac:dyDescent="0.25">
      <c r="A189" s="28"/>
      <c r="B189" s="29"/>
      <c r="C189" s="29"/>
      <c r="D189" s="30"/>
      <c r="E189" s="29"/>
      <c r="F189" s="30"/>
      <c r="G189" s="29"/>
      <c r="H189" s="69"/>
      <c r="I189" s="64"/>
      <c r="J189" s="69"/>
      <c r="K189" s="64"/>
      <c r="L189" s="69"/>
      <c r="M189" s="65"/>
      <c r="N189" s="69"/>
      <c r="O189" s="64"/>
      <c r="P189" s="69"/>
      <c r="Q189" s="64"/>
      <c r="R189" s="69"/>
      <c r="S189" s="64"/>
      <c r="T189" s="69"/>
      <c r="U189" s="64"/>
      <c r="V189" s="69"/>
      <c r="W189" s="65"/>
      <c r="X189" s="69"/>
      <c r="Y189" s="64"/>
      <c r="Z189" s="69"/>
      <c r="AA189" s="64"/>
      <c r="AB189" s="69"/>
      <c r="AC189" s="64"/>
      <c r="AD189" s="69"/>
      <c r="AE189" s="65"/>
      <c r="AF189" s="69"/>
      <c r="AG189" s="65"/>
      <c r="AH189" s="69"/>
      <c r="AI189" s="64"/>
      <c r="AJ189" s="69"/>
      <c r="AK189" s="64"/>
      <c r="AL189" s="69"/>
      <c r="AM189" s="64"/>
      <c r="AN189" s="69"/>
      <c r="AO189" s="64"/>
      <c r="AP189" s="69"/>
      <c r="AQ189" s="64"/>
      <c r="AR189" s="69"/>
      <c r="AS189" s="64"/>
      <c r="AT189" s="69"/>
      <c r="AU189" s="64"/>
      <c r="AV189" s="69"/>
      <c r="AW189" s="64"/>
      <c r="AX189" s="69"/>
      <c r="AY189" s="64"/>
      <c r="AZ189" s="69"/>
      <c r="BA189" s="64"/>
      <c r="BB189" s="69"/>
      <c r="BC189" s="64"/>
      <c r="BD189" s="69"/>
      <c r="BE189" s="64"/>
      <c r="BF189" s="69"/>
      <c r="BG189" s="64"/>
      <c r="BH189" s="69"/>
      <c r="BI189" s="64"/>
      <c r="BJ189" s="69"/>
      <c r="BK189" s="64"/>
      <c r="BL189" s="69"/>
      <c r="BM189" s="64"/>
      <c r="BN189" s="69"/>
      <c r="BO189" s="64"/>
      <c r="BP189" s="69"/>
      <c r="BQ189" s="64"/>
      <c r="BR189" s="69"/>
      <c r="BS189" s="64"/>
      <c r="BT189" s="69"/>
      <c r="BU189" t="b">
        <f t="shared" si="3"/>
        <v>0</v>
      </c>
    </row>
    <row r="190" spans="1:73" x14ac:dyDescent="0.25">
      <c r="A190" s="28"/>
      <c r="B190" s="29"/>
      <c r="C190" s="29"/>
      <c r="D190" s="30"/>
      <c r="E190" s="29"/>
      <c r="F190" s="30"/>
      <c r="G190" s="29"/>
      <c r="H190" s="69"/>
      <c r="I190" s="64"/>
      <c r="J190" s="69"/>
      <c r="K190" s="64"/>
      <c r="L190" s="69"/>
      <c r="M190" s="65"/>
      <c r="N190" s="69"/>
      <c r="O190" s="64"/>
      <c r="P190" s="69"/>
      <c r="Q190" s="64"/>
      <c r="R190" s="69"/>
      <c r="S190" s="64"/>
      <c r="T190" s="69"/>
      <c r="U190" s="64"/>
      <c r="V190" s="69"/>
      <c r="W190" s="65"/>
      <c r="X190" s="69"/>
      <c r="Y190" s="64"/>
      <c r="Z190" s="69"/>
      <c r="AA190" s="64"/>
      <c r="AB190" s="69"/>
      <c r="AC190" s="64"/>
      <c r="AD190" s="69"/>
      <c r="AE190" s="65"/>
      <c r="AF190" s="69"/>
      <c r="AG190" s="65"/>
      <c r="AH190" s="69"/>
      <c r="AI190" s="64"/>
      <c r="AJ190" s="69"/>
      <c r="AK190" s="64"/>
      <c r="AL190" s="69"/>
      <c r="AM190" s="64"/>
      <c r="AN190" s="69"/>
      <c r="AO190" s="64"/>
      <c r="AP190" s="69"/>
      <c r="AQ190" s="64"/>
      <c r="AR190" s="69"/>
      <c r="AS190" s="64"/>
      <c r="AT190" s="69"/>
      <c r="AU190" s="64"/>
      <c r="AV190" s="69"/>
      <c r="AW190" s="64"/>
      <c r="AX190" s="69"/>
      <c r="AY190" s="64"/>
      <c r="AZ190" s="69"/>
      <c r="BA190" s="64"/>
      <c r="BB190" s="69"/>
      <c r="BC190" s="64"/>
      <c r="BD190" s="69"/>
      <c r="BE190" s="64"/>
      <c r="BF190" s="69"/>
      <c r="BG190" s="64"/>
      <c r="BH190" s="69"/>
      <c r="BI190" s="64"/>
      <c r="BJ190" s="69"/>
      <c r="BK190" s="64"/>
      <c r="BL190" s="69"/>
      <c r="BM190" s="64"/>
      <c r="BN190" s="69"/>
      <c r="BO190" s="64"/>
      <c r="BP190" s="69"/>
      <c r="BQ190" s="64"/>
      <c r="BR190" s="69"/>
      <c r="BS190" s="64"/>
      <c r="BT190" s="69"/>
      <c r="BU190" t="b">
        <f t="shared" si="3"/>
        <v>0</v>
      </c>
    </row>
    <row r="191" spans="1:73" x14ac:dyDescent="0.25">
      <c r="A191" s="28"/>
      <c r="B191" s="29"/>
      <c r="C191" s="29"/>
      <c r="D191" s="30"/>
      <c r="E191" s="29"/>
      <c r="F191" s="30"/>
      <c r="G191" s="29"/>
      <c r="H191" s="69"/>
      <c r="I191" s="64"/>
      <c r="J191" s="69"/>
      <c r="K191" s="64"/>
      <c r="L191" s="69"/>
      <c r="M191" s="65"/>
      <c r="N191" s="69"/>
      <c r="O191" s="64"/>
      <c r="P191" s="69"/>
      <c r="Q191" s="64"/>
      <c r="R191" s="69"/>
      <c r="S191" s="64"/>
      <c r="T191" s="69"/>
      <c r="U191" s="64"/>
      <c r="V191" s="69"/>
      <c r="W191" s="65"/>
      <c r="X191" s="69"/>
      <c r="Y191" s="64"/>
      <c r="Z191" s="69"/>
      <c r="AA191" s="64"/>
      <c r="AB191" s="69"/>
      <c r="AC191" s="64"/>
      <c r="AD191" s="69"/>
      <c r="AE191" s="65"/>
      <c r="AF191" s="69"/>
      <c r="AG191" s="65"/>
      <c r="AH191" s="69"/>
      <c r="AI191" s="64"/>
      <c r="AJ191" s="69"/>
      <c r="AK191" s="64"/>
      <c r="AL191" s="69"/>
      <c r="AM191" s="64"/>
      <c r="AN191" s="69"/>
      <c r="AO191" s="64"/>
      <c r="AP191" s="69"/>
      <c r="AQ191" s="64"/>
      <c r="AR191" s="69"/>
      <c r="AS191" s="64"/>
      <c r="AT191" s="69"/>
      <c r="AU191" s="64"/>
      <c r="AV191" s="69"/>
      <c r="AW191" s="64"/>
      <c r="AX191" s="69"/>
      <c r="AY191" s="64"/>
      <c r="AZ191" s="69"/>
      <c r="BA191" s="64"/>
      <c r="BB191" s="69"/>
      <c r="BC191" s="64"/>
      <c r="BD191" s="69"/>
      <c r="BE191" s="64"/>
      <c r="BF191" s="69"/>
      <c r="BG191" s="64"/>
      <c r="BH191" s="69"/>
      <c r="BI191" s="64"/>
      <c r="BJ191" s="69"/>
      <c r="BK191" s="64"/>
      <c r="BL191" s="69"/>
      <c r="BM191" s="64"/>
      <c r="BN191" s="69"/>
      <c r="BO191" s="64"/>
      <c r="BP191" s="69"/>
      <c r="BQ191" s="64"/>
      <c r="BR191" s="69"/>
      <c r="BS191" s="64"/>
      <c r="BT191" s="69"/>
      <c r="BU191" t="b">
        <f t="shared" si="3"/>
        <v>0</v>
      </c>
    </row>
    <row r="192" spans="1:73" x14ac:dyDescent="0.25">
      <c r="A192" s="28"/>
      <c r="B192" s="29"/>
      <c r="C192" s="29"/>
      <c r="D192" s="30"/>
      <c r="E192" s="29"/>
      <c r="F192" s="30"/>
      <c r="G192" s="29"/>
      <c r="H192" s="69"/>
      <c r="I192" s="64"/>
      <c r="J192" s="69"/>
      <c r="K192" s="64"/>
      <c r="L192" s="69"/>
      <c r="M192" s="65"/>
      <c r="N192" s="69"/>
      <c r="O192" s="64"/>
      <c r="P192" s="69"/>
      <c r="Q192" s="64"/>
      <c r="R192" s="69"/>
      <c r="S192" s="64"/>
      <c r="T192" s="69"/>
      <c r="U192" s="64"/>
      <c r="V192" s="69"/>
      <c r="W192" s="65"/>
      <c r="X192" s="69"/>
      <c r="Y192" s="64"/>
      <c r="Z192" s="69"/>
      <c r="AA192" s="64"/>
      <c r="AB192" s="69"/>
      <c r="AC192" s="64"/>
      <c r="AD192" s="69"/>
      <c r="AE192" s="65"/>
      <c r="AF192" s="69"/>
      <c r="AG192" s="65"/>
      <c r="AH192" s="69"/>
      <c r="AI192" s="64"/>
      <c r="AJ192" s="69"/>
      <c r="AK192" s="64"/>
      <c r="AL192" s="69"/>
      <c r="AM192" s="64"/>
      <c r="AN192" s="69"/>
      <c r="AO192" s="64"/>
      <c r="AP192" s="69"/>
      <c r="AQ192" s="64"/>
      <c r="AR192" s="69"/>
      <c r="AS192" s="64"/>
      <c r="AT192" s="69"/>
      <c r="AU192" s="64"/>
      <c r="AV192" s="69"/>
      <c r="AW192" s="64"/>
      <c r="AX192" s="69"/>
      <c r="AY192" s="64"/>
      <c r="AZ192" s="69"/>
      <c r="BA192" s="64"/>
      <c r="BB192" s="69"/>
      <c r="BC192" s="64"/>
      <c r="BD192" s="69"/>
      <c r="BE192" s="64"/>
      <c r="BF192" s="69"/>
      <c r="BG192" s="64"/>
      <c r="BH192" s="69"/>
      <c r="BI192" s="64"/>
      <c r="BJ192" s="69"/>
      <c r="BK192" s="64"/>
      <c r="BL192" s="69"/>
      <c r="BM192" s="64"/>
      <c r="BN192" s="69"/>
      <c r="BO192" s="64"/>
      <c r="BP192" s="69"/>
      <c r="BQ192" s="64"/>
      <c r="BR192" s="69"/>
      <c r="BS192" s="64"/>
      <c r="BT192" s="69"/>
      <c r="BU192" t="b">
        <f t="shared" si="3"/>
        <v>0</v>
      </c>
    </row>
    <row r="193" spans="1:73" x14ac:dyDescent="0.25">
      <c r="A193" s="28"/>
      <c r="B193" s="29"/>
      <c r="C193" s="29"/>
      <c r="D193" s="30"/>
      <c r="E193" s="29"/>
      <c r="F193" s="30"/>
      <c r="G193" s="29"/>
      <c r="H193" s="69"/>
      <c r="I193" s="64"/>
      <c r="J193" s="69"/>
      <c r="K193" s="64"/>
      <c r="L193" s="69"/>
      <c r="M193" s="65"/>
      <c r="N193" s="69"/>
      <c r="O193" s="64"/>
      <c r="P193" s="69"/>
      <c r="Q193" s="64"/>
      <c r="R193" s="69"/>
      <c r="S193" s="64"/>
      <c r="T193" s="69"/>
      <c r="U193" s="64"/>
      <c r="V193" s="69"/>
      <c r="W193" s="65"/>
      <c r="X193" s="69"/>
      <c r="Y193" s="64"/>
      <c r="Z193" s="69"/>
      <c r="AA193" s="64"/>
      <c r="AB193" s="69"/>
      <c r="AC193" s="64"/>
      <c r="AD193" s="69"/>
      <c r="AE193" s="65"/>
      <c r="AF193" s="69"/>
      <c r="AG193" s="65"/>
      <c r="AH193" s="69"/>
      <c r="AI193" s="64"/>
      <c r="AJ193" s="69"/>
      <c r="AK193" s="64"/>
      <c r="AL193" s="69"/>
      <c r="AM193" s="64"/>
      <c r="AN193" s="69"/>
      <c r="AO193" s="64"/>
      <c r="AP193" s="69"/>
      <c r="AQ193" s="64"/>
      <c r="AR193" s="69"/>
      <c r="AS193" s="64"/>
      <c r="AT193" s="69"/>
      <c r="AU193" s="64"/>
      <c r="AV193" s="69"/>
      <c r="AW193" s="64"/>
      <c r="AX193" s="69"/>
      <c r="AY193" s="64"/>
      <c r="AZ193" s="69"/>
      <c r="BA193" s="64"/>
      <c r="BB193" s="69"/>
      <c r="BC193" s="64"/>
      <c r="BD193" s="69"/>
      <c r="BE193" s="64"/>
      <c r="BF193" s="69"/>
      <c r="BG193" s="64"/>
      <c r="BH193" s="69"/>
      <c r="BI193" s="64"/>
      <c r="BJ193" s="69"/>
      <c r="BK193" s="64"/>
      <c r="BL193" s="69"/>
      <c r="BM193" s="64"/>
      <c r="BN193" s="69"/>
      <c r="BO193" s="64"/>
      <c r="BP193" s="69"/>
      <c r="BQ193" s="64"/>
      <c r="BR193" s="69"/>
      <c r="BS193" s="64"/>
      <c r="BT193" s="69"/>
      <c r="BU193" t="b">
        <f t="shared" si="3"/>
        <v>0</v>
      </c>
    </row>
    <row r="194" spans="1:73" x14ac:dyDescent="0.25">
      <c r="A194" s="28"/>
      <c r="B194" s="29"/>
      <c r="C194" s="29"/>
      <c r="D194" s="30"/>
      <c r="E194" s="29"/>
      <c r="F194" s="30"/>
      <c r="G194" s="29"/>
      <c r="H194" s="69"/>
      <c r="I194" s="64"/>
      <c r="J194" s="69"/>
      <c r="K194" s="64"/>
      <c r="L194" s="69"/>
      <c r="M194" s="65"/>
      <c r="N194" s="69"/>
      <c r="O194" s="64"/>
      <c r="P194" s="69"/>
      <c r="Q194" s="64"/>
      <c r="R194" s="69"/>
      <c r="S194" s="64"/>
      <c r="T194" s="69"/>
      <c r="U194" s="64"/>
      <c r="V194" s="69"/>
      <c r="W194" s="65"/>
      <c r="X194" s="69"/>
      <c r="Y194" s="64"/>
      <c r="Z194" s="69"/>
      <c r="AA194" s="64"/>
      <c r="AB194" s="69"/>
      <c r="AC194" s="64"/>
      <c r="AD194" s="69"/>
      <c r="AE194" s="65"/>
      <c r="AF194" s="69"/>
      <c r="AG194" s="65"/>
      <c r="AH194" s="69"/>
      <c r="AI194" s="64"/>
      <c r="AJ194" s="69"/>
      <c r="AK194" s="64"/>
      <c r="AL194" s="69"/>
      <c r="AM194" s="64"/>
      <c r="AN194" s="69"/>
      <c r="AO194" s="64"/>
      <c r="AP194" s="69"/>
      <c r="AQ194" s="64"/>
      <c r="AR194" s="69"/>
      <c r="AS194" s="64"/>
      <c r="AT194" s="69"/>
      <c r="AU194" s="64"/>
      <c r="AV194" s="69"/>
      <c r="AW194" s="64"/>
      <c r="AX194" s="69"/>
      <c r="AY194" s="64"/>
      <c r="AZ194" s="69"/>
      <c r="BA194" s="64"/>
      <c r="BB194" s="69"/>
      <c r="BC194" s="64"/>
      <c r="BD194" s="69"/>
      <c r="BE194" s="64"/>
      <c r="BF194" s="69"/>
      <c r="BG194" s="64"/>
      <c r="BH194" s="69"/>
      <c r="BI194" s="64"/>
      <c r="BJ194" s="69"/>
      <c r="BK194" s="64"/>
      <c r="BL194" s="69"/>
      <c r="BM194" s="64"/>
      <c r="BN194" s="69"/>
      <c r="BO194" s="64"/>
      <c r="BP194" s="69"/>
      <c r="BQ194" s="64"/>
      <c r="BR194" s="69"/>
      <c r="BS194" s="64"/>
      <c r="BT194" s="69"/>
      <c r="BU194" t="b">
        <f t="shared" si="3"/>
        <v>0</v>
      </c>
    </row>
    <row r="195" spans="1:73" x14ac:dyDescent="0.25">
      <c r="A195" s="28"/>
      <c r="B195" s="29"/>
      <c r="C195" s="29"/>
      <c r="D195" s="30"/>
      <c r="E195" s="29"/>
      <c r="F195" s="30"/>
      <c r="G195" s="29"/>
      <c r="H195" s="69"/>
      <c r="I195" s="64"/>
      <c r="J195" s="69"/>
      <c r="K195" s="64"/>
      <c r="L195" s="69"/>
      <c r="M195" s="65"/>
      <c r="N195" s="69"/>
      <c r="O195" s="64"/>
      <c r="P195" s="69"/>
      <c r="Q195" s="64"/>
      <c r="R195" s="69"/>
      <c r="S195" s="64"/>
      <c r="T195" s="69"/>
      <c r="U195" s="64"/>
      <c r="V195" s="69"/>
      <c r="W195" s="65"/>
      <c r="X195" s="69"/>
      <c r="Y195" s="64"/>
      <c r="Z195" s="69"/>
      <c r="AA195" s="64"/>
      <c r="AB195" s="69"/>
      <c r="AC195" s="64"/>
      <c r="AD195" s="69"/>
      <c r="AE195" s="65"/>
      <c r="AF195" s="69"/>
      <c r="AG195" s="65"/>
      <c r="AH195" s="69"/>
      <c r="AI195" s="64"/>
      <c r="AJ195" s="69"/>
      <c r="AK195" s="64"/>
      <c r="AL195" s="69"/>
      <c r="AM195" s="64"/>
      <c r="AN195" s="69"/>
      <c r="AO195" s="64"/>
      <c r="AP195" s="69"/>
      <c r="AQ195" s="64"/>
      <c r="AR195" s="69"/>
      <c r="AS195" s="64"/>
      <c r="AT195" s="69"/>
      <c r="AU195" s="64"/>
      <c r="AV195" s="69"/>
      <c r="AW195" s="64"/>
      <c r="AX195" s="69"/>
      <c r="AY195" s="64"/>
      <c r="AZ195" s="69"/>
      <c r="BA195" s="64"/>
      <c r="BB195" s="69"/>
      <c r="BC195" s="64"/>
      <c r="BD195" s="69"/>
      <c r="BE195" s="64"/>
      <c r="BF195" s="69"/>
      <c r="BG195" s="64"/>
      <c r="BH195" s="69"/>
      <c r="BI195" s="64"/>
      <c r="BJ195" s="69"/>
      <c r="BK195" s="64"/>
      <c r="BL195" s="69"/>
      <c r="BM195" s="64"/>
      <c r="BN195" s="69"/>
      <c r="BO195" s="64"/>
      <c r="BP195" s="69"/>
      <c r="BQ195" s="64"/>
      <c r="BR195" s="69"/>
      <c r="BS195" s="64"/>
      <c r="BT195" s="69"/>
      <c r="BU195" t="b">
        <f t="shared" si="3"/>
        <v>0</v>
      </c>
    </row>
    <row r="196" spans="1:73" x14ac:dyDescent="0.25">
      <c r="A196" s="28"/>
      <c r="B196" s="29"/>
      <c r="C196" s="29"/>
      <c r="D196" s="30"/>
      <c r="E196" s="29"/>
      <c r="F196" s="30"/>
      <c r="G196" s="29"/>
      <c r="H196" s="69"/>
      <c r="I196" s="64"/>
      <c r="J196" s="69"/>
      <c r="K196" s="64"/>
      <c r="L196" s="69"/>
      <c r="M196" s="65"/>
      <c r="N196" s="69"/>
      <c r="O196" s="64"/>
      <c r="P196" s="69"/>
      <c r="Q196" s="64"/>
      <c r="R196" s="69"/>
      <c r="S196" s="64"/>
      <c r="T196" s="69"/>
      <c r="U196" s="64"/>
      <c r="V196" s="69"/>
      <c r="W196" s="65"/>
      <c r="X196" s="69"/>
      <c r="Y196" s="64"/>
      <c r="Z196" s="69"/>
      <c r="AA196" s="64"/>
      <c r="AB196" s="69"/>
      <c r="AC196" s="64"/>
      <c r="AD196" s="69"/>
      <c r="AE196" s="65"/>
      <c r="AF196" s="69"/>
      <c r="AG196" s="65"/>
      <c r="AH196" s="69"/>
      <c r="AI196" s="64"/>
      <c r="AJ196" s="69"/>
      <c r="AK196" s="64"/>
      <c r="AL196" s="69"/>
      <c r="AM196" s="64"/>
      <c r="AN196" s="69"/>
      <c r="AO196" s="64"/>
      <c r="AP196" s="69"/>
      <c r="AQ196" s="64"/>
      <c r="AR196" s="69"/>
      <c r="AS196" s="64"/>
      <c r="AT196" s="69"/>
      <c r="AU196" s="64"/>
      <c r="AV196" s="69"/>
      <c r="AW196" s="64"/>
      <c r="AX196" s="69"/>
      <c r="AY196" s="64"/>
      <c r="AZ196" s="69"/>
      <c r="BA196" s="64"/>
      <c r="BB196" s="69"/>
      <c r="BC196" s="64"/>
      <c r="BD196" s="69"/>
      <c r="BE196" s="64"/>
      <c r="BF196" s="69"/>
      <c r="BG196" s="64"/>
      <c r="BH196" s="69"/>
      <c r="BI196" s="64"/>
      <c r="BJ196" s="69"/>
      <c r="BK196" s="64"/>
      <c r="BL196" s="69"/>
      <c r="BM196" s="64"/>
      <c r="BN196" s="69"/>
      <c r="BO196" s="64"/>
      <c r="BP196" s="69"/>
      <c r="BQ196" s="64"/>
      <c r="BR196" s="69"/>
      <c r="BS196" s="64"/>
      <c r="BT196" s="69"/>
      <c r="BU196" t="b">
        <f t="shared" si="3"/>
        <v>0</v>
      </c>
    </row>
    <row r="197" spans="1:73" x14ac:dyDescent="0.25">
      <c r="A197" s="28"/>
      <c r="B197" s="29"/>
      <c r="C197" s="29"/>
      <c r="D197" s="30"/>
      <c r="E197" s="29"/>
      <c r="F197" s="30"/>
      <c r="G197" s="29"/>
      <c r="H197" s="69"/>
      <c r="I197" s="64"/>
      <c r="J197" s="69"/>
      <c r="K197" s="64"/>
      <c r="L197" s="69"/>
      <c r="M197" s="65"/>
      <c r="N197" s="69"/>
      <c r="O197" s="64"/>
      <c r="P197" s="69"/>
      <c r="Q197" s="64"/>
      <c r="R197" s="69"/>
      <c r="S197" s="64"/>
      <c r="T197" s="69"/>
      <c r="U197" s="64"/>
      <c r="V197" s="69"/>
      <c r="W197" s="65"/>
      <c r="X197" s="69"/>
      <c r="Y197" s="64"/>
      <c r="Z197" s="69"/>
      <c r="AA197" s="64"/>
      <c r="AB197" s="69"/>
      <c r="AC197" s="64"/>
      <c r="AD197" s="69"/>
      <c r="AE197" s="65"/>
      <c r="AF197" s="69"/>
      <c r="AG197" s="65"/>
      <c r="AH197" s="69"/>
      <c r="AI197" s="64"/>
      <c r="AJ197" s="69"/>
      <c r="AK197" s="64"/>
      <c r="AL197" s="69"/>
      <c r="AM197" s="64"/>
      <c r="AN197" s="69"/>
      <c r="AO197" s="64"/>
      <c r="AP197" s="69"/>
      <c r="AQ197" s="64"/>
      <c r="AR197" s="69"/>
      <c r="AS197" s="64"/>
      <c r="AT197" s="69"/>
      <c r="AU197" s="64"/>
      <c r="AV197" s="69"/>
      <c r="AW197" s="64"/>
      <c r="AX197" s="69"/>
      <c r="AY197" s="64"/>
      <c r="AZ197" s="69"/>
      <c r="BA197" s="64"/>
      <c r="BB197" s="69"/>
      <c r="BC197" s="64"/>
      <c r="BD197" s="69"/>
      <c r="BE197" s="64"/>
      <c r="BF197" s="69"/>
      <c r="BG197" s="64"/>
      <c r="BH197" s="69"/>
      <c r="BI197" s="64"/>
      <c r="BJ197" s="69"/>
      <c r="BK197" s="64"/>
      <c r="BL197" s="69"/>
      <c r="BM197" s="64"/>
      <c r="BN197" s="69"/>
      <c r="BO197" s="64"/>
      <c r="BP197" s="69"/>
      <c r="BQ197" s="64"/>
      <c r="BR197" s="69"/>
      <c r="BS197" s="64"/>
      <c r="BT197" s="69"/>
      <c r="BU197" t="b">
        <f t="shared" si="3"/>
        <v>0</v>
      </c>
    </row>
    <row r="198" spans="1:73" x14ac:dyDescent="0.25">
      <c r="A198" s="28"/>
      <c r="B198" s="29"/>
      <c r="C198" s="29"/>
      <c r="D198" s="30"/>
      <c r="E198" s="29"/>
      <c r="F198" s="30"/>
      <c r="G198" s="29"/>
      <c r="H198" s="69"/>
      <c r="I198" s="64"/>
      <c r="J198" s="69"/>
      <c r="K198" s="64"/>
      <c r="L198" s="69"/>
      <c r="M198" s="65"/>
      <c r="N198" s="69"/>
      <c r="O198" s="64"/>
      <c r="P198" s="69"/>
      <c r="Q198" s="64"/>
      <c r="R198" s="69"/>
      <c r="S198" s="64"/>
      <c r="T198" s="69"/>
      <c r="U198" s="64"/>
      <c r="V198" s="69"/>
      <c r="W198" s="65"/>
      <c r="X198" s="69"/>
      <c r="Y198" s="64"/>
      <c r="Z198" s="69"/>
      <c r="AA198" s="64"/>
      <c r="AB198" s="69"/>
      <c r="AC198" s="64"/>
      <c r="AD198" s="69"/>
      <c r="AE198" s="65"/>
      <c r="AF198" s="69"/>
      <c r="AG198" s="65"/>
      <c r="AH198" s="69"/>
      <c r="AI198" s="64"/>
      <c r="AJ198" s="69"/>
      <c r="AK198" s="64"/>
      <c r="AL198" s="69"/>
      <c r="AM198" s="64"/>
      <c r="AN198" s="69"/>
      <c r="AO198" s="64"/>
      <c r="AP198" s="69"/>
      <c r="AQ198" s="64"/>
      <c r="AR198" s="69"/>
      <c r="AS198" s="64"/>
      <c r="AT198" s="69"/>
      <c r="AU198" s="64"/>
      <c r="AV198" s="69"/>
      <c r="AW198" s="64"/>
      <c r="AX198" s="69"/>
      <c r="AY198" s="64"/>
      <c r="AZ198" s="69"/>
      <c r="BA198" s="64"/>
      <c r="BB198" s="69"/>
      <c r="BC198" s="64"/>
      <c r="BD198" s="69"/>
      <c r="BE198" s="64"/>
      <c r="BF198" s="69"/>
      <c r="BG198" s="64"/>
      <c r="BH198" s="69"/>
      <c r="BI198" s="64"/>
      <c r="BJ198" s="69"/>
      <c r="BK198" s="64"/>
      <c r="BL198" s="69"/>
      <c r="BM198" s="64"/>
      <c r="BN198" s="69"/>
      <c r="BO198" s="64"/>
      <c r="BP198" s="69"/>
      <c r="BQ198" s="64"/>
      <c r="BR198" s="69"/>
      <c r="BS198" s="64"/>
      <c r="BT198" s="69"/>
      <c r="BU198" t="b">
        <f t="shared" si="3"/>
        <v>0</v>
      </c>
    </row>
    <row r="199" spans="1:73" x14ac:dyDescent="0.25">
      <c r="A199" s="28"/>
      <c r="B199" s="29"/>
      <c r="C199" s="29"/>
      <c r="D199" s="30"/>
      <c r="E199" s="29"/>
      <c r="F199" s="30"/>
      <c r="G199" s="29"/>
      <c r="H199" s="69"/>
      <c r="I199" s="64"/>
      <c r="J199" s="69"/>
      <c r="K199" s="64"/>
      <c r="L199" s="69"/>
      <c r="M199" s="65"/>
      <c r="N199" s="69"/>
      <c r="O199" s="64"/>
      <c r="P199" s="69"/>
      <c r="Q199" s="64"/>
      <c r="R199" s="69"/>
      <c r="S199" s="64"/>
      <c r="T199" s="69"/>
      <c r="U199" s="64"/>
      <c r="V199" s="69"/>
      <c r="W199" s="65"/>
      <c r="X199" s="69"/>
      <c r="Y199" s="64"/>
      <c r="Z199" s="69"/>
      <c r="AA199" s="64"/>
      <c r="AB199" s="69"/>
      <c r="AC199" s="64"/>
      <c r="AD199" s="69"/>
      <c r="AE199" s="65"/>
      <c r="AF199" s="69"/>
      <c r="AG199" s="65"/>
      <c r="AH199" s="69"/>
      <c r="AI199" s="64"/>
      <c r="AJ199" s="69"/>
      <c r="AK199" s="64"/>
      <c r="AL199" s="69"/>
      <c r="AM199" s="64"/>
      <c r="AN199" s="69"/>
      <c r="AO199" s="64"/>
      <c r="AP199" s="69"/>
      <c r="AQ199" s="64"/>
      <c r="AR199" s="69"/>
      <c r="AS199" s="64"/>
      <c r="AT199" s="69"/>
      <c r="AU199" s="64"/>
      <c r="AV199" s="69"/>
      <c r="AW199" s="64"/>
      <c r="AX199" s="69"/>
      <c r="AY199" s="64"/>
      <c r="AZ199" s="69"/>
      <c r="BA199" s="64"/>
      <c r="BB199" s="69"/>
      <c r="BC199" s="64"/>
      <c r="BD199" s="69"/>
      <c r="BE199" s="64"/>
      <c r="BF199" s="69"/>
      <c r="BG199" s="64"/>
      <c r="BH199" s="69"/>
      <c r="BI199" s="64"/>
      <c r="BJ199" s="69"/>
      <c r="BK199" s="64"/>
      <c r="BL199" s="69"/>
      <c r="BM199" s="64"/>
      <c r="BN199" s="69"/>
      <c r="BO199" s="64"/>
      <c r="BP199" s="69"/>
      <c r="BQ199" s="64"/>
      <c r="BR199" s="69"/>
      <c r="BS199" s="64"/>
      <c r="BT199" s="69"/>
      <c r="BU199" t="b">
        <f t="shared" si="3"/>
        <v>0</v>
      </c>
    </row>
    <row r="200" spans="1:73" x14ac:dyDescent="0.25">
      <c r="A200" s="28"/>
      <c r="B200" s="29"/>
      <c r="C200" s="29"/>
      <c r="D200" s="30"/>
      <c r="E200" s="29"/>
      <c r="F200" s="30"/>
      <c r="G200" s="29"/>
      <c r="H200" s="69"/>
      <c r="I200" s="64"/>
      <c r="J200" s="69"/>
      <c r="K200" s="64"/>
      <c r="L200" s="69"/>
      <c r="M200" s="65"/>
      <c r="N200" s="69"/>
      <c r="O200" s="64"/>
      <c r="P200" s="69"/>
      <c r="Q200" s="64"/>
      <c r="R200" s="69"/>
      <c r="S200" s="64"/>
      <c r="T200" s="69"/>
      <c r="U200" s="64"/>
      <c r="V200" s="69"/>
      <c r="W200" s="65"/>
      <c r="X200" s="69"/>
      <c r="Y200" s="64"/>
      <c r="Z200" s="69"/>
      <c r="AA200" s="64"/>
      <c r="AB200" s="69"/>
      <c r="AC200" s="64"/>
      <c r="AD200" s="69"/>
      <c r="AE200" s="65"/>
      <c r="AF200" s="69"/>
      <c r="AG200" s="65"/>
      <c r="AH200" s="69"/>
      <c r="AI200" s="64"/>
      <c r="AJ200" s="69"/>
      <c r="AK200" s="64"/>
      <c r="AL200" s="69"/>
      <c r="AM200" s="64"/>
      <c r="AN200" s="69"/>
      <c r="AO200" s="64"/>
      <c r="AP200" s="69"/>
      <c r="AQ200" s="64"/>
      <c r="AR200" s="69"/>
      <c r="AS200" s="64"/>
      <c r="AT200" s="69"/>
      <c r="AU200" s="64"/>
      <c r="AV200" s="69"/>
      <c r="AW200" s="64"/>
      <c r="AX200" s="69"/>
      <c r="AY200" s="64"/>
      <c r="AZ200" s="69"/>
      <c r="BA200" s="64"/>
      <c r="BB200" s="69"/>
      <c r="BC200" s="64"/>
      <c r="BD200" s="69"/>
      <c r="BE200" s="64"/>
      <c r="BF200" s="69"/>
      <c r="BG200" s="64"/>
      <c r="BH200" s="69"/>
      <c r="BI200" s="64"/>
      <c r="BJ200" s="69"/>
      <c r="BK200" s="64"/>
      <c r="BL200" s="69"/>
      <c r="BM200" s="64"/>
      <c r="BN200" s="69"/>
      <c r="BO200" s="64"/>
      <c r="BP200" s="69"/>
      <c r="BQ200" s="64"/>
      <c r="BR200" s="69"/>
      <c r="BS200" s="64"/>
      <c r="BT200" s="69"/>
      <c r="BU200" t="b">
        <f t="shared" si="3"/>
        <v>0</v>
      </c>
    </row>
    <row r="201" spans="1:73" x14ac:dyDescent="0.25">
      <c r="A201" s="28"/>
      <c r="B201" s="29"/>
      <c r="C201" s="29"/>
      <c r="D201" s="30"/>
      <c r="E201" s="29"/>
      <c r="F201" s="30"/>
      <c r="G201" s="29"/>
      <c r="H201" s="69"/>
      <c r="I201" s="64"/>
      <c r="J201" s="69"/>
      <c r="K201" s="64"/>
      <c r="L201" s="69"/>
      <c r="M201" s="65"/>
      <c r="N201" s="69"/>
      <c r="O201" s="64"/>
      <c r="P201" s="69"/>
      <c r="Q201" s="64"/>
      <c r="R201" s="69"/>
      <c r="S201" s="64"/>
      <c r="T201" s="69"/>
      <c r="U201" s="64"/>
      <c r="V201" s="69"/>
      <c r="W201" s="65"/>
      <c r="X201" s="69"/>
      <c r="Y201" s="64"/>
      <c r="Z201" s="69"/>
      <c r="AA201" s="64"/>
      <c r="AB201" s="69"/>
      <c r="AC201" s="64"/>
      <c r="AD201" s="69"/>
      <c r="AE201" s="65"/>
      <c r="AF201" s="69"/>
      <c r="AG201" s="65"/>
      <c r="AH201" s="69"/>
      <c r="AI201" s="64"/>
      <c r="AJ201" s="69"/>
      <c r="AK201" s="64"/>
      <c r="AL201" s="69"/>
      <c r="AM201" s="64"/>
      <c r="AN201" s="69"/>
      <c r="AO201" s="64"/>
      <c r="AP201" s="69"/>
      <c r="AQ201" s="64"/>
      <c r="AR201" s="69"/>
      <c r="AS201" s="64"/>
      <c r="AT201" s="69"/>
      <c r="AU201" s="64"/>
      <c r="AV201" s="69"/>
      <c r="AW201" s="64"/>
      <c r="AX201" s="69"/>
      <c r="AY201" s="64"/>
      <c r="AZ201" s="69"/>
      <c r="BA201" s="64"/>
      <c r="BB201" s="69"/>
      <c r="BC201" s="64"/>
      <c r="BD201" s="69"/>
      <c r="BE201" s="64"/>
      <c r="BF201" s="69"/>
      <c r="BG201" s="64"/>
      <c r="BH201" s="69"/>
      <c r="BI201" s="64"/>
      <c r="BJ201" s="69"/>
      <c r="BK201" s="64"/>
      <c r="BL201" s="69"/>
      <c r="BM201" s="64"/>
      <c r="BN201" s="69"/>
      <c r="BO201" s="64"/>
      <c r="BP201" s="69"/>
      <c r="BQ201" s="64"/>
      <c r="BR201" s="69"/>
      <c r="BS201" s="64"/>
      <c r="BT201" s="69"/>
      <c r="BU201" t="b">
        <f t="shared" si="3"/>
        <v>0</v>
      </c>
    </row>
    <row r="202" spans="1:73" x14ac:dyDescent="0.25">
      <c r="A202" s="28"/>
      <c r="B202" s="29"/>
      <c r="C202" s="29"/>
      <c r="D202" s="30"/>
      <c r="E202" s="29"/>
      <c r="F202" s="30"/>
      <c r="G202" s="29"/>
      <c r="H202" s="69"/>
      <c r="I202" s="64"/>
      <c r="J202" s="69"/>
      <c r="K202" s="64"/>
      <c r="L202" s="69"/>
      <c r="M202" s="65"/>
      <c r="N202" s="69"/>
      <c r="O202" s="64"/>
      <c r="P202" s="69"/>
      <c r="Q202" s="64"/>
      <c r="R202" s="69"/>
      <c r="S202" s="64"/>
      <c r="T202" s="69"/>
      <c r="U202" s="64"/>
      <c r="V202" s="69"/>
      <c r="W202" s="65"/>
      <c r="X202" s="69"/>
      <c r="Y202" s="64"/>
      <c r="Z202" s="69"/>
      <c r="AA202" s="64"/>
      <c r="AB202" s="69"/>
      <c r="AC202" s="64"/>
      <c r="AD202" s="69"/>
      <c r="AE202" s="65"/>
      <c r="AF202" s="69"/>
      <c r="AG202" s="65"/>
      <c r="AH202" s="69"/>
      <c r="AI202" s="64"/>
      <c r="AJ202" s="69"/>
      <c r="AK202" s="64"/>
      <c r="AL202" s="69"/>
      <c r="AM202" s="64"/>
      <c r="AN202" s="69"/>
      <c r="AO202" s="64"/>
      <c r="AP202" s="69"/>
      <c r="AQ202" s="64"/>
      <c r="AR202" s="69"/>
      <c r="AS202" s="64"/>
      <c r="AT202" s="69"/>
      <c r="AU202" s="64"/>
      <c r="AV202" s="69"/>
      <c r="AW202" s="64"/>
      <c r="AX202" s="69"/>
      <c r="AY202" s="64"/>
      <c r="AZ202" s="69"/>
      <c r="BA202" s="64"/>
      <c r="BB202" s="69"/>
      <c r="BC202" s="64"/>
      <c r="BD202" s="69"/>
      <c r="BE202" s="64"/>
      <c r="BF202" s="69"/>
      <c r="BG202" s="64"/>
      <c r="BH202" s="69"/>
      <c r="BI202" s="64"/>
      <c r="BJ202" s="69"/>
      <c r="BK202" s="64"/>
      <c r="BL202" s="69"/>
      <c r="BM202" s="64"/>
      <c r="BN202" s="69"/>
      <c r="BO202" s="64"/>
      <c r="BP202" s="69"/>
      <c r="BQ202" s="64"/>
      <c r="BR202" s="69"/>
      <c r="BS202" s="64"/>
      <c r="BT202" s="69"/>
      <c r="BU202" t="b">
        <f t="shared" si="3"/>
        <v>0</v>
      </c>
    </row>
    <row r="203" spans="1:73" x14ac:dyDescent="0.25">
      <c r="A203" s="28"/>
      <c r="B203" s="29"/>
      <c r="C203" s="29"/>
      <c r="D203" s="30"/>
      <c r="E203" s="29"/>
      <c r="F203" s="30"/>
      <c r="G203" s="29"/>
      <c r="H203" s="69"/>
      <c r="I203" s="64"/>
      <c r="J203" s="69"/>
      <c r="K203" s="64"/>
      <c r="L203" s="69"/>
      <c r="M203" s="65"/>
      <c r="N203" s="69"/>
      <c r="O203" s="64"/>
      <c r="P203" s="69"/>
      <c r="Q203" s="64"/>
      <c r="R203" s="69"/>
      <c r="S203" s="64"/>
      <c r="T203" s="69"/>
      <c r="U203" s="64"/>
      <c r="V203" s="69"/>
      <c r="W203" s="65"/>
      <c r="X203" s="69"/>
      <c r="Y203" s="64"/>
      <c r="Z203" s="69"/>
      <c r="AA203" s="64"/>
      <c r="AB203" s="69"/>
      <c r="AC203" s="64"/>
      <c r="AD203" s="69"/>
      <c r="AE203" s="65"/>
      <c r="AF203" s="69"/>
      <c r="AG203" s="65"/>
      <c r="AH203" s="69"/>
      <c r="AI203" s="64"/>
      <c r="AJ203" s="69"/>
      <c r="AK203" s="64"/>
      <c r="AL203" s="69"/>
      <c r="AM203" s="64"/>
      <c r="AN203" s="69"/>
      <c r="AO203" s="64"/>
      <c r="AP203" s="69"/>
      <c r="AQ203" s="64"/>
      <c r="AR203" s="69"/>
      <c r="AS203" s="64"/>
      <c r="AT203" s="69"/>
      <c r="AU203" s="64"/>
      <c r="AV203" s="69"/>
      <c r="AW203" s="64"/>
      <c r="AX203" s="69"/>
      <c r="AY203" s="64"/>
      <c r="AZ203" s="69"/>
      <c r="BA203" s="64"/>
      <c r="BB203" s="69"/>
      <c r="BC203" s="64"/>
      <c r="BD203" s="69"/>
      <c r="BE203" s="64"/>
      <c r="BF203" s="69"/>
      <c r="BG203" s="64"/>
      <c r="BH203" s="69"/>
      <c r="BI203" s="64"/>
      <c r="BJ203" s="69"/>
      <c r="BK203" s="64"/>
      <c r="BL203" s="69"/>
      <c r="BM203" s="64"/>
      <c r="BN203" s="69"/>
      <c r="BO203" s="64"/>
      <c r="BP203" s="69"/>
      <c r="BQ203" s="64"/>
      <c r="BR203" s="69"/>
      <c r="BS203" s="64"/>
      <c r="BT203" s="69"/>
      <c r="BU203" t="b">
        <f t="shared" si="3"/>
        <v>0</v>
      </c>
    </row>
    <row r="204" spans="1:73" x14ac:dyDescent="0.25">
      <c r="A204" s="28"/>
      <c r="B204" s="29"/>
      <c r="C204" s="29"/>
      <c r="D204" s="30"/>
      <c r="E204" s="29"/>
      <c r="F204" s="30"/>
      <c r="G204" s="29"/>
      <c r="H204" s="69"/>
      <c r="I204" s="64"/>
      <c r="J204" s="69"/>
      <c r="K204" s="64"/>
      <c r="L204" s="69"/>
      <c r="M204" s="65"/>
      <c r="N204" s="69"/>
      <c r="O204" s="64"/>
      <c r="P204" s="69"/>
      <c r="Q204" s="64"/>
      <c r="R204" s="69"/>
      <c r="S204" s="64"/>
      <c r="T204" s="69"/>
      <c r="U204" s="64"/>
      <c r="V204" s="69"/>
      <c r="W204" s="65"/>
      <c r="X204" s="69"/>
      <c r="Y204" s="64"/>
      <c r="Z204" s="69"/>
      <c r="AA204" s="64"/>
      <c r="AB204" s="69"/>
      <c r="AC204" s="64"/>
      <c r="AD204" s="69"/>
      <c r="AE204" s="65"/>
      <c r="AF204" s="69"/>
      <c r="AG204" s="65"/>
      <c r="AH204" s="69"/>
      <c r="AI204" s="64"/>
      <c r="AJ204" s="69"/>
      <c r="AK204" s="64"/>
      <c r="AL204" s="69"/>
      <c r="AM204" s="64"/>
      <c r="AN204" s="69"/>
      <c r="AO204" s="64"/>
      <c r="AP204" s="69"/>
      <c r="AQ204" s="64"/>
      <c r="AR204" s="69"/>
      <c r="AS204" s="64"/>
      <c r="AT204" s="69"/>
      <c r="AU204" s="64"/>
      <c r="AV204" s="69"/>
      <c r="AW204" s="64"/>
      <c r="AX204" s="69"/>
      <c r="AY204" s="64"/>
      <c r="AZ204" s="69"/>
      <c r="BA204" s="64"/>
      <c r="BB204" s="69"/>
      <c r="BC204" s="64"/>
      <c r="BD204" s="69"/>
      <c r="BE204" s="64"/>
      <c r="BF204" s="69"/>
      <c r="BG204" s="64"/>
      <c r="BH204" s="69"/>
      <c r="BI204" s="64"/>
      <c r="BJ204" s="69"/>
      <c r="BK204" s="64"/>
      <c r="BL204" s="69"/>
      <c r="BM204" s="64"/>
      <c r="BN204" s="69"/>
      <c r="BO204" s="64"/>
      <c r="BP204" s="69"/>
      <c r="BQ204" s="64"/>
      <c r="BR204" s="69"/>
      <c r="BS204" s="64"/>
      <c r="BT204" s="69"/>
      <c r="BU204" t="b">
        <f t="shared" si="3"/>
        <v>0</v>
      </c>
    </row>
    <row r="205" spans="1:73" x14ac:dyDescent="0.25">
      <c r="A205" s="28"/>
      <c r="B205" s="29"/>
      <c r="C205" s="29"/>
      <c r="D205" s="30"/>
      <c r="E205" s="29"/>
      <c r="F205" s="30"/>
      <c r="G205" s="29"/>
      <c r="H205" s="69"/>
      <c r="I205" s="64"/>
      <c r="J205" s="69"/>
      <c r="K205" s="64"/>
      <c r="L205" s="69"/>
      <c r="M205" s="65"/>
      <c r="N205" s="69"/>
      <c r="O205" s="64"/>
      <c r="P205" s="69"/>
      <c r="Q205" s="64"/>
      <c r="R205" s="69"/>
      <c r="S205" s="64"/>
      <c r="T205" s="69"/>
      <c r="U205" s="64"/>
      <c r="V205" s="69"/>
      <c r="W205" s="65"/>
      <c r="X205" s="69"/>
      <c r="Y205" s="64"/>
      <c r="Z205" s="69"/>
      <c r="AA205" s="64"/>
      <c r="AB205" s="69"/>
      <c r="AC205" s="64"/>
      <c r="AD205" s="69"/>
      <c r="AE205" s="65"/>
      <c r="AF205" s="69"/>
      <c r="AG205" s="65"/>
      <c r="AH205" s="69"/>
      <c r="AI205" s="64"/>
      <c r="AJ205" s="69"/>
      <c r="AK205" s="64"/>
      <c r="AL205" s="69"/>
      <c r="AM205" s="64"/>
      <c r="AN205" s="69"/>
      <c r="AO205" s="64"/>
      <c r="AP205" s="69"/>
      <c r="AQ205" s="64"/>
      <c r="AR205" s="69"/>
      <c r="AS205" s="64"/>
      <c r="AT205" s="69"/>
      <c r="AU205" s="64"/>
      <c r="AV205" s="69"/>
      <c r="AW205" s="64"/>
      <c r="AX205" s="69"/>
      <c r="AY205" s="64"/>
      <c r="AZ205" s="69"/>
      <c r="BA205" s="64"/>
      <c r="BB205" s="69"/>
      <c r="BC205" s="64"/>
      <c r="BD205" s="69"/>
      <c r="BE205" s="64"/>
      <c r="BF205" s="69"/>
      <c r="BG205" s="64"/>
      <c r="BH205" s="69"/>
      <c r="BI205" s="64"/>
      <c r="BJ205" s="69"/>
      <c r="BK205" s="64"/>
      <c r="BL205" s="69"/>
      <c r="BM205" s="64"/>
      <c r="BN205" s="69"/>
      <c r="BO205" s="64"/>
      <c r="BP205" s="69"/>
      <c r="BQ205" s="64"/>
      <c r="BR205" s="69"/>
      <c r="BS205" s="64"/>
      <c r="BT205" s="69"/>
      <c r="BU205" t="b">
        <f t="shared" si="3"/>
        <v>0</v>
      </c>
    </row>
    <row r="206" spans="1:73" x14ac:dyDescent="0.25">
      <c r="A206" s="28"/>
      <c r="B206" s="29"/>
      <c r="C206" s="29"/>
      <c r="D206" s="30"/>
      <c r="E206" s="29"/>
      <c r="F206" s="30"/>
      <c r="G206" s="29"/>
      <c r="H206" s="69"/>
      <c r="I206" s="64"/>
      <c r="J206" s="69"/>
      <c r="K206" s="64"/>
      <c r="L206" s="69"/>
      <c r="M206" s="65"/>
      <c r="N206" s="69"/>
      <c r="O206" s="64"/>
      <c r="P206" s="69"/>
      <c r="Q206" s="64"/>
      <c r="R206" s="69"/>
      <c r="S206" s="64"/>
      <c r="T206" s="69"/>
      <c r="U206" s="64"/>
      <c r="V206" s="69"/>
      <c r="W206" s="65"/>
      <c r="X206" s="69"/>
      <c r="Y206" s="64"/>
      <c r="Z206" s="69"/>
      <c r="AA206" s="64"/>
      <c r="AB206" s="69"/>
      <c r="AC206" s="64"/>
      <c r="AD206" s="69"/>
      <c r="AE206" s="65"/>
      <c r="AF206" s="69"/>
      <c r="AG206" s="65"/>
      <c r="AH206" s="69"/>
      <c r="AI206" s="64"/>
      <c r="AJ206" s="69"/>
      <c r="AK206" s="64"/>
      <c r="AL206" s="69"/>
      <c r="AM206" s="64"/>
      <c r="AN206" s="69"/>
      <c r="AO206" s="64"/>
      <c r="AP206" s="69"/>
      <c r="AQ206" s="64"/>
      <c r="AR206" s="69"/>
      <c r="AS206" s="64"/>
      <c r="AT206" s="69"/>
      <c r="AU206" s="64"/>
      <c r="AV206" s="69"/>
      <c r="AW206" s="64"/>
      <c r="AX206" s="69"/>
      <c r="AY206" s="64"/>
      <c r="AZ206" s="69"/>
      <c r="BA206" s="64"/>
      <c r="BB206" s="69"/>
      <c r="BC206" s="64"/>
      <c r="BD206" s="69"/>
      <c r="BE206" s="64"/>
      <c r="BF206" s="69"/>
      <c r="BG206" s="64"/>
      <c r="BH206" s="69"/>
      <c r="BI206" s="64"/>
      <c r="BJ206" s="69"/>
      <c r="BK206" s="64"/>
      <c r="BL206" s="69"/>
      <c r="BM206" s="64"/>
      <c r="BN206" s="69"/>
      <c r="BO206" s="64"/>
      <c r="BP206" s="69"/>
      <c r="BQ206" s="64"/>
      <c r="BR206" s="69"/>
      <c r="BS206" s="64"/>
      <c r="BT206" s="69"/>
      <c r="BU206" t="b">
        <f t="shared" si="3"/>
        <v>0</v>
      </c>
    </row>
    <row r="207" spans="1:73" x14ac:dyDescent="0.25">
      <c r="A207" s="28"/>
      <c r="B207" s="29"/>
      <c r="C207" s="29"/>
      <c r="D207" s="30"/>
      <c r="E207" s="29"/>
      <c r="F207" s="30"/>
      <c r="G207" s="29"/>
      <c r="H207" s="69"/>
      <c r="I207" s="64"/>
      <c r="J207" s="69"/>
      <c r="K207" s="64"/>
      <c r="L207" s="69"/>
      <c r="M207" s="65"/>
      <c r="N207" s="69"/>
      <c r="O207" s="64"/>
      <c r="P207" s="69"/>
      <c r="Q207" s="64"/>
      <c r="R207" s="69"/>
      <c r="S207" s="64"/>
      <c r="T207" s="69"/>
      <c r="U207" s="64"/>
      <c r="V207" s="69"/>
      <c r="W207" s="65"/>
      <c r="X207" s="69"/>
      <c r="Y207" s="64"/>
      <c r="Z207" s="69"/>
      <c r="AA207" s="64"/>
      <c r="AB207" s="69"/>
      <c r="AC207" s="64"/>
      <c r="AD207" s="69"/>
      <c r="AE207" s="65"/>
      <c r="AF207" s="69"/>
      <c r="AG207" s="65"/>
      <c r="AH207" s="69"/>
      <c r="AI207" s="64"/>
      <c r="AJ207" s="69"/>
      <c r="AK207" s="64"/>
      <c r="AL207" s="69"/>
      <c r="AM207" s="64"/>
      <c r="AN207" s="69"/>
      <c r="AO207" s="64"/>
      <c r="AP207" s="69"/>
      <c r="AQ207" s="64"/>
      <c r="AR207" s="69"/>
      <c r="AS207" s="64"/>
      <c r="AT207" s="69"/>
      <c r="AU207" s="64"/>
      <c r="AV207" s="69"/>
      <c r="AW207" s="64"/>
      <c r="AX207" s="69"/>
      <c r="AY207" s="64"/>
      <c r="AZ207" s="69"/>
      <c r="BA207" s="64"/>
      <c r="BB207" s="69"/>
      <c r="BC207" s="64"/>
      <c r="BD207" s="69"/>
      <c r="BE207" s="64"/>
      <c r="BF207" s="69"/>
      <c r="BG207" s="64"/>
      <c r="BH207" s="69"/>
      <c r="BI207" s="64"/>
      <c r="BJ207" s="69"/>
      <c r="BK207" s="64"/>
      <c r="BL207" s="69"/>
      <c r="BM207" s="64"/>
      <c r="BN207" s="69"/>
      <c r="BO207" s="64"/>
      <c r="BP207" s="69"/>
      <c r="BQ207" s="64"/>
      <c r="BR207" s="69"/>
      <c r="BS207" s="64"/>
      <c r="BT207" s="69"/>
      <c r="BU207" t="b">
        <f t="shared" si="3"/>
        <v>0</v>
      </c>
    </row>
    <row r="208" spans="1:73" x14ac:dyDescent="0.25">
      <c r="A208" s="28"/>
      <c r="B208" s="29"/>
      <c r="C208" s="29"/>
      <c r="D208" s="30"/>
      <c r="E208" s="29"/>
      <c r="F208" s="30"/>
      <c r="G208" s="29"/>
      <c r="H208" s="69"/>
      <c r="I208" s="64"/>
      <c r="J208" s="69"/>
      <c r="K208" s="64"/>
      <c r="L208" s="69"/>
      <c r="M208" s="65"/>
      <c r="N208" s="69"/>
      <c r="O208" s="64"/>
      <c r="P208" s="69"/>
      <c r="Q208" s="64"/>
      <c r="R208" s="69"/>
      <c r="S208" s="64"/>
      <c r="T208" s="69"/>
      <c r="U208" s="64"/>
      <c r="V208" s="69"/>
      <c r="W208" s="65"/>
      <c r="X208" s="69"/>
      <c r="Y208" s="64"/>
      <c r="Z208" s="69"/>
      <c r="AA208" s="64"/>
      <c r="AB208" s="69"/>
      <c r="AC208" s="64"/>
      <c r="AD208" s="69"/>
      <c r="AE208" s="65"/>
      <c r="AF208" s="69"/>
      <c r="AG208" s="65"/>
      <c r="AH208" s="69"/>
      <c r="AI208" s="64"/>
      <c r="AJ208" s="69"/>
      <c r="AK208" s="64"/>
      <c r="AL208" s="69"/>
      <c r="AM208" s="64"/>
      <c r="AN208" s="69"/>
      <c r="AO208" s="64"/>
      <c r="AP208" s="69"/>
      <c r="AQ208" s="64"/>
      <c r="AR208" s="69"/>
      <c r="AS208" s="64"/>
      <c r="AT208" s="69"/>
      <c r="AU208" s="64"/>
      <c r="AV208" s="69"/>
      <c r="AW208" s="64"/>
      <c r="AX208" s="69"/>
      <c r="AY208" s="64"/>
      <c r="AZ208" s="69"/>
      <c r="BA208" s="64"/>
      <c r="BB208" s="69"/>
      <c r="BC208" s="64"/>
      <c r="BD208" s="69"/>
      <c r="BE208" s="64"/>
      <c r="BF208" s="69"/>
      <c r="BG208" s="64"/>
      <c r="BH208" s="69"/>
      <c r="BI208" s="64"/>
      <c r="BJ208" s="69"/>
      <c r="BK208" s="64"/>
      <c r="BL208" s="69"/>
      <c r="BM208" s="64"/>
      <c r="BN208" s="69"/>
      <c r="BO208" s="64"/>
      <c r="BP208" s="69"/>
      <c r="BQ208" s="64"/>
      <c r="BR208" s="69"/>
      <c r="BS208" s="64"/>
      <c r="BT208" s="69"/>
      <c r="BU208" t="b">
        <f t="shared" si="3"/>
        <v>0</v>
      </c>
    </row>
    <row r="209" spans="1:73" x14ac:dyDescent="0.25">
      <c r="A209" s="28"/>
      <c r="B209" s="29"/>
      <c r="C209" s="29"/>
      <c r="D209" s="30"/>
      <c r="E209" s="29"/>
      <c r="F209" s="30"/>
      <c r="G209" s="29"/>
      <c r="H209" s="69"/>
      <c r="I209" s="64"/>
      <c r="J209" s="69"/>
      <c r="K209" s="64"/>
      <c r="L209" s="69"/>
      <c r="M209" s="65"/>
      <c r="N209" s="69"/>
      <c r="O209" s="64"/>
      <c r="P209" s="69"/>
      <c r="Q209" s="64"/>
      <c r="R209" s="69"/>
      <c r="S209" s="64"/>
      <c r="T209" s="69"/>
      <c r="U209" s="64"/>
      <c r="V209" s="69"/>
      <c r="W209" s="65"/>
      <c r="X209" s="69"/>
      <c r="Y209" s="64"/>
      <c r="Z209" s="69"/>
      <c r="AA209" s="64"/>
      <c r="AB209" s="69"/>
      <c r="AC209" s="64"/>
      <c r="AD209" s="69"/>
      <c r="AE209" s="65"/>
      <c r="AF209" s="69"/>
      <c r="AG209" s="65"/>
      <c r="AH209" s="69"/>
      <c r="AI209" s="64"/>
      <c r="AJ209" s="69"/>
      <c r="AK209" s="64"/>
      <c r="AL209" s="69"/>
      <c r="AM209" s="64"/>
      <c r="AN209" s="69"/>
      <c r="AO209" s="64"/>
      <c r="AP209" s="69"/>
      <c r="AQ209" s="64"/>
      <c r="AR209" s="69"/>
      <c r="AS209" s="64"/>
      <c r="AT209" s="69"/>
      <c r="AU209" s="64"/>
      <c r="AV209" s="69"/>
      <c r="AW209" s="64"/>
      <c r="AX209" s="69"/>
      <c r="AY209" s="64"/>
      <c r="AZ209" s="69"/>
      <c r="BA209" s="64"/>
      <c r="BB209" s="69"/>
      <c r="BC209" s="64"/>
      <c r="BD209" s="69"/>
      <c r="BE209" s="64"/>
      <c r="BF209" s="69"/>
      <c r="BG209" s="64"/>
      <c r="BH209" s="69"/>
      <c r="BI209" s="64"/>
      <c r="BJ209" s="69"/>
      <c r="BK209" s="64"/>
      <c r="BL209" s="69"/>
      <c r="BM209" s="64"/>
      <c r="BN209" s="69"/>
      <c r="BO209" s="64"/>
      <c r="BP209" s="69"/>
      <c r="BQ209" s="64"/>
      <c r="BR209" s="69"/>
      <c r="BS209" s="64"/>
      <c r="BT209" s="69"/>
      <c r="BU209" t="b">
        <f t="shared" si="3"/>
        <v>0</v>
      </c>
    </row>
    <row r="210" spans="1:73" x14ac:dyDescent="0.25">
      <c r="A210" s="28"/>
      <c r="B210" s="29"/>
      <c r="C210" s="29"/>
      <c r="D210" s="30"/>
      <c r="E210" s="29"/>
      <c r="F210" s="30"/>
      <c r="G210" s="29"/>
      <c r="H210" s="69"/>
      <c r="I210" s="64"/>
      <c r="J210" s="69"/>
      <c r="K210" s="64"/>
      <c r="L210" s="69"/>
      <c r="M210" s="65"/>
      <c r="N210" s="69"/>
      <c r="O210" s="64"/>
      <c r="P210" s="69"/>
      <c r="Q210" s="64"/>
      <c r="R210" s="69"/>
      <c r="S210" s="64"/>
      <c r="T210" s="69"/>
      <c r="U210" s="64"/>
      <c r="V210" s="69"/>
      <c r="W210" s="65"/>
      <c r="X210" s="69"/>
      <c r="Y210" s="64"/>
      <c r="Z210" s="69"/>
      <c r="AA210" s="64"/>
      <c r="AB210" s="69"/>
      <c r="AC210" s="64"/>
      <c r="AD210" s="69"/>
      <c r="AE210" s="65"/>
      <c r="AF210" s="69"/>
      <c r="AG210" s="65"/>
      <c r="AH210" s="69"/>
      <c r="AI210" s="64"/>
      <c r="AJ210" s="69"/>
      <c r="AK210" s="64"/>
      <c r="AL210" s="69"/>
      <c r="AM210" s="64"/>
      <c r="AN210" s="69"/>
      <c r="AO210" s="64"/>
      <c r="AP210" s="69"/>
      <c r="AQ210" s="64"/>
      <c r="AR210" s="69"/>
      <c r="AS210" s="64"/>
      <c r="AT210" s="69"/>
      <c r="AU210" s="64"/>
      <c r="AV210" s="69"/>
      <c r="AW210" s="64"/>
      <c r="AX210" s="69"/>
      <c r="AY210" s="64"/>
      <c r="AZ210" s="69"/>
      <c r="BA210" s="64"/>
      <c r="BB210" s="69"/>
      <c r="BC210" s="64"/>
      <c r="BD210" s="69"/>
      <c r="BE210" s="64"/>
      <c r="BF210" s="69"/>
      <c r="BG210" s="64"/>
      <c r="BH210" s="69"/>
      <c r="BI210" s="64"/>
      <c r="BJ210" s="69"/>
      <c r="BK210" s="64"/>
      <c r="BL210" s="69"/>
      <c r="BM210" s="64"/>
      <c r="BN210" s="69"/>
      <c r="BO210" s="64"/>
      <c r="BP210" s="69"/>
      <c r="BQ210" s="64"/>
      <c r="BR210" s="69"/>
      <c r="BS210" s="64"/>
      <c r="BT210" s="69"/>
      <c r="BU210" t="b">
        <f t="shared" si="3"/>
        <v>0</v>
      </c>
    </row>
    <row r="211" spans="1:73" x14ac:dyDescent="0.25">
      <c r="A211" s="28"/>
      <c r="B211" s="29"/>
      <c r="C211" s="29"/>
      <c r="D211" s="30"/>
      <c r="E211" s="29"/>
      <c r="F211" s="30"/>
      <c r="G211" s="29"/>
      <c r="H211" s="69"/>
      <c r="I211" s="64"/>
      <c r="J211" s="69"/>
      <c r="K211" s="64"/>
      <c r="L211" s="69"/>
      <c r="M211" s="65"/>
      <c r="N211" s="69"/>
      <c r="O211" s="64"/>
      <c r="P211" s="69"/>
      <c r="Q211" s="64"/>
      <c r="R211" s="69"/>
      <c r="S211" s="64"/>
      <c r="T211" s="69"/>
      <c r="U211" s="64"/>
      <c r="V211" s="69"/>
      <c r="W211" s="65"/>
      <c r="X211" s="69"/>
      <c r="Y211" s="64"/>
      <c r="Z211" s="69"/>
      <c r="AA211" s="64"/>
      <c r="AB211" s="69"/>
      <c r="AC211" s="64"/>
      <c r="AD211" s="69"/>
      <c r="AE211" s="65"/>
      <c r="AF211" s="69"/>
      <c r="AG211" s="65"/>
      <c r="AH211" s="69"/>
      <c r="AI211" s="64"/>
      <c r="AJ211" s="69"/>
      <c r="AK211" s="64"/>
      <c r="AL211" s="69"/>
      <c r="AM211" s="64"/>
      <c r="AN211" s="69"/>
      <c r="AO211" s="64"/>
      <c r="AP211" s="69"/>
      <c r="AQ211" s="64"/>
      <c r="AR211" s="69"/>
      <c r="AS211" s="64"/>
      <c r="AT211" s="69"/>
      <c r="AU211" s="64"/>
      <c r="AV211" s="69"/>
      <c r="AW211" s="64"/>
      <c r="AX211" s="69"/>
      <c r="AY211" s="64"/>
      <c r="AZ211" s="69"/>
      <c r="BA211" s="64"/>
      <c r="BB211" s="69"/>
      <c r="BC211" s="64"/>
      <c r="BD211" s="69"/>
      <c r="BE211" s="64"/>
      <c r="BF211" s="69"/>
      <c r="BG211" s="64"/>
      <c r="BH211" s="69"/>
      <c r="BI211" s="64"/>
      <c r="BJ211" s="69"/>
      <c r="BK211" s="64"/>
      <c r="BL211" s="69"/>
      <c r="BM211" s="64"/>
      <c r="BN211" s="69"/>
      <c r="BO211" s="64"/>
      <c r="BP211" s="69"/>
      <c r="BQ211" s="64"/>
      <c r="BR211" s="69"/>
      <c r="BS211" s="64"/>
      <c r="BT211" s="69"/>
      <c r="BU211" t="b">
        <f t="shared" si="3"/>
        <v>0</v>
      </c>
    </row>
    <row r="212" spans="1:73" x14ac:dyDescent="0.25">
      <c r="A212" s="28"/>
      <c r="B212" s="29"/>
      <c r="C212" s="29"/>
      <c r="D212" s="30"/>
      <c r="E212" s="29"/>
      <c r="F212" s="30"/>
      <c r="G212" s="29"/>
      <c r="H212" s="69"/>
      <c r="I212" s="64"/>
      <c r="J212" s="69"/>
      <c r="K212" s="64"/>
      <c r="L212" s="69"/>
      <c r="M212" s="65"/>
      <c r="N212" s="69"/>
      <c r="O212" s="64"/>
      <c r="P212" s="69"/>
      <c r="Q212" s="64"/>
      <c r="R212" s="69"/>
      <c r="S212" s="64"/>
      <c r="T212" s="69"/>
      <c r="U212" s="64"/>
      <c r="V212" s="69"/>
      <c r="W212" s="65"/>
      <c r="X212" s="69"/>
      <c r="Y212" s="64"/>
      <c r="Z212" s="69"/>
      <c r="AA212" s="64"/>
      <c r="AB212" s="69"/>
      <c r="AC212" s="64"/>
      <c r="AD212" s="69"/>
      <c r="AE212" s="65"/>
      <c r="AF212" s="69"/>
      <c r="AG212" s="65"/>
      <c r="AH212" s="69"/>
      <c r="AI212" s="64"/>
      <c r="AJ212" s="69"/>
      <c r="AK212" s="64"/>
      <c r="AL212" s="69"/>
      <c r="AM212" s="64"/>
      <c r="AN212" s="69"/>
      <c r="AO212" s="64"/>
      <c r="AP212" s="69"/>
      <c r="AQ212" s="64"/>
      <c r="AR212" s="69"/>
      <c r="AS212" s="64"/>
      <c r="AT212" s="69"/>
      <c r="AU212" s="64"/>
      <c r="AV212" s="69"/>
      <c r="AW212" s="64"/>
      <c r="AX212" s="69"/>
      <c r="AY212" s="64"/>
      <c r="AZ212" s="69"/>
      <c r="BA212" s="64"/>
      <c r="BB212" s="69"/>
      <c r="BC212" s="64"/>
      <c r="BD212" s="69"/>
      <c r="BE212" s="64"/>
      <c r="BF212" s="69"/>
      <c r="BG212" s="64"/>
      <c r="BH212" s="69"/>
      <c r="BI212" s="64"/>
      <c r="BJ212" s="69"/>
      <c r="BK212" s="64"/>
      <c r="BL212" s="69"/>
      <c r="BM212" s="64"/>
      <c r="BN212" s="69"/>
      <c r="BO212" s="64"/>
      <c r="BP212" s="69"/>
      <c r="BQ212" s="64"/>
      <c r="BR212" s="69"/>
      <c r="BS212" s="64"/>
      <c r="BT212" s="69"/>
      <c r="BU212" t="b">
        <f t="shared" si="3"/>
        <v>0</v>
      </c>
    </row>
    <row r="213" spans="1:73" x14ac:dyDescent="0.25">
      <c r="A213" s="28"/>
      <c r="B213" s="29"/>
      <c r="C213" s="29"/>
      <c r="D213" s="30"/>
      <c r="E213" s="29"/>
      <c r="F213" s="30"/>
      <c r="G213" s="29"/>
      <c r="H213" s="69"/>
      <c r="I213" s="64"/>
      <c r="J213" s="69"/>
      <c r="K213" s="64"/>
      <c r="L213" s="69"/>
      <c r="M213" s="65"/>
      <c r="N213" s="69"/>
      <c r="O213" s="64"/>
      <c r="P213" s="69"/>
      <c r="Q213" s="64"/>
      <c r="R213" s="69"/>
      <c r="S213" s="64"/>
      <c r="T213" s="69"/>
      <c r="U213" s="64"/>
      <c r="V213" s="69"/>
      <c r="W213" s="65"/>
      <c r="X213" s="69"/>
      <c r="Y213" s="64"/>
      <c r="Z213" s="69"/>
      <c r="AA213" s="64"/>
      <c r="AB213" s="69"/>
      <c r="AC213" s="64"/>
      <c r="AD213" s="69"/>
      <c r="AE213" s="65"/>
      <c r="AF213" s="69"/>
      <c r="AG213" s="65"/>
      <c r="AH213" s="69"/>
      <c r="AI213" s="64"/>
      <c r="AJ213" s="69"/>
      <c r="AK213" s="64"/>
      <c r="AL213" s="69"/>
      <c r="AM213" s="64"/>
      <c r="AN213" s="69"/>
      <c r="AO213" s="64"/>
      <c r="AP213" s="69"/>
      <c r="AQ213" s="64"/>
      <c r="AR213" s="69"/>
      <c r="AS213" s="64"/>
      <c r="AT213" s="69"/>
      <c r="AU213" s="64"/>
      <c r="AV213" s="69"/>
      <c r="AW213" s="64"/>
      <c r="AX213" s="69"/>
      <c r="AY213" s="64"/>
      <c r="AZ213" s="69"/>
      <c r="BA213" s="64"/>
      <c r="BB213" s="69"/>
      <c r="BC213" s="64"/>
      <c r="BD213" s="69"/>
      <c r="BE213" s="64"/>
      <c r="BF213" s="69"/>
      <c r="BG213" s="64"/>
      <c r="BH213" s="69"/>
      <c r="BI213" s="64"/>
      <c r="BJ213" s="69"/>
      <c r="BK213" s="64"/>
      <c r="BL213" s="69"/>
      <c r="BM213" s="64"/>
      <c r="BN213" s="69"/>
      <c r="BO213" s="64"/>
      <c r="BP213" s="69"/>
      <c r="BQ213" s="64"/>
      <c r="BR213" s="69"/>
      <c r="BS213" s="64"/>
      <c r="BT213" s="69"/>
      <c r="BU213" t="b">
        <f t="shared" si="3"/>
        <v>0</v>
      </c>
    </row>
    <row r="214" spans="1:73" x14ac:dyDescent="0.25">
      <c r="A214" s="28"/>
      <c r="B214" s="29"/>
      <c r="C214" s="29"/>
      <c r="D214" s="30"/>
      <c r="E214" s="29"/>
      <c r="F214" s="30"/>
      <c r="G214" s="29"/>
      <c r="H214" s="69"/>
      <c r="I214" s="64"/>
      <c r="J214" s="69"/>
      <c r="K214" s="64"/>
      <c r="L214" s="69"/>
      <c r="M214" s="65"/>
      <c r="N214" s="69"/>
      <c r="O214" s="64"/>
      <c r="P214" s="69"/>
      <c r="Q214" s="64"/>
      <c r="R214" s="69"/>
      <c r="S214" s="64"/>
      <c r="T214" s="69"/>
      <c r="U214" s="64"/>
      <c r="V214" s="69"/>
      <c r="W214" s="65"/>
      <c r="X214" s="69"/>
      <c r="Y214" s="64"/>
      <c r="Z214" s="69"/>
      <c r="AA214" s="64"/>
      <c r="AB214" s="69"/>
      <c r="AC214" s="64"/>
      <c r="AD214" s="69"/>
      <c r="AE214" s="65"/>
      <c r="AF214" s="69"/>
      <c r="AG214" s="65"/>
      <c r="AH214" s="69"/>
      <c r="AI214" s="64"/>
      <c r="AJ214" s="69"/>
      <c r="AK214" s="64"/>
      <c r="AL214" s="69"/>
      <c r="AM214" s="64"/>
      <c r="AN214" s="69"/>
      <c r="AO214" s="64"/>
      <c r="AP214" s="69"/>
      <c r="AQ214" s="64"/>
      <c r="AR214" s="69"/>
      <c r="AS214" s="64"/>
      <c r="AT214" s="69"/>
      <c r="AU214" s="64"/>
      <c r="AV214" s="69"/>
      <c r="AW214" s="64"/>
      <c r="AX214" s="69"/>
      <c r="AY214" s="64"/>
      <c r="AZ214" s="69"/>
      <c r="BA214" s="64"/>
      <c r="BB214" s="69"/>
      <c r="BC214" s="64"/>
      <c r="BD214" s="69"/>
      <c r="BE214" s="64"/>
      <c r="BF214" s="69"/>
      <c r="BG214" s="64"/>
      <c r="BH214" s="69"/>
      <c r="BI214" s="64"/>
      <c r="BJ214" s="69"/>
      <c r="BK214" s="64"/>
      <c r="BL214" s="69"/>
      <c r="BM214" s="64"/>
      <c r="BN214" s="69"/>
      <c r="BO214" s="64"/>
      <c r="BP214" s="69"/>
      <c r="BQ214" s="64"/>
      <c r="BR214" s="69"/>
      <c r="BS214" s="64"/>
      <c r="BT214" s="69"/>
      <c r="BU214" t="b">
        <f t="shared" si="3"/>
        <v>0</v>
      </c>
    </row>
    <row r="215" spans="1:73" x14ac:dyDescent="0.25">
      <c r="A215" s="28"/>
      <c r="B215" s="29"/>
      <c r="C215" s="29"/>
      <c r="D215" s="30"/>
      <c r="E215" s="29"/>
      <c r="F215" s="30"/>
      <c r="G215" s="29"/>
      <c r="H215" s="69"/>
      <c r="I215" s="64"/>
      <c r="J215" s="69"/>
      <c r="K215" s="64"/>
      <c r="L215" s="69"/>
      <c r="M215" s="65"/>
      <c r="N215" s="69"/>
      <c r="O215" s="64"/>
      <c r="P215" s="69"/>
      <c r="Q215" s="64"/>
      <c r="R215" s="69"/>
      <c r="S215" s="64"/>
      <c r="T215" s="69"/>
      <c r="U215" s="64"/>
      <c r="V215" s="69"/>
      <c r="W215" s="65"/>
      <c r="X215" s="69"/>
      <c r="Y215" s="64"/>
      <c r="Z215" s="69"/>
      <c r="AA215" s="64"/>
      <c r="AB215" s="69"/>
      <c r="AC215" s="64"/>
      <c r="AD215" s="69"/>
      <c r="AE215" s="65"/>
      <c r="AF215" s="69"/>
      <c r="AG215" s="65"/>
      <c r="AH215" s="69"/>
      <c r="AI215" s="64"/>
      <c r="AJ215" s="69"/>
      <c r="AK215" s="64"/>
      <c r="AL215" s="69"/>
      <c r="AM215" s="64"/>
      <c r="AN215" s="69"/>
      <c r="AO215" s="64"/>
      <c r="AP215" s="69"/>
      <c r="AQ215" s="64"/>
      <c r="AR215" s="69"/>
      <c r="AS215" s="64"/>
      <c r="AT215" s="69"/>
      <c r="AU215" s="64"/>
      <c r="AV215" s="69"/>
      <c r="AW215" s="64"/>
      <c r="AX215" s="69"/>
      <c r="AY215" s="64"/>
      <c r="AZ215" s="69"/>
      <c r="BA215" s="64"/>
      <c r="BB215" s="69"/>
      <c r="BC215" s="64"/>
      <c r="BD215" s="69"/>
      <c r="BE215" s="64"/>
      <c r="BF215" s="69"/>
      <c r="BG215" s="64"/>
      <c r="BH215" s="69"/>
      <c r="BI215" s="64"/>
      <c r="BJ215" s="69"/>
      <c r="BK215" s="64"/>
      <c r="BL215" s="69"/>
      <c r="BM215" s="64"/>
      <c r="BN215" s="69"/>
      <c r="BO215" s="64"/>
      <c r="BP215" s="69"/>
      <c r="BQ215" s="64"/>
      <c r="BR215" s="69"/>
      <c r="BS215" s="64"/>
      <c r="BT215" s="69"/>
      <c r="BU215" t="b">
        <f t="shared" si="3"/>
        <v>0</v>
      </c>
    </row>
    <row r="216" spans="1:73" x14ac:dyDescent="0.25">
      <c r="A216" s="28"/>
      <c r="B216" s="29"/>
      <c r="C216" s="29"/>
      <c r="D216" s="30"/>
      <c r="E216" s="29"/>
      <c r="F216" s="30"/>
      <c r="G216" s="29"/>
      <c r="H216" s="69"/>
      <c r="I216" s="64"/>
      <c r="J216" s="69"/>
      <c r="K216" s="64"/>
      <c r="L216" s="69"/>
      <c r="M216" s="65"/>
      <c r="N216" s="69"/>
      <c r="O216" s="64"/>
      <c r="P216" s="69"/>
      <c r="Q216" s="64"/>
      <c r="R216" s="69"/>
      <c r="S216" s="64"/>
      <c r="T216" s="69"/>
      <c r="U216" s="64"/>
      <c r="V216" s="69"/>
      <c r="W216" s="65"/>
      <c r="X216" s="69"/>
      <c r="Y216" s="64"/>
      <c r="Z216" s="69"/>
      <c r="AA216" s="64"/>
      <c r="AB216" s="69"/>
      <c r="AC216" s="64"/>
      <c r="AD216" s="69"/>
      <c r="AE216" s="65"/>
      <c r="AF216" s="69"/>
      <c r="AG216" s="65"/>
      <c r="AH216" s="69"/>
      <c r="AI216" s="64"/>
      <c r="AJ216" s="69"/>
      <c r="AK216" s="64"/>
      <c r="AL216" s="69"/>
      <c r="AM216" s="64"/>
      <c r="AN216" s="69"/>
      <c r="AO216" s="64"/>
      <c r="AP216" s="69"/>
      <c r="AQ216" s="64"/>
      <c r="AR216" s="69"/>
      <c r="AS216" s="64"/>
      <c r="AT216" s="69"/>
      <c r="AU216" s="64"/>
      <c r="AV216" s="69"/>
      <c r="AW216" s="64"/>
      <c r="AX216" s="69"/>
      <c r="AY216" s="64"/>
      <c r="AZ216" s="69"/>
      <c r="BA216" s="64"/>
      <c r="BB216" s="69"/>
      <c r="BC216" s="64"/>
      <c r="BD216" s="69"/>
      <c r="BE216" s="64"/>
      <c r="BF216" s="69"/>
      <c r="BG216" s="64"/>
      <c r="BH216" s="69"/>
      <c r="BI216" s="64"/>
      <c r="BJ216" s="69"/>
      <c r="BK216" s="64"/>
      <c r="BL216" s="69"/>
      <c r="BM216" s="64"/>
      <c r="BN216" s="69"/>
      <c r="BO216" s="64"/>
      <c r="BP216" s="69"/>
      <c r="BQ216" s="64"/>
      <c r="BR216" s="69"/>
      <c r="BS216" s="64"/>
      <c r="BT216" s="69"/>
      <c r="BU216" t="b">
        <f t="shared" si="3"/>
        <v>0</v>
      </c>
    </row>
    <row r="217" spans="1:73" x14ac:dyDescent="0.25">
      <c r="A217" s="28"/>
      <c r="B217" s="29"/>
      <c r="C217" s="29"/>
      <c r="D217" s="30"/>
      <c r="E217" s="29"/>
      <c r="F217" s="30"/>
      <c r="G217" s="29"/>
      <c r="H217" s="69"/>
      <c r="I217" s="64"/>
      <c r="J217" s="69"/>
      <c r="K217" s="64"/>
      <c r="L217" s="69"/>
      <c r="M217" s="65"/>
      <c r="N217" s="69"/>
      <c r="O217" s="64"/>
      <c r="P217" s="69"/>
      <c r="Q217" s="64"/>
      <c r="R217" s="69"/>
      <c r="S217" s="64"/>
      <c r="T217" s="69"/>
      <c r="U217" s="64"/>
      <c r="V217" s="69"/>
      <c r="W217" s="65"/>
      <c r="X217" s="69"/>
      <c r="Y217" s="64"/>
      <c r="Z217" s="69"/>
      <c r="AA217" s="64"/>
      <c r="AB217" s="69"/>
      <c r="AC217" s="64"/>
      <c r="AD217" s="69"/>
      <c r="AE217" s="65"/>
      <c r="AF217" s="69"/>
      <c r="AG217" s="65"/>
      <c r="AH217" s="69"/>
      <c r="AI217" s="64"/>
      <c r="AJ217" s="69"/>
      <c r="AK217" s="64"/>
      <c r="AL217" s="69"/>
      <c r="AM217" s="64"/>
      <c r="AN217" s="69"/>
      <c r="AO217" s="64"/>
      <c r="AP217" s="69"/>
      <c r="AQ217" s="64"/>
      <c r="AR217" s="69"/>
      <c r="AS217" s="64"/>
      <c r="AT217" s="69"/>
      <c r="AU217" s="64"/>
      <c r="AV217" s="69"/>
      <c r="AW217" s="64"/>
      <c r="AX217" s="69"/>
      <c r="AY217" s="64"/>
      <c r="AZ217" s="69"/>
      <c r="BA217" s="64"/>
      <c r="BB217" s="69"/>
      <c r="BC217" s="64"/>
      <c r="BD217" s="69"/>
      <c r="BE217" s="64"/>
      <c r="BF217" s="69"/>
      <c r="BG217" s="64"/>
      <c r="BH217" s="69"/>
      <c r="BI217" s="64"/>
      <c r="BJ217" s="69"/>
      <c r="BK217" s="64"/>
      <c r="BL217" s="69"/>
      <c r="BM217" s="64"/>
      <c r="BN217" s="69"/>
      <c r="BO217" s="64"/>
      <c r="BP217" s="69"/>
      <c r="BQ217" s="64"/>
      <c r="BR217" s="69"/>
      <c r="BS217" s="64"/>
      <c r="BT217" s="69"/>
      <c r="BU217" t="b">
        <f t="shared" si="3"/>
        <v>0</v>
      </c>
    </row>
    <row r="218" spans="1:73" x14ac:dyDescent="0.25">
      <c r="A218" s="28"/>
      <c r="B218" s="29"/>
      <c r="C218" s="29"/>
      <c r="D218" s="30"/>
      <c r="E218" s="29"/>
      <c r="F218" s="30"/>
      <c r="G218" s="29"/>
      <c r="H218" s="69"/>
      <c r="I218" s="64"/>
      <c r="J218" s="69"/>
      <c r="K218" s="64"/>
      <c r="L218" s="69"/>
      <c r="M218" s="65"/>
      <c r="N218" s="69"/>
      <c r="O218" s="64"/>
      <c r="P218" s="69"/>
      <c r="Q218" s="64"/>
      <c r="R218" s="69"/>
      <c r="S218" s="64"/>
      <c r="T218" s="69"/>
      <c r="U218" s="64"/>
      <c r="V218" s="69"/>
      <c r="W218" s="65"/>
      <c r="X218" s="69"/>
      <c r="Y218" s="64"/>
      <c r="Z218" s="69"/>
      <c r="AA218" s="64"/>
      <c r="AB218" s="69"/>
      <c r="AC218" s="64"/>
      <c r="AD218" s="69"/>
      <c r="AE218" s="65"/>
      <c r="AF218" s="69"/>
      <c r="AG218" s="65"/>
      <c r="AH218" s="69"/>
      <c r="AI218" s="64"/>
      <c r="AJ218" s="69"/>
      <c r="AK218" s="64"/>
      <c r="AL218" s="69"/>
      <c r="AM218" s="64"/>
      <c r="AN218" s="69"/>
      <c r="AO218" s="64"/>
      <c r="AP218" s="69"/>
      <c r="AQ218" s="64"/>
      <c r="AR218" s="69"/>
      <c r="AS218" s="64"/>
      <c r="AT218" s="69"/>
      <c r="AU218" s="64"/>
      <c r="AV218" s="69"/>
      <c r="AW218" s="64"/>
      <c r="AX218" s="69"/>
      <c r="AY218" s="64"/>
      <c r="AZ218" s="69"/>
      <c r="BA218" s="64"/>
      <c r="BB218" s="69"/>
      <c r="BC218" s="64"/>
      <c r="BD218" s="69"/>
      <c r="BE218" s="64"/>
      <c r="BF218" s="69"/>
      <c r="BG218" s="64"/>
      <c r="BH218" s="69"/>
      <c r="BI218" s="64"/>
      <c r="BJ218" s="69"/>
      <c r="BK218" s="64"/>
      <c r="BL218" s="69"/>
      <c r="BM218" s="64"/>
      <c r="BN218" s="69"/>
      <c r="BO218" s="64"/>
      <c r="BP218" s="69"/>
      <c r="BQ218" s="64"/>
      <c r="BR218" s="69"/>
      <c r="BS218" s="64"/>
      <c r="BT218" s="69"/>
      <c r="BU218" t="b">
        <f t="shared" si="3"/>
        <v>0</v>
      </c>
    </row>
    <row r="219" spans="1:73" x14ac:dyDescent="0.25">
      <c r="A219" s="28"/>
      <c r="B219" s="29"/>
      <c r="C219" s="29"/>
      <c r="D219" s="30"/>
      <c r="E219" s="29"/>
      <c r="F219" s="30"/>
      <c r="G219" s="29"/>
      <c r="H219" s="69"/>
      <c r="I219" s="64"/>
      <c r="J219" s="69"/>
      <c r="K219" s="64"/>
      <c r="L219" s="69"/>
      <c r="M219" s="65"/>
      <c r="N219" s="69"/>
      <c r="O219" s="64"/>
      <c r="P219" s="69"/>
      <c r="Q219" s="64"/>
      <c r="R219" s="69"/>
      <c r="S219" s="64"/>
      <c r="T219" s="69"/>
      <c r="U219" s="64"/>
      <c r="V219" s="69"/>
      <c r="W219" s="65"/>
      <c r="X219" s="69"/>
      <c r="Y219" s="64"/>
      <c r="Z219" s="69"/>
      <c r="AA219" s="64"/>
      <c r="AB219" s="69"/>
      <c r="AC219" s="64"/>
      <c r="AD219" s="69"/>
      <c r="AE219" s="65"/>
      <c r="AF219" s="69"/>
      <c r="AG219" s="65"/>
      <c r="AH219" s="69"/>
      <c r="AI219" s="64"/>
      <c r="AJ219" s="69"/>
      <c r="AK219" s="64"/>
      <c r="AL219" s="69"/>
      <c r="AM219" s="64"/>
      <c r="AN219" s="69"/>
      <c r="AO219" s="64"/>
      <c r="AP219" s="69"/>
      <c r="AQ219" s="64"/>
      <c r="AR219" s="69"/>
      <c r="AS219" s="64"/>
      <c r="AT219" s="69"/>
      <c r="AU219" s="64"/>
      <c r="AV219" s="69"/>
      <c r="AW219" s="64"/>
      <c r="AX219" s="69"/>
      <c r="AY219" s="64"/>
      <c r="AZ219" s="69"/>
      <c r="BA219" s="64"/>
      <c r="BB219" s="69"/>
      <c r="BC219" s="64"/>
      <c r="BD219" s="69"/>
      <c r="BE219" s="64"/>
      <c r="BF219" s="69"/>
      <c r="BG219" s="64"/>
      <c r="BH219" s="69"/>
      <c r="BI219" s="64"/>
      <c r="BJ219" s="69"/>
      <c r="BK219" s="64"/>
      <c r="BL219" s="69"/>
      <c r="BM219" s="64"/>
      <c r="BN219" s="69"/>
      <c r="BO219" s="64"/>
      <c r="BP219" s="69"/>
      <c r="BQ219" s="64"/>
      <c r="BR219" s="69"/>
      <c r="BS219" s="64"/>
      <c r="BT219" s="69"/>
      <c r="BU219" t="b">
        <f t="shared" si="3"/>
        <v>0</v>
      </c>
    </row>
    <row r="220" spans="1:73" x14ac:dyDescent="0.25">
      <c r="A220" s="28"/>
      <c r="B220" s="29"/>
      <c r="C220" s="29"/>
      <c r="D220" s="30"/>
      <c r="E220" s="29"/>
      <c r="F220" s="30"/>
      <c r="G220" s="29"/>
      <c r="H220" s="69"/>
      <c r="I220" s="64"/>
      <c r="J220" s="69"/>
      <c r="K220" s="64"/>
      <c r="L220" s="69"/>
      <c r="M220" s="65"/>
      <c r="N220" s="69"/>
      <c r="O220" s="64"/>
      <c r="P220" s="69"/>
      <c r="Q220" s="64"/>
      <c r="R220" s="69"/>
      <c r="S220" s="64"/>
      <c r="T220" s="69"/>
      <c r="U220" s="64"/>
      <c r="V220" s="69"/>
      <c r="W220" s="65"/>
      <c r="X220" s="69"/>
      <c r="Y220" s="64"/>
      <c r="Z220" s="69"/>
      <c r="AA220" s="64"/>
      <c r="AB220" s="69"/>
      <c r="AC220" s="64"/>
      <c r="AD220" s="69"/>
      <c r="AE220" s="65"/>
      <c r="AF220" s="69"/>
      <c r="AG220" s="65"/>
      <c r="AH220" s="69"/>
      <c r="AI220" s="64"/>
      <c r="AJ220" s="69"/>
      <c r="AK220" s="64"/>
      <c r="AL220" s="69"/>
      <c r="AM220" s="64"/>
      <c r="AN220" s="69"/>
      <c r="AO220" s="64"/>
      <c r="AP220" s="69"/>
      <c r="AQ220" s="64"/>
      <c r="AR220" s="69"/>
      <c r="AS220" s="64"/>
      <c r="AT220" s="69"/>
      <c r="AU220" s="64"/>
      <c r="AV220" s="69"/>
      <c r="AW220" s="64"/>
      <c r="AX220" s="69"/>
      <c r="AY220" s="64"/>
      <c r="AZ220" s="69"/>
      <c r="BA220" s="64"/>
      <c r="BB220" s="69"/>
      <c r="BC220" s="64"/>
      <c r="BD220" s="69"/>
      <c r="BE220" s="64"/>
      <c r="BF220" s="69"/>
      <c r="BG220" s="64"/>
      <c r="BH220" s="69"/>
      <c r="BI220" s="64"/>
      <c r="BJ220" s="69"/>
      <c r="BK220" s="64"/>
      <c r="BL220" s="69"/>
      <c r="BM220" s="64"/>
      <c r="BN220" s="69"/>
      <c r="BO220" s="64"/>
      <c r="BP220" s="69"/>
      <c r="BQ220" s="64"/>
      <c r="BR220" s="69"/>
      <c r="BS220" s="64"/>
      <c r="BT220" s="69"/>
      <c r="BU220" t="b">
        <f t="shared" si="3"/>
        <v>0</v>
      </c>
    </row>
    <row r="221" spans="1:73" x14ac:dyDescent="0.25">
      <c r="A221" s="28"/>
      <c r="B221" s="29"/>
      <c r="C221" s="29"/>
      <c r="D221" s="30"/>
      <c r="E221" s="29"/>
      <c r="F221" s="30"/>
      <c r="G221" s="29"/>
      <c r="H221" s="69"/>
      <c r="I221" s="64"/>
      <c r="J221" s="69"/>
      <c r="K221" s="64"/>
      <c r="L221" s="69"/>
      <c r="M221" s="65"/>
      <c r="N221" s="69"/>
      <c r="O221" s="64"/>
      <c r="P221" s="69"/>
      <c r="Q221" s="64"/>
      <c r="R221" s="69"/>
      <c r="S221" s="64"/>
      <c r="T221" s="69"/>
      <c r="U221" s="64"/>
      <c r="V221" s="69"/>
      <c r="W221" s="65"/>
      <c r="X221" s="69"/>
      <c r="Y221" s="64"/>
      <c r="Z221" s="69"/>
      <c r="AA221" s="64"/>
      <c r="AB221" s="69"/>
      <c r="AC221" s="64"/>
      <c r="AD221" s="69"/>
      <c r="AE221" s="65"/>
      <c r="AF221" s="69"/>
      <c r="AG221" s="65"/>
      <c r="AH221" s="69"/>
      <c r="AI221" s="64"/>
      <c r="AJ221" s="69"/>
      <c r="AK221" s="64"/>
      <c r="AL221" s="69"/>
      <c r="AM221" s="64"/>
      <c r="AN221" s="69"/>
      <c r="AO221" s="64"/>
      <c r="AP221" s="69"/>
      <c r="AQ221" s="64"/>
      <c r="AR221" s="69"/>
      <c r="AS221" s="64"/>
      <c r="AT221" s="69"/>
      <c r="AU221" s="64"/>
      <c r="AV221" s="69"/>
      <c r="AW221" s="64"/>
      <c r="AX221" s="69"/>
      <c r="AY221" s="64"/>
      <c r="AZ221" s="69"/>
      <c r="BA221" s="64"/>
      <c r="BB221" s="69"/>
      <c r="BC221" s="64"/>
      <c r="BD221" s="69"/>
      <c r="BE221" s="64"/>
      <c r="BF221" s="69"/>
      <c r="BG221" s="64"/>
      <c r="BH221" s="69"/>
      <c r="BI221" s="64"/>
      <c r="BJ221" s="69"/>
      <c r="BK221" s="64"/>
      <c r="BL221" s="69"/>
      <c r="BM221" s="64"/>
      <c r="BN221" s="69"/>
      <c r="BO221" s="64"/>
      <c r="BP221" s="69"/>
      <c r="BQ221" s="64"/>
      <c r="BR221" s="69"/>
      <c r="BS221" s="64"/>
      <c r="BT221" s="69"/>
      <c r="BU221" t="b">
        <f t="shared" si="3"/>
        <v>0</v>
      </c>
    </row>
    <row r="222" spans="1:73" x14ac:dyDescent="0.25">
      <c r="A222" s="28"/>
      <c r="B222" s="29"/>
      <c r="C222" s="29"/>
      <c r="D222" s="30"/>
      <c r="E222" s="29"/>
      <c r="F222" s="30"/>
      <c r="G222" s="29"/>
      <c r="H222" s="69"/>
      <c r="I222" s="64"/>
      <c r="J222" s="69"/>
      <c r="K222" s="64"/>
      <c r="L222" s="69"/>
      <c r="M222" s="65"/>
      <c r="N222" s="69"/>
      <c r="O222" s="64"/>
      <c r="P222" s="69"/>
      <c r="Q222" s="64"/>
      <c r="R222" s="69"/>
      <c r="S222" s="64"/>
      <c r="T222" s="69"/>
      <c r="U222" s="64"/>
      <c r="V222" s="69"/>
      <c r="W222" s="65"/>
      <c r="X222" s="69"/>
      <c r="Y222" s="64"/>
      <c r="Z222" s="69"/>
      <c r="AA222" s="64"/>
      <c r="AB222" s="69"/>
      <c r="AC222" s="64"/>
      <c r="AD222" s="69"/>
      <c r="AE222" s="65"/>
      <c r="AF222" s="69"/>
      <c r="AG222" s="65"/>
      <c r="AH222" s="69"/>
      <c r="AI222" s="64"/>
      <c r="AJ222" s="69"/>
      <c r="AK222" s="64"/>
      <c r="AL222" s="69"/>
      <c r="AM222" s="64"/>
      <c r="AN222" s="69"/>
      <c r="AO222" s="64"/>
      <c r="AP222" s="69"/>
      <c r="AQ222" s="64"/>
      <c r="AR222" s="69"/>
      <c r="AS222" s="64"/>
      <c r="AT222" s="69"/>
      <c r="AU222" s="64"/>
      <c r="AV222" s="69"/>
      <c r="AW222" s="64"/>
      <c r="AX222" s="69"/>
      <c r="AY222" s="64"/>
      <c r="AZ222" s="69"/>
      <c r="BA222" s="64"/>
      <c r="BB222" s="69"/>
      <c r="BC222" s="64"/>
      <c r="BD222" s="69"/>
      <c r="BE222" s="64"/>
      <c r="BF222" s="69"/>
      <c r="BG222" s="64"/>
      <c r="BH222" s="69"/>
      <c r="BI222" s="64"/>
      <c r="BJ222" s="69"/>
      <c r="BK222" s="64"/>
      <c r="BL222" s="69"/>
      <c r="BM222" s="64"/>
      <c r="BN222" s="69"/>
      <c r="BO222" s="64"/>
      <c r="BP222" s="69"/>
      <c r="BQ222" s="64"/>
      <c r="BR222" s="69"/>
      <c r="BS222" s="64"/>
      <c r="BT222" s="69"/>
      <c r="BU222" t="b">
        <f t="shared" si="3"/>
        <v>0</v>
      </c>
    </row>
    <row r="223" spans="1:73" x14ac:dyDescent="0.25">
      <c r="A223" s="28"/>
      <c r="B223" s="29"/>
      <c r="C223" s="29"/>
      <c r="D223" s="30"/>
      <c r="E223" s="29"/>
      <c r="F223" s="30"/>
      <c r="G223" s="29"/>
      <c r="H223" s="69"/>
      <c r="I223" s="64"/>
      <c r="J223" s="69"/>
      <c r="K223" s="64"/>
      <c r="L223" s="69"/>
      <c r="M223" s="65"/>
      <c r="N223" s="69"/>
      <c r="O223" s="64"/>
      <c r="P223" s="69"/>
      <c r="Q223" s="64"/>
      <c r="R223" s="69"/>
      <c r="S223" s="64"/>
      <c r="T223" s="69"/>
      <c r="U223" s="64"/>
      <c r="V223" s="69"/>
      <c r="W223" s="65"/>
      <c r="X223" s="69"/>
      <c r="Y223" s="64"/>
      <c r="Z223" s="69"/>
      <c r="AA223" s="64"/>
      <c r="AB223" s="69"/>
      <c r="AC223" s="64"/>
      <c r="AD223" s="69"/>
      <c r="AE223" s="65"/>
      <c r="AF223" s="69"/>
      <c r="AG223" s="65"/>
      <c r="AH223" s="69"/>
      <c r="AI223" s="64"/>
      <c r="AJ223" s="69"/>
      <c r="AK223" s="64"/>
      <c r="AL223" s="69"/>
      <c r="AM223" s="64"/>
      <c r="AN223" s="69"/>
      <c r="AO223" s="64"/>
      <c r="AP223" s="69"/>
      <c r="AQ223" s="64"/>
      <c r="AR223" s="69"/>
      <c r="AS223" s="64"/>
      <c r="AT223" s="69"/>
      <c r="AU223" s="64"/>
      <c r="AV223" s="69"/>
      <c r="AW223" s="64"/>
      <c r="AX223" s="69"/>
      <c r="AY223" s="64"/>
      <c r="AZ223" s="69"/>
      <c r="BA223" s="64"/>
      <c r="BB223" s="69"/>
      <c r="BC223" s="64"/>
      <c r="BD223" s="69"/>
      <c r="BE223" s="64"/>
      <c r="BF223" s="69"/>
      <c r="BG223" s="64"/>
      <c r="BH223" s="69"/>
      <c r="BI223" s="64"/>
      <c r="BJ223" s="69"/>
      <c r="BK223" s="64"/>
      <c r="BL223" s="69"/>
      <c r="BM223" s="64"/>
      <c r="BN223" s="69"/>
      <c r="BO223" s="64"/>
      <c r="BP223" s="69"/>
      <c r="BQ223" s="64"/>
      <c r="BR223" s="69"/>
      <c r="BS223" s="64"/>
      <c r="BT223" s="69"/>
      <c r="BU223" t="b">
        <f t="shared" si="3"/>
        <v>0</v>
      </c>
    </row>
    <row r="224" spans="1:73" x14ac:dyDescent="0.25">
      <c r="A224" s="28"/>
      <c r="B224" s="29"/>
      <c r="C224" s="29"/>
      <c r="D224" s="30"/>
      <c r="E224" s="29"/>
      <c r="F224" s="30"/>
      <c r="G224" s="29"/>
      <c r="H224" s="69"/>
      <c r="I224" s="64"/>
      <c r="J224" s="69"/>
      <c r="K224" s="64"/>
      <c r="L224" s="69"/>
      <c r="M224" s="65"/>
      <c r="N224" s="69"/>
      <c r="O224" s="64"/>
      <c r="P224" s="69"/>
      <c r="Q224" s="64"/>
      <c r="R224" s="69"/>
      <c r="S224" s="64"/>
      <c r="T224" s="69"/>
      <c r="U224" s="64"/>
      <c r="V224" s="69"/>
      <c r="W224" s="65"/>
      <c r="X224" s="69"/>
      <c r="Y224" s="64"/>
      <c r="Z224" s="69"/>
      <c r="AA224" s="64"/>
      <c r="AB224" s="69"/>
      <c r="AC224" s="64"/>
      <c r="AD224" s="69"/>
      <c r="AE224" s="65"/>
      <c r="AF224" s="69"/>
      <c r="AG224" s="65"/>
      <c r="AH224" s="69"/>
      <c r="AI224" s="64"/>
      <c r="AJ224" s="69"/>
      <c r="AK224" s="64"/>
      <c r="AL224" s="69"/>
      <c r="AM224" s="64"/>
      <c r="AN224" s="69"/>
      <c r="AO224" s="64"/>
      <c r="AP224" s="69"/>
      <c r="AQ224" s="64"/>
      <c r="AR224" s="69"/>
      <c r="AS224" s="64"/>
      <c r="AT224" s="69"/>
      <c r="AU224" s="64"/>
      <c r="AV224" s="69"/>
      <c r="AW224" s="64"/>
      <c r="AX224" s="69"/>
      <c r="AY224" s="64"/>
      <c r="AZ224" s="69"/>
      <c r="BA224" s="64"/>
      <c r="BB224" s="69"/>
      <c r="BC224" s="64"/>
      <c r="BD224" s="69"/>
      <c r="BE224" s="64"/>
      <c r="BF224" s="69"/>
      <c r="BG224" s="64"/>
      <c r="BH224" s="69"/>
      <c r="BI224" s="64"/>
      <c r="BJ224" s="69"/>
      <c r="BK224" s="64"/>
      <c r="BL224" s="69"/>
      <c r="BM224" s="64"/>
      <c r="BN224" s="69"/>
      <c r="BO224" s="64"/>
      <c r="BP224" s="69"/>
      <c r="BQ224" s="64"/>
      <c r="BR224" s="69"/>
      <c r="BS224" s="64"/>
      <c r="BT224" s="69"/>
      <c r="BU224" t="b">
        <f t="shared" si="3"/>
        <v>0</v>
      </c>
    </row>
    <row r="225" spans="1:73" x14ac:dyDescent="0.25">
      <c r="A225" s="28"/>
      <c r="B225" s="29"/>
      <c r="C225" s="29"/>
      <c r="D225" s="30"/>
      <c r="E225" s="29"/>
      <c r="F225" s="30"/>
      <c r="G225" s="29"/>
      <c r="H225" s="69"/>
      <c r="I225" s="64"/>
      <c r="J225" s="69"/>
      <c r="K225" s="64"/>
      <c r="L225" s="69"/>
      <c r="M225" s="65"/>
      <c r="N225" s="69"/>
      <c r="O225" s="64"/>
      <c r="P225" s="69"/>
      <c r="Q225" s="64"/>
      <c r="R225" s="69"/>
      <c r="S225" s="64"/>
      <c r="T225" s="69"/>
      <c r="U225" s="64"/>
      <c r="V225" s="69"/>
      <c r="W225" s="65"/>
      <c r="X225" s="69"/>
      <c r="Y225" s="64"/>
      <c r="Z225" s="69"/>
      <c r="AA225" s="64"/>
      <c r="AB225" s="69"/>
      <c r="AC225" s="64"/>
      <c r="AD225" s="69"/>
      <c r="AE225" s="65"/>
      <c r="AF225" s="69"/>
      <c r="AG225" s="65"/>
      <c r="AH225" s="69"/>
      <c r="AI225" s="64"/>
      <c r="AJ225" s="69"/>
      <c r="AK225" s="64"/>
      <c r="AL225" s="69"/>
      <c r="AM225" s="64"/>
      <c r="AN225" s="69"/>
      <c r="AO225" s="64"/>
      <c r="AP225" s="69"/>
      <c r="AQ225" s="64"/>
      <c r="AR225" s="69"/>
      <c r="AS225" s="64"/>
      <c r="AT225" s="69"/>
      <c r="AU225" s="64"/>
      <c r="AV225" s="69"/>
      <c r="AW225" s="64"/>
      <c r="AX225" s="69"/>
      <c r="AY225" s="64"/>
      <c r="AZ225" s="69"/>
      <c r="BA225" s="64"/>
      <c r="BB225" s="69"/>
      <c r="BC225" s="64"/>
      <c r="BD225" s="69"/>
      <c r="BE225" s="64"/>
      <c r="BF225" s="69"/>
      <c r="BG225" s="64"/>
      <c r="BH225" s="69"/>
      <c r="BI225" s="64"/>
      <c r="BJ225" s="69"/>
      <c r="BK225" s="64"/>
      <c r="BL225" s="69"/>
      <c r="BM225" s="64"/>
      <c r="BN225" s="69"/>
      <c r="BO225" s="64"/>
      <c r="BP225" s="69"/>
      <c r="BQ225" s="64"/>
      <c r="BR225" s="69"/>
      <c r="BS225" s="64"/>
      <c r="BT225" s="69"/>
      <c r="BU225" t="b">
        <f t="shared" si="3"/>
        <v>0</v>
      </c>
    </row>
    <row r="226" spans="1:73" x14ac:dyDescent="0.25">
      <c r="A226" s="28"/>
      <c r="B226" s="29"/>
      <c r="C226" s="29"/>
      <c r="D226" s="30"/>
      <c r="E226" s="29"/>
      <c r="F226" s="30"/>
      <c r="G226" s="29"/>
      <c r="H226" s="69"/>
      <c r="I226" s="64"/>
      <c r="J226" s="69"/>
      <c r="K226" s="64"/>
      <c r="L226" s="69"/>
      <c r="M226" s="65"/>
      <c r="N226" s="69"/>
      <c r="O226" s="64"/>
      <c r="P226" s="69"/>
      <c r="Q226" s="64"/>
      <c r="R226" s="69"/>
      <c r="S226" s="64"/>
      <c r="T226" s="69"/>
      <c r="U226" s="64"/>
      <c r="V226" s="69"/>
      <c r="W226" s="65"/>
      <c r="X226" s="69"/>
      <c r="Y226" s="64"/>
      <c r="Z226" s="69"/>
      <c r="AA226" s="64"/>
      <c r="AB226" s="69"/>
      <c r="AC226" s="64"/>
      <c r="AD226" s="69"/>
      <c r="AE226" s="65"/>
      <c r="AF226" s="69"/>
      <c r="AG226" s="65"/>
      <c r="AH226" s="69"/>
      <c r="AI226" s="64"/>
      <c r="AJ226" s="69"/>
      <c r="AK226" s="64"/>
      <c r="AL226" s="69"/>
      <c r="AM226" s="64"/>
      <c r="AN226" s="69"/>
      <c r="AO226" s="64"/>
      <c r="AP226" s="69"/>
      <c r="AQ226" s="64"/>
      <c r="AR226" s="69"/>
      <c r="AS226" s="64"/>
      <c r="AT226" s="69"/>
      <c r="AU226" s="64"/>
      <c r="AV226" s="69"/>
      <c r="AW226" s="64"/>
      <c r="AX226" s="69"/>
      <c r="AY226" s="64"/>
      <c r="AZ226" s="69"/>
      <c r="BA226" s="64"/>
      <c r="BB226" s="69"/>
      <c r="BC226" s="64"/>
      <c r="BD226" s="69"/>
      <c r="BE226" s="64"/>
      <c r="BF226" s="69"/>
      <c r="BG226" s="64"/>
      <c r="BH226" s="69"/>
      <c r="BI226" s="64"/>
      <c r="BJ226" s="69"/>
      <c r="BK226" s="64"/>
      <c r="BL226" s="69"/>
      <c r="BM226" s="64"/>
      <c r="BN226" s="69"/>
      <c r="BO226" s="64"/>
      <c r="BP226" s="69"/>
      <c r="BQ226" s="64"/>
      <c r="BR226" s="69"/>
      <c r="BS226" s="64"/>
      <c r="BT226" s="69"/>
      <c r="BU226" t="b">
        <f t="shared" si="3"/>
        <v>0</v>
      </c>
    </row>
    <row r="227" spans="1:73" x14ac:dyDescent="0.25">
      <c r="A227" s="28"/>
      <c r="B227" s="29"/>
      <c r="C227" s="29"/>
      <c r="D227" s="30"/>
      <c r="E227" s="29"/>
      <c r="F227" s="30"/>
      <c r="G227" s="29"/>
      <c r="H227" s="69"/>
      <c r="I227" s="64"/>
      <c r="J227" s="69"/>
      <c r="K227" s="64"/>
      <c r="L227" s="69"/>
      <c r="M227" s="65"/>
      <c r="N227" s="69"/>
      <c r="O227" s="64"/>
      <c r="P227" s="69"/>
      <c r="Q227" s="64"/>
      <c r="R227" s="69"/>
      <c r="S227" s="64"/>
      <c r="T227" s="69"/>
      <c r="U227" s="64"/>
      <c r="V227" s="69"/>
      <c r="W227" s="65"/>
      <c r="X227" s="69"/>
      <c r="Y227" s="64"/>
      <c r="Z227" s="69"/>
      <c r="AA227" s="64"/>
      <c r="AB227" s="69"/>
      <c r="AC227" s="64"/>
      <c r="AD227" s="69"/>
      <c r="AE227" s="65"/>
      <c r="AF227" s="69"/>
      <c r="AG227" s="65"/>
      <c r="AH227" s="69"/>
      <c r="AI227" s="64"/>
      <c r="AJ227" s="69"/>
      <c r="AK227" s="64"/>
      <c r="AL227" s="69"/>
      <c r="AM227" s="64"/>
      <c r="AN227" s="69"/>
      <c r="AO227" s="64"/>
      <c r="AP227" s="69"/>
      <c r="AQ227" s="64"/>
      <c r="AR227" s="69"/>
      <c r="AS227" s="64"/>
      <c r="AT227" s="69"/>
      <c r="AU227" s="64"/>
      <c r="AV227" s="69"/>
      <c r="AW227" s="64"/>
      <c r="AX227" s="69"/>
      <c r="AY227" s="64"/>
      <c r="AZ227" s="69"/>
      <c r="BA227" s="64"/>
      <c r="BB227" s="69"/>
      <c r="BC227" s="64"/>
      <c r="BD227" s="69"/>
      <c r="BE227" s="64"/>
      <c r="BF227" s="69"/>
      <c r="BG227" s="64"/>
      <c r="BH227" s="69"/>
      <c r="BI227" s="64"/>
      <c r="BJ227" s="69"/>
      <c r="BK227" s="64"/>
      <c r="BL227" s="69"/>
      <c r="BM227" s="64"/>
      <c r="BN227" s="69"/>
      <c r="BO227" s="64"/>
      <c r="BP227" s="69"/>
      <c r="BQ227" s="64"/>
      <c r="BR227" s="69"/>
      <c r="BS227" s="64"/>
      <c r="BT227" s="69"/>
      <c r="BU227" t="b">
        <f t="shared" si="3"/>
        <v>0</v>
      </c>
    </row>
    <row r="228" spans="1:73" x14ac:dyDescent="0.25">
      <c r="A228" s="28"/>
      <c r="B228" s="29"/>
      <c r="C228" s="29"/>
      <c r="D228" s="30"/>
      <c r="E228" s="29"/>
      <c r="F228" s="30"/>
      <c r="G228" s="29"/>
      <c r="H228" s="69"/>
      <c r="I228" s="64"/>
      <c r="J228" s="69"/>
      <c r="K228" s="64"/>
      <c r="L228" s="69"/>
      <c r="M228" s="65"/>
      <c r="N228" s="69"/>
      <c r="O228" s="64"/>
      <c r="P228" s="69"/>
      <c r="Q228" s="64"/>
      <c r="R228" s="69"/>
      <c r="S228" s="64"/>
      <c r="T228" s="69"/>
      <c r="U228" s="64"/>
      <c r="V228" s="69"/>
      <c r="W228" s="65"/>
      <c r="X228" s="69"/>
      <c r="Y228" s="64"/>
      <c r="Z228" s="69"/>
      <c r="AA228" s="64"/>
      <c r="AB228" s="69"/>
      <c r="AC228" s="64"/>
      <c r="AD228" s="69"/>
      <c r="AE228" s="65"/>
      <c r="AF228" s="69"/>
      <c r="AG228" s="65"/>
      <c r="AH228" s="69"/>
      <c r="AI228" s="64"/>
      <c r="AJ228" s="69"/>
      <c r="AK228" s="64"/>
      <c r="AL228" s="69"/>
      <c r="AM228" s="64"/>
      <c r="AN228" s="69"/>
      <c r="AO228" s="64"/>
      <c r="AP228" s="69"/>
      <c r="AQ228" s="64"/>
      <c r="AR228" s="69"/>
      <c r="AS228" s="64"/>
      <c r="AT228" s="69"/>
      <c r="AU228" s="64"/>
      <c r="AV228" s="69"/>
      <c r="AW228" s="64"/>
      <c r="AX228" s="69"/>
      <c r="AY228" s="64"/>
      <c r="AZ228" s="69"/>
      <c r="BA228" s="64"/>
      <c r="BB228" s="69"/>
      <c r="BC228" s="64"/>
      <c r="BD228" s="69"/>
      <c r="BE228" s="64"/>
      <c r="BF228" s="69"/>
      <c r="BG228" s="64"/>
      <c r="BH228" s="69"/>
      <c r="BI228" s="64"/>
      <c r="BJ228" s="69"/>
      <c r="BK228" s="64"/>
      <c r="BL228" s="69"/>
      <c r="BM228" s="64"/>
      <c r="BN228" s="69"/>
      <c r="BO228" s="64"/>
      <c r="BP228" s="69"/>
      <c r="BQ228" s="64"/>
      <c r="BR228" s="69"/>
      <c r="BS228" s="64"/>
      <c r="BT228" s="69"/>
      <c r="BU228" t="b">
        <f t="shared" si="3"/>
        <v>0</v>
      </c>
    </row>
    <row r="229" spans="1:73" x14ac:dyDescent="0.25">
      <c r="A229" s="28"/>
      <c r="B229" s="29"/>
      <c r="C229" s="29"/>
      <c r="D229" s="30"/>
      <c r="E229" s="29"/>
      <c r="F229" s="30"/>
      <c r="G229" s="29"/>
      <c r="H229" s="69"/>
      <c r="I229" s="64"/>
      <c r="J229" s="69"/>
      <c r="K229" s="64"/>
      <c r="L229" s="69"/>
      <c r="M229" s="65"/>
      <c r="N229" s="69"/>
      <c r="O229" s="64"/>
      <c r="P229" s="69"/>
      <c r="Q229" s="64"/>
      <c r="R229" s="69"/>
      <c r="S229" s="64"/>
      <c r="T229" s="69"/>
      <c r="U229" s="64"/>
      <c r="V229" s="69"/>
      <c r="W229" s="65"/>
      <c r="X229" s="69"/>
      <c r="Y229" s="64"/>
      <c r="Z229" s="69"/>
      <c r="AA229" s="64"/>
      <c r="AB229" s="69"/>
      <c r="AC229" s="64"/>
      <c r="AD229" s="69"/>
      <c r="AE229" s="65"/>
      <c r="AF229" s="69"/>
      <c r="AG229" s="65"/>
      <c r="AH229" s="69"/>
      <c r="AI229" s="64"/>
      <c r="AJ229" s="69"/>
      <c r="AK229" s="64"/>
      <c r="AL229" s="69"/>
      <c r="AM229" s="64"/>
      <c r="AN229" s="69"/>
      <c r="AO229" s="64"/>
      <c r="AP229" s="69"/>
      <c r="AQ229" s="64"/>
      <c r="AR229" s="69"/>
      <c r="AS229" s="64"/>
      <c r="AT229" s="69"/>
      <c r="AU229" s="64"/>
      <c r="AV229" s="69"/>
      <c r="AW229" s="64"/>
      <c r="AX229" s="69"/>
      <c r="AY229" s="64"/>
      <c r="AZ229" s="69"/>
      <c r="BA229" s="64"/>
      <c r="BB229" s="69"/>
      <c r="BC229" s="64"/>
      <c r="BD229" s="69"/>
      <c r="BE229" s="64"/>
      <c r="BF229" s="69"/>
      <c r="BG229" s="64"/>
      <c r="BH229" s="69"/>
      <c r="BI229" s="64"/>
      <c r="BJ229" s="69"/>
      <c r="BK229" s="64"/>
      <c r="BL229" s="69"/>
      <c r="BM229" s="64"/>
      <c r="BN229" s="69"/>
      <c r="BO229" s="64"/>
      <c r="BP229" s="69"/>
      <c r="BQ229" s="64"/>
      <c r="BR229" s="69"/>
      <c r="BS229" s="64"/>
      <c r="BT229" s="69"/>
      <c r="BU229" t="b">
        <f t="shared" ref="BU229:BU292" si="4">NOT(AND(BR229="",BP229="",BN229="",BL229="",BJ229="",BH229="",BF229="",BD229="",BB229="",AZ229="",AX229="",AV229="",AT229="",AR229="",AP229="",AN229="",AL229="",AJ229="",AH229="",AF229="",AD229="",AB229="",Z229="",X229="",V229="",T229="",R229="",P229="",N229="", L229="",J229=""))</f>
        <v>0</v>
      </c>
    </row>
    <row r="230" spans="1:73" x14ac:dyDescent="0.25">
      <c r="A230" s="28"/>
      <c r="B230" s="29"/>
      <c r="C230" s="29"/>
      <c r="D230" s="30"/>
      <c r="E230" s="29"/>
      <c r="F230" s="30"/>
      <c r="G230" s="29"/>
      <c r="H230" s="69"/>
      <c r="I230" s="64"/>
      <c r="J230" s="69"/>
      <c r="K230" s="64"/>
      <c r="L230" s="69"/>
      <c r="M230" s="65"/>
      <c r="N230" s="69"/>
      <c r="O230" s="64"/>
      <c r="P230" s="69"/>
      <c r="Q230" s="64"/>
      <c r="R230" s="69"/>
      <c r="S230" s="64"/>
      <c r="T230" s="69"/>
      <c r="U230" s="64"/>
      <c r="V230" s="69"/>
      <c r="W230" s="65"/>
      <c r="X230" s="69"/>
      <c r="Y230" s="64"/>
      <c r="Z230" s="69"/>
      <c r="AA230" s="64"/>
      <c r="AB230" s="69"/>
      <c r="AC230" s="64"/>
      <c r="AD230" s="69"/>
      <c r="AE230" s="65"/>
      <c r="AF230" s="69"/>
      <c r="AG230" s="65"/>
      <c r="AH230" s="69"/>
      <c r="AI230" s="64"/>
      <c r="AJ230" s="69"/>
      <c r="AK230" s="64"/>
      <c r="AL230" s="69"/>
      <c r="AM230" s="64"/>
      <c r="AN230" s="69"/>
      <c r="AO230" s="64"/>
      <c r="AP230" s="69"/>
      <c r="AQ230" s="64"/>
      <c r="AR230" s="69"/>
      <c r="AS230" s="64"/>
      <c r="AT230" s="69"/>
      <c r="AU230" s="64"/>
      <c r="AV230" s="69"/>
      <c r="AW230" s="64"/>
      <c r="AX230" s="69"/>
      <c r="AY230" s="64"/>
      <c r="AZ230" s="69"/>
      <c r="BA230" s="64"/>
      <c r="BB230" s="69"/>
      <c r="BC230" s="64"/>
      <c r="BD230" s="69"/>
      <c r="BE230" s="64"/>
      <c r="BF230" s="69"/>
      <c r="BG230" s="64"/>
      <c r="BH230" s="69"/>
      <c r="BI230" s="64"/>
      <c r="BJ230" s="69"/>
      <c r="BK230" s="64"/>
      <c r="BL230" s="69"/>
      <c r="BM230" s="64"/>
      <c r="BN230" s="69"/>
      <c r="BO230" s="64"/>
      <c r="BP230" s="69"/>
      <c r="BQ230" s="64"/>
      <c r="BR230" s="69"/>
      <c r="BS230" s="64"/>
      <c r="BT230" s="69"/>
      <c r="BU230" t="b">
        <f t="shared" si="4"/>
        <v>0</v>
      </c>
    </row>
    <row r="231" spans="1:73" x14ac:dyDescent="0.25">
      <c r="A231" s="28"/>
      <c r="B231" s="29"/>
      <c r="C231" s="29"/>
      <c r="D231" s="30"/>
      <c r="E231" s="29"/>
      <c r="F231" s="30"/>
      <c r="G231" s="29"/>
      <c r="H231" s="69"/>
      <c r="I231" s="64"/>
      <c r="J231" s="69"/>
      <c r="K231" s="64"/>
      <c r="L231" s="69"/>
      <c r="M231" s="65"/>
      <c r="N231" s="69"/>
      <c r="O231" s="64"/>
      <c r="P231" s="69"/>
      <c r="Q231" s="64"/>
      <c r="R231" s="69"/>
      <c r="S231" s="64"/>
      <c r="T231" s="69"/>
      <c r="U231" s="64"/>
      <c r="V231" s="69"/>
      <c r="W231" s="65"/>
      <c r="X231" s="69"/>
      <c r="Y231" s="64"/>
      <c r="Z231" s="69"/>
      <c r="AA231" s="64"/>
      <c r="AB231" s="69"/>
      <c r="AC231" s="64"/>
      <c r="AD231" s="69"/>
      <c r="AE231" s="65"/>
      <c r="AF231" s="69"/>
      <c r="AG231" s="65"/>
      <c r="AH231" s="69"/>
      <c r="AI231" s="64"/>
      <c r="AJ231" s="69"/>
      <c r="AK231" s="64"/>
      <c r="AL231" s="69"/>
      <c r="AM231" s="64"/>
      <c r="AN231" s="69"/>
      <c r="AO231" s="64"/>
      <c r="AP231" s="69"/>
      <c r="AQ231" s="64"/>
      <c r="AR231" s="69"/>
      <c r="AS231" s="64"/>
      <c r="AT231" s="69"/>
      <c r="AU231" s="64"/>
      <c r="AV231" s="69"/>
      <c r="AW231" s="64"/>
      <c r="AX231" s="69"/>
      <c r="AY231" s="64"/>
      <c r="AZ231" s="69"/>
      <c r="BA231" s="64"/>
      <c r="BB231" s="69"/>
      <c r="BC231" s="64"/>
      <c r="BD231" s="69"/>
      <c r="BE231" s="64"/>
      <c r="BF231" s="69"/>
      <c r="BG231" s="64"/>
      <c r="BH231" s="69"/>
      <c r="BI231" s="64"/>
      <c r="BJ231" s="69"/>
      <c r="BK231" s="64"/>
      <c r="BL231" s="69"/>
      <c r="BM231" s="64"/>
      <c r="BN231" s="69"/>
      <c r="BO231" s="64"/>
      <c r="BP231" s="69"/>
      <c r="BQ231" s="64"/>
      <c r="BR231" s="69"/>
      <c r="BS231" s="64"/>
      <c r="BT231" s="69"/>
      <c r="BU231" t="b">
        <f t="shared" si="4"/>
        <v>0</v>
      </c>
    </row>
    <row r="232" spans="1:73" x14ac:dyDescent="0.25">
      <c r="A232" s="28"/>
      <c r="B232" s="29"/>
      <c r="C232" s="29"/>
      <c r="D232" s="30"/>
      <c r="E232" s="29"/>
      <c r="F232" s="30"/>
      <c r="G232" s="29"/>
      <c r="H232" s="69"/>
      <c r="I232" s="64"/>
      <c r="J232" s="69"/>
      <c r="K232" s="64"/>
      <c r="L232" s="69"/>
      <c r="M232" s="65"/>
      <c r="N232" s="69"/>
      <c r="O232" s="64"/>
      <c r="P232" s="69"/>
      <c r="Q232" s="64"/>
      <c r="R232" s="69"/>
      <c r="S232" s="64"/>
      <c r="T232" s="69"/>
      <c r="U232" s="64"/>
      <c r="V232" s="69"/>
      <c r="W232" s="65"/>
      <c r="X232" s="69"/>
      <c r="Y232" s="64"/>
      <c r="Z232" s="69"/>
      <c r="AA232" s="64"/>
      <c r="AB232" s="69"/>
      <c r="AC232" s="64"/>
      <c r="AD232" s="69"/>
      <c r="AE232" s="65"/>
      <c r="AF232" s="69"/>
      <c r="AG232" s="65"/>
      <c r="AH232" s="69"/>
      <c r="AI232" s="64"/>
      <c r="AJ232" s="69"/>
      <c r="AK232" s="64"/>
      <c r="AL232" s="69"/>
      <c r="AM232" s="64"/>
      <c r="AN232" s="69"/>
      <c r="AO232" s="64"/>
      <c r="AP232" s="69"/>
      <c r="AQ232" s="64"/>
      <c r="AR232" s="69"/>
      <c r="AS232" s="64"/>
      <c r="AT232" s="69"/>
      <c r="AU232" s="64"/>
      <c r="AV232" s="69"/>
      <c r="AW232" s="64"/>
      <c r="AX232" s="69"/>
      <c r="AY232" s="64"/>
      <c r="AZ232" s="69"/>
      <c r="BA232" s="64"/>
      <c r="BB232" s="69"/>
      <c r="BC232" s="64"/>
      <c r="BD232" s="69"/>
      <c r="BE232" s="64"/>
      <c r="BF232" s="69"/>
      <c r="BG232" s="64"/>
      <c r="BH232" s="69"/>
      <c r="BI232" s="64"/>
      <c r="BJ232" s="69"/>
      <c r="BK232" s="64"/>
      <c r="BL232" s="69"/>
      <c r="BM232" s="64"/>
      <c r="BN232" s="69"/>
      <c r="BO232" s="64"/>
      <c r="BP232" s="69"/>
      <c r="BQ232" s="64"/>
      <c r="BR232" s="69"/>
      <c r="BS232" s="64"/>
      <c r="BT232" s="69"/>
      <c r="BU232" t="b">
        <f t="shared" si="4"/>
        <v>0</v>
      </c>
    </row>
    <row r="233" spans="1:73" x14ac:dyDescent="0.25">
      <c r="A233" s="28"/>
      <c r="B233" s="29"/>
      <c r="C233" s="29"/>
      <c r="D233" s="30"/>
      <c r="E233" s="29"/>
      <c r="F233" s="30"/>
      <c r="G233" s="29"/>
      <c r="H233" s="69"/>
      <c r="I233" s="64"/>
      <c r="J233" s="69"/>
      <c r="K233" s="64"/>
      <c r="L233" s="69"/>
      <c r="M233" s="65"/>
      <c r="N233" s="69"/>
      <c r="O233" s="64"/>
      <c r="P233" s="69"/>
      <c r="Q233" s="64"/>
      <c r="R233" s="69"/>
      <c r="S233" s="64"/>
      <c r="T233" s="69"/>
      <c r="U233" s="64"/>
      <c r="V233" s="69"/>
      <c r="W233" s="65"/>
      <c r="X233" s="69"/>
      <c r="Y233" s="64"/>
      <c r="Z233" s="69"/>
      <c r="AA233" s="64"/>
      <c r="AB233" s="69"/>
      <c r="AC233" s="64"/>
      <c r="AD233" s="69"/>
      <c r="AE233" s="65"/>
      <c r="AF233" s="69"/>
      <c r="AG233" s="65"/>
      <c r="AH233" s="69"/>
      <c r="AI233" s="64"/>
      <c r="AJ233" s="69"/>
      <c r="AK233" s="64"/>
      <c r="AL233" s="69"/>
      <c r="AM233" s="64"/>
      <c r="AN233" s="69"/>
      <c r="AO233" s="64"/>
      <c r="AP233" s="69"/>
      <c r="AQ233" s="64"/>
      <c r="AR233" s="69"/>
      <c r="AS233" s="64"/>
      <c r="AT233" s="69"/>
      <c r="AU233" s="64"/>
      <c r="AV233" s="69"/>
      <c r="AW233" s="64"/>
      <c r="AX233" s="69"/>
      <c r="AY233" s="64"/>
      <c r="AZ233" s="69"/>
      <c r="BA233" s="64"/>
      <c r="BB233" s="69"/>
      <c r="BC233" s="64"/>
      <c r="BD233" s="69"/>
      <c r="BE233" s="64"/>
      <c r="BF233" s="69"/>
      <c r="BG233" s="64"/>
      <c r="BH233" s="69"/>
      <c r="BI233" s="64"/>
      <c r="BJ233" s="69"/>
      <c r="BK233" s="64"/>
      <c r="BL233" s="69"/>
      <c r="BM233" s="64"/>
      <c r="BN233" s="69"/>
      <c r="BO233" s="64"/>
      <c r="BP233" s="69"/>
      <c r="BQ233" s="64"/>
      <c r="BR233" s="69"/>
      <c r="BS233" s="64"/>
      <c r="BT233" s="69"/>
      <c r="BU233" t="b">
        <f t="shared" si="4"/>
        <v>0</v>
      </c>
    </row>
    <row r="234" spans="1:73" x14ac:dyDescent="0.25">
      <c r="A234" s="28"/>
      <c r="B234" s="29"/>
      <c r="C234" s="29"/>
      <c r="D234" s="30"/>
      <c r="E234" s="29"/>
      <c r="F234" s="30"/>
      <c r="G234" s="29"/>
      <c r="H234" s="69"/>
      <c r="I234" s="64"/>
      <c r="J234" s="69"/>
      <c r="K234" s="64"/>
      <c r="L234" s="69"/>
      <c r="M234" s="65"/>
      <c r="N234" s="69"/>
      <c r="O234" s="64"/>
      <c r="P234" s="69"/>
      <c r="Q234" s="64"/>
      <c r="R234" s="69"/>
      <c r="S234" s="64"/>
      <c r="T234" s="69"/>
      <c r="U234" s="64"/>
      <c r="V234" s="69"/>
      <c r="W234" s="65"/>
      <c r="X234" s="69"/>
      <c r="Y234" s="64"/>
      <c r="Z234" s="69"/>
      <c r="AA234" s="64"/>
      <c r="AB234" s="69"/>
      <c r="AC234" s="64"/>
      <c r="AD234" s="69"/>
      <c r="AE234" s="65"/>
      <c r="AF234" s="69"/>
      <c r="AG234" s="65"/>
      <c r="AH234" s="69"/>
      <c r="AI234" s="64"/>
      <c r="AJ234" s="69"/>
      <c r="AK234" s="64"/>
      <c r="AL234" s="69"/>
      <c r="AM234" s="64"/>
      <c r="AN234" s="69"/>
      <c r="AO234" s="64"/>
      <c r="AP234" s="69"/>
      <c r="AQ234" s="64"/>
      <c r="AR234" s="69"/>
      <c r="AS234" s="64"/>
      <c r="AT234" s="69"/>
      <c r="AU234" s="64"/>
      <c r="AV234" s="69"/>
      <c r="AW234" s="64"/>
      <c r="AX234" s="69"/>
      <c r="AY234" s="64"/>
      <c r="AZ234" s="69"/>
      <c r="BA234" s="64"/>
      <c r="BB234" s="69"/>
      <c r="BC234" s="64"/>
      <c r="BD234" s="69"/>
      <c r="BE234" s="64"/>
      <c r="BF234" s="69"/>
      <c r="BG234" s="64"/>
      <c r="BH234" s="69"/>
      <c r="BI234" s="64"/>
      <c r="BJ234" s="69"/>
      <c r="BK234" s="64"/>
      <c r="BL234" s="69"/>
      <c r="BM234" s="64"/>
      <c r="BN234" s="69"/>
      <c r="BO234" s="64"/>
      <c r="BP234" s="69"/>
      <c r="BQ234" s="64"/>
      <c r="BR234" s="69"/>
      <c r="BS234" s="64"/>
      <c r="BT234" s="69"/>
      <c r="BU234" t="b">
        <f t="shared" si="4"/>
        <v>0</v>
      </c>
    </row>
    <row r="235" spans="1:73" x14ac:dyDescent="0.25">
      <c r="A235" s="28"/>
      <c r="B235" s="29"/>
      <c r="C235" s="29"/>
      <c r="D235" s="30"/>
      <c r="E235" s="29"/>
      <c r="F235" s="30"/>
      <c r="G235" s="29"/>
      <c r="H235" s="69"/>
      <c r="I235" s="64"/>
      <c r="J235" s="69"/>
      <c r="K235" s="64"/>
      <c r="L235" s="69"/>
      <c r="M235" s="65"/>
      <c r="N235" s="69"/>
      <c r="O235" s="64"/>
      <c r="P235" s="69"/>
      <c r="Q235" s="64"/>
      <c r="R235" s="69"/>
      <c r="S235" s="64"/>
      <c r="T235" s="69"/>
      <c r="U235" s="64"/>
      <c r="V235" s="69"/>
      <c r="W235" s="65"/>
      <c r="X235" s="69"/>
      <c r="Y235" s="64"/>
      <c r="Z235" s="69"/>
      <c r="AA235" s="64"/>
      <c r="AB235" s="69"/>
      <c r="AC235" s="64"/>
      <c r="AD235" s="69"/>
      <c r="AE235" s="65"/>
      <c r="AF235" s="69"/>
      <c r="AG235" s="65"/>
      <c r="AH235" s="69"/>
      <c r="AI235" s="64"/>
      <c r="AJ235" s="69"/>
      <c r="AK235" s="64"/>
      <c r="AL235" s="69"/>
      <c r="AM235" s="64"/>
      <c r="AN235" s="69"/>
      <c r="AO235" s="64"/>
      <c r="AP235" s="69"/>
      <c r="AQ235" s="64"/>
      <c r="AR235" s="69"/>
      <c r="AS235" s="64"/>
      <c r="AT235" s="69"/>
      <c r="AU235" s="64"/>
      <c r="AV235" s="69"/>
      <c r="AW235" s="64"/>
      <c r="AX235" s="69"/>
      <c r="AY235" s="64"/>
      <c r="AZ235" s="69"/>
      <c r="BA235" s="64"/>
      <c r="BB235" s="69"/>
      <c r="BC235" s="64"/>
      <c r="BD235" s="69"/>
      <c r="BE235" s="64"/>
      <c r="BF235" s="69"/>
      <c r="BG235" s="64"/>
      <c r="BH235" s="69"/>
      <c r="BI235" s="64"/>
      <c r="BJ235" s="69"/>
      <c r="BK235" s="64"/>
      <c r="BL235" s="69"/>
      <c r="BM235" s="64"/>
      <c r="BN235" s="69"/>
      <c r="BO235" s="64"/>
      <c r="BP235" s="69"/>
      <c r="BQ235" s="64"/>
      <c r="BR235" s="69"/>
      <c r="BS235" s="64"/>
      <c r="BT235" s="69"/>
      <c r="BU235" t="b">
        <f t="shared" si="4"/>
        <v>0</v>
      </c>
    </row>
    <row r="236" spans="1:73" x14ac:dyDescent="0.25">
      <c r="A236" s="28"/>
      <c r="B236" s="29"/>
      <c r="C236" s="29"/>
      <c r="D236" s="30"/>
      <c r="E236" s="29"/>
      <c r="F236" s="30"/>
      <c r="G236" s="29"/>
      <c r="H236" s="69"/>
      <c r="I236" s="64"/>
      <c r="J236" s="69"/>
      <c r="K236" s="64"/>
      <c r="L236" s="69"/>
      <c r="M236" s="65"/>
      <c r="N236" s="69"/>
      <c r="O236" s="64"/>
      <c r="P236" s="69"/>
      <c r="Q236" s="64"/>
      <c r="R236" s="69"/>
      <c r="S236" s="64"/>
      <c r="T236" s="69"/>
      <c r="U236" s="64"/>
      <c r="V236" s="69"/>
      <c r="W236" s="65"/>
      <c r="X236" s="69"/>
      <c r="Y236" s="64"/>
      <c r="Z236" s="69"/>
      <c r="AA236" s="64"/>
      <c r="AB236" s="69"/>
      <c r="AC236" s="64"/>
      <c r="AD236" s="69"/>
      <c r="AE236" s="65"/>
      <c r="AF236" s="69"/>
      <c r="AG236" s="65"/>
      <c r="AH236" s="69"/>
      <c r="AI236" s="64"/>
      <c r="AJ236" s="69"/>
      <c r="AK236" s="64"/>
      <c r="AL236" s="69"/>
      <c r="AM236" s="64"/>
      <c r="AN236" s="69"/>
      <c r="AO236" s="64"/>
      <c r="AP236" s="69"/>
      <c r="AQ236" s="64"/>
      <c r="AR236" s="69"/>
      <c r="AS236" s="64"/>
      <c r="AT236" s="69"/>
      <c r="AU236" s="64"/>
      <c r="AV236" s="69"/>
      <c r="AW236" s="64"/>
      <c r="AX236" s="69"/>
      <c r="AY236" s="64"/>
      <c r="AZ236" s="69"/>
      <c r="BA236" s="64"/>
      <c r="BB236" s="69"/>
      <c r="BC236" s="64"/>
      <c r="BD236" s="69"/>
      <c r="BE236" s="64"/>
      <c r="BF236" s="69"/>
      <c r="BG236" s="64"/>
      <c r="BH236" s="69"/>
      <c r="BI236" s="64"/>
      <c r="BJ236" s="69"/>
      <c r="BK236" s="64"/>
      <c r="BL236" s="69"/>
      <c r="BM236" s="64"/>
      <c r="BN236" s="69"/>
      <c r="BO236" s="64"/>
      <c r="BP236" s="69"/>
      <c r="BQ236" s="64"/>
      <c r="BR236" s="69"/>
      <c r="BS236" s="64"/>
      <c r="BT236" s="69"/>
      <c r="BU236" t="b">
        <f t="shared" si="4"/>
        <v>0</v>
      </c>
    </row>
    <row r="237" spans="1:73" x14ac:dyDescent="0.25">
      <c r="A237" s="28"/>
      <c r="B237" s="29"/>
      <c r="C237" s="29"/>
      <c r="D237" s="30"/>
      <c r="E237" s="29"/>
      <c r="F237" s="30"/>
      <c r="G237" s="29"/>
      <c r="H237" s="69"/>
      <c r="I237" s="64"/>
      <c r="J237" s="69"/>
      <c r="K237" s="64"/>
      <c r="L237" s="69"/>
      <c r="M237" s="65"/>
      <c r="N237" s="69"/>
      <c r="O237" s="64"/>
      <c r="P237" s="69"/>
      <c r="Q237" s="64"/>
      <c r="R237" s="69"/>
      <c r="S237" s="64"/>
      <c r="T237" s="69"/>
      <c r="U237" s="64"/>
      <c r="V237" s="69"/>
      <c r="W237" s="65"/>
      <c r="X237" s="69"/>
      <c r="Y237" s="64"/>
      <c r="Z237" s="69"/>
      <c r="AA237" s="64"/>
      <c r="AB237" s="69"/>
      <c r="AC237" s="64"/>
      <c r="AD237" s="69"/>
      <c r="AE237" s="65"/>
      <c r="AF237" s="69"/>
      <c r="AG237" s="65"/>
      <c r="AH237" s="69"/>
      <c r="AI237" s="64"/>
      <c r="AJ237" s="69"/>
      <c r="AK237" s="64"/>
      <c r="AL237" s="69"/>
      <c r="AM237" s="64"/>
      <c r="AN237" s="69"/>
      <c r="AO237" s="64"/>
      <c r="AP237" s="69"/>
      <c r="AQ237" s="64"/>
      <c r="AR237" s="69"/>
      <c r="AS237" s="64"/>
      <c r="AT237" s="69"/>
      <c r="AU237" s="64"/>
      <c r="AV237" s="69"/>
      <c r="AW237" s="64"/>
      <c r="AX237" s="69"/>
      <c r="AY237" s="64"/>
      <c r="AZ237" s="69"/>
      <c r="BA237" s="64"/>
      <c r="BB237" s="69"/>
      <c r="BC237" s="64"/>
      <c r="BD237" s="69"/>
      <c r="BE237" s="64"/>
      <c r="BF237" s="69"/>
      <c r="BG237" s="64"/>
      <c r="BH237" s="69"/>
      <c r="BI237" s="64"/>
      <c r="BJ237" s="69"/>
      <c r="BK237" s="64"/>
      <c r="BL237" s="69"/>
      <c r="BM237" s="64"/>
      <c r="BN237" s="69"/>
      <c r="BO237" s="64"/>
      <c r="BP237" s="69"/>
      <c r="BQ237" s="64"/>
      <c r="BR237" s="69"/>
      <c r="BS237" s="64"/>
      <c r="BT237" s="69"/>
      <c r="BU237" t="b">
        <f t="shared" si="4"/>
        <v>0</v>
      </c>
    </row>
    <row r="238" spans="1:73" x14ac:dyDescent="0.25">
      <c r="A238" s="28"/>
      <c r="B238" s="29"/>
      <c r="C238" s="29"/>
      <c r="D238" s="30"/>
      <c r="E238" s="29"/>
      <c r="F238" s="30"/>
      <c r="G238" s="29"/>
      <c r="H238" s="69"/>
      <c r="I238" s="64"/>
      <c r="J238" s="69"/>
      <c r="K238" s="64"/>
      <c r="L238" s="69"/>
      <c r="M238" s="65"/>
      <c r="N238" s="69"/>
      <c r="O238" s="64"/>
      <c r="P238" s="69"/>
      <c r="Q238" s="64"/>
      <c r="R238" s="69"/>
      <c r="S238" s="64"/>
      <c r="T238" s="69"/>
      <c r="U238" s="64"/>
      <c r="V238" s="69"/>
      <c r="W238" s="65"/>
      <c r="X238" s="69"/>
      <c r="Y238" s="64"/>
      <c r="Z238" s="69"/>
      <c r="AA238" s="64"/>
      <c r="AB238" s="69"/>
      <c r="AC238" s="64"/>
      <c r="AD238" s="69"/>
      <c r="AE238" s="65"/>
      <c r="AF238" s="69"/>
      <c r="AG238" s="65"/>
      <c r="AH238" s="69"/>
      <c r="AI238" s="64"/>
      <c r="AJ238" s="69"/>
      <c r="AK238" s="64"/>
      <c r="AL238" s="69"/>
      <c r="AM238" s="64"/>
      <c r="AN238" s="69"/>
      <c r="AO238" s="64"/>
      <c r="AP238" s="69"/>
      <c r="AQ238" s="64"/>
      <c r="AR238" s="69"/>
      <c r="AS238" s="64"/>
      <c r="AT238" s="69"/>
      <c r="AU238" s="64"/>
      <c r="AV238" s="69"/>
      <c r="AW238" s="64"/>
      <c r="AX238" s="69"/>
      <c r="AY238" s="64"/>
      <c r="AZ238" s="69"/>
      <c r="BA238" s="64"/>
      <c r="BB238" s="69"/>
      <c r="BC238" s="64"/>
      <c r="BD238" s="69"/>
      <c r="BE238" s="64"/>
      <c r="BF238" s="69"/>
      <c r="BG238" s="64"/>
      <c r="BH238" s="69"/>
      <c r="BI238" s="64"/>
      <c r="BJ238" s="69"/>
      <c r="BK238" s="64"/>
      <c r="BL238" s="69"/>
      <c r="BM238" s="64"/>
      <c r="BN238" s="69"/>
      <c r="BO238" s="64"/>
      <c r="BP238" s="69"/>
      <c r="BQ238" s="64"/>
      <c r="BR238" s="69"/>
      <c r="BS238" s="64"/>
      <c r="BT238" s="69"/>
      <c r="BU238" t="b">
        <f t="shared" si="4"/>
        <v>0</v>
      </c>
    </row>
    <row r="239" spans="1:73" x14ac:dyDescent="0.25">
      <c r="A239" s="28"/>
      <c r="B239" s="29"/>
      <c r="C239" s="29"/>
      <c r="D239" s="30"/>
      <c r="E239" s="29"/>
      <c r="F239" s="30"/>
      <c r="G239" s="29"/>
      <c r="H239" s="69"/>
      <c r="I239" s="64"/>
      <c r="J239" s="69"/>
      <c r="K239" s="64"/>
      <c r="L239" s="69"/>
      <c r="M239" s="65"/>
      <c r="N239" s="69"/>
      <c r="O239" s="64"/>
      <c r="P239" s="69"/>
      <c r="Q239" s="64"/>
      <c r="R239" s="69"/>
      <c r="S239" s="64"/>
      <c r="T239" s="69"/>
      <c r="U239" s="64"/>
      <c r="V239" s="69"/>
      <c r="W239" s="65"/>
      <c r="X239" s="69"/>
      <c r="Y239" s="64"/>
      <c r="Z239" s="69"/>
      <c r="AA239" s="64"/>
      <c r="AB239" s="69"/>
      <c r="AC239" s="64"/>
      <c r="AD239" s="69"/>
      <c r="AE239" s="65"/>
      <c r="AF239" s="69"/>
      <c r="AG239" s="65"/>
      <c r="AH239" s="69"/>
      <c r="AI239" s="64"/>
      <c r="AJ239" s="69"/>
      <c r="AK239" s="64"/>
      <c r="AL239" s="69"/>
      <c r="AM239" s="64"/>
      <c r="AN239" s="69"/>
      <c r="AO239" s="64"/>
      <c r="AP239" s="69"/>
      <c r="AQ239" s="64"/>
      <c r="AR239" s="69"/>
      <c r="AS239" s="64"/>
      <c r="AT239" s="69"/>
      <c r="AU239" s="64"/>
      <c r="AV239" s="69"/>
      <c r="AW239" s="64"/>
      <c r="AX239" s="69"/>
      <c r="AY239" s="64"/>
      <c r="AZ239" s="69"/>
      <c r="BA239" s="64"/>
      <c r="BB239" s="69"/>
      <c r="BC239" s="64"/>
      <c r="BD239" s="69"/>
      <c r="BE239" s="64"/>
      <c r="BF239" s="69"/>
      <c r="BG239" s="64"/>
      <c r="BH239" s="69"/>
      <c r="BI239" s="64"/>
      <c r="BJ239" s="69"/>
      <c r="BK239" s="64"/>
      <c r="BL239" s="69"/>
      <c r="BM239" s="64"/>
      <c r="BN239" s="69"/>
      <c r="BO239" s="64"/>
      <c r="BP239" s="69"/>
      <c r="BQ239" s="64"/>
      <c r="BR239" s="69"/>
      <c r="BS239" s="64"/>
      <c r="BT239" s="69"/>
      <c r="BU239" t="b">
        <f t="shared" si="4"/>
        <v>0</v>
      </c>
    </row>
    <row r="240" spans="1:73" x14ac:dyDescent="0.25">
      <c r="A240" s="28"/>
      <c r="B240" s="29"/>
      <c r="C240" s="29"/>
      <c r="D240" s="30"/>
      <c r="E240" s="29"/>
      <c r="F240" s="30"/>
      <c r="G240" s="29"/>
      <c r="H240" s="69"/>
      <c r="I240" s="64"/>
      <c r="J240" s="69"/>
      <c r="K240" s="64"/>
      <c r="L240" s="69"/>
      <c r="M240" s="65"/>
      <c r="N240" s="69"/>
      <c r="O240" s="64"/>
      <c r="P240" s="69"/>
      <c r="Q240" s="64"/>
      <c r="R240" s="69"/>
      <c r="S240" s="64"/>
      <c r="T240" s="69"/>
      <c r="U240" s="64"/>
      <c r="V240" s="69"/>
      <c r="W240" s="65"/>
      <c r="X240" s="69"/>
      <c r="Y240" s="64"/>
      <c r="Z240" s="69"/>
      <c r="AA240" s="64"/>
      <c r="AB240" s="69"/>
      <c r="AC240" s="64"/>
      <c r="AD240" s="69"/>
      <c r="AE240" s="65"/>
      <c r="AF240" s="69"/>
      <c r="AG240" s="65"/>
      <c r="AH240" s="69"/>
      <c r="AI240" s="64"/>
      <c r="AJ240" s="69"/>
      <c r="AK240" s="64"/>
      <c r="AL240" s="69"/>
      <c r="AM240" s="64"/>
      <c r="AN240" s="69"/>
      <c r="AO240" s="64"/>
      <c r="AP240" s="69"/>
      <c r="AQ240" s="64"/>
      <c r="AR240" s="69"/>
      <c r="AS240" s="64"/>
      <c r="AT240" s="69"/>
      <c r="AU240" s="64"/>
      <c r="AV240" s="69"/>
      <c r="AW240" s="64"/>
      <c r="AX240" s="69"/>
      <c r="AY240" s="64"/>
      <c r="AZ240" s="69"/>
      <c r="BA240" s="64"/>
      <c r="BB240" s="69"/>
      <c r="BC240" s="64"/>
      <c r="BD240" s="69"/>
      <c r="BE240" s="64"/>
      <c r="BF240" s="69"/>
      <c r="BG240" s="64"/>
      <c r="BH240" s="69"/>
      <c r="BI240" s="64"/>
      <c r="BJ240" s="69"/>
      <c r="BK240" s="64"/>
      <c r="BL240" s="69"/>
      <c r="BM240" s="64"/>
      <c r="BN240" s="69"/>
      <c r="BO240" s="64"/>
      <c r="BP240" s="69"/>
      <c r="BQ240" s="64"/>
      <c r="BR240" s="69"/>
      <c r="BS240" s="64"/>
      <c r="BT240" s="69"/>
      <c r="BU240" t="b">
        <f t="shared" si="4"/>
        <v>0</v>
      </c>
    </row>
    <row r="241" spans="1:73" x14ac:dyDescent="0.25">
      <c r="A241" s="28"/>
      <c r="B241" s="29"/>
      <c r="C241" s="29"/>
      <c r="D241" s="30"/>
      <c r="E241" s="29"/>
      <c r="F241" s="30"/>
      <c r="G241" s="29"/>
      <c r="H241" s="69"/>
      <c r="I241" s="64"/>
      <c r="J241" s="69"/>
      <c r="K241" s="64"/>
      <c r="L241" s="69"/>
      <c r="M241" s="65"/>
      <c r="N241" s="69"/>
      <c r="O241" s="64"/>
      <c r="P241" s="69"/>
      <c r="Q241" s="64"/>
      <c r="R241" s="69"/>
      <c r="S241" s="64"/>
      <c r="T241" s="69"/>
      <c r="U241" s="64"/>
      <c r="V241" s="69"/>
      <c r="W241" s="65"/>
      <c r="X241" s="69"/>
      <c r="Y241" s="64"/>
      <c r="Z241" s="69"/>
      <c r="AA241" s="64"/>
      <c r="AB241" s="69"/>
      <c r="AC241" s="64"/>
      <c r="AD241" s="69"/>
      <c r="AE241" s="65"/>
      <c r="AF241" s="69"/>
      <c r="AG241" s="65"/>
      <c r="AH241" s="69"/>
      <c r="AI241" s="64"/>
      <c r="AJ241" s="69"/>
      <c r="AK241" s="64"/>
      <c r="AL241" s="69"/>
      <c r="AM241" s="64"/>
      <c r="AN241" s="69"/>
      <c r="AO241" s="64"/>
      <c r="AP241" s="69"/>
      <c r="AQ241" s="64"/>
      <c r="AR241" s="69"/>
      <c r="AS241" s="64"/>
      <c r="AT241" s="69"/>
      <c r="AU241" s="64"/>
      <c r="AV241" s="69"/>
      <c r="AW241" s="64"/>
      <c r="AX241" s="69"/>
      <c r="AY241" s="64"/>
      <c r="AZ241" s="69"/>
      <c r="BA241" s="64"/>
      <c r="BB241" s="69"/>
      <c r="BC241" s="64"/>
      <c r="BD241" s="69"/>
      <c r="BE241" s="64"/>
      <c r="BF241" s="69"/>
      <c r="BG241" s="64"/>
      <c r="BH241" s="69"/>
      <c r="BI241" s="64"/>
      <c r="BJ241" s="69"/>
      <c r="BK241" s="64"/>
      <c r="BL241" s="69"/>
      <c r="BM241" s="64"/>
      <c r="BN241" s="69"/>
      <c r="BO241" s="64"/>
      <c r="BP241" s="69"/>
      <c r="BQ241" s="64"/>
      <c r="BR241" s="69"/>
      <c r="BS241" s="64"/>
      <c r="BT241" s="69"/>
      <c r="BU241" t="b">
        <f t="shared" si="4"/>
        <v>0</v>
      </c>
    </row>
    <row r="242" spans="1:73" x14ac:dyDescent="0.25">
      <c r="A242" s="28"/>
      <c r="B242" s="29"/>
      <c r="C242" s="29"/>
      <c r="D242" s="30"/>
      <c r="E242" s="29"/>
      <c r="F242" s="30"/>
      <c r="G242" s="29"/>
      <c r="H242" s="69"/>
      <c r="I242" s="64"/>
      <c r="J242" s="69"/>
      <c r="K242" s="64"/>
      <c r="L242" s="69"/>
      <c r="M242" s="65"/>
      <c r="N242" s="69"/>
      <c r="O242" s="64"/>
      <c r="P242" s="69"/>
      <c r="Q242" s="64"/>
      <c r="R242" s="69"/>
      <c r="S242" s="64"/>
      <c r="T242" s="69"/>
      <c r="U242" s="64"/>
      <c r="V242" s="69"/>
      <c r="W242" s="65"/>
      <c r="X242" s="69"/>
      <c r="Y242" s="64"/>
      <c r="Z242" s="69"/>
      <c r="AA242" s="64"/>
      <c r="AB242" s="69"/>
      <c r="AC242" s="64"/>
      <c r="AD242" s="69"/>
      <c r="AE242" s="65"/>
      <c r="AF242" s="69"/>
      <c r="AG242" s="65"/>
      <c r="AH242" s="69"/>
      <c r="AI242" s="64"/>
      <c r="AJ242" s="69"/>
      <c r="AK242" s="64"/>
      <c r="AL242" s="69"/>
      <c r="AM242" s="64"/>
      <c r="AN242" s="69"/>
      <c r="AO242" s="64"/>
      <c r="AP242" s="69"/>
      <c r="AQ242" s="64"/>
      <c r="AR242" s="69"/>
      <c r="AS242" s="64"/>
      <c r="AT242" s="69"/>
      <c r="AU242" s="64"/>
      <c r="AV242" s="69"/>
      <c r="AW242" s="64"/>
      <c r="AX242" s="69"/>
      <c r="AY242" s="64"/>
      <c r="AZ242" s="69"/>
      <c r="BA242" s="64"/>
      <c r="BB242" s="69"/>
      <c r="BC242" s="64"/>
      <c r="BD242" s="69"/>
      <c r="BE242" s="64"/>
      <c r="BF242" s="69"/>
      <c r="BG242" s="64"/>
      <c r="BH242" s="69"/>
      <c r="BI242" s="64"/>
      <c r="BJ242" s="69"/>
      <c r="BK242" s="64"/>
      <c r="BL242" s="69"/>
      <c r="BM242" s="64"/>
      <c r="BN242" s="69"/>
      <c r="BO242" s="64"/>
      <c r="BP242" s="69"/>
      <c r="BQ242" s="64"/>
      <c r="BR242" s="69"/>
      <c r="BS242" s="64"/>
      <c r="BT242" s="69"/>
      <c r="BU242" t="b">
        <f t="shared" si="4"/>
        <v>0</v>
      </c>
    </row>
    <row r="243" spans="1:73" x14ac:dyDescent="0.25">
      <c r="A243" s="28"/>
      <c r="B243" s="29"/>
      <c r="C243" s="29"/>
      <c r="D243" s="30"/>
      <c r="E243" s="29"/>
      <c r="F243" s="30"/>
      <c r="G243" s="29"/>
      <c r="H243" s="69"/>
      <c r="I243" s="64"/>
      <c r="J243" s="69"/>
      <c r="K243" s="64"/>
      <c r="L243" s="69"/>
      <c r="M243" s="65"/>
      <c r="N243" s="69"/>
      <c r="O243" s="64"/>
      <c r="P243" s="69"/>
      <c r="Q243" s="64"/>
      <c r="R243" s="69"/>
      <c r="S243" s="64"/>
      <c r="T243" s="69"/>
      <c r="U243" s="64"/>
      <c r="V243" s="69"/>
      <c r="W243" s="65"/>
      <c r="X243" s="69"/>
      <c r="Y243" s="64"/>
      <c r="Z243" s="69"/>
      <c r="AA243" s="64"/>
      <c r="AB243" s="69"/>
      <c r="AC243" s="64"/>
      <c r="AD243" s="69"/>
      <c r="AE243" s="65"/>
      <c r="AF243" s="69"/>
      <c r="AG243" s="65"/>
      <c r="AH243" s="69"/>
      <c r="AI243" s="64"/>
      <c r="AJ243" s="69"/>
      <c r="AK243" s="64"/>
      <c r="AL243" s="69"/>
      <c r="AM243" s="64"/>
      <c r="AN243" s="69"/>
      <c r="AO243" s="64"/>
      <c r="AP243" s="69"/>
      <c r="AQ243" s="64"/>
      <c r="AR243" s="69"/>
      <c r="AS243" s="64"/>
      <c r="AT243" s="69"/>
      <c r="AU243" s="64"/>
      <c r="AV243" s="69"/>
      <c r="AW243" s="64"/>
      <c r="AX243" s="69"/>
      <c r="AY243" s="64"/>
      <c r="AZ243" s="69"/>
      <c r="BA243" s="64"/>
      <c r="BB243" s="69"/>
      <c r="BC243" s="64"/>
      <c r="BD243" s="69"/>
      <c r="BE243" s="64"/>
      <c r="BF243" s="69"/>
      <c r="BG243" s="64"/>
      <c r="BH243" s="69"/>
      <c r="BI243" s="64"/>
      <c r="BJ243" s="69"/>
      <c r="BK243" s="64"/>
      <c r="BL243" s="69"/>
      <c r="BM243" s="64"/>
      <c r="BN243" s="69"/>
      <c r="BO243" s="64"/>
      <c r="BP243" s="69"/>
      <c r="BQ243" s="64"/>
      <c r="BR243" s="69"/>
      <c r="BS243" s="64"/>
      <c r="BT243" s="69"/>
      <c r="BU243" t="b">
        <f t="shared" si="4"/>
        <v>0</v>
      </c>
    </row>
    <row r="244" spans="1:73" x14ac:dyDescent="0.25">
      <c r="A244" s="28"/>
      <c r="B244" s="29"/>
      <c r="C244" s="29"/>
      <c r="D244" s="30"/>
      <c r="E244" s="29"/>
      <c r="F244" s="30"/>
      <c r="G244" s="29"/>
      <c r="H244" s="69"/>
      <c r="I244" s="64"/>
      <c r="J244" s="69"/>
      <c r="K244" s="64"/>
      <c r="L244" s="69"/>
      <c r="M244" s="65"/>
      <c r="N244" s="69"/>
      <c r="O244" s="64"/>
      <c r="P244" s="69"/>
      <c r="Q244" s="64"/>
      <c r="R244" s="69"/>
      <c r="S244" s="64"/>
      <c r="T244" s="69"/>
      <c r="U244" s="64"/>
      <c r="V244" s="69"/>
      <c r="W244" s="65"/>
      <c r="X244" s="69"/>
      <c r="Y244" s="64"/>
      <c r="Z244" s="69"/>
      <c r="AA244" s="64"/>
      <c r="AB244" s="69"/>
      <c r="AC244" s="64"/>
      <c r="AD244" s="69"/>
      <c r="AE244" s="65"/>
      <c r="AF244" s="69"/>
      <c r="AG244" s="65"/>
      <c r="AH244" s="69"/>
      <c r="AI244" s="64"/>
      <c r="AJ244" s="69"/>
      <c r="AK244" s="64"/>
      <c r="AL244" s="69"/>
      <c r="AM244" s="64"/>
      <c r="AN244" s="69"/>
      <c r="AO244" s="64"/>
      <c r="AP244" s="69"/>
      <c r="AQ244" s="64"/>
      <c r="AR244" s="69"/>
      <c r="AS244" s="64"/>
      <c r="AT244" s="69"/>
      <c r="AU244" s="64"/>
      <c r="AV244" s="69"/>
      <c r="AW244" s="64"/>
      <c r="AX244" s="69"/>
      <c r="AY244" s="64"/>
      <c r="AZ244" s="69"/>
      <c r="BA244" s="64"/>
      <c r="BB244" s="69"/>
      <c r="BC244" s="64"/>
      <c r="BD244" s="69"/>
      <c r="BE244" s="64"/>
      <c r="BF244" s="69"/>
      <c r="BG244" s="64"/>
      <c r="BH244" s="69"/>
      <c r="BI244" s="64"/>
      <c r="BJ244" s="69"/>
      <c r="BK244" s="64"/>
      <c r="BL244" s="69"/>
      <c r="BM244" s="64"/>
      <c r="BN244" s="69"/>
      <c r="BO244" s="64"/>
      <c r="BP244" s="69"/>
      <c r="BQ244" s="64"/>
      <c r="BR244" s="69"/>
      <c r="BS244" s="64"/>
      <c r="BT244" s="69"/>
      <c r="BU244" t="b">
        <f t="shared" si="4"/>
        <v>0</v>
      </c>
    </row>
    <row r="245" spans="1:73" x14ac:dyDescent="0.25">
      <c r="A245" s="28"/>
      <c r="B245" s="29"/>
      <c r="C245" s="29"/>
      <c r="D245" s="30"/>
      <c r="E245" s="29"/>
      <c r="F245" s="30"/>
      <c r="G245" s="29"/>
      <c r="H245" s="69"/>
      <c r="I245" s="64"/>
      <c r="J245" s="69"/>
      <c r="K245" s="64"/>
      <c r="L245" s="69"/>
      <c r="M245" s="65"/>
      <c r="N245" s="69"/>
      <c r="O245" s="64"/>
      <c r="P245" s="69"/>
      <c r="Q245" s="64"/>
      <c r="R245" s="69"/>
      <c r="S245" s="64"/>
      <c r="T245" s="69"/>
      <c r="U245" s="64"/>
      <c r="V245" s="69"/>
      <c r="W245" s="65"/>
      <c r="X245" s="69"/>
      <c r="Y245" s="64"/>
      <c r="Z245" s="69"/>
      <c r="AA245" s="64"/>
      <c r="AB245" s="69"/>
      <c r="AC245" s="64"/>
      <c r="AD245" s="69"/>
      <c r="AE245" s="65"/>
      <c r="AF245" s="69"/>
      <c r="AG245" s="65"/>
      <c r="AH245" s="69"/>
      <c r="AI245" s="64"/>
      <c r="AJ245" s="69"/>
      <c r="AK245" s="64"/>
      <c r="AL245" s="69"/>
      <c r="AM245" s="64"/>
      <c r="AN245" s="69"/>
      <c r="AO245" s="64"/>
      <c r="AP245" s="69"/>
      <c r="AQ245" s="64"/>
      <c r="AR245" s="69"/>
      <c r="AS245" s="64"/>
      <c r="AT245" s="69"/>
      <c r="AU245" s="64"/>
      <c r="AV245" s="69"/>
      <c r="AW245" s="64"/>
      <c r="AX245" s="69"/>
      <c r="AY245" s="64"/>
      <c r="AZ245" s="69"/>
      <c r="BA245" s="64"/>
      <c r="BB245" s="69"/>
      <c r="BC245" s="64"/>
      <c r="BD245" s="69"/>
      <c r="BE245" s="64"/>
      <c r="BF245" s="69"/>
      <c r="BG245" s="64"/>
      <c r="BH245" s="69"/>
      <c r="BI245" s="64"/>
      <c r="BJ245" s="69"/>
      <c r="BK245" s="64"/>
      <c r="BL245" s="69"/>
      <c r="BM245" s="64"/>
      <c r="BN245" s="69"/>
      <c r="BO245" s="64"/>
      <c r="BP245" s="69"/>
      <c r="BQ245" s="64"/>
      <c r="BR245" s="69"/>
      <c r="BS245" s="64"/>
      <c r="BT245" s="69"/>
      <c r="BU245" t="b">
        <f t="shared" si="4"/>
        <v>0</v>
      </c>
    </row>
    <row r="246" spans="1:73" x14ac:dyDescent="0.25">
      <c r="A246" s="28"/>
      <c r="B246" s="29"/>
      <c r="C246" s="29"/>
      <c r="D246" s="30"/>
      <c r="E246" s="29"/>
      <c r="F246" s="30"/>
      <c r="G246" s="29"/>
      <c r="H246" s="69"/>
      <c r="I246" s="64"/>
      <c r="J246" s="69"/>
      <c r="K246" s="64"/>
      <c r="L246" s="69"/>
      <c r="M246" s="65"/>
      <c r="N246" s="69"/>
      <c r="O246" s="64"/>
      <c r="P246" s="69"/>
      <c r="Q246" s="64"/>
      <c r="R246" s="69"/>
      <c r="S246" s="64"/>
      <c r="T246" s="69"/>
      <c r="U246" s="64"/>
      <c r="V246" s="69"/>
      <c r="W246" s="65"/>
      <c r="X246" s="69"/>
      <c r="Y246" s="64"/>
      <c r="Z246" s="69"/>
      <c r="AA246" s="64"/>
      <c r="AB246" s="69"/>
      <c r="AC246" s="64"/>
      <c r="AD246" s="69"/>
      <c r="AE246" s="65"/>
      <c r="AF246" s="69"/>
      <c r="AG246" s="65"/>
      <c r="AH246" s="69"/>
      <c r="AI246" s="64"/>
      <c r="AJ246" s="69"/>
      <c r="AK246" s="64"/>
      <c r="AL246" s="69"/>
      <c r="AM246" s="64"/>
      <c r="AN246" s="69"/>
      <c r="AO246" s="64"/>
      <c r="AP246" s="69"/>
      <c r="AQ246" s="64"/>
      <c r="AR246" s="69"/>
      <c r="AS246" s="64"/>
      <c r="AT246" s="69"/>
      <c r="AU246" s="64"/>
      <c r="AV246" s="69"/>
      <c r="AW246" s="64"/>
      <c r="AX246" s="69"/>
      <c r="AY246" s="64"/>
      <c r="AZ246" s="69"/>
      <c r="BA246" s="64"/>
      <c r="BB246" s="69"/>
      <c r="BC246" s="64"/>
      <c r="BD246" s="69"/>
      <c r="BE246" s="64"/>
      <c r="BF246" s="69"/>
      <c r="BG246" s="64"/>
      <c r="BH246" s="69"/>
      <c r="BI246" s="64"/>
      <c r="BJ246" s="69"/>
      <c r="BK246" s="64"/>
      <c r="BL246" s="69"/>
      <c r="BM246" s="64"/>
      <c r="BN246" s="69"/>
      <c r="BO246" s="64"/>
      <c r="BP246" s="69"/>
      <c r="BQ246" s="64"/>
      <c r="BR246" s="69"/>
      <c r="BS246" s="64"/>
      <c r="BT246" s="69"/>
      <c r="BU246" t="b">
        <f t="shared" si="4"/>
        <v>0</v>
      </c>
    </row>
    <row r="247" spans="1:73" x14ac:dyDescent="0.25">
      <c r="A247" s="28"/>
      <c r="B247" s="29"/>
      <c r="C247" s="29"/>
      <c r="D247" s="30"/>
      <c r="E247" s="29"/>
      <c r="F247" s="30"/>
      <c r="G247" s="29"/>
      <c r="H247" s="69"/>
      <c r="I247" s="64"/>
      <c r="J247" s="69"/>
      <c r="K247" s="64"/>
      <c r="L247" s="69"/>
      <c r="M247" s="65"/>
      <c r="N247" s="69"/>
      <c r="O247" s="64"/>
      <c r="P247" s="69"/>
      <c r="Q247" s="64"/>
      <c r="R247" s="69"/>
      <c r="S247" s="64"/>
      <c r="T247" s="69"/>
      <c r="U247" s="64"/>
      <c r="V247" s="69"/>
      <c r="W247" s="65"/>
      <c r="X247" s="69"/>
      <c r="Y247" s="64"/>
      <c r="Z247" s="69"/>
      <c r="AA247" s="64"/>
      <c r="AB247" s="69"/>
      <c r="AC247" s="64"/>
      <c r="AD247" s="69"/>
      <c r="AE247" s="65"/>
      <c r="AF247" s="69"/>
      <c r="AG247" s="65"/>
      <c r="AH247" s="69"/>
      <c r="AI247" s="64"/>
      <c r="AJ247" s="69"/>
      <c r="AK247" s="64"/>
      <c r="AL247" s="69"/>
      <c r="AM247" s="64"/>
      <c r="AN247" s="69"/>
      <c r="AO247" s="64"/>
      <c r="AP247" s="69"/>
      <c r="AQ247" s="64"/>
      <c r="AR247" s="69"/>
      <c r="AS247" s="64"/>
      <c r="AT247" s="69"/>
      <c r="AU247" s="64"/>
      <c r="AV247" s="69"/>
      <c r="AW247" s="64"/>
      <c r="AX247" s="69"/>
      <c r="AY247" s="64"/>
      <c r="AZ247" s="69"/>
      <c r="BA247" s="64"/>
      <c r="BB247" s="69"/>
      <c r="BC247" s="64"/>
      <c r="BD247" s="69"/>
      <c r="BE247" s="64"/>
      <c r="BF247" s="69"/>
      <c r="BG247" s="64"/>
      <c r="BH247" s="69"/>
      <c r="BI247" s="64"/>
      <c r="BJ247" s="69"/>
      <c r="BK247" s="64"/>
      <c r="BL247" s="69"/>
      <c r="BM247" s="64"/>
      <c r="BN247" s="69"/>
      <c r="BO247" s="64"/>
      <c r="BP247" s="69"/>
      <c r="BQ247" s="64"/>
      <c r="BR247" s="69"/>
      <c r="BS247" s="64"/>
      <c r="BT247" s="69"/>
      <c r="BU247" t="b">
        <f t="shared" si="4"/>
        <v>0</v>
      </c>
    </row>
    <row r="248" spans="1:73" x14ac:dyDescent="0.25">
      <c r="A248" s="28"/>
      <c r="B248" s="29"/>
      <c r="C248" s="29"/>
      <c r="D248" s="30"/>
      <c r="E248" s="29"/>
      <c r="F248" s="30"/>
      <c r="G248" s="29"/>
      <c r="H248" s="69"/>
      <c r="I248" s="64"/>
      <c r="J248" s="69"/>
      <c r="K248" s="64"/>
      <c r="L248" s="69"/>
      <c r="M248" s="65"/>
      <c r="N248" s="69"/>
      <c r="O248" s="64"/>
      <c r="P248" s="69"/>
      <c r="Q248" s="64"/>
      <c r="R248" s="69"/>
      <c r="S248" s="64"/>
      <c r="T248" s="69"/>
      <c r="U248" s="64"/>
      <c r="V248" s="69"/>
      <c r="W248" s="65"/>
      <c r="X248" s="69"/>
      <c r="Y248" s="64"/>
      <c r="Z248" s="69"/>
      <c r="AA248" s="64"/>
      <c r="AB248" s="69"/>
      <c r="AC248" s="64"/>
      <c r="AD248" s="69"/>
      <c r="AE248" s="65"/>
      <c r="AF248" s="69"/>
      <c r="AG248" s="65"/>
      <c r="AH248" s="69"/>
      <c r="AI248" s="64"/>
      <c r="AJ248" s="69"/>
      <c r="AK248" s="64"/>
      <c r="AL248" s="69"/>
      <c r="AM248" s="64"/>
      <c r="AN248" s="69"/>
      <c r="AO248" s="64"/>
      <c r="AP248" s="69"/>
      <c r="AQ248" s="64"/>
      <c r="AR248" s="69"/>
      <c r="AS248" s="64"/>
      <c r="AT248" s="69"/>
      <c r="AU248" s="64"/>
      <c r="AV248" s="69"/>
      <c r="AW248" s="64"/>
      <c r="AX248" s="69"/>
      <c r="AY248" s="64"/>
      <c r="AZ248" s="69"/>
      <c r="BA248" s="64"/>
      <c r="BB248" s="69"/>
      <c r="BC248" s="64"/>
      <c r="BD248" s="69"/>
      <c r="BE248" s="64"/>
      <c r="BF248" s="69"/>
      <c r="BG248" s="64"/>
      <c r="BH248" s="69"/>
      <c r="BI248" s="64"/>
      <c r="BJ248" s="69"/>
      <c r="BK248" s="64"/>
      <c r="BL248" s="69"/>
      <c r="BM248" s="64"/>
      <c r="BN248" s="69"/>
      <c r="BO248" s="64"/>
      <c r="BP248" s="69"/>
      <c r="BQ248" s="64"/>
      <c r="BR248" s="69"/>
      <c r="BS248" s="64"/>
      <c r="BT248" s="69"/>
      <c r="BU248" t="b">
        <f t="shared" si="4"/>
        <v>0</v>
      </c>
    </row>
    <row r="249" spans="1:73" x14ac:dyDescent="0.25">
      <c r="A249" s="28"/>
      <c r="B249" s="29"/>
      <c r="C249" s="29"/>
      <c r="D249" s="30"/>
      <c r="E249" s="29"/>
      <c r="F249" s="30"/>
      <c r="G249" s="29"/>
      <c r="H249" s="69"/>
      <c r="I249" s="64"/>
      <c r="J249" s="69"/>
      <c r="K249" s="64"/>
      <c r="L249" s="69"/>
      <c r="M249" s="65"/>
      <c r="N249" s="69"/>
      <c r="O249" s="64"/>
      <c r="P249" s="69"/>
      <c r="Q249" s="64"/>
      <c r="R249" s="69"/>
      <c r="S249" s="64"/>
      <c r="T249" s="69"/>
      <c r="U249" s="64"/>
      <c r="V249" s="69"/>
      <c r="W249" s="65"/>
      <c r="X249" s="69"/>
      <c r="Y249" s="64"/>
      <c r="Z249" s="69"/>
      <c r="AA249" s="64"/>
      <c r="AB249" s="69"/>
      <c r="AC249" s="64"/>
      <c r="AD249" s="69"/>
      <c r="AE249" s="65"/>
      <c r="AF249" s="69"/>
      <c r="AG249" s="65"/>
      <c r="AH249" s="69"/>
      <c r="AI249" s="64"/>
      <c r="AJ249" s="69"/>
      <c r="AK249" s="64"/>
      <c r="AL249" s="69"/>
      <c r="AM249" s="64"/>
      <c r="AN249" s="69"/>
      <c r="AO249" s="64"/>
      <c r="AP249" s="69"/>
      <c r="AQ249" s="64"/>
      <c r="AR249" s="69"/>
      <c r="AS249" s="64"/>
      <c r="AT249" s="69"/>
      <c r="AU249" s="64"/>
      <c r="AV249" s="69"/>
      <c r="AW249" s="64"/>
      <c r="AX249" s="69"/>
      <c r="AY249" s="64"/>
      <c r="AZ249" s="69"/>
      <c r="BA249" s="64"/>
      <c r="BB249" s="69"/>
      <c r="BC249" s="64"/>
      <c r="BD249" s="69"/>
      <c r="BE249" s="64"/>
      <c r="BF249" s="69"/>
      <c r="BG249" s="64"/>
      <c r="BH249" s="69"/>
      <c r="BI249" s="64"/>
      <c r="BJ249" s="69"/>
      <c r="BK249" s="64"/>
      <c r="BL249" s="69"/>
      <c r="BM249" s="64"/>
      <c r="BN249" s="69"/>
      <c r="BO249" s="64"/>
      <c r="BP249" s="69"/>
      <c r="BQ249" s="64"/>
      <c r="BR249" s="69"/>
      <c r="BS249" s="64"/>
      <c r="BT249" s="69"/>
      <c r="BU249" t="b">
        <f t="shared" si="4"/>
        <v>0</v>
      </c>
    </row>
    <row r="250" spans="1:73" x14ac:dyDescent="0.25">
      <c r="A250" s="28"/>
      <c r="B250" s="29"/>
      <c r="C250" s="29"/>
      <c r="D250" s="30"/>
      <c r="E250" s="29"/>
      <c r="F250" s="30"/>
      <c r="G250" s="29"/>
      <c r="H250" s="69"/>
      <c r="I250" s="64"/>
      <c r="J250" s="69"/>
      <c r="K250" s="64"/>
      <c r="L250" s="69"/>
      <c r="M250" s="65"/>
      <c r="N250" s="69"/>
      <c r="O250" s="64"/>
      <c r="P250" s="69"/>
      <c r="Q250" s="64"/>
      <c r="R250" s="69"/>
      <c r="S250" s="64"/>
      <c r="T250" s="69"/>
      <c r="U250" s="64"/>
      <c r="V250" s="69"/>
      <c r="W250" s="65"/>
      <c r="X250" s="69"/>
      <c r="Y250" s="64"/>
      <c r="Z250" s="69"/>
      <c r="AA250" s="64"/>
      <c r="AB250" s="69"/>
      <c r="AC250" s="64"/>
      <c r="AD250" s="69"/>
      <c r="AE250" s="65"/>
      <c r="AF250" s="69"/>
      <c r="AG250" s="65"/>
      <c r="AH250" s="69"/>
      <c r="AI250" s="64"/>
      <c r="AJ250" s="69"/>
      <c r="AK250" s="64"/>
      <c r="AL250" s="69"/>
      <c r="AM250" s="64"/>
      <c r="AN250" s="69"/>
      <c r="AO250" s="64"/>
      <c r="AP250" s="69"/>
      <c r="AQ250" s="64"/>
      <c r="AR250" s="69"/>
      <c r="AS250" s="64"/>
      <c r="AT250" s="69"/>
      <c r="AU250" s="64"/>
      <c r="AV250" s="69"/>
      <c r="AW250" s="64"/>
      <c r="AX250" s="69"/>
      <c r="AY250" s="64"/>
      <c r="AZ250" s="69"/>
      <c r="BA250" s="64"/>
      <c r="BB250" s="69"/>
      <c r="BC250" s="64"/>
      <c r="BD250" s="69"/>
      <c r="BE250" s="64"/>
      <c r="BF250" s="69"/>
      <c r="BG250" s="64"/>
      <c r="BH250" s="69"/>
      <c r="BI250" s="64"/>
      <c r="BJ250" s="69"/>
      <c r="BK250" s="64"/>
      <c r="BL250" s="69"/>
      <c r="BM250" s="64"/>
      <c r="BN250" s="69"/>
      <c r="BO250" s="64"/>
      <c r="BP250" s="69"/>
      <c r="BQ250" s="64"/>
      <c r="BR250" s="69"/>
      <c r="BS250" s="64"/>
      <c r="BT250" s="69"/>
      <c r="BU250" t="b">
        <f t="shared" si="4"/>
        <v>0</v>
      </c>
    </row>
    <row r="251" spans="1:73" x14ac:dyDescent="0.25">
      <c r="A251" s="28"/>
      <c r="B251" s="29"/>
      <c r="C251" s="29"/>
      <c r="D251" s="30"/>
      <c r="E251" s="29"/>
      <c r="F251" s="30"/>
      <c r="G251" s="29"/>
      <c r="H251" s="69"/>
      <c r="I251" s="64"/>
      <c r="J251" s="69"/>
      <c r="K251" s="64"/>
      <c r="L251" s="69"/>
      <c r="M251" s="65"/>
      <c r="N251" s="69"/>
      <c r="O251" s="64"/>
      <c r="P251" s="69"/>
      <c r="Q251" s="64"/>
      <c r="R251" s="69"/>
      <c r="S251" s="64"/>
      <c r="T251" s="69"/>
      <c r="U251" s="64"/>
      <c r="V251" s="69"/>
      <c r="W251" s="65"/>
      <c r="X251" s="69"/>
      <c r="Y251" s="64"/>
      <c r="Z251" s="69"/>
      <c r="AA251" s="64"/>
      <c r="AB251" s="69"/>
      <c r="AC251" s="64"/>
      <c r="AD251" s="69"/>
      <c r="AE251" s="65"/>
      <c r="AF251" s="69"/>
      <c r="AG251" s="65"/>
      <c r="AH251" s="69"/>
      <c r="AI251" s="64"/>
      <c r="AJ251" s="69"/>
      <c r="AK251" s="64"/>
      <c r="AL251" s="69"/>
      <c r="AM251" s="64"/>
      <c r="AN251" s="69"/>
      <c r="AO251" s="64"/>
      <c r="AP251" s="69"/>
      <c r="AQ251" s="64"/>
      <c r="AR251" s="69"/>
      <c r="AS251" s="64"/>
      <c r="AT251" s="69"/>
      <c r="AU251" s="64"/>
      <c r="AV251" s="69"/>
      <c r="AW251" s="64"/>
      <c r="AX251" s="69"/>
      <c r="AY251" s="64"/>
      <c r="AZ251" s="69"/>
      <c r="BA251" s="64"/>
      <c r="BB251" s="69"/>
      <c r="BC251" s="64"/>
      <c r="BD251" s="69"/>
      <c r="BE251" s="64"/>
      <c r="BF251" s="69"/>
      <c r="BG251" s="64"/>
      <c r="BH251" s="69"/>
      <c r="BI251" s="64"/>
      <c r="BJ251" s="69"/>
      <c r="BK251" s="64"/>
      <c r="BL251" s="69"/>
      <c r="BM251" s="64"/>
      <c r="BN251" s="69"/>
      <c r="BO251" s="64"/>
      <c r="BP251" s="69"/>
      <c r="BQ251" s="64"/>
      <c r="BR251" s="69"/>
      <c r="BS251" s="64"/>
      <c r="BT251" s="69"/>
      <c r="BU251" t="b">
        <f t="shared" si="4"/>
        <v>0</v>
      </c>
    </row>
    <row r="252" spans="1:73" x14ac:dyDescent="0.25">
      <c r="A252" s="28"/>
      <c r="B252" s="29"/>
      <c r="C252" s="29"/>
      <c r="D252" s="30"/>
      <c r="E252" s="29"/>
      <c r="F252" s="30"/>
      <c r="G252" s="29"/>
      <c r="H252" s="69"/>
      <c r="I252" s="64"/>
      <c r="J252" s="69"/>
      <c r="K252" s="64"/>
      <c r="L252" s="69"/>
      <c r="M252" s="65"/>
      <c r="N252" s="69"/>
      <c r="O252" s="64"/>
      <c r="P252" s="69"/>
      <c r="Q252" s="64"/>
      <c r="R252" s="69"/>
      <c r="S252" s="64"/>
      <c r="T252" s="69"/>
      <c r="U252" s="64"/>
      <c r="V252" s="69"/>
      <c r="W252" s="65"/>
      <c r="X252" s="69"/>
      <c r="Y252" s="64"/>
      <c r="Z252" s="69"/>
      <c r="AA252" s="64"/>
      <c r="AB252" s="69"/>
      <c r="AC252" s="64"/>
      <c r="AD252" s="69"/>
      <c r="AE252" s="65"/>
      <c r="AF252" s="69"/>
      <c r="AG252" s="65"/>
      <c r="AH252" s="69"/>
      <c r="AI252" s="64"/>
      <c r="AJ252" s="69"/>
      <c r="AK252" s="64"/>
      <c r="AL252" s="69"/>
      <c r="AM252" s="64"/>
      <c r="AN252" s="69"/>
      <c r="AO252" s="64"/>
      <c r="AP252" s="69"/>
      <c r="AQ252" s="64"/>
      <c r="AR252" s="69"/>
      <c r="AS252" s="64"/>
      <c r="AT252" s="69"/>
      <c r="AU252" s="64"/>
      <c r="AV252" s="69"/>
      <c r="AW252" s="64"/>
      <c r="AX252" s="69"/>
      <c r="AY252" s="64"/>
      <c r="AZ252" s="69"/>
      <c r="BA252" s="64"/>
      <c r="BB252" s="69"/>
      <c r="BC252" s="64"/>
      <c r="BD252" s="69"/>
      <c r="BE252" s="64"/>
      <c r="BF252" s="69"/>
      <c r="BG252" s="64"/>
      <c r="BH252" s="69"/>
      <c r="BI252" s="64"/>
      <c r="BJ252" s="69"/>
      <c r="BK252" s="64"/>
      <c r="BL252" s="69"/>
      <c r="BM252" s="64"/>
      <c r="BN252" s="69"/>
      <c r="BO252" s="64"/>
      <c r="BP252" s="69"/>
      <c r="BQ252" s="64"/>
      <c r="BR252" s="69"/>
      <c r="BS252" s="64"/>
      <c r="BT252" s="69"/>
      <c r="BU252" t="b">
        <f t="shared" si="4"/>
        <v>0</v>
      </c>
    </row>
    <row r="253" spans="1:73" x14ac:dyDescent="0.25">
      <c r="A253" s="28"/>
      <c r="B253" s="29"/>
      <c r="C253" s="29"/>
      <c r="D253" s="30"/>
      <c r="E253" s="29"/>
      <c r="F253" s="30"/>
      <c r="G253" s="29"/>
      <c r="H253" s="69"/>
      <c r="I253" s="64"/>
      <c r="J253" s="69"/>
      <c r="K253" s="64"/>
      <c r="L253" s="69"/>
      <c r="M253" s="65"/>
      <c r="N253" s="69"/>
      <c r="O253" s="64"/>
      <c r="P253" s="69"/>
      <c r="Q253" s="64"/>
      <c r="R253" s="69"/>
      <c r="S253" s="64"/>
      <c r="T253" s="69"/>
      <c r="U253" s="64"/>
      <c r="V253" s="69"/>
      <c r="W253" s="65"/>
      <c r="X253" s="69"/>
      <c r="Y253" s="64"/>
      <c r="Z253" s="69"/>
      <c r="AA253" s="64"/>
      <c r="AB253" s="69"/>
      <c r="AC253" s="64"/>
      <c r="AD253" s="69"/>
      <c r="AE253" s="65"/>
      <c r="AF253" s="69"/>
      <c r="AG253" s="65"/>
      <c r="AH253" s="69"/>
      <c r="AI253" s="64"/>
      <c r="AJ253" s="69"/>
      <c r="AK253" s="64"/>
      <c r="AL253" s="69"/>
      <c r="AM253" s="64"/>
      <c r="AN253" s="69"/>
      <c r="AO253" s="64"/>
      <c r="AP253" s="69"/>
      <c r="AQ253" s="64"/>
      <c r="AR253" s="69"/>
      <c r="AS253" s="64"/>
      <c r="AT253" s="69"/>
      <c r="AU253" s="64"/>
      <c r="AV253" s="69"/>
      <c r="AW253" s="64"/>
      <c r="AX253" s="69"/>
      <c r="AY253" s="64"/>
      <c r="AZ253" s="69"/>
      <c r="BA253" s="64"/>
      <c r="BB253" s="69"/>
      <c r="BC253" s="64"/>
      <c r="BD253" s="69"/>
      <c r="BE253" s="64"/>
      <c r="BF253" s="69"/>
      <c r="BG253" s="64"/>
      <c r="BH253" s="69"/>
      <c r="BI253" s="64"/>
      <c r="BJ253" s="69"/>
      <c r="BK253" s="64"/>
      <c r="BL253" s="69"/>
      <c r="BM253" s="64"/>
      <c r="BN253" s="69"/>
      <c r="BO253" s="64"/>
      <c r="BP253" s="69"/>
      <c r="BQ253" s="64"/>
      <c r="BR253" s="69"/>
      <c r="BS253" s="64"/>
      <c r="BT253" s="69"/>
      <c r="BU253" t="b">
        <f t="shared" si="4"/>
        <v>0</v>
      </c>
    </row>
    <row r="254" spans="1:73" x14ac:dyDescent="0.25">
      <c r="A254" s="28"/>
      <c r="B254" s="29"/>
      <c r="C254" s="29"/>
      <c r="D254" s="30"/>
      <c r="E254" s="29"/>
      <c r="F254" s="30"/>
      <c r="G254" s="29"/>
      <c r="H254" s="69"/>
      <c r="I254" s="64"/>
      <c r="J254" s="69"/>
      <c r="K254" s="64"/>
      <c r="L254" s="69"/>
      <c r="M254" s="65"/>
      <c r="N254" s="69"/>
      <c r="O254" s="64"/>
      <c r="P254" s="69"/>
      <c r="Q254" s="64"/>
      <c r="R254" s="69"/>
      <c r="S254" s="64"/>
      <c r="T254" s="69"/>
      <c r="U254" s="64"/>
      <c r="V254" s="69"/>
      <c r="W254" s="65"/>
      <c r="X254" s="69"/>
      <c r="Y254" s="64"/>
      <c r="Z254" s="69"/>
      <c r="AA254" s="64"/>
      <c r="AB254" s="69"/>
      <c r="AC254" s="64"/>
      <c r="AD254" s="69"/>
      <c r="AE254" s="65"/>
      <c r="AF254" s="69"/>
      <c r="AG254" s="65"/>
      <c r="AH254" s="69"/>
      <c r="AI254" s="64"/>
      <c r="AJ254" s="69"/>
      <c r="AK254" s="64"/>
      <c r="AL254" s="69"/>
      <c r="AM254" s="64"/>
      <c r="AN254" s="69"/>
      <c r="AO254" s="64"/>
      <c r="AP254" s="69"/>
      <c r="AQ254" s="64"/>
      <c r="AR254" s="69"/>
      <c r="AS254" s="64"/>
      <c r="AT254" s="69"/>
      <c r="AU254" s="64"/>
      <c r="AV254" s="69"/>
      <c r="AW254" s="64"/>
      <c r="AX254" s="69"/>
      <c r="AY254" s="64"/>
      <c r="AZ254" s="69"/>
      <c r="BA254" s="64"/>
      <c r="BB254" s="69"/>
      <c r="BC254" s="64"/>
      <c r="BD254" s="69"/>
      <c r="BE254" s="64"/>
      <c r="BF254" s="69"/>
      <c r="BG254" s="64"/>
      <c r="BH254" s="69"/>
      <c r="BI254" s="64"/>
      <c r="BJ254" s="69"/>
      <c r="BK254" s="64"/>
      <c r="BL254" s="69"/>
      <c r="BM254" s="64"/>
      <c r="BN254" s="69"/>
      <c r="BO254" s="64"/>
      <c r="BP254" s="69"/>
      <c r="BQ254" s="64"/>
      <c r="BR254" s="69"/>
      <c r="BS254" s="64"/>
      <c r="BT254" s="69"/>
      <c r="BU254" t="b">
        <f t="shared" si="4"/>
        <v>0</v>
      </c>
    </row>
    <row r="255" spans="1:73" x14ac:dyDescent="0.25">
      <c r="A255" s="28"/>
      <c r="B255" s="29"/>
      <c r="C255" s="29"/>
      <c r="D255" s="30"/>
      <c r="E255" s="29"/>
      <c r="F255" s="30"/>
      <c r="G255" s="29"/>
      <c r="H255" s="69"/>
      <c r="I255" s="64"/>
      <c r="J255" s="69"/>
      <c r="K255" s="64"/>
      <c r="L255" s="69"/>
      <c r="M255" s="65"/>
      <c r="N255" s="69"/>
      <c r="O255" s="64"/>
      <c r="P255" s="69"/>
      <c r="Q255" s="64"/>
      <c r="R255" s="69"/>
      <c r="S255" s="64"/>
      <c r="T255" s="69"/>
      <c r="U255" s="64"/>
      <c r="V255" s="69"/>
      <c r="W255" s="65"/>
      <c r="X255" s="69"/>
      <c r="Y255" s="64"/>
      <c r="Z255" s="69"/>
      <c r="AA255" s="64"/>
      <c r="AB255" s="69"/>
      <c r="AC255" s="64"/>
      <c r="AD255" s="69"/>
      <c r="AE255" s="65"/>
      <c r="AF255" s="69"/>
      <c r="AG255" s="65"/>
      <c r="AH255" s="69"/>
      <c r="AI255" s="64"/>
      <c r="AJ255" s="69"/>
      <c r="AK255" s="64"/>
      <c r="AL255" s="69"/>
      <c r="AM255" s="64"/>
      <c r="AN255" s="69"/>
      <c r="AO255" s="64"/>
      <c r="AP255" s="69"/>
      <c r="AQ255" s="64"/>
      <c r="AR255" s="69"/>
      <c r="AS255" s="64"/>
      <c r="AT255" s="69"/>
      <c r="AU255" s="64"/>
      <c r="AV255" s="69"/>
      <c r="AW255" s="64"/>
      <c r="AX255" s="69"/>
      <c r="AY255" s="64"/>
      <c r="AZ255" s="69"/>
      <c r="BA255" s="64"/>
      <c r="BB255" s="69"/>
      <c r="BC255" s="64"/>
      <c r="BD255" s="69"/>
      <c r="BE255" s="64"/>
      <c r="BF255" s="69"/>
      <c r="BG255" s="64"/>
      <c r="BH255" s="69"/>
      <c r="BI255" s="64"/>
      <c r="BJ255" s="69"/>
      <c r="BK255" s="64"/>
      <c r="BL255" s="69"/>
      <c r="BM255" s="64"/>
      <c r="BN255" s="69"/>
      <c r="BO255" s="64"/>
      <c r="BP255" s="69"/>
      <c r="BQ255" s="64"/>
      <c r="BR255" s="69"/>
      <c r="BS255" s="64"/>
      <c r="BT255" s="69"/>
      <c r="BU255" t="b">
        <f t="shared" si="4"/>
        <v>0</v>
      </c>
    </row>
    <row r="256" spans="1:73" x14ac:dyDescent="0.25">
      <c r="A256" s="28"/>
      <c r="B256" s="29"/>
      <c r="C256" s="29"/>
      <c r="D256" s="30"/>
      <c r="E256" s="29"/>
      <c r="F256" s="30"/>
      <c r="G256" s="29"/>
      <c r="H256" s="69"/>
      <c r="I256" s="64"/>
      <c r="J256" s="69"/>
      <c r="K256" s="64"/>
      <c r="L256" s="69"/>
      <c r="M256" s="65"/>
      <c r="N256" s="69"/>
      <c r="O256" s="64"/>
      <c r="P256" s="69"/>
      <c r="Q256" s="64"/>
      <c r="R256" s="69"/>
      <c r="S256" s="64"/>
      <c r="T256" s="69"/>
      <c r="U256" s="64"/>
      <c r="V256" s="69"/>
      <c r="W256" s="65"/>
      <c r="X256" s="69"/>
      <c r="Y256" s="64"/>
      <c r="Z256" s="69"/>
      <c r="AA256" s="64"/>
      <c r="AB256" s="69"/>
      <c r="AC256" s="64"/>
      <c r="AD256" s="69"/>
      <c r="AE256" s="65"/>
      <c r="AF256" s="69"/>
      <c r="AG256" s="65"/>
      <c r="AH256" s="69"/>
      <c r="AI256" s="64"/>
      <c r="AJ256" s="69"/>
      <c r="AK256" s="64"/>
      <c r="AL256" s="69"/>
      <c r="AM256" s="64"/>
      <c r="AN256" s="69"/>
      <c r="AO256" s="64"/>
      <c r="AP256" s="69"/>
      <c r="AQ256" s="64"/>
      <c r="AR256" s="69"/>
      <c r="AS256" s="64"/>
      <c r="AT256" s="69"/>
      <c r="AU256" s="64"/>
      <c r="AV256" s="69"/>
      <c r="AW256" s="64"/>
      <c r="AX256" s="69"/>
      <c r="AY256" s="64"/>
      <c r="AZ256" s="69"/>
      <c r="BA256" s="64"/>
      <c r="BB256" s="69"/>
      <c r="BC256" s="64"/>
      <c r="BD256" s="69"/>
      <c r="BE256" s="64"/>
      <c r="BF256" s="69"/>
      <c r="BG256" s="64"/>
      <c r="BH256" s="69"/>
      <c r="BI256" s="64"/>
      <c r="BJ256" s="69"/>
      <c r="BK256" s="64"/>
      <c r="BL256" s="69"/>
      <c r="BM256" s="64"/>
      <c r="BN256" s="69"/>
      <c r="BO256" s="64"/>
      <c r="BP256" s="69"/>
      <c r="BQ256" s="64"/>
      <c r="BR256" s="69"/>
      <c r="BS256" s="64"/>
      <c r="BT256" s="69"/>
      <c r="BU256" t="b">
        <f t="shared" si="4"/>
        <v>0</v>
      </c>
    </row>
    <row r="257" spans="1:73" x14ac:dyDescent="0.25">
      <c r="A257" s="28"/>
      <c r="B257" s="29"/>
      <c r="C257" s="29"/>
      <c r="D257" s="30"/>
      <c r="E257" s="29"/>
      <c r="F257" s="30"/>
      <c r="G257" s="29"/>
      <c r="H257" s="69"/>
      <c r="I257" s="64"/>
      <c r="J257" s="69"/>
      <c r="K257" s="64"/>
      <c r="L257" s="69"/>
      <c r="M257" s="65"/>
      <c r="N257" s="69"/>
      <c r="O257" s="64"/>
      <c r="P257" s="69"/>
      <c r="Q257" s="64"/>
      <c r="R257" s="69"/>
      <c r="S257" s="64"/>
      <c r="T257" s="69"/>
      <c r="U257" s="64"/>
      <c r="V257" s="69"/>
      <c r="W257" s="65"/>
      <c r="X257" s="69"/>
      <c r="Y257" s="64"/>
      <c r="Z257" s="69"/>
      <c r="AA257" s="64"/>
      <c r="AB257" s="69"/>
      <c r="AC257" s="64"/>
      <c r="AD257" s="69"/>
      <c r="AE257" s="65"/>
      <c r="AF257" s="69"/>
      <c r="AG257" s="65"/>
      <c r="AH257" s="69"/>
      <c r="AI257" s="64"/>
      <c r="AJ257" s="69"/>
      <c r="AK257" s="64"/>
      <c r="AL257" s="69"/>
      <c r="AM257" s="64"/>
      <c r="AN257" s="69"/>
      <c r="AO257" s="64"/>
      <c r="AP257" s="69"/>
      <c r="AQ257" s="64"/>
      <c r="AR257" s="69"/>
      <c r="AS257" s="64"/>
      <c r="AT257" s="69"/>
      <c r="AU257" s="64"/>
      <c r="AV257" s="69"/>
      <c r="AW257" s="64"/>
      <c r="AX257" s="69"/>
      <c r="AY257" s="64"/>
      <c r="AZ257" s="69"/>
      <c r="BA257" s="64"/>
      <c r="BB257" s="69"/>
      <c r="BC257" s="64"/>
      <c r="BD257" s="69"/>
      <c r="BE257" s="64"/>
      <c r="BF257" s="69"/>
      <c r="BG257" s="64"/>
      <c r="BH257" s="69"/>
      <c r="BI257" s="64"/>
      <c r="BJ257" s="69"/>
      <c r="BK257" s="64"/>
      <c r="BL257" s="69"/>
      <c r="BM257" s="64"/>
      <c r="BN257" s="69"/>
      <c r="BO257" s="64"/>
      <c r="BP257" s="69"/>
      <c r="BQ257" s="64"/>
      <c r="BR257" s="69"/>
      <c r="BS257" s="64"/>
      <c r="BT257" s="69"/>
      <c r="BU257" t="b">
        <f t="shared" si="4"/>
        <v>0</v>
      </c>
    </row>
    <row r="258" spans="1:73" x14ac:dyDescent="0.25">
      <c r="A258" s="28"/>
      <c r="B258" s="29"/>
      <c r="C258" s="29"/>
      <c r="D258" s="30"/>
      <c r="E258" s="29"/>
      <c r="F258" s="30"/>
      <c r="G258" s="29"/>
      <c r="H258" s="69"/>
      <c r="I258" s="64"/>
      <c r="J258" s="69"/>
      <c r="K258" s="64"/>
      <c r="L258" s="69"/>
      <c r="M258" s="65"/>
      <c r="N258" s="69"/>
      <c r="O258" s="64"/>
      <c r="P258" s="69"/>
      <c r="Q258" s="64"/>
      <c r="R258" s="69"/>
      <c r="S258" s="64"/>
      <c r="T258" s="69"/>
      <c r="U258" s="64"/>
      <c r="V258" s="69"/>
      <c r="W258" s="65"/>
      <c r="X258" s="69"/>
      <c r="Y258" s="64"/>
      <c r="Z258" s="69"/>
      <c r="AA258" s="64"/>
      <c r="AB258" s="69"/>
      <c r="AC258" s="64"/>
      <c r="AD258" s="69"/>
      <c r="AE258" s="65"/>
      <c r="AF258" s="69"/>
      <c r="AG258" s="65"/>
      <c r="AH258" s="69"/>
      <c r="AI258" s="64"/>
      <c r="AJ258" s="69"/>
      <c r="AK258" s="64"/>
      <c r="AL258" s="69"/>
      <c r="AM258" s="64"/>
      <c r="AN258" s="69"/>
      <c r="AO258" s="64"/>
      <c r="AP258" s="69"/>
      <c r="AQ258" s="64"/>
      <c r="AR258" s="69"/>
      <c r="AS258" s="64"/>
      <c r="AT258" s="69"/>
      <c r="AU258" s="64"/>
      <c r="AV258" s="69"/>
      <c r="AW258" s="64"/>
      <c r="AX258" s="69"/>
      <c r="AY258" s="64"/>
      <c r="AZ258" s="69"/>
      <c r="BA258" s="64"/>
      <c r="BB258" s="69"/>
      <c r="BC258" s="64"/>
      <c r="BD258" s="69"/>
      <c r="BE258" s="64"/>
      <c r="BF258" s="69"/>
      <c r="BG258" s="64"/>
      <c r="BH258" s="69"/>
      <c r="BI258" s="64"/>
      <c r="BJ258" s="69"/>
      <c r="BK258" s="64"/>
      <c r="BL258" s="69"/>
      <c r="BM258" s="64"/>
      <c r="BN258" s="69"/>
      <c r="BO258" s="64"/>
      <c r="BP258" s="69"/>
      <c r="BQ258" s="64"/>
      <c r="BR258" s="69"/>
      <c r="BS258" s="64"/>
      <c r="BT258" s="69"/>
      <c r="BU258" t="b">
        <f t="shared" si="4"/>
        <v>0</v>
      </c>
    </row>
    <row r="259" spans="1:73" x14ac:dyDescent="0.25">
      <c r="A259" s="28"/>
      <c r="B259" s="29"/>
      <c r="C259" s="29"/>
      <c r="D259" s="30"/>
      <c r="E259" s="29"/>
      <c r="F259" s="30"/>
      <c r="G259" s="29"/>
      <c r="H259" s="69"/>
      <c r="I259" s="64"/>
      <c r="J259" s="69"/>
      <c r="K259" s="64"/>
      <c r="L259" s="69"/>
      <c r="M259" s="65"/>
      <c r="N259" s="69"/>
      <c r="O259" s="64"/>
      <c r="P259" s="69"/>
      <c r="Q259" s="64"/>
      <c r="R259" s="69"/>
      <c r="S259" s="64"/>
      <c r="T259" s="69"/>
      <c r="U259" s="64"/>
      <c r="V259" s="69"/>
      <c r="W259" s="65"/>
      <c r="X259" s="69"/>
      <c r="Y259" s="64"/>
      <c r="Z259" s="69"/>
      <c r="AA259" s="64"/>
      <c r="AB259" s="69"/>
      <c r="AC259" s="64"/>
      <c r="AD259" s="69"/>
      <c r="AE259" s="65"/>
      <c r="AF259" s="69"/>
      <c r="AG259" s="65"/>
      <c r="AH259" s="69"/>
      <c r="AI259" s="64"/>
      <c r="AJ259" s="69"/>
      <c r="AK259" s="64"/>
      <c r="AL259" s="69"/>
      <c r="AM259" s="64"/>
      <c r="AN259" s="69"/>
      <c r="AO259" s="64"/>
      <c r="AP259" s="69"/>
      <c r="AQ259" s="64"/>
      <c r="AR259" s="69"/>
      <c r="AS259" s="64"/>
      <c r="AT259" s="69"/>
      <c r="AU259" s="64"/>
      <c r="AV259" s="69"/>
      <c r="AW259" s="64"/>
      <c r="AX259" s="69"/>
      <c r="AY259" s="64"/>
      <c r="AZ259" s="69"/>
      <c r="BA259" s="64"/>
      <c r="BB259" s="69"/>
      <c r="BC259" s="64"/>
      <c r="BD259" s="69"/>
      <c r="BE259" s="64"/>
      <c r="BF259" s="69"/>
      <c r="BG259" s="64"/>
      <c r="BH259" s="69"/>
      <c r="BI259" s="64"/>
      <c r="BJ259" s="69"/>
      <c r="BK259" s="64"/>
      <c r="BL259" s="69"/>
      <c r="BM259" s="64"/>
      <c r="BN259" s="69"/>
      <c r="BO259" s="64"/>
      <c r="BP259" s="69"/>
      <c r="BQ259" s="64"/>
      <c r="BR259" s="69"/>
      <c r="BS259" s="64"/>
      <c r="BT259" s="69"/>
      <c r="BU259" t="b">
        <f t="shared" si="4"/>
        <v>0</v>
      </c>
    </row>
    <row r="260" spans="1:73" x14ac:dyDescent="0.25">
      <c r="A260" s="28"/>
      <c r="B260" s="29"/>
      <c r="C260" s="29"/>
      <c r="D260" s="30"/>
      <c r="E260" s="29"/>
      <c r="F260" s="30"/>
      <c r="G260" s="29"/>
      <c r="H260" s="69"/>
      <c r="I260" s="64"/>
      <c r="J260" s="69"/>
      <c r="K260" s="64"/>
      <c r="L260" s="69"/>
      <c r="M260" s="65"/>
      <c r="N260" s="69"/>
      <c r="O260" s="64"/>
      <c r="P260" s="69"/>
      <c r="Q260" s="64"/>
      <c r="R260" s="69"/>
      <c r="S260" s="64"/>
      <c r="T260" s="69"/>
      <c r="U260" s="64"/>
      <c r="V260" s="69"/>
      <c r="W260" s="65"/>
      <c r="X260" s="69"/>
      <c r="Y260" s="64"/>
      <c r="Z260" s="69"/>
      <c r="AA260" s="64"/>
      <c r="AB260" s="69"/>
      <c r="AC260" s="64"/>
      <c r="AD260" s="69"/>
      <c r="AE260" s="65"/>
      <c r="AF260" s="69"/>
      <c r="AG260" s="65"/>
      <c r="AH260" s="69"/>
      <c r="AI260" s="64"/>
      <c r="AJ260" s="69"/>
      <c r="AK260" s="64"/>
      <c r="AL260" s="69"/>
      <c r="AM260" s="64"/>
      <c r="AN260" s="69"/>
      <c r="AO260" s="64"/>
      <c r="AP260" s="69"/>
      <c r="AQ260" s="64"/>
      <c r="AR260" s="69"/>
      <c r="AS260" s="64"/>
      <c r="AT260" s="69"/>
      <c r="AU260" s="64"/>
      <c r="AV260" s="69"/>
      <c r="AW260" s="64"/>
      <c r="AX260" s="69"/>
      <c r="AY260" s="64"/>
      <c r="AZ260" s="69"/>
      <c r="BA260" s="64"/>
      <c r="BB260" s="69"/>
      <c r="BC260" s="64"/>
      <c r="BD260" s="69"/>
      <c r="BE260" s="64"/>
      <c r="BF260" s="69"/>
      <c r="BG260" s="64"/>
      <c r="BH260" s="69"/>
      <c r="BI260" s="64"/>
      <c r="BJ260" s="69"/>
      <c r="BK260" s="64"/>
      <c r="BL260" s="69"/>
      <c r="BM260" s="64"/>
      <c r="BN260" s="69"/>
      <c r="BO260" s="64"/>
      <c r="BP260" s="69"/>
      <c r="BQ260" s="64"/>
      <c r="BR260" s="69"/>
      <c r="BS260" s="64"/>
      <c r="BT260" s="69"/>
      <c r="BU260" t="b">
        <f t="shared" si="4"/>
        <v>0</v>
      </c>
    </row>
    <row r="261" spans="1:73" x14ac:dyDescent="0.25">
      <c r="A261" s="28"/>
      <c r="B261" s="29"/>
      <c r="C261" s="29"/>
      <c r="D261" s="30"/>
      <c r="E261" s="29"/>
      <c r="F261" s="30"/>
      <c r="G261" s="29"/>
      <c r="H261" s="69"/>
      <c r="I261" s="64"/>
      <c r="J261" s="69"/>
      <c r="K261" s="64"/>
      <c r="L261" s="69"/>
      <c r="M261" s="65"/>
      <c r="N261" s="69"/>
      <c r="O261" s="64"/>
      <c r="P261" s="69"/>
      <c r="Q261" s="64"/>
      <c r="R261" s="69"/>
      <c r="S261" s="64"/>
      <c r="T261" s="69"/>
      <c r="U261" s="64"/>
      <c r="V261" s="69"/>
      <c r="W261" s="65"/>
      <c r="X261" s="69"/>
      <c r="Y261" s="64"/>
      <c r="Z261" s="69"/>
      <c r="AA261" s="64"/>
      <c r="AB261" s="69"/>
      <c r="AC261" s="64"/>
      <c r="AD261" s="69"/>
      <c r="AE261" s="65"/>
      <c r="AF261" s="69"/>
      <c r="AG261" s="65"/>
      <c r="AH261" s="69"/>
      <c r="AI261" s="64"/>
      <c r="AJ261" s="69"/>
      <c r="AK261" s="64"/>
      <c r="AL261" s="69"/>
      <c r="AM261" s="64"/>
      <c r="AN261" s="69"/>
      <c r="AO261" s="64"/>
      <c r="AP261" s="69"/>
      <c r="AQ261" s="64"/>
      <c r="AR261" s="69"/>
      <c r="AS261" s="64"/>
      <c r="AT261" s="69"/>
      <c r="AU261" s="64"/>
      <c r="AV261" s="69"/>
      <c r="AW261" s="64"/>
      <c r="AX261" s="69"/>
      <c r="AY261" s="64"/>
      <c r="AZ261" s="69"/>
      <c r="BA261" s="64"/>
      <c r="BB261" s="69"/>
      <c r="BC261" s="64"/>
      <c r="BD261" s="69"/>
      <c r="BE261" s="64"/>
      <c r="BF261" s="69"/>
      <c r="BG261" s="64"/>
      <c r="BH261" s="69"/>
      <c r="BI261" s="64"/>
      <c r="BJ261" s="69"/>
      <c r="BK261" s="64"/>
      <c r="BL261" s="69"/>
      <c r="BM261" s="64"/>
      <c r="BN261" s="69"/>
      <c r="BO261" s="64"/>
      <c r="BP261" s="69"/>
      <c r="BQ261" s="64"/>
      <c r="BR261" s="69"/>
      <c r="BS261" s="64"/>
      <c r="BT261" s="69"/>
      <c r="BU261" t="b">
        <f t="shared" si="4"/>
        <v>0</v>
      </c>
    </row>
    <row r="262" spans="1:73" x14ac:dyDescent="0.25">
      <c r="A262" s="28"/>
      <c r="B262" s="29"/>
      <c r="C262" s="29"/>
      <c r="D262" s="30"/>
      <c r="E262" s="29"/>
      <c r="F262" s="30"/>
      <c r="G262" s="29"/>
      <c r="H262" s="69"/>
      <c r="I262" s="64"/>
      <c r="J262" s="69"/>
      <c r="K262" s="64"/>
      <c r="L262" s="69"/>
      <c r="M262" s="65"/>
      <c r="N262" s="69"/>
      <c r="O262" s="64"/>
      <c r="P262" s="69"/>
      <c r="Q262" s="64"/>
      <c r="R262" s="69"/>
      <c r="S262" s="64"/>
      <c r="T262" s="69"/>
      <c r="U262" s="64"/>
      <c r="V262" s="69"/>
      <c r="W262" s="65"/>
      <c r="X262" s="69"/>
      <c r="Y262" s="64"/>
      <c r="Z262" s="69"/>
      <c r="AA262" s="64"/>
      <c r="AB262" s="69"/>
      <c r="AC262" s="64"/>
      <c r="AD262" s="69"/>
      <c r="AE262" s="65"/>
      <c r="AF262" s="69"/>
      <c r="AG262" s="65"/>
      <c r="AH262" s="69"/>
      <c r="AI262" s="64"/>
      <c r="AJ262" s="69"/>
      <c r="AK262" s="64"/>
      <c r="AL262" s="69"/>
      <c r="AM262" s="64"/>
      <c r="AN262" s="69"/>
      <c r="AO262" s="64"/>
      <c r="AP262" s="69"/>
      <c r="AQ262" s="64"/>
      <c r="AR262" s="69"/>
      <c r="AS262" s="64"/>
      <c r="AT262" s="69"/>
      <c r="AU262" s="64"/>
      <c r="AV262" s="69"/>
      <c r="AW262" s="64"/>
      <c r="AX262" s="69"/>
      <c r="AY262" s="64"/>
      <c r="AZ262" s="69"/>
      <c r="BA262" s="64"/>
      <c r="BB262" s="69"/>
      <c r="BC262" s="64"/>
      <c r="BD262" s="69"/>
      <c r="BE262" s="64"/>
      <c r="BF262" s="69"/>
      <c r="BG262" s="64"/>
      <c r="BH262" s="69"/>
      <c r="BI262" s="64"/>
      <c r="BJ262" s="69"/>
      <c r="BK262" s="64"/>
      <c r="BL262" s="69"/>
      <c r="BM262" s="64"/>
      <c r="BN262" s="69"/>
      <c r="BO262" s="64"/>
      <c r="BP262" s="69"/>
      <c r="BQ262" s="64"/>
      <c r="BR262" s="69"/>
      <c r="BS262" s="64"/>
      <c r="BT262" s="69"/>
      <c r="BU262" t="b">
        <f t="shared" si="4"/>
        <v>0</v>
      </c>
    </row>
    <row r="263" spans="1:73" x14ac:dyDescent="0.25">
      <c r="A263" s="28"/>
      <c r="B263" s="29"/>
      <c r="C263" s="29"/>
      <c r="D263" s="30"/>
      <c r="E263" s="29"/>
      <c r="F263" s="30"/>
      <c r="G263" s="29"/>
      <c r="H263" s="69"/>
      <c r="I263" s="64"/>
      <c r="J263" s="69"/>
      <c r="K263" s="64"/>
      <c r="L263" s="69"/>
      <c r="M263" s="65"/>
      <c r="N263" s="69"/>
      <c r="O263" s="64"/>
      <c r="P263" s="69"/>
      <c r="Q263" s="64"/>
      <c r="R263" s="69"/>
      <c r="S263" s="64"/>
      <c r="T263" s="69"/>
      <c r="U263" s="64"/>
      <c r="V263" s="69"/>
      <c r="W263" s="65"/>
      <c r="X263" s="69"/>
      <c r="Y263" s="64"/>
      <c r="Z263" s="69"/>
      <c r="AA263" s="64"/>
      <c r="AB263" s="69"/>
      <c r="AC263" s="64"/>
      <c r="AD263" s="69"/>
      <c r="AE263" s="65"/>
      <c r="AF263" s="69"/>
      <c r="AG263" s="65"/>
      <c r="AH263" s="69"/>
      <c r="AI263" s="64"/>
      <c r="AJ263" s="69"/>
      <c r="AK263" s="64"/>
      <c r="AL263" s="69"/>
      <c r="AM263" s="64"/>
      <c r="AN263" s="69"/>
      <c r="AO263" s="64"/>
      <c r="AP263" s="69"/>
      <c r="AQ263" s="64"/>
      <c r="AR263" s="69"/>
      <c r="AS263" s="64"/>
      <c r="AT263" s="69"/>
      <c r="AU263" s="64"/>
      <c r="AV263" s="69"/>
      <c r="AW263" s="64"/>
      <c r="AX263" s="69"/>
      <c r="AY263" s="64"/>
      <c r="AZ263" s="69"/>
      <c r="BA263" s="64"/>
      <c r="BB263" s="69"/>
      <c r="BC263" s="64"/>
      <c r="BD263" s="69"/>
      <c r="BE263" s="64"/>
      <c r="BF263" s="69"/>
      <c r="BG263" s="64"/>
      <c r="BH263" s="69"/>
      <c r="BI263" s="64"/>
      <c r="BJ263" s="69"/>
      <c r="BK263" s="64"/>
      <c r="BL263" s="69"/>
      <c r="BM263" s="64"/>
      <c r="BN263" s="69"/>
      <c r="BO263" s="64"/>
      <c r="BP263" s="69"/>
      <c r="BQ263" s="64"/>
      <c r="BR263" s="69"/>
      <c r="BS263" s="64"/>
      <c r="BT263" s="69"/>
      <c r="BU263" t="b">
        <f t="shared" si="4"/>
        <v>0</v>
      </c>
    </row>
    <row r="264" spans="1:73" x14ac:dyDescent="0.25">
      <c r="A264" s="28"/>
      <c r="B264" s="29"/>
      <c r="C264" s="29"/>
      <c r="D264" s="30"/>
      <c r="E264" s="29"/>
      <c r="F264" s="30"/>
      <c r="G264" s="29"/>
      <c r="H264" s="69"/>
      <c r="I264" s="64"/>
      <c r="J264" s="69"/>
      <c r="K264" s="64"/>
      <c r="L264" s="69"/>
      <c r="M264" s="65"/>
      <c r="N264" s="69"/>
      <c r="O264" s="64"/>
      <c r="P264" s="69"/>
      <c r="Q264" s="64"/>
      <c r="R264" s="69"/>
      <c r="S264" s="64"/>
      <c r="T264" s="69"/>
      <c r="U264" s="64"/>
      <c r="V264" s="69"/>
      <c r="W264" s="65"/>
      <c r="X264" s="69"/>
      <c r="Y264" s="64"/>
      <c r="Z264" s="69"/>
      <c r="AA264" s="64"/>
      <c r="AB264" s="69"/>
      <c r="AC264" s="64"/>
      <c r="AD264" s="69"/>
      <c r="AE264" s="65"/>
      <c r="AF264" s="69"/>
      <c r="AG264" s="65"/>
      <c r="AH264" s="69"/>
      <c r="AI264" s="64"/>
      <c r="AJ264" s="69"/>
      <c r="AK264" s="64"/>
      <c r="AL264" s="69"/>
      <c r="AM264" s="64"/>
      <c r="AN264" s="69"/>
      <c r="AO264" s="64"/>
      <c r="AP264" s="69"/>
      <c r="AQ264" s="64"/>
      <c r="AR264" s="69"/>
      <c r="AS264" s="64"/>
      <c r="AT264" s="69"/>
      <c r="AU264" s="64"/>
      <c r="AV264" s="69"/>
      <c r="AW264" s="64"/>
      <c r="AX264" s="69"/>
      <c r="AY264" s="64"/>
      <c r="AZ264" s="69"/>
      <c r="BA264" s="64"/>
      <c r="BB264" s="69"/>
      <c r="BC264" s="64"/>
      <c r="BD264" s="69"/>
      <c r="BE264" s="64"/>
      <c r="BF264" s="69"/>
      <c r="BG264" s="64"/>
      <c r="BH264" s="69"/>
      <c r="BI264" s="64"/>
      <c r="BJ264" s="69"/>
      <c r="BK264" s="64"/>
      <c r="BL264" s="69"/>
      <c r="BM264" s="64"/>
      <c r="BN264" s="69"/>
      <c r="BO264" s="64"/>
      <c r="BP264" s="69"/>
      <c r="BQ264" s="64"/>
      <c r="BR264" s="69"/>
      <c r="BS264" s="64"/>
      <c r="BT264" s="69"/>
      <c r="BU264" t="b">
        <f t="shared" si="4"/>
        <v>0</v>
      </c>
    </row>
    <row r="265" spans="1:73" x14ac:dyDescent="0.25">
      <c r="A265" s="28"/>
      <c r="B265" s="29"/>
      <c r="C265" s="29"/>
      <c r="D265" s="30"/>
      <c r="E265" s="29"/>
      <c r="F265" s="30"/>
      <c r="G265" s="29"/>
      <c r="H265" s="69"/>
      <c r="I265" s="64"/>
      <c r="J265" s="69"/>
      <c r="K265" s="64"/>
      <c r="L265" s="69"/>
      <c r="M265" s="65"/>
      <c r="N265" s="69"/>
      <c r="O265" s="64"/>
      <c r="P265" s="69"/>
      <c r="Q265" s="64"/>
      <c r="R265" s="69"/>
      <c r="S265" s="64"/>
      <c r="T265" s="69"/>
      <c r="U265" s="64"/>
      <c r="V265" s="69"/>
      <c r="W265" s="65"/>
      <c r="X265" s="69"/>
      <c r="Y265" s="64"/>
      <c r="Z265" s="69"/>
      <c r="AA265" s="64"/>
      <c r="AB265" s="69"/>
      <c r="AC265" s="64"/>
      <c r="AD265" s="69"/>
      <c r="AE265" s="65"/>
      <c r="AF265" s="69"/>
      <c r="AG265" s="65"/>
      <c r="AH265" s="69"/>
      <c r="AI265" s="64"/>
      <c r="AJ265" s="69"/>
      <c r="AK265" s="64"/>
      <c r="AL265" s="69"/>
      <c r="AM265" s="64"/>
      <c r="AN265" s="69"/>
      <c r="AO265" s="64"/>
      <c r="AP265" s="69"/>
      <c r="AQ265" s="64"/>
      <c r="AR265" s="69"/>
      <c r="AS265" s="64"/>
      <c r="AT265" s="69"/>
      <c r="AU265" s="64"/>
      <c r="AV265" s="69"/>
      <c r="AW265" s="64"/>
      <c r="AX265" s="69"/>
      <c r="AY265" s="64"/>
      <c r="AZ265" s="69"/>
      <c r="BA265" s="64"/>
      <c r="BB265" s="69"/>
      <c r="BC265" s="64"/>
      <c r="BD265" s="69"/>
      <c r="BE265" s="64"/>
      <c r="BF265" s="69"/>
      <c r="BG265" s="64"/>
      <c r="BH265" s="69"/>
      <c r="BI265" s="64"/>
      <c r="BJ265" s="69"/>
      <c r="BK265" s="64"/>
      <c r="BL265" s="69"/>
      <c r="BM265" s="64"/>
      <c r="BN265" s="69"/>
      <c r="BO265" s="64"/>
      <c r="BP265" s="69"/>
      <c r="BQ265" s="64"/>
      <c r="BR265" s="69"/>
      <c r="BS265" s="64"/>
      <c r="BT265" s="69"/>
      <c r="BU265" t="b">
        <f t="shared" si="4"/>
        <v>0</v>
      </c>
    </row>
    <row r="266" spans="1:73" x14ac:dyDescent="0.25">
      <c r="A266" s="28"/>
      <c r="B266" s="29"/>
      <c r="C266" s="29"/>
      <c r="D266" s="30"/>
      <c r="E266" s="29"/>
      <c r="F266" s="30"/>
      <c r="G266" s="29"/>
      <c r="H266" s="69"/>
      <c r="I266" s="64"/>
      <c r="J266" s="69"/>
      <c r="K266" s="64"/>
      <c r="L266" s="69"/>
      <c r="M266" s="65"/>
      <c r="N266" s="69"/>
      <c r="O266" s="64"/>
      <c r="P266" s="69"/>
      <c r="Q266" s="64"/>
      <c r="R266" s="69"/>
      <c r="S266" s="64"/>
      <c r="T266" s="69"/>
      <c r="U266" s="64"/>
      <c r="V266" s="69"/>
      <c r="W266" s="65"/>
      <c r="X266" s="69"/>
      <c r="Y266" s="64"/>
      <c r="Z266" s="69"/>
      <c r="AA266" s="64"/>
      <c r="AB266" s="69"/>
      <c r="AC266" s="64"/>
      <c r="AD266" s="69"/>
      <c r="AE266" s="65"/>
      <c r="AF266" s="69"/>
      <c r="AG266" s="65"/>
      <c r="AH266" s="69"/>
      <c r="AI266" s="64"/>
      <c r="AJ266" s="69"/>
      <c r="AK266" s="64"/>
      <c r="AL266" s="69"/>
      <c r="AM266" s="64"/>
      <c r="AN266" s="69"/>
      <c r="AO266" s="64"/>
      <c r="AP266" s="69"/>
      <c r="AQ266" s="64"/>
      <c r="AR266" s="69"/>
      <c r="AS266" s="64"/>
      <c r="AT266" s="69"/>
      <c r="AU266" s="64"/>
      <c r="AV266" s="69"/>
      <c r="AW266" s="64"/>
      <c r="AX266" s="69"/>
      <c r="AY266" s="64"/>
      <c r="AZ266" s="69"/>
      <c r="BA266" s="64"/>
      <c r="BB266" s="69"/>
      <c r="BC266" s="64"/>
      <c r="BD266" s="69"/>
      <c r="BE266" s="64"/>
      <c r="BF266" s="69"/>
      <c r="BG266" s="64"/>
      <c r="BH266" s="69"/>
      <c r="BI266" s="64"/>
      <c r="BJ266" s="69"/>
      <c r="BK266" s="64"/>
      <c r="BL266" s="69"/>
      <c r="BM266" s="64"/>
      <c r="BN266" s="69"/>
      <c r="BO266" s="64"/>
      <c r="BP266" s="69"/>
      <c r="BQ266" s="64"/>
      <c r="BR266" s="69"/>
      <c r="BS266" s="64"/>
      <c r="BT266" s="69"/>
      <c r="BU266" t="b">
        <f t="shared" si="4"/>
        <v>0</v>
      </c>
    </row>
    <row r="267" spans="1:73" x14ac:dyDescent="0.25">
      <c r="A267" s="28"/>
      <c r="B267" s="29"/>
      <c r="C267" s="29"/>
      <c r="D267" s="30"/>
      <c r="E267" s="29"/>
      <c r="F267" s="30"/>
      <c r="G267" s="29"/>
      <c r="H267" s="69"/>
      <c r="I267" s="64"/>
      <c r="J267" s="69"/>
      <c r="K267" s="64"/>
      <c r="L267" s="69"/>
      <c r="M267" s="65"/>
      <c r="N267" s="69"/>
      <c r="O267" s="64"/>
      <c r="P267" s="69"/>
      <c r="Q267" s="64"/>
      <c r="R267" s="69"/>
      <c r="S267" s="64"/>
      <c r="T267" s="69"/>
      <c r="U267" s="64"/>
      <c r="V267" s="69"/>
      <c r="W267" s="65"/>
      <c r="X267" s="69"/>
      <c r="Y267" s="64"/>
      <c r="Z267" s="69"/>
      <c r="AA267" s="64"/>
      <c r="AB267" s="69"/>
      <c r="AC267" s="64"/>
      <c r="AD267" s="69"/>
      <c r="AE267" s="65"/>
      <c r="AF267" s="69"/>
      <c r="AG267" s="65"/>
      <c r="AH267" s="69"/>
      <c r="AI267" s="64"/>
      <c r="AJ267" s="69"/>
      <c r="AK267" s="64"/>
      <c r="AL267" s="69"/>
      <c r="AM267" s="64"/>
      <c r="AN267" s="69"/>
      <c r="AO267" s="64"/>
      <c r="AP267" s="69"/>
      <c r="AQ267" s="64"/>
      <c r="AR267" s="69"/>
      <c r="AS267" s="64"/>
      <c r="AT267" s="69"/>
      <c r="AU267" s="64"/>
      <c r="AV267" s="69"/>
      <c r="AW267" s="64"/>
      <c r="AX267" s="69"/>
      <c r="AY267" s="64"/>
      <c r="AZ267" s="69"/>
      <c r="BA267" s="64"/>
      <c r="BB267" s="69"/>
      <c r="BC267" s="64"/>
      <c r="BD267" s="69"/>
      <c r="BE267" s="64"/>
      <c r="BF267" s="69"/>
      <c r="BG267" s="64"/>
      <c r="BH267" s="69"/>
      <c r="BI267" s="64"/>
      <c r="BJ267" s="69"/>
      <c r="BK267" s="64"/>
      <c r="BL267" s="69"/>
      <c r="BM267" s="64"/>
      <c r="BN267" s="69"/>
      <c r="BO267" s="64"/>
      <c r="BP267" s="69"/>
      <c r="BQ267" s="64"/>
      <c r="BR267" s="69"/>
      <c r="BS267" s="64"/>
      <c r="BT267" s="69"/>
      <c r="BU267" t="b">
        <f t="shared" si="4"/>
        <v>0</v>
      </c>
    </row>
    <row r="268" spans="1:73" x14ac:dyDescent="0.25">
      <c r="A268" s="28"/>
      <c r="B268" s="29"/>
      <c r="C268" s="29"/>
      <c r="D268" s="30"/>
      <c r="E268" s="29"/>
      <c r="F268" s="30"/>
      <c r="G268" s="29"/>
      <c r="H268" s="69"/>
      <c r="I268" s="64"/>
      <c r="J268" s="69"/>
      <c r="K268" s="64"/>
      <c r="L268" s="69"/>
      <c r="M268" s="65"/>
      <c r="N268" s="69"/>
      <c r="O268" s="64"/>
      <c r="P268" s="69"/>
      <c r="Q268" s="64"/>
      <c r="R268" s="69"/>
      <c r="S268" s="64"/>
      <c r="T268" s="69"/>
      <c r="U268" s="64"/>
      <c r="V268" s="69"/>
      <c r="W268" s="65"/>
      <c r="X268" s="69"/>
      <c r="Y268" s="64"/>
      <c r="Z268" s="69"/>
      <c r="AA268" s="64"/>
      <c r="AB268" s="69"/>
      <c r="AC268" s="64"/>
      <c r="AD268" s="69"/>
      <c r="AE268" s="65"/>
      <c r="AF268" s="69"/>
      <c r="AG268" s="65"/>
      <c r="AH268" s="69"/>
      <c r="AI268" s="64"/>
      <c r="AJ268" s="69"/>
      <c r="AK268" s="64"/>
      <c r="AL268" s="69"/>
      <c r="AM268" s="64"/>
      <c r="AN268" s="69"/>
      <c r="AO268" s="64"/>
      <c r="AP268" s="69"/>
      <c r="AQ268" s="64"/>
      <c r="AR268" s="69"/>
      <c r="AS268" s="64"/>
      <c r="AT268" s="69"/>
      <c r="AU268" s="64"/>
      <c r="AV268" s="69"/>
      <c r="AW268" s="64"/>
      <c r="AX268" s="69"/>
      <c r="AY268" s="64"/>
      <c r="AZ268" s="69"/>
      <c r="BA268" s="64"/>
      <c r="BB268" s="69"/>
      <c r="BC268" s="64"/>
      <c r="BD268" s="69"/>
      <c r="BE268" s="64"/>
      <c r="BF268" s="69"/>
      <c r="BG268" s="64"/>
      <c r="BH268" s="69"/>
      <c r="BI268" s="64"/>
      <c r="BJ268" s="69"/>
      <c r="BK268" s="64"/>
      <c r="BL268" s="69"/>
      <c r="BM268" s="64"/>
      <c r="BN268" s="69"/>
      <c r="BO268" s="64"/>
      <c r="BP268" s="69"/>
      <c r="BQ268" s="64"/>
      <c r="BR268" s="69"/>
      <c r="BS268" s="64"/>
      <c r="BT268" s="69"/>
      <c r="BU268" t="b">
        <f t="shared" si="4"/>
        <v>0</v>
      </c>
    </row>
    <row r="269" spans="1:73" x14ac:dyDescent="0.25">
      <c r="A269" s="28"/>
      <c r="B269" s="29"/>
      <c r="C269" s="29"/>
      <c r="D269" s="30"/>
      <c r="E269" s="29"/>
      <c r="F269" s="30"/>
      <c r="G269" s="29"/>
      <c r="H269" s="69"/>
      <c r="I269" s="64"/>
      <c r="J269" s="69"/>
      <c r="K269" s="64"/>
      <c r="L269" s="69"/>
      <c r="M269" s="65"/>
      <c r="N269" s="69"/>
      <c r="O269" s="64"/>
      <c r="P269" s="69"/>
      <c r="Q269" s="64"/>
      <c r="R269" s="69"/>
      <c r="S269" s="64"/>
      <c r="T269" s="69"/>
      <c r="U269" s="64"/>
      <c r="V269" s="69"/>
      <c r="W269" s="65"/>
      <c r="X269" s="69"/>
      <c r="Y269" s="64"/>
      <c r="Z269" s="69"/>
      <c r="AA269" s="64"/>
      <c r="AB269" s="69"/>
      <c r="AC269" s="64"/>
      <c r="AD269" s="69"/>
      <c r="AE269" s="65"/>
      <c r="AF269" s="69"/>
      <c r="AG269" s="65"/>
      <c r="AH269" s="69"/>
      <c r="AI269" s="64"/>
      <c r="AJ269" s="69"/>
      <c r="AK269" s="64"/>
      <c r="AL269" s="69"/>
      <c r="AM269" s="64"/>
      <c r="AN269" s="69"/>
      <c r="AO269" s="64"/>
      <c r="AP269" s="69"/>
      <c r="AQ269" s="64"/>
      <c r="AR269" s="69"/>
      <c r="AS269" s="64"/>
      <c r="AT269" s="69"/>
      <c r="AU269" s="64"/>
      <c r="AV269" s="69"/>
      <c r="AW269" s="64"/>
      <c r="AX269" s="69"/>
      <c r="AY269" s="64"/>
      <c r="AZ269" s="69"/>
      <c r="BA269" s="64"/>
      <c r="BB269" s="69"/>
      <c r="BC269" s="64"/>
      <c r="BD269" s="69"/>
      <c r="BE269" s="64"/>
      <c r="BF269" s="69"/>
      <c r="BG269" s="64"/>
      <c r="BH269" s="69"/>
      <c r="BI269" s="64"/>
      <c r="BJ269" s="69"/>
      <c r="BK269" s="64"/>
      <c r="BL269" s="69"/>
      <c r="BM269" s="64"/>
      <c r="BN269" s="69"/>
      <c r="BO269" s="64"/>
      <c r="BP269" s="69"/>
      <c r="BQ269" s="64"/>
      <c r="BR269" s="69"/>
      <c r="BS269" s="64"/>
      <c r="BT269" s="69"/>
      <c r="BU269" t="b">
        <f t="shared" si="4"/>
        <v>0</v>
      </c>
    </row>
    <row r="270" spans="1:73" x14ac:dyDescent="0.25">
      <c r="A270" s="28"/>
      <c r="B270" s="29"/>
      <c r="C270" s="29"/>
      <c r="D270" s="30"/>
      <c r="E270" s="29"/>
      <c r="F270" s="30"/>
      <c r="G270" s="29"/>
      <c r="H270" s="69"/>
      <c r="I270" s="64"/>
      <c r="J270" s="69"/>
      <c r="K270" s="64"/>
      <c r="L270" s="69"/>
      <c r="M270" s="65"/>
      <c r="N270" s="69"/>
      <c r="O270" s="64"/>
      <c r="P270" s="69"/>
      <c r="Q270" s="64"/>
      <c r="R270" s="69"/>
      <c r="S270" s="64"/>
      <c r="T270" s="69"/>
      <c r="U270" s="64"/>
      <c r="V270" s="69"/>
      <c r="W270" s="65"/>
      <c r="X270" s="69"/>
      <c r="Y270" s="64"/>
      <c r="Z270" s="69"/>
      <c r="AA270" s="64"/>
      <c r="AB270" s="69"/>
      <c r="AC270" s="64"/>
      <c r="AD270" s="69"/>
      <c r="AE270" s="65"/>
      <c r="AF270" s="69"/>
      <c r="AG270" s="65"/>
      <c r="AH270" s="69"/>
      <c r="AI270" s="64"/>
      <c r="AJ270" s="69"/>
      <c r="AK270" s="64"/>
      <c r="AL270" s="69"/>
      <c r="AM270" s="64"/>
      <c r="AN270" s="69"/>
      <c r="AO270" s="64"/>
      <c r="AP270" s="69"/>
      <c r="AQ270" s="64"/>
      <c r="AR270" s="69"/>
      <c r="AS270" s="64"/>
      <c r="AT270" s="69"/>
      <c r="AU270" s="64"/>
      <c r="AV270" s="69"/>
      <c r="AW270" s="64"/>
      <c r="AX270" s="69"/>
      <c r="AY270" s="64"/>
      <c r="AZ270" s="69"/>
      <c r="BA270" s="64"/>
      <c r="BB270" s="69"/>
      <c r="BC270" s="64"/>
      <c r="BD270" s="69"/>
      <c r="BE270" s="64"/>
      <c r="BF270" s="69"/>
      <c r="BG270" s="64"/>
      <c r="BH270" s="69"/>
      <c r="BI270" s="64"/>
      <c r="BJ270" s="69"/>
      <c r="BK270" s="64"/>
      <c r="BL270" s="69"/>
      <c r="BM270" s="64"/>
      <c r="BN270" s="69"/>
      <c r="BO270" s="64"/>
      <c r="BP270" s="69"/>
      <c r="BQ270" s="64"/>
      <c r="BR270" s="69"/>
      <c r="BS270" s="64"/>
      <c r="BT270" s="69"/>
      <c r="BU270" t="b">
        <f t="shared" si="4"/>
        <v>0</v>
      </c>
    </row>
    <row r="271" spans="1:73" x14ac:dyDescent="0.25">
      <c r="A271" s="28"/>
      <c r="B271" s="29"/>
      <c r="C271" s="29"/>
      <c r="D271" s="30"/>
      <c r="E271" s="29"/>
      <c r="F271" s="30"/>
      <c r="G271" s="29"/>
      <c r="H271" s="69"/>
      <c r="I271" s="64"/>
      <c r="J271" s="69"/>
      <c r="K271" s="64"/>
      <c r="L271" s="69"/>
      <c r="M271" s="65"/>
      <c r="N271" s="69"/>
      <c r="O271" s="64"/>
      <c r="P271" s="69"/>
      <c r="Q271" s="64"/>
      <c r="R271" s="69"/>
      <c r="S271" s="64"/>
      <c r="T271" s="69"/>
      <c r="U271" s="64"/>
      <c r="V271" s="69"/>
      <c r="W271" s="65"/>
      <c r="X271" s="69"/>
      <c r="Y271" s="64"/>
      <c r="Z271" s="69"/>
      <c r="AA271" s="64"/>
      <c r="AB271" s="69"/>
      <c r="AC271" s="64"/>
      <c r="AD271" s="69"/>
      <c r="AE271" s="65"/>
      <c r="AF271" s="69"/>
      <c r="AG271" s="65"/>
      <c r="AH271" s="69"/>
      <c r="AI271" s="64"/>
      <c r="AJ271" s="69"/>
      <c r="AK271" s="64"/>
      <c r="AL271" s="69"/>
      <c r="AM271" s="64"/>
      <c r="AN271" s="69"/>
      <c r="AO271" s="64"/>
      <c r="AP271" s="69"/>
      <c r="AQ271" s="64"/>
      <c r="AR271" s="69"/>
      <c r="AS271" s="64"/>
      <c r="AT271" s="69"/>
      <c r="AU271" s="64"/>
      <c r="AV271" s="69"/>
      <c r="AW271" s="64"/>
      <c r="AX271" s="69"/>
      <c r="AY271" s="64"/>
      <c r="AZ271" s="69"/>
      <c r="BA271" s="64"/>
      <c r="BB271" s="69"/>
      <c r="BC271" s="64"/>
      <c r="BD271" s="69"/>
      <c r="BE271" s="64"/>
      <c r="BF271" s="69"/>
      <c r="BG271" s="64"/>
      <c r="BH271" s="69"/>
      <c r="BI271" s="64"/>
      <c r="BJ271" s="69"/>
      <c r="BK271" s="64"/>
      <c r="BL271" s="69"/>
      <c r="BM271" s="64"/>
      <c r="BN271" s="69"/>
      <c r="BO271" s="64"/>
      <c r="BP271" s="69"/>
      <c r="BQ271" s="64"/>
      <c r="BR271" s="69"/>
      <c r="BS271" s="64"/>
      <c r="BT271" s="69"/>
      <c r="BU271" t="b">
        <f t="shared" si="4"/>
        <v>0</v>
      </c>
    </row>
    <row r="272" spans="1:73" x14ac:dyDescent="0.25">
      <c r="A272" s="28"/>
      <c r="B272" s="29"/>
      <c r="C272" s="29"/>
      <c r="D272" s="30"/>
      <c r="E272" s="29"/>
      <c r="F272" s="30"/>
      <c r="G272" s="29"/>
      <c r="H272" s="69"/>
      <c r="I272" s="64"/>
      <c r="J272" s="69"/>
      <c r="K272" s="64"/>
      <c r="L272" s="69"/>
      <c r="M272" s="65"/>
      <c r="N272" s="69"/>
      <c r="O272" s="64"/>
      <c r="P272" s="69"/>
      <c r="Q272" s="64"/>
      <c r="R272" s="69"/>
      <c r="S272" s="64"/>
      <c r="T272" s="69"/>
      <c r="U272" s="64"/>
      <c r="V272" s="69"/>
      <c r="W272" s="65"/>
      <c r="X272" s="69"/>
      <c r="Y272" s="64"/>
      <c r="Z272" s="69"/>
      <c r="AA272" s="64"/>
      <c r="AB272" s="69"/>
      <c r="AC272" s="64"/>
      <c r="AD272" s="69"/>
      <c r="AE272" s="65"/>
      <c r="AF272" s="69"/>
      <c r="AG272" s="65"/>
      <c r="AH272" s="69"/>
      <c r="AI272" s="64"/>
      <c r="AJ272" s="69"/>
      <c r="AK272" s="64"/>
      <c r="AL272" s="69"/>
      <c r="AM272" s="64"/>
      <c r="AN272" s="69"/>
      <c r="AO272" s="64"/>
      <c r="AP272" s="69"/>
      <c r="AQ272" s="64"/>
      <c r="AR272" s="69"/>
      <c r="AS272" s="64"/>
      <c r="AT272" s="69"/>
      <c r="AU272" s="64"/>
      <c r="AV272" s="69"/>
      <c r="AW272" s="64"/>
      <c r="AX272" s="69"/>
      <c r="AY272" s="64"/>
      <c r="AZ272" s="69"/>
      <c r="BA272" s="64"/>
      <c r="BB272" s="69"/>
      <c r="BC272" s="64"/>
      <c r="BD272" s="69"/>
      <c r="BE272" s="64"/>
      <c r="BF272" s="69"/>
      <c r="BG272" s="64"/>
      <c r="BH272" s="69"/>
      <c r="BI272" s="64"/>
      <c r="BJ272" s="69"/>
      <c r="BK272" s="64"/>
      <c r="BL272" s="69"/>
      <c r="BM272" s="64"/>
      <c r="BN272" s="69"/>
      <c r="BO272" s="64"/>
      <c r="BP272" s="69"/>
      <c r="BQ272" s="64"/>
      <c r="BR272" s="69"/>
      <c r="BS272" s="64"/>
      <c r="BT272" s="69"/>
      <c r="BU272" t="b">
        <f t="shared" si="4"/>
        <v>0</v>
      </c>
    </row>
    <row r="273" spans="1:73" x14ac:dyDescent="0.25">
      <c r="A273" s="28"/>
      <c r="B273" s="29"/>
      <c r="C273" s="29"/>
      <c r="D273" s="30"/>
      <c r="E273" s="29"/>
      <c r="F273" s="30"/>
      <c r="G273" s="29"/>
      <c r="H273" s="69"/>
      <c r="I273" s="64"/>
      <c r="J273" s="69"/>
      <c r="K273" s="64"/>
      <c r="L273" s="69"/>
      <c r="M273" s="65"/>
      <c r="N273" s="69"/>
      <c r="O273" s="64"/>
      <c r="P273" s="69"/>
      <c r="Q273" s="64"/>
      <c r="R273" s="69"/>
      <c r="S273" s="64"/>
      <c r="T273" s="69"/>
      <c r="U273" s="64"/>
      <c r="V273" s="69"/>
      <c r="W273" s="65"/>
      <c r="X273" s="69"/>
      <c r="Y273" s="64"/>
      <c r="Z273" s="69"/>
      <c r="AA273" s="64"/>
      <c r="AB273" s="69"/>
      <c r="AC273" s="64"/>
      <c r="AD273" s="69"/>
      <c r="AE273" s="65"/>
      <c r="AF273" s="69"/>
      <c r="AG273" s="65"/>
      <c r="AH273" s="69"/>
      <c r="AI273" s="64"/>
      <c r="AJ273" s="69"/>
      <c r="AK273" s="64"/>
      <c r="AL273" s="69"/>
      <c r="AM273" s="64"/>
      <c r="AN273" s="69"/>
      <c r="AO273" s="64"/>
      <c r="AP273" s="69"/>
      <c r="AQ273" s="64"/>
      <c r="AR273" s="69"/>
      <c r="AS273" s="64"/>
      <c r="AT273" s="69"/>
      <c r="AU273" s="64"/>
      <c r="AV273" s="69"/>
      <c r="AW273" s="64"/>
      <c r="AX273" s="69"/>
      <c r="AY273" s="64"/>
      <c r="AZ273" s="69"/>
      <c r="BA273" s="64"/>
      <c r="BB273" s="69"/>
      <c r="BC273" s="64"/>
      <c r="BD273" s="69"/>
      <c r="BE273" s="64"/>
      <c r="BF273" s="69"/>
      <c r="BG273" s="64"/>
      <c r="BH273" s="69"/>
      <c r="BI273" s="64"/>
      <c r="BJ273" s="69"/>
      <c r="BK273" s="64"/>
      <c r="BL273" s="69"/>
      <c r="BM273" s="64"/>
      <c r="BN273" s="69"/>
      <c r="BO273" s="64"/>
      <c r="BP273" s="69"/>
      <c r="BQ273" s="64"/>
      <c r="BR273" s="69"/>
      <c r="BS273" s="64"/>
      <c r="BT273" s="69"/>
      <c r="BU273" t="b">
        <f t="shared" si="4"/>
        <v>0</v>
      </c>
    </row>
    <row r="274" spans="1:73" x14ac:dyDescent="0.25">
      <c r="A274" s="28"/>
      <c r="B274" s="29"/>
      <c r="C274" s="29"/>
      <c r="D274" s="30"/>
      <c r="E274" s="29"/>
      <c r="F274" s="30"/>
      <c r="G274" s="29"/>
      <c r="H274" s="69"/>
      <c r="I274" s="64"/>
      <c r="J274" s="69"/>
      <c r="K274" s="64"/>
      <c r="L274" s="69"/>
      <c r="M274" s="65"/>
      <c r="N274" s="69"/>
      <c r="O274" s="64"/>
      <c r="P274" s="69"/>
      <c r="Q274" s="64"/>
      <c r="R274" s="69"/>
      <c r="S274" s="64"/>
      <c r="T274" s="69"/>
      <c r="U274" s="64"/>
      <c r="V274" s="69"/>
      <c r="W274" s="65"/>
      <c r="X274" s="69"/>
      <c r="Y274" s="64"/>
      <c r="Z274" s="69"/>
      <c r="AA274" s="64"/>
      <c r="AB274" s="69"/>
      <c r="AC274" s="64"/>
      <c r="AD274" s="69"/>
      <c r="AE274" s="65"/>
      <c r="AF274" s="69"/>
      <c r="AG274" s="65"/>
      <c r="AH274" s="69"/>
      <c r="AI274" s="64"/>
      <c r="AJ274" s="69"/>
      <c r="AK274" s="64"/>
      <c r="AL274" s="69"/>
      <c r="AM274" s="64"/>
      <c r="AN274" s="69"/>
      <c r="AO274" s="64"/>
      <c r="AP274" s="69"/>
      <c r="AQ274" s="64"/>
      <c r="AR274" s="69"/>
      <c r="AS274" s="64"/>
      <c r="AT274" s="69"/>
      <c r="AU274" s="64"/>
      <c r="AV274" s="69"/>
      <c r="AW274" s="64"/>
      <c r="AX274" s="69"/>
      <c r="AY274" s="64"/>
      <c r="AZ274" s="69"/>
      <c r="BA274" s="64"/>
      <c r="BB274" s="69"/>
      <c r="BC274" s="64"/>
      <c r="BD274" s="69"/>
      <c r="BE274" s="64"/>
      <c r="BF274" s="69"/>
      <c r="BG274" s="64"/>
      <c r="BH274" s="69"/>
      <c r="BI274" s="64"/>
      <c r="BJ274" s="69"/>
      <c r="BK274" s="64"/>
      <c r="BL274" s="69"/>
      <c r="BM274" s="64"/>
      <c r="BN274" s="69"/>
      <c r="BO274" s="64"/>
      <c r="BP274" s="69"/>
      <c r="BQ274" s="64"/>
      <c r="BR274" s="69"/>
      <c r="BS274" s="64"/>
      <c r="BT274" s="69"/>
      <c r="BU274" t="b">
        <f t="shared" si="4"/>
        <v>0</v>
      </c>
    </row>
    <row r="275" spans="1:73" x14ac:dyDescent="0.25">
      <c r="A275" s="28"/>
      <c r="B275" s="29"/>
      <c r="C275" s="29"/>
      <c r="D275" s="30"/>
      <c r="E275" s="29"/>
      <c r="F275" s="30"/>
      <c r="G275" s="29"/>
      <c r="H275" s="69"/>
      <c r="I275" s="64"/>
      <c r="J275" s="69"/>
      <c r="K275" s="64"/>
      <c r="L275" s="69"/>
      <c r="M275" s="65"/>
      <c r="N275" s="69"/>
      <c r="O275" s="64"/>
      <c r="P275" s="69"/>
      <c r="Q275" s="64"/>
      <c r="R275" s="69"/>
      <c r="S275" s="64"/>
      <c r="T275" s="69"/>
      <c r="U275" s="64"/>
      <c r="V275" s="69"/>
      <c r="W275" s="65"/>
      <c r="X275" s="69"/>
      <c r="Y275" s="64"/>
      <c r="Z275" s="69"/>
      <c r="AA275" s="64"/>
      <c r="AB275" s="69"/>
      <c r="AC275" s="64"/>
      <c r="AD275" s="69"/>
      <c r="AE275" s="65"/>
      <c r="AF275" s="69"/>
      <c r="AG275" s="65"/>
      <c r="AH275" s="69"/>
      <c r="AI275" s="64"/>
      <c r="AJ275" s="69"/>
      <c r="AK275" s="64"/>
      <c r="AL275" s="69"/>
      <c r="AM275" s="64"/>
      <c r="AN275" s="69"/>
      <c r="AO275" s="64"/>
      <c r="AP275" s="69"/>
      <c r="AQ275" s="64"/>
      <c r="AR275" s="69"/>
      <c r="AS275" s="64"/>
      <c r="AT275" s="69"/>
      <c r="AU275" s="64"/>
      <c r="AV275" s="69"/>
      <c r="AW275" s="64"/>
      <c r="AX275" s="69"/>
      <c r="AY275" s="64"/>
      <c r="AZ275" s="69"/>
      <c r="BA275" s="64"/>
      <c r="BB275" s="69"/>
      <c r="BC275" s="64"/>
      <c r="BD275" s="69"/>
      <c r="BE275" s="64"/>
      <c r="BF275" s="69"/>
      <c r="BG275" s="64"/>
      <c r="BH275" s="69"/>
      <c r="BI275" s="64"/>
      <c r="BJ275" s="69"/>
      <c r="BK275" s="64"/>
      <c r="BL275" s="69"/>
      <c r="BM275" s="64"/>
      <c r="BN275" s="69"/>
      <c r="BO275" s="64"/>
      <c r="BP275" s="69"/>
      <c r="BQ275" s="64"/>
      <c r="BR275" s="69"/>
      <c r="BS275" s="64"/>
      <c r="BT275" s="69"/>
      <c r="BU275" t="b">
        <f t="shared" si="4"/>
        <v>0</v>
      </c>
    </row>
    <row r="276" spans="1:73" x14ac:dyDescent="0.25">
      <c r="A276" s="28"/>
      <c r="B276" s="29"/>
      <c r="C276" s="29"/>
      <c r="D276" s="30"/>
      <c r="E276" s="29"/>
      <c r="F276" s="30"/>
      <c r="G276" s="29"/>
      <c r="H276" s="69"/>
      <c r="I276" s="64"/>
      <c r="J276" s="69"/>
      <c r="K276" s="64"/>
      <c r="L276" s="69"/>
      <c r="M276" s="65"/>
      <c r="N276" s="69"/>
      <c r="O276" s="64"/>
      <c r="P276" s="69"/>
      <c r="Q276" s="64"/>
      <c r="R276" s="69"/>
      <c r="S276" s="64"/>
      <c r="T276" s="69"/>
      <c r="U276" s="64"/>
      <c r="V276" s="69"/>
      <c r="W276" s="65"/>
      <c r="X276" s="69"/>
      <c r="Y276" s="64"/>
      <c r="Z276" s="69"/>
      <c r="AA276" s="64"/>
      <c r="AB276" s="69"/>
      <c r="AC276" s="64"/>
      <c r="AD276" s="69"/>
      <c r="AE276" s="65"/>
      <c r="AF276" s="69"/>
      <c r="AG276" s="65"/>
      <c r="AH276" s="69"/>
      <c r="AI276" s="64"/>
      <c r="AJ276" s="69"/>
      <c r="AK276" s="64"/>
      <c r="AL276" s="69"/>
      <c r="AM276" s="64"/>
      <c r="AN276" s="69"/>
      <c r="AO276" s="64"/>
      <c r="AP276" s="69"/>
      <c r="AQ276" s="64"/>
      <c r="AR276" s="69"/>
      <c r="AS276" s="64"/>
      <c r="AT276" s="69"/>
      <c r="AU276" s="64"/>
      <c r="AV276" s="69"/>
      <c r="AW276" s="64"/>
      <c r="AX276" s="69"/>
      <c r="AY276" s="64"/>
      <c r="AZ276" s="69"/>
      <c r="BA276" s="64"/>
      <c r="BB276" s="69"/>
      <c r="BC276" s="64"/>
      <c r="BD276" s="69"/>
      <c r="BE276" s="64"/>
      <c r="BF276" s="69"/>
      <c r="BG276" s="64"/>
      <c r="BH276" s="69"/>
      <c r="BI276" s="64"/>
      <c r="BJ276" s="69"/>
      <c r="BK276" s="64"/>
      <c r="BL276" s="69"/>
      <c r="BM276" s="64"/>
      <c r="BN276" s="69"/>
      <c r="BO276" s="64"/>
      <c r="BP276" s="69"/>
      <c r="BQ276" s="64"/>
      <c r="BR276" s="69"/>
      <c r="BS276" s="64"/>
      <c r="BT276" s="69"/>
      <c r="BU276" t="b">
        <f t="shared" si="4"/>
        <v>0</v>
      </c>
    </row>
    <row r="277" spans="1:73" x14ac:dyDescent="0.25">
      <c r="A277" s="28"/>
      <c r="B277" s="29"/>
      <c r="C277" s="29"/>
      <c r="D277" s="30"/>
      <c r="E277" s="29"/>
      <c r="F277" s="30"/>
      <c r="G277" s="29"/>
      <c r="H277" s="69"/>
      <c r="I277" s="64"/>
      <c r="J277" s="69"/>
      <c r="K277" s="64"/>
      <c r="L277" s="69"/>
      <c r="M277" s="65"/>
      <c r="N277" s="69"/>
      <c r="O277" s="64"/>
      <c r="P277" s="69"/>
      <c r="Q277" s="64"/>
      <c r="R277" s="69"/>
      <c r="S277" s="64"/>
      <c r="T277" s="69"/>
      <c r="U277" s="64"/>
      <c r="V277" s="69"/>
      <c r="W277" s="65"/>
      <c r="X277" s="69"/>
      <c r="Y277" s="64"/>
      <c r="Z277" s="69"/>
      <c r="AA277" s="64"/>
      <c r="AB277" s="69"/>
      <c r="AC277" s="64"/>
      <c r="AD277" s="69"/>
      <c r="AE277" s="65"/>
      <c r="AF277" s="69"/>
      <c r="AG277" s="65"/>
      <c r="AH277" s="69"/>
      <c r="AI277" s="64"/>
      <c r="AJ277" s="69"/>
      <c r="AK277" s="64"/>
      <c r="AL277" s="69"/>
      <c r="AM277" s="64"/>
      <c r="AN277" s="69"/>
      <c r="AO277" s="64"/>
      <c r="AP277" s="69"/>
      <c r="AQ277" s="64"/>
      <c r="AR277" s="69"/>
      <c r="AS277" s="64"/>
      <c r="AT277" s="69"/>
      <c r="AU277" s="64"/>
      <c r="AV277" s="69"/>
      <c r="AW277" s="64"/>
      <c r="AX277" s="69"/>
      <c r="AY277" s="64"/>
      <c r="AZ277" s="69"/>
      <c r="BA277" s="64"/>
      <c r="BB277" s="69"/>
      <c r="BC277" s="64"/>
      <c r="BD277" s="69"/>
      <c r="BE277" s="64"/>
      <c r="BF277" s="69"/>
      <c r="BG277" s="64"/>
      <c r="BH277" s="69"/>
      <c r="BI277" s="64"/>
      <c r="BJ277" s="69"/>
      <c r="BK277" s="64"/>
      <c r="BL277" s="69"/>
      <c r="BM277" s="64"/>
      <c r="BN277" s="69"/>
      <c r="BO277" s="64"/>
      <c r="BP277" s="69"/>
      <c r="BQ277" s="64"/>
      <c r="BR277" s="69"/>
      <c r="BS277" s="64"/>
      <c r="BT277" s="69"/>
      <c r="BU277" t="b">
        <f t="shared" si="4"/>
        <v>0</v>
      </c>
    </row>
    <row r="278" spans="1:73" x14ac:dyDescent="0.25">
      <c r="A278" s="28"/>
      <c r="B278" s="29"/>
      <c r="C278" s="29"/>
      <c r="D278" s="30"/>
      <c r="E278" s="29"/>
      <c r="F278" s="30"/>
      <c r="G278" s="29"/>
      <c r="H278" s="69"/>
      <c r="I278" s="64"/>
      <c r="J278" s="69"/>
      <c r="K278" s="64"/>
      <c r="L278" s="69"/>
      <c r="M278" s="65"/>
      <c r="N278" s="69"/>
      <c r="O278" s="64"/>
      <c r="P278" s="69"/>
      <c r="Q278" s="64"/>
      <c r="R278" s="69"/>
      <c r="S278" s="64"/>
      <c r="T278" s="69"/>
      <c r="U278" s="64"/>
      <c r="V278" s="69"/>
      <c r="W278" s="65"/>
      <c r="X278" s="69"/>
      <c r="Y278" s="64"/>
      <c r="Z278" s="69"/>
      <c r="AA278" s="64"/>
      <c r="AB278" s="69"/>
      <c r="AC278" s="64"/>
      <c r="AD278" s="69"/>
      <c r="AE278" s="65"/>
      <c r="AF278" s="69"/>
      <c r="AG278" s="65"/>
      <c r="AH278" s="69"/>
      <c r="AI278" s="64"/>
      <c r="AJ278" s="69"/>
      <c r="AK278" s="64"/>
      <c r="AL278" s="69"/>
      <c r="AM278" s="64"/>
      <c r="AN278" s="69"/>
      <c r="AO278" s="64"/>
      <c r="AP278" s="69"/>
      <c r="AQ278" s="64"/>
      <c r="AR278" s="69"/>
      <c r="AS278" s="64"/>
      <c r="AT278" s="69"/>
      <c r="AU278" s="64"/>
      <c r="AV278" s="69"/>
      <c r="AW278" s="64"/>
      <c r="AX278" s="69"/>
      <c r="AY278" s="64"/>
      <c r="AZ278" s="69"/>
      <c r="BA278" s="64"/>
      <c r="BB278" s="69"/>
      <c r="BC278" s="64"/>
      <c r="BD278" s="69"/>
      <c r="BE278" s="64"/>
      <c r="BF278" s="69"/>
      <c r="BG278" s="64"/>
      <c r="BH278" s="69"/>
      <c r="BI278" s="64"/>
      <c r="BJ278" s="69"/>
      <c r="BK278" s="64"/>
      <c r="BL278" s="69"/>
      <c r="BM278" s="64"/>
      <c r="BN278" s="69"/>
      <c r="BO278" s="64"/>
      <c r="BP278" s="69"/>
      <c r="BQ278" s="64"/>
      <c r="BR278" s="69"/>
      <c r="BS278" s="64"/>
      <c r="BT278" s="69"/>
      <c r="BU278" t="b">
        <f t="shared" si="4"/>
        <v>0</v>
      </c>
    </row>
    <row r="279" spans="1:73" x14ac:dyDescent="0.25">
      <c r="A279" s="28"/>
      <c r="B279" s="29"/>
      <c r="C279" s="29"/>
      <c r="D279" s="30"/>
      <c r="E279" s="29"/>
      <c r="F279" s="30"/>
      <c r="G279" s="29"/>
      <c r="H279" s="69"/>
      <c r="I279" s="64"/>
      <c r="J279" s="69"/>
      <c r="K279" s="64"/>
      <c r="L279" s="69"/>
      <c r="M279" s="65"/>
      <c r="N279" s="69"/>
      <c r="O279" s="64"/>
      <c r="P279" s="69"/>
      <c r="Q279" s="64"/>
      <c r="R279" s="69"/>
      <c r="S279" s="64"/>
      <c r="T279" s="69"/>
      <c r="U279" s="64"/>
      <c r="V279" s="69"/>
      <c r="W279" s="65"/>
      <c r="X279" s="69"/>
      <c r="Y279" s="64"/>
      <c r="Z279" s="69"/>
      <c r="AA279" s="64"/>
      <c r="AB279" s="69"/>
      <c r="AC279" s="64"/>
      <c r="AD279" s="69"/>
      <c r="AE279" s="65"/>
      <c r="AF279" s="69"/>
      <c r="AG279" s="65"/>
      <c r="AH279" s="69"/>
      <c r="AI279" s="64"/>
      <c r="AJ279" s="69"/>
      <c r="AK279" s="64"/>
      <c r="AL279" s="69"/>
      <c r="AM279" s="64"/>
      <c r="AN279" s="69"/>
      <c r="AO279" s="64"/>
      <c r="AP279" s="69"/>
      <c r="AQ279" s="64"/>
      <c r="AR279" s="69"/>
      <c r="AS279" s="64"/>
      <c r="AT279" s="69"/>
      <c r="AU279" s="64"/>
      <c r="AV279" s="69"/>
      <c r="AW279" s="64"/>
      <c r="AX279" s="69"/>
      <c r="AY279" s="64"/>
      <c r="AZ279" s="69"/>
      <c r="BA279" s="64"/>
      <c r="BB279" s="69"/>
      <c r="BC279" s="64"/>
      <c r="BD279" s="69"/>
      <c r="BE279" s="64"/>
      <c r="BF279" s="69"/>
      <c r="BG279" s="64"/>
      <c r="BH279" s="69"/>
      <c r="BI279" s="64"/>
      <c r="BJ279" s="69"/>
      <c r="BK279" s="64"/>
      <c r="BL279" s="69"/>
      <c r="BM279" s="64"/>
      <c r="BN279" s="69"/>
      <c r="BO279" s="64"/>
      <c r="BP279" s="69"/>
      <c r="BQ279" s="64"/>
      <c r="BR279" s="69"/>
      <c r="BS279" s="64"/>
      <c r="BT279" s="69"/>
      <c r="BU279" t="b">
        <f t="shared" si="4"/>
        <v>0</v>
      </c>
    </row>
    <row r="280" spans="1:73" x14ac:dyDescent="0.25">
      <c r="A280" s="28"/>
      <c r="B280" s="29"/>
      <c r="C280" s="29"/>
      <c r="D280" s="30"/>
      <c r="E280" s="29"/>
      <c r="F280" s="30"/>
      <c r="G280" s="29"/>
      <c r="H280" s="69"/>
      <c r="I280" s="64"/>
      <c r="J280" s="69"/>
      <c r="K280" s="64"/>
      <c r="L280" s="69"/>
      <c r="M280" s="65"/>
      <c r="N280" s="69"/>
      <c r="O280" s="64"/>
      <c r="P280" s="69"/>
      <c r="Q280" s="64"/>
      <c r="R280" s="69"/>
      <c r="S280" s="64"/>
      <c r="T280" s="69"/>
      <c r="U280" s="64"/>
      <c r="V280" s="69"/>
      <c r="W280" s="65"/>
      <c r="X280" s="69"/>
      <c r="Y280" s="64"/>
      <c r="Z280" s="69"/>
      <c r="AA280" s="64"/>
      <c r="AB280" s="69"/>
      <c r="AC280" s="64"/>
      <c r="AD280" s="69"/>
      <c r="AE280" s="65"/>
      <c r="AF280" s="69"/>
      <c r="AG280" s="65"/>
      <c r="AH280" s="69"/>
      <c r="AI280" s="64"/>
      <c r="AJ280" s="69"/>
      <c r="AK280" s="64"/>
      <c r="AL280" s="69"/>
      <c r="AM280" s="64"/>
      <c r="AN280" s="69"/>
      <c r="AO280" s="64"/>
      <c r="AP280" s="69"/>
      <c r="AQ280" s="64"/>
      <c r="AR280" s="69"/>
      <c r="AS280" s="64"/>
      <c r="AT280" s="69"/>
      <c r="AU280" s="64"/>
      <c r="AV280" s="69"/>
      <c r="AW280" s="64"/>
      <c r="AX280" s="69"/>
      <c r="AY280" s="64"/>
      <c r="AZ280" s="69"/>
      <c r="BA280" s="64"/>
      <c r="BB280" s="69"/>
      <c r="BC280" s="64"/>
      <c r="BD280" s="69"/>
      <c r="BE280" s="64"/>
      <c r="BF280" s="69"/>
      <c r="BG280" s="64"/>
      <c r="BH280" s="69"/>
      <c r="BI280" s="64"/>
      <c r="BJ280" s="69"/>
      <c r="BK280" s="64"/>
      <c r="BL280" s="69"/>
      <c r="BM280" s="64"/>
      <c r="BN280" s="69"/>
      <c r="BO280" s="64"/>
      <c r="BP280" s="69"/>
      <c r="BQ280" s="64"/>
      <c r="BR280" s="69"/>
      <c r="BS280" s="64"/>
      <c r="BT280" s="69"/>
      <c r="BU280" t="b">
        <f t="shared" si="4"/>
        <v>0</v>
      </c>
    </row>
    <row r="281" spans="1:73" x14ac:dyDescent="0.25">
      <c r="A281" s="28"/>
      <c r="B281" s="29"/>
      <c r="C281" s="29"/>
      <c r="D281" s="30"/>
      <c r="E281" s="29"/>
      <c r="F281" s="30"/>
      <c r="G281" s="29"/>
      <c r="H281" s="69"/>
      <c r="I281" s="64"/>
      <c r="J281" s="69"/>
      <c r="K281" s="64"/>
      <c r="L281" s="69"/>
      <c r="M281" s="65"/>
      <c r="N281" s="69"/>
      <c r="O281" s="64"/>
      <c r="P281" s="69"/>
      <c r="Q281" s="64"/>
      <c r="R281" s="69"/>
      <c r="S281" s="64"/>
      <c r="T281" s="69"/>
      <c r="U281" s="64"/>
      <c r="V281" s="69"/>
      <c r="W281" s="65"/>
      <c r="X281" s="69"/>
      <c r="Y281" s="64"/>
      <c r="Z281" s="69"/>
      <c r="AA281" s="64"/>
      <c r="AB281" s="69"/>
      <c r="AC281" s="64"/>
      <c r="AD281" s="69"/>
      <c r="AE281" s="65"/>
      <c r="AF281" s="69"/>
      <c r="AG281" s="65"/>
      <c r="AH281" s="69"/>
      <c r="AI281" s="64"/>
      <c r="AJ281" s="69"/>
      <c r="AK281" s="64"/>
      <c r="AL281" s="69"/>
      <c r="AM281" s="64"/>
      <c r="AN281" s="69"/>
      <c r="AO281" s="64"/>
      <c r="AP281" s="69"/>
      <c r="AQ281" s="64"/>
      <c r="AR281" s="69"/>
      <c r="AS281" s="64"/>
      <c r="AT281" s="69"/>
      <c r="AU281" s="64"/>
      <c r="AV281" s="69"/>
      <c r="AW281" s="64"/>
      <c r="AX281" s="69"/>
      <c r="AY281" s="64"/>
      <c r="AZ281" s="69"/>
      <c r="BA281" s="64"/>
      <c r="BB281" s="69"/>
      <c r="BC281" s="64"/>
      <c r="BD281" s="69"/>
      <c r="BE281" s="64"/>
      <c r="BF281" s="69"/>
      <c r="BG281" s="64"/>
      <c r="BH281" s="69"/>
      <c r="BI281" s="64"/>
      <c r="BJ281" s="69"/>
      <c r="BK281" s="64"/>
      <c r="BL281" s="69"/>
      <c r="BM281" s="64"/>
      <c r="BN281" s="69"/>
      <c r="BO281" s="64"/>
      <c r="BP281" s="69"/>
      <c r="BQ281" s="64"/>
      <c r="BR281" s="69"/>
      <c r="BS281" s="64"/>
      <c r="BT281" s="69"/>
      <c r="BU281" t="b">
        <f t="shared" si="4"/>
        <v>0</v>
      </c>
    </row>
    <row r="282" spans="1:73" x14ac:dyDescent="0.25">
      <c r="A282" s="28"/>
      <c r="B282" s="29"/>
      <c r="C282" s="29"/>
      <c r="D282" s="30"/>
      <c r="E282" s="29"/>
      <c r="F282" s="30"/>
      <c r="G282" s="29"/>
      <c r="H282" s="69"/>
      <c r="I282" s="64"/>
      <c r="J282" s="69"/>
      <c r="K282" s="64"/>
      <c r="L282" s="69"/>
      <c r="M282" s="65"/>
      <c r="N282" s="69"/>
      <c r="O282" s="64"/>
      <c r="P282" s="69"/>
      <c r="Q282" s="64"/>
      <c r="R282" s="69"/>
      <c r="S282" s="64"/>
      <c r="T282" s="69"/>
      <c r="U282" s="64"/>
      <c r="V282" s="69"/>
      <c r="W282" s="65"/>
      <c r="X282" s="69"/>
      <c r="Y282" s="64"/>
      <c r="Z282" s="69"/>
      <c r="AA282" s="64"/>
      <c r="AB282" s="69"/>
      <c r="AC282" s="64"/>
      <c r="AD282" s="69"/>
      <c r="AE282" s="65"/>
      <c r="AF282" s="69"/>
      <c r="AG282" s="65"/>
      <c r="AH282" s="69"/>
      <c r="AI282" s="64"/>
      <c r="AJ282" s="69"/>
      <c r="AK282" s="64"/>
      <c r="AL282" s="69"/>
      <c r="AM282" s="64"/>
      <c r="AN282" s="69"/>
      <c r="AO282" s="64"/>
      <c r="AP282" s="69"/>
      <c r="AQ282" s="64"/>
      <c r="AR282" s="69"/>
      <c r="AS282" s="64"/>
      <c r="AT282" s="69"/>
      <c r="AU282" s="64"/>
      <c r="AV282" s="69"/>
      <c r="AW282" s="64"/>
      <c r="AX282" s="69"/>
      <c r="AY282" s="64"/>
      <c r="AZ282" s="69"/>
      <c r="BA282" s="64"/>
      <c r="BB282" s="69"/>
      <c r="BC282" s="64"/>
      <c r="BD282" s="69"/>
      <c r="BE282" s="64"/>
      <c r="BF282" s="69"/>
      <c r="BG282" s="64"/>
      <c r="BH282" s="69"/>
      <c r="BI282" s="64"/>
      <c r="BJ282" s="69"/>
      <c r="BK282" s="64"/>
      <c r="BL282" s="69"/>
      <c r="BM282" s="64"/>
      <c r="BN282" s="69"/>
      <c r="BO282" s="64"/>
      <c r="BP282" s="69"/>
      <c r="BQ282" s="64"/>
      <c r="BR282" s="69"/>
      <c r="BS282" s="64"/>
      <c r="BT282" s="69"/>
      <c r="BU282" t="b">
        <f t="shared" si="4"/>
        <v>0</v>
      </c>
    </row>
    <row r="283" spans="1:73" x14ac:dyDescent="0.25">
      <c r="A283" s="28"/>
      <c r="B283" s="29"/>
      <c r="C283" s="29"/>
      <c r="D283" s="30"/>
      <c r="E283" s="29"/>
      <c r="F283" s="30"/>
      <c r="G283" s="29"/>
      <c r="H283" s="69"/>
      <c r="I283" s="64"/>
      <c r="J283" s="69"/>
      <c r="K283" s="64"/>
      <c r="L283" s="69"/>
      <c r="M283" s="65"/>
      <c r="N283" s="69"/>
      <c r="O283" s="64"/>
      <c r="P283" s="69"/>
      <c r="Q283" s="64"/>
      <c r="R283" s="69"/>
      <c r="S283" s="64"/>
      <c r="T283" s="69"/>
      <c r="U283" s="64"/>
      <c r="V283" s="69"/>
      <c r="W283" s="65"/>
      <c r="X283" s="69"/>
      <c r="Y283" s="64"/>
      <c r="Z283" s="69"/>
      <c r="AA283" s="64"/>
      <c r="AB283" s="69"/>
      <c r="AC283" s="64"/>
      <c r="AD283" s="69"/>
      <c r="AE283" s="65"/>
      <c r="AF283" s="69"/>
      <c r="AG283" s="65"/>
      <c r="AH283" s="69"/>
      <c r="AI283" s="64"/>
      <c r="AJ283" s="69"/>
      <c r="AK283" s="64"/>
      <c r="AL283" s="69"/>
      <c r="AM283" s="64"/>
      <c r="AN283" s="69"/>
      <c r="AO283" s="64"/>
      <c r="AP283" s="69"/>
      <c r="AQ283" s="64"/>
      <c r="AR283" s="69"/>
      <c r="AS283" s="64"/>
      <c r="AT283" s="69"/>
      <c r="AU283" s="64"/>
      <c r="AV283" s="69"/>
      <c r="AW283" s="64"/>
      <c r="AX283" s="69"/>
      <c r="AY283" s="64"/>
      <c r="AZ283" s="69"/>
      <c r="BA283" s="64"/>
      <c r="BB283" s="69"/>
      <c r="BC283" s="64"/>
      <c r="BD283" s="69"/>
      <c r="BE283" s="64"/>
      <c r="BF283" s="69"/>
      <c r="BG283" s="64"/>
      <c r="BH283" s="69"/>
      <c r="BI283" s="64"/>
      <c r="BJ283" s="69"/>
      <c r="BK283" s="64"/>
      <c r="BL283" s="69"/>
      <c r="BM283" s="64"/>
      <c r="BN283" s="69"/>
      <c r="BO283" s="64"/>
      <c r="BP283" s="69"/>
      <c r="BQ283" s="64"/>
      <c r="BR283" s="69"/>
      <c r="BS283" s="64"/>
      <c r="BT283" s="69"/>
      <c r="BU283" t="b">
        <f t="shared" si="4"/>
        <v>0</v>
      </c>
    </row>
    <row r="284" spans="1:73" x14ac:dyDescent="0.25">
      <c r="A284" s="28"/>
      <c r="B284" s="29"/>
      <c r="C284" s="29"/>
      <c r="D284" s="30"/>
      <c r="E284" s="29"/>
      <c r="F284" s="30"/>
      <c r="G284" s="29"/>
      <c r="H284" s="69"/>
      <c r="I284" s="64"/>
      <c r="J284" s="69"/>
      <c r="K284" s="64"/>
      <c r="L284" s="69"/>
      <c r="M284" s="65"/>
      <c r="N284" s="69"/>
      <c r="O284" s="64"/>
      <c r="P284" s="69"/>
      <c r="Q284" s="64"/>
      <c r="R284" s="69"/>
      <c r="S284" s="64"/>
      <c r="T284" s="69"/>
      <c r="U284" s="64"/>
      <c r="V284" s="69"/>
      <c r="W284" s="65"/>
      <c r="X284" s="69"/>
      <c r="Y284" s="64"/>
      <c r="Z284" s="69"/>
      <c r="AA284" s="64"/>
      <c r="AB284" s="69"/>
      <c r="AC284" s="64"/>
      <c r="AD284" s="69"/>
      <c r="AE284" s="65"/>
      <c r="AF284" s="69"/>
      <c r="AG284" s="65"/>
      <c r="AH284" s="69"/>
      <c r="AI284" s="64"/>
      <c r="AJ284" s="69"/>
      <c r="AK284" s="64"/>
      <c r="AL284" s="69"/>
      <c r="AM284" s="64"/>
      <c r="AN284" s="69"/>
      <c r="AO284" s="64"/>
      <c r="AP284" s="69"/>
      <c r="AQ284" s="64"/>
      <c r="AR284" s="69"/>
      <c r="AS284" s="64"/>
      <c r="AT284" s="69"/>
      <c r="AU284" s="64"/>
      <c r="AV284" s="69"/>
      <c r="AW284" s="64"/>
      <c r="AX284" s="69"/>
      <c r="AY284" s="64"/>
      <c r="AZ284" s="69"/>
      <c r="BA284" s="64"/>
      <c r="BB284" s="69"/>
      <c r="BC284" s="64"/>
      <c r="BD284" s="69"/>
      <c r="BE284" s="64"/>
      <c r="BF284" s="69"/>
      <c r="BG284" s="64"/>
      <c r="BH284" s="69"/>
      <c r="BI284" s="64"/>
      <c r="BJ284" s="69"/>
      <c r="BK284" s="64"/>
      <c r="BL284" s="69"/>
      <c r="BM284" s="64"/>
      <c r="BN284" s="69"/>
      <c r="BO284" s="64"/>
      <c r="BP284" s="69"/>
      <c r="BQ284" s="64"/>
      <c r="BR284" s="69"/>
      <c r="BS284" s="64"/>
      <c r="BT284" s="69"/>
      <c r="BU284" t="b">
        <f t="shared" si="4"/>
        <v>0</v>
      </c>
    </row>
    <row r="285" spans="1:73" x14ac:dyDescent="0.25">
      <c r="A285" s="28"/>
      <c r="B285" s="29"/>
      <c r="C285" s="29"/>
      <c r="D285" s="30"/>
      <c r="E285" s="29"/>
      <c r="F285" s="30"/>
      <c r="G285" s="29"/>
      <c r="H285" s="69"/>
      <c r="I285" s="64"/>
      <c r="J285" s="69"/>
      <c r="K285" s="64"/>
      <c r="L285" s="69"/>
      <c r="M285" s="65"/>
      <c r="N285" s="69"/>
      <c r="O285" s="64"/>
      <c r="P285" s="69"/>
      <c r="Q285" s="64"/>
      <c r="R285" s="69"/>
      <c r="S285" s="64"/>
      <c r="T285" s="69"/>
      <c r="U285" s="64"/>
      <c r="V285" s="69"/>
      <c r="W285" s="65"/>
      <c r="X285" s="69"/>
      <c r="Y285" s="64"/>
      <c r="Z285" s="69"/>
      <c r="AA285" s="64"/>
      <c r="AB285" s="69"/>
      <c r="AC285" s="64"/>
      <c r="AD285" s="69"/>
      <c r="AE285" s="65"/>
      <c r="AF285" s="69"/>
      <c r="AG285" s="65"/>
      <c r="AH285" s="69"/>
      <c r="AI285" s="64"/>
      <c r="AJ285" s="69"/>
      <c r="AK285" s="64"/>
      <c r="AL285" s="69"/>
      <c r="AM285" s="64"/>
      <c r="AN285" s="69"/>
      <c r="AO285" s="64"/>
      <c r="AP285" s="69"/>
      <c r="AQ285" s="64"/>
      <c r="AR285" s="69"/>
      <c r="AS285" s="64"/>
      <c r="AT285" s="69"/>
      <c r="AU285" s="64"/>
      <c r="AV285" s="69"/>
      <c r="AW285" s="64"/>
      <c r="AX285" s="69"/>
      <c r="AY285" s="64"/>
      <c r="AZ285" s="69"/>
      <c r="BA285" s="64"/>
      <c r="BB285" s="69"/>
      <c r="BC285" s="64"/>
      <c r="BD285" s="69"/>
      <c r="BE285" s="64"/>
      <c r="BF285" s="69"/>
      <c r="BG285" s="64"/>
      <c r="BH285" s="69"/>
      <c r="BI285" s="64"/>
      <c r="BJ285" s="69"/>
      <c r="BK285" s="64"/>
      <c r="BL285" s="69"/>
      <c r="BM285" s="64"/>
      <c r="BN285" s="69"/>
      <c r="BO285" s="64"/>
      <c r="BP285" s="69"/>
      <c r="BQ285" s="64"/>
      <c r="BR285" s="69"/>
      <c r="BS285" s="64"/>
      <c r="BT285" s="69"/>
      <c r="BU285" t="b">
        <f t="shared" si="4"/>
        <v>0</v>
      </c>
    </row>
    <row r="286" spans="1:73" x14ac:dyDescent="0.25">
      <c r="A286" s="28"/>
      <c r="B286" s="29"/>
      <c r="C286" s="29"/>
      <c r="D286" s="30"/>
      <c r="E286" s="29"/>
      <c r="F286" s="30"/>
      <c r="G286" s="29"/>
      <c r="H286" s="69"/>
      <c r="I286" s="64"/>
      <c r="J286" s="69"/>
      <c r="K286" s="64"/>
      <c r="L286" s="69"/>
      <c r="M286" s="65"/>
      <c r="N286" s="69"/>
      <c r="O286" s="64"/>
      <c r="P286" s="69"/>
      <c r="Q286" s="64"/>
      <c r="R286" s="69"/>
      <c r="S286" s="64"/>
      <c r="T286" s="69"/>
      <c r="U286" s="64"/>
      <c r="V286" s="69"/>
      <c r="W286" s="65"/>
      <c r="X286" s="69"/>
      <c r="Y286" s="64"/>
      <c r="Z286" s="69"/>
      <c r="AA286" s="64"/>
      <c r="AB286" s="69"/>
      <c r="AC286" s="64"/>
      <c r="AD286" s="69"/>
      <c r="AE286" s="65"/>
      <c r="AF286" s="69"/>
      <c r="AG286" s="65"/>
      <c r="AH286" s="69"/>
      <c r="AI286" s="64"/>
      <c r="AJ286" s="69"/>
      <c r="AK286" s="64"/>
      <c r="AL286" s="69"/>
      <c r="AM286" s="64"/>
      <c r="AN286" s="69"/>
      <c r="AO286" s="64"/>
      <c r="AP286" s="69"/>
      <c r="AQ286" s="64"/>
      <c r="AR286" s="69"/>
      <c r="AS286" s="64"/>
      <c r="AT286" s="69"/>
      <c r="AU286" s="64"/>
      <c r="AV286" s="69"/>
      <c r="AW286" s="64"/>
      <c r="AX286" s="69"/>
      <c r="AY286" s="64"/>
      <c r="AZ286" s="69"/>
      <c r="BA286" s="64"/>
      <c r="BB286" s="69"/>
      <c r="BC286" s="64"/>
      <c r="BD286" s="69"/>
      <c r="BE286" s="64"/>
      <c r="BF286" s="69"/>
      <c r="BG286" s="64"/>
      <c r="BH286" s="69"/>
      <c r="BI286" s="64"/>
      <c r="BJ286" s="69"/>
      <c r="BK286" s="64"/>
      <c r="BL286" s="69"/>
      <c r="BM286" s="64"/>
      <c r="BN286" s="69"/>
      <c r="BO286" s="64"/>
      <c r="BP286" s="69"/>
      <c r="BQ286" s="64"/>
      <c r="BR286" s="69"/>
      <c r="BS286" s="64"/>
      <c r="BT286" s="69"/>
      <c r="BU286" t="b">
        <f t="shared" si="4"/>
        <v>0</v>
      </c>
    </row>
    <row r="287" spans="1:73" x14ac:dyDescent="0.25">
      <c r="A287" s="28"/>
      <c r="B287" s="29"/>
      <c r="C287" s="29"/>
      <c r="D287" s="30"/>
      <c r="E287" s="29"/>
      <c r="F287" s="30"/>
      <c r="G287" s="29"/>
      <c r="H287" s="69"/>
      <c r="I287" s="64"/>
      <c r="J287" s="69"/>
      <c r="K287" s="64"/>
      <c r="L287" s="69"/>
      <c r="M287" s="65"/>
      <c r="N287" s="69"/>
      <c r="O287" s="64"/>
      <c r="P287" s="69"/>
      <c r="Q287" s="64"/>
      <c r="R287" s="69"/>
      <c r="S287" s="64"/>
      <c r="T287" s="69"/>
      <c r="U287" s="64"/>
      <c r="V287" s="69"/>
      <c r="W287" s="65"/>
      <c r="X287" s="69"/>
      <c r="Y287" s="64"/>
      <c r="Z287" s="69"/>
      <c r="AA287" s="64"/>
      <c r="AB287" s="69"/>
      <c r="AC287" s="64"/>
      <c r="AD287" s="69"/>
      <c r="AE287" s="65"/>
      <c r="AF287" s="69"/>
      <c r="AG287" s="65"/>
      <c r="AH287" s="69"/>
      <c r="AI287" s="64"/>
      <c r="AJ287" s="69"/>
      <c r="AK287" s="64"/>
      <c r="AL287" s="69"/>
      <c r="AM287" s="64"/>
      <c r="AN287" s="69"/>
      <c r="AO287" s="64"/>
      <c r="AP287" s="69"/>
      <c r="AQ287" s="64"/>
      <c r="AR287" s="69"/>
      <c r="AS287" s="64"/>
      <c r="AT287" s="69"/>
      <c r="AU287" s="64"/>
      <c r="AV287" s="69"/>
      <c r="AW287" s="64"/>
      <c r="AX287" s="69"/>
      <c r="AY287" s="64"/>
      <c r="AZ287" s="69"/>
      <c r="BA287" s="64"/>
      <c r="BB287" s="69"/>
      <c r="BC287" s="64"/>
      <c r="BD287" s="69"/>
      <c r="BE287" s="64"/>
      <c r="BF287" s="69"/>
      <c r="BG287" s="64"/>
      <c r="BH287" s="69"/>
      <c r="BI287" s="64"/>
      <c r="BJ287" s="69"/>
      <c r="BK287" s="64"/>
      <c r="BL287" s="69"/>
      <c r="BM287" s="64"/>
      <c r="BN287" s="69"/>
      <c r="BO287" s="64"/>
      <c r="BP287" s="69"/>
      <c r="BQ287" s="64"/>
      <c r="BR287" s="69"/>
      <c r="BS287" s="64"/>
      <c r="BT287" s="69"/>
      <c r="BU287" t="b">
        <f t="shared" si="4"/>
        <v>0</v>
      </c>
    </row>
    <row r="288" spans="1:73" x14ac:dyDescent="0.25">
      <c r="A288" s="28"/>
      <c r="B288" s="29"/>
      <c r="C288" s="29"/>
      <c r="D288" s="30"/>
      <c r="E288" s="29"/>
      <c r="F288" s="30"/>
      <c r="G288" s="29"/>
      <c r="H288" s="69"/>
      <c r="I288" s="64"/>
      <c r="J288" s="69"/>
      <c r="K288" s="64"/>
      <c r="L288" s="69"/>
      <c r="M288" s="65"/>
      <c r="N288" s="69"/>
      <c r="O288" s="64"/>
      <c r="P288" s="69"/>
      <c r="Q288" s="64"/>
      <c r="R288" s="69"/>
      <c r="S288" s="64"/>
      <c r="T288" s="69"/>
      <c r="U288" s="64"/>
      <c r="V288" s="69"/>
      <c r="W288" s="65"/>
      <c r="X288" s="69"/>
      <c r="Y288" s="64"/>
      <c r="Z288" s="69"/>
      <c r="AA288" s="64"/>
      <c r="AB288" s="69"/>
      <c r="AC288" s="64"/>
      <c r="AD288" s="69"/>
      <c r="AE288" s="65"/>
      <c r="AF288" s="69"/>
      <c r="AG288" s="65"/>
      <c r="AH288" s="69"/>
      <c r="AI288" s="64"/>
      <c r="AJ288" s="69"/>
      <c r="AK288" s="64"/>
      <c r="AL288" s="69"/>
      <c r="AM288" s="64"/>
      <c r="AN288" s="69"/>
      <c r="AO288" s="64"/>
      <c r="AP288" s="69"/>
      <c r="AQ288" s="64"/>
      <c r="AR288" s="69"/>
      <c r="AS288" s="64"/>
      <c r="AT288" s="69"/>
      <c r="AU288" s="64"/>
      <c r="AV288" s="69"/>
      <c r="AW288" s="64"/>
      <c r="AX288" s="69"/>
      <c r="AY288" s="64"/>
      <c r="AZ288" s="69"/>
      <c r="BA288" s="64"/>
      <c r="BB288" s="69"/>
      <c r="BC288" s="64"/>
      <c r="BD288" s="69"/>
      <c r="BE288" s="64"/>
      <c r="BF288" s="69"/>
      <c r="BG288" s="64"/>
      <c r="BH288" s="69"/>
      <c r="BI288" s="64"/>
      <c r="BJ288" s="69"/>
      <c r="BK288" s="64"/>
      <c r="BL288" s="69"/>
      <c r="BM288" s="64"/>
      <c r="BN288" s="69"/>
      <c r="BO288" s="64"/>
      <c r="BP288" s="69"/>
      <c r="BQ288" s="64"/>
      <c r="BR288" s="69"/>
      <c r="BS288" s="64"/>
      <c r="BT288" s="69"/>
      <c r="BU288" t="b">
        <f t="shared" si="4"/>
        <v>0</v>
      </c>
    </row>
    <row r="289" spans="1:73" x14ac:dyDescent="0.25">
      <c r="A289" s="28"/>
      <c r="B289" s="29"/>
      <c r="C289" s="29"/>
      <c r="D289" s="30"/>
      <c r="E289" s="29"/>
      <c r="F289" s="30"/>
      <c r="G289" s="29"/>
      <c r="H289" s="69"/>
      <c r="I289" s="64"/>
      <c r="J289" s="69"/>
      <c r="K289" s="64"/>
      <c r="L289" s="69"/>
      <c r="M289" s="65"/>
      <c r="N289" s="69"/>
      <c r="O289" s="64"/>
      <c r="P289" s="69"/>
      <c r="Q289" s="64"/>
      <c r="R289" s="69"/>
      <c r="S289" s="64"/>
      <c r="T289" s="69"/>
      <c r="U289" s="64"/>
      <c r="V289" s="69"/>
      <c r="W289" s="65"/>
      <c r="X289" s="69"/>
      <c r="Y289" s="64"/>
      <c r="Z289" s="69"/>
      <c r="AA289" s="64"/>
      <c r="AB289" s="69"/>
      <c r="AC289" s="64"/>
      <c r="AD289" s="69"/>
      <c r="AE289" s="65"/>
      <c r="AF289" s="69"/>
      <c r="AG289" s="65"/>
      <c r="AH289" s="69"/>
      <c r="AI289" s="64"/>
      <c r="AJ289" s="69"/>
      <c r="AK289" s="64"/>
      <c r="AL289" s="69"/>
      <c r="AM289" s="64"/>
      <c r="AN289" s="69"/>
      <c r="AO289" s="64"/>
      <c r="AP289" s="69"/>
      <c r="AQ289" s="64"/>
      <c r="AR289" s="69"/>
      <c r="AS289" s="64"/>
      <c r="AT289" s="69"/>
      <c r="AU289" s="64"/>
      <c r="AV289" s="69"/>
      <c r="AW289" s="64"/>
      <c r="AX289" s="69"/>
      <c r="AY289" s="64"/>
      <c r="AZ289" s="69"/>
      <c r="BA289" s="64"/>
      <c r="BB289" s="69"/>
      <c r="BC289" s="64"/>
      <c r="BD289" s="69"/>
      <c r="BE289" s="64"/>
      <c r="BF289" s="69"/>
      <c r="BG289" s="64"/>
      <c r="BH289" s="69"/>
      <c r="BI289" s="64"/>
      <c r="BJ289" s="69"/>
      <c r="BK289" s="64"/>
      <c r="BL289" s="69"/>
      <c r="BM289" s="64"/>
      <c r="BN289" s="69"/>
      <c r="BO289" s="64"/>
      <c r="BP289" s="69"/>
      <c r="BQ289" s="64"/>
      <c r="BR289" s="69"/>
      <c r="BS289" s="64"/>
      <c r="BT289" s="69"/>
      <c r="BU289" t="b">
        <f t="shared" si="4"/>
        <v>0</v>
      </c>
    </row>
    <row r="290" spans="1:73" x14ac:dyDescent="0.25">
      <c r="A290" s="28"/>
      <c r="B290" s="29"/>
      <c r="C290" s="29"/>
      <c r="D290" s="30"/>
      <c r="E290" s="29"/>
      <c r="F290" s="30"/>
      <c r="G290" s="29"/>
      <c r="H290" s="69"/>
      <c r="I290" s="64"/>
      <c r="J290" s="69"/>
      <c r="K290" s="64"/>
      <c r="L290" s="69"/>
      <c r="M290" s="65"/>
      <c r="N290" s="69"/>
      <c r="O290" s="64"/>
      <c r="P290" s="69"/>
      <c r="Q290" s="64"/>
      <c r="R290" s="69"/>
      <c r="S290" s="64"/>
      <c r="T290" s="69"/>
      <c r="U290" s="64"/>
      <c r="V290" s="69"/>
      <c r="W290" s="65"/>
      <c r="X290" s="69"/>
      <c r="Y290" s="64"/>
      <c r="Z290" s="69"/>
      <c r="AA290" s="64"/>
      <c r="AB290" s="69"/>
      <c r="AC290" s="64"/>
      <c r="AD290" s="69"/>
      <c r="AE290" s="65"/>
      <c r="AF290" s="69"/>
      <c r="AG290" s="65"/>
      <c r="AH290" s="69"/>
      <c r="AI290" s="64"/>
      <c r="AJ290" s="69"/>
      <c r="AK290" s="64"/>
      <c r="AL290" s="69"/>
      <c r="AM290" s="64"/>
      <c r="AN290" s="69"/>
      <c r="AO290" s="64"/>
      <c r="AP290" s="69"/>
      <c r="AQ290" s="64"/>
      <c r="AR290" s="69"/>
      <c r="AS290" s="64"/>
      <c r="AT290" s="69"/>
      <c r="AU290" s="64"/>
      <c r="AV290" s="69"/>
      <c r="AW290" s="64"/>
      <c r="AX290" s="69"/>
      <c r="AY290" s="64"/>
      <c r="AZ290" s="69"/>
      <c r="BA290" s="64"/>
      <c r="BB290" s="69"/>
      <c r="BC290" s="64"/>
      <c r="BD290" s="69"/>
      <c r="BE290" s="64"/>
      <c r="BF290" s="69"/>
      <c r="BG290" s="64"/>
      <c r="BH290" s="69"/>
      <c r="BI290" s="64"/>
      <c r="BJ290" s="69"/>
      <c r="BK290" s="64"/>
      <c r="BL290" s="69"/>
      <c r="BM290" s="64"/>
      <c r="BN290" s="69"/>
      <c r="BO290" s="64"/>
      <c r="BP290" s="69"/>
      <c r="BQ290" s="64"/>
      <c r="BR290" s="69"/>
      <c r="BS290" s="64"/>
      <c r="BT290" s="69"/>
      <c r="BU290" t="b">
        <f t="shared" si="4"/>
        <v>0</v>
      </c>
    </row>
    <row r="291" spans="1:73" x14ac:dyDescent="0.25">
      <c r="A291" s="28"/>
      <c r="B291" s="29"/>
      <c r="C291" s="29"/>
      <c r="D291" s="30"/>
      <c r="E291" s="29"/>
      <c r="F291" s="30"/>
      <c r="G291" s="29"/>
      <c r="H291" s="69"/>
      <c r="I291" s="64"/>
      <c r="J291" s="69"/>
      <c r="K291" s="64"/>
      <c r="L291" s="69"/>
      <c r="M291" s="65"/>
      <c r="N291" s="69"/>
      <c r="O291" s="64"/>
      <c r="P291" s="69"/>
      <c r="Q291" s="64"/>
      <c r="R291" s="69"/>
      <c r="S291" s="64"/>
      <c r="T291" s="69"/>
      <c r="U291" s="64"/>
      <c r="V291" s="69"/>
      <c r="W291" s="65"/>
      <c r="X291" s="69"/>
      <c r="Y291" s="64"/>
      <c r="Z291" s="69"/>
      <c r="AA291" s="64"/>
      <c r="AB291" s="69"/>
      <c r="AC291" s="64"/>
      <c r="AD291" s="69"/>
      <c r="AE291" s="65"/>
      <c r="AF291" s="69"/>
      <c r="AG291" s="65"/>
      <c r="AH291" s="69"/>
      <c r="AI291" s="64"/>
      <c r="AJ291" s="69"/>
      <c r="AK291" s="64"/>
      <c r="AL291" s="69"/>
      <c r="AM291" s="64"/>
      <c r="AN291" s="69"/>
      <c r="AO291" s="64"/>
      <c r="AP291" s="69"/>
      <c r="AQ291" s="64"/>
      <c r="AR291" s="69"/>
      <c r="AS291" s="64"/>
      <c r="AT291" s="69"/>
      <c r="AU291" s="64"/>
      <c r="AV291" s="69"/>
      <c r="AW291" s="64"/>
      <c r="AX291" s="69"/>
      <c r="AY291" s="64"/>
      <c r="AZ291" s="69"/>
      <c r="BA291" s="64"/>
      <c r="BB291" s="69"/>
      <c r="BC291" s="64"/>
      <c r="BD291" s="69"/>
      <c r="BE291" s="64"/>
      <c r="BF291" s="69"/>
      <c r="BG291" s="64"/>
      <c r="BH291" s="69"/>
      <c r="BI291" s="64"/>
      <c r="BJ291" s="69"/>
      <c r="BK291" s="64"/>
      <c r="BL291" s="69"/>
      <c r="BM291" s="64"/>
      <c r="BN291" s="69"/>
      <c r="BO291" s="64"/>
      <c r="BP291" s="69"/>
      <c r="BQ291" s="64"/>
      <c r="BR291" s="69"/>
      <c r="BS291" s="64"/>
      <c r="BT291" s="69"/>
      <c r="BU291" t="b">
        <f t="shared" si="4"/>
        <v>0</v>
      </c>
    </row>
    <row r="292" spans="1:73" x14ac:dyDescent="0.25">
      <c r="A292" s="28"/>
      <c r="B292" s="29"/>
      <c r="C292" s="29"/>
      <c r="D292" s="30"/>
      <c r="E292" s="29"/>
      <c r="F292" s="30"/>
      <c r="G292" s="29"/>
      <c r="H292" s="69"/>
      <c r="I292" s="64"/>
      <c r="J292" s="69"/>
      <c r="K292" s="64"/>
      <c r="L292" s="69"/>
      <c r="M292" s="65"/>
      <c r="N292" s="69"/>
      <c r="O292" s="64"/>
      <c r="P292" s="69"/>
      <c r="Q292" s="64"/>
      <c r="R292" s="69"/>
      <c r="S292" s="64"/>
      <c r="T292" s="69"/>
      <c r="U292" s="64"/>
      <c r="V292" s="69"/>
      <c r="W292" s="65"/>
      <c r="X292" s="69"/>
      <c r="Y292" s="64"/>
      <c r="Z292" s="69"/>
      <c r="AA292" s="64"/>
      <c r="AB292" s="69"/>
      <c r="AC292" s="64"/>
      <c r="AD292" s="69"/>
      <c r="AE292" s="65"/>
      <c r="AF292" s="69"/>
      <c r="AG292" s="65"/>
      <c r="AH292" s="69"/>
      <c r="AI292" s="64"/>
      <c r="AJ292" s="69"/>
      <c r="AK292" s="64"/>
      <c r="AL292" s="69"/>
      <c r="AM292" s="64"/>
      <c r="AN292" s="69"/>
      <c r="AO292" s="64"/>
      <c r="AP292" s="69"/>
      <c r="AQ292" s="64"/>
      <c r="AR292" s="69"/>
      <c r="AS292" s="64"/>
      <c r="AT292" s="69"/>
      <c r="AU292" s="64"/>
      <c r="AV292" s="69"/>
      <c r="AW292" s="64"/>
      <c r="AX292" s="69"/>
      <c r="AY292" s="64"/>
      <c r="AZ292" s="69"/>
      <c r="BA292" s="64"/>
      <c r="BB292" s="69"/>
      <c r="BC292" s="64"/>
      <c r="BD292" s="69"/>
      <c r="BE292" s="64"/>
      <c r="BF292" s="69"/>
      <c r="BG292" s="64"/>
      <c r="BH292" s="69"/>
      <c r="BI292" s="64"/>
      <c r="BJ292" s="69"/>
      <c r="BK292" s="64"/>
      <c r="BL292" s="69"/>
      <c r="BM292" s="64"/>
      <c r="BN292" s="69"/>
      <c r="BO292" s="64"/>
      <c r="BP292" s="69"/>
      <c r="BQ292" s="64"/>
      <c r="BR292" s="69"/>
      <c r="BS292" s="64"/>
      <c r="BT292" s="69"/>
      <c r="BU292" t="b">
        <f t="shared" si="4"/>
        <v>0</v>
      </c>
    </row>
    <row r="293" spans="1:73" x14ac:dyDescent="0.25">
      <c r="A293" s="28"/>
      <c r="B293" s="29"/>
      <c r="C293" s="29"/>
      <c r="D293" s="30"/>
      <c r="E293" s="29"/>
      <c r="F293" s="30"/>
      <c r="G293" s="29"/>
      <c r="H293" s="69"/>
      <c r="I293" s="64"/>
      <c r="J293" s="69"/>
      <c r="K293" s="64"/>
      <c r="L293" s="69"/>
      <c r="M293" s="65"/>
      <c r="N293" s="69"/>
      <c r="O293" s="64"/>
      <c r="P293" s="69"/>
      <c r="Q293" s="64"/>
      <c r="R293" s="69"/>
      <c r="S293" s="64"/>
      <c r="T293" s="69"/>
      <c r="U293" s="64"/>
      <c r="V293" s="69"/>
      <c r="W293" s="65"/>
      <c r="X293" s="69"/>
      <c r="Y293" s="64"/>
      <c r="Z293" s="69"/>
      <c r="AA293" s="64"/>
      <c r="AB293" s="69"/>
      <c r="AC293" s="64"/>
      <c r="AD293" s="69"/>
      <c r="AE293" s="65"/>
      <c r="AF293" s="69"/>
      <c r="AG293" s="65"/>
      <c r="AH293" s="69"/>
      <c r="AI293" s="64"/>
      <c r="AJ293" s="69"/>
      <c r="AK293" s="64"/>
      <c r="AL293" s="69"/>
      <c r="AM293" s="64"/>
      <c r="AN293" s="69"/>
      <c r="AO293" s="64"/>
      <c r="AP293" s="69"/>
      <c r="AQ293" s="64"/>
      <c r="AR293" s="69"/>
      <c r="AS293" s="64"/>
      <c r="AT293" s="69"/>
      <c r="AU293" s="64"/>
      <c r="AV293" s="69"/>
      <c r="AW293" s="64"/>
      <c r="AX293" s="69"/>
      <c r="AY293" s="64"/>
      <c r="AZ293" s="69"/>
      <c r="BA293" s="64"/>
      <c r="BB293" s="69"/>
      <c r="BC293" s="64"/>
      <c r="BD293" s="69"/>
      <c r="BE293" s="64"/>
      <c r="BF293" s="69"/>
      <c r="BG293" s="64"/>
      <c r="BH293" s="69"/>
      <c r="BI293" s="64"/>
      <c r="BJ293" s="69"/>
      <c r="BK293" s="64"/>
      <c r="BL293" s="69"/>
      <c r="BM293" s="64"/>
      <c r="BN293" s="69"/>
      <c r="BO293" s="64"/>
      <c r="BP293" s="69"/>
      <c r="BQ293" s="64"/>
      <c r="BR293" s="69"/>
      <c r="BS293" s="64"/>
      <c r="BT293" s="69"/>
      <c r="BU293" t="b">
        <f t="shared" ref="BU293:BU356" si="5">NOT(AND(BR293="",BP293="",BN293="",BL293="",BJ293="",BH293="",BF293="",BD293="",BB293="",AZ293="",AX293="",AV293="",AT293="",AR293="",AP293="",AN293="",AL293="",AJ293="",AH293="",AF293="",AD293="",AB293="",Z293="",X293="",V293="",T293="",R293="",P293="",N293="", L293="",J293=""))</f>
        <v>0</v>
      </c>
    </row>
    <row r="294" spans="1:73" x14ac:dyDescent="0.25">
      <c r="A294" s="28"/>
      <c r="B294" s="29"/>
      <c r="C294" s="29"/>
      <c r="D294" s="30"/>
      <c r="E294" s="29"/>
      <c r="F294" s="30"/>
      <c r="G294" s="29"/>
      <c r="H294" s="69"/>
      <c r="I294" s="64"/>
      <c r="J294" s="69"/>
      <c r="K294" s="64"/>
      <c r="L294" s="69"/>
      <c r="M294" s="65"/>
      <c r="N294" s="69"/>
      <c r="O294" s="64"/>
      <c r="P294" s="69"/>
      <c r="Q294" s="64"/>
      <c r="R294" s="69"/>
      <c r="S294" s="64"/>
      <c r="T294" s="69"/>
      <c r="U294" s="64"/>
      <c r="V294" s="69"/>
      <c r="W294" s="65"/>
      <c r="X294" s="69"/>
      <c r="Y294" s="64"/>
      <c r="Z294" s="69"/>
      <c r="AA294" s="64"/>
      <c r="AB294" s="69"/>
      <c r="AC294" s="64"/>
      <c r="AD294" s="69"/>
      <c r="AE294" s="65"/>
      <c r="AF294" s="69"/>
      <c r="AG294" s="65"/>
      <c r="AH294" s="69"/>
      <c r="AI294" s="64"/>
      <c r="AJ294" s="69"/>
      <c r="AK294" s="64"/>
      <c r="AL294" s="69"/>
      <c r="AM294" s="64"/>
      <c r="AN294" s="69"/>
      <c r="AO294" s="64"/>
      <c r="AP294" s="69"/>
      <c r="AQ294" s="64"/>
      <c r="AR294" s="69"/>
      <c r="AS294" s="64"/>
      <c r="AT294" s="69"/>
      <c r="AU294" s="64"/>
      <c r="AV294" s="69"/>
      <c r="AW294" s="64"/>
      <c r="AX294" s="69"/>
      <c r="AY294" s="64"/>
      <c r="AZ294" s="69"/>
      <c r="BA294" s="64"/>
      <c r="BB294" s="69"/>
      <c r="BC294" s="64"/>
      <c r="BD294" s="69"/>
      <c r="BE294" s="64"/>
      <c r="BF294" s="69"/>
      <c r="BG294" s="64"/>
      <c r="BH294" s="69"/>
      <c r="BI294" s="64"/>
      <c r="BJ294" s="69"/>
      <c r="BK294" s="64"/>
      <c r="BL294" s="69"/>
      <c r="BM294" s="64"/>
      <c r="BN294" s="69"/>
      <c r="BO294" s="64"/>
      <c r="BP294" s="69"/>
      <c r="BQ294" s="64"/>
      <c r="BR294" s="69"/>
      <c r="BS294" s="64"/>
      <c r="BT294" s="69"/>
      <c r="BU294" t="b">
        <f t="shared" si="5"/>
        <v>0</v>
      </c>
    </row>
    <row r="295" spans="1:73" x14ac:dyDescent="0.25">
      <c r="A295" s="28"/>
      <c r="B295" s="29"/>
      <c r="C295" s="29"/>
      <c r="D295" s="30"/>
      <c r="E295" s="29"/>
      <c r="F295" s="30"/>
      <c r="G295" s="29"/>
      <c r="H295" s="69"/>
      <c r="I295" s="64"/>
      <c r="J295" s="69"/>
      <c r="K295" s="64"/>
      <c r="L295" s="69"/>
      <c r="M295" s="65"/>
      <c r="N295" s="69"/>
      <c r="O295" s="64"/>
      <c r="P295" s="69"/>
      <c r="Q295" s="64"/>
      <c r="R295" s="69"/>
      <c r="S295" s="64"/>
      <c r="T295" s="69"/>
      <c r="U295" s="64"/>
      <c r="V295" s="69"/>
      <c r="W295" s="65"/>
      <c r="X295" s="69"/>
      <c r="Y295" s="64"/>
      <c r="Z295" s="69"/>
      <c r="AA295" s="64"/>
      <c r="AB295" s="69"/>
      <c r="AC295" s="64"/>
      <c r="AD295" s="69"/>
      <c r="AE295" s="65"/>
      <c r="AF295" s="69"/>
      <c r="AG295" s="65"/>
      <c r="AH295" s="69"/>
      <c r="AI295" s="64"/>
      <c r="AJ295" s="69"/>
      <c r="AK295" s="64"/>
      <c r="AL295" s="69"/>
      <c r="AM295" s="64"/>
      <c r="AN295" s="69"/>
      <c r="AO295" s="64"/>
      <c r="AP295" s="69"/>
      <c r="AQ295" s="64"/>
      <c r="AR295" s="69"/>
      <c r="AS295" s="64"/>
      <c r="AT295" s="69"/>
      <c r="AU295" s="64"/>
      <c r="AV295" s="69"/>
      <c r="AW295" s="64"/>
      <c r="AX295" s="69"/>
      <c r="AY295" s="64"/>
      <c r="AZ295" s="69"/>
      <c r="BA295" s="64"/>
      <c r="BB295" s="69"/>
      <c r="BC295" s="64"/>
      <c r="BD295" s="69"/>
      <c r="BE295" s="64"/>
      <c r="BF295" s="69"/>
      <c r="BG295" s="64"/>
      <c r="BH295" s="69"/>
      <c r="BI295" s="64"/>
      <c r="BJ295" s="69"/>
      <c r="BK295" s="64"/>
      <c r="BL295" s="69"/>
      <c r="BM295" s="64"/>
      <c r="BN295" s="69"/>
      <c r="BO295" s="64"/>
      <c r="BP295" s="69"/>
      <c r="BQ295" s="64"/>
      <c r="BR295" s="69"/>
      <c r="BS295" s="64"/>
      <c r="BT295" s="69"/>
      <c r="BU295" t="b">
        <f t="shared" si="5"/>
        <v>0</v>
      </c>
    </row>
    <row r="296" spans="1:73" x14ac:dyDescent="0.25">
      <c r="A296" s="28"/>
      <c r="B296" s="29"/>
      <c r="C296" s="29"/>
      <c r="D296" s="30"/>
      <c r="E296" s="29"/>
      <c r="F296" s="30"/>
      <c r="G296" s="29"/>
      <c r="H296" s="69"/>
      <c r="I296" s="64"/>
      <c r="J296" s="69"/>
      <c r="K296" s="64"/>
      <c r="L296" s="69"/>
      <c r="M296" s="65"/>
      <c r="N296" s="69"/>
      <c r="O296" s="64"/>
      <c r="P296" s="69"/>
      <c r="Q296" s="64"/>
      <c r="R296" s="69"/>
      <c r="S296" s="64"/>
      <c r="T296" s="69"/>
      <c r="U296" s="64"/>
      <c r="V296" s="69"/>
      <c r="W296" s="65"/>
      <c r="X296" s="69"/>
      <c r="Y296" s="64"/>
      <c r="Z296" s="69"/>
      <c r="AA296" s="64"/>
      <c r="AB296" s="69"/>
      <c r="AC296" s="64"/>
      <c r="AD296" s="69"/>
      <c r="AE296" s="65"/>
      <c r="AF296" s="69"/>
      <c r="AG296" s="65"/>
      <c r="AH296" s="69"/>
      <c r="AI296" s="64"/>
      <c r="AJ296" s="69"/>
      <c r="AK296" s="64"/>
      <c r="AL296" s="69"/>
      <c r="AM296" s="64"/>
      <c r="AN296" s="69"/>
      <c r="AO296" s="64"/>
      <c r="AP296" s="69"/>
      <c r="AQ296" s="64"/>
      <c r="AR296" s="69"/>
      <c r="AS296" s="64"/>
      <c r="AT296" s="69"/>
      <c r="AU296" s="64"/>
      <c r="AV296" s="69"/>
      <c r="AW296" s="64"/>
      <c r="AX296" s="69"/>
      <c r="AY296" s="64"/>
      <c r="AZ296" s="69"/>
      <c r="BA296" s="64"/>
      <c r="BB296" s="69"/>
      <c r="BC296" s="64"/>
      <c r="BD296" s="69"/>
      <c r="BE296" s="64"/>
      <c r="BF296" s="69"/>
      <c r="BG296" s="64"/>
      <c r="BH296" s="69"/>
      <c r="BI296" s="64"/>
      <c r="BJ296" s="69"/>
      <c r="BK296" s="64"/>
      <c r="BL296" s="69"/>
      <c r="BM296" s="64"/>
      <c r="BN296" s="69"/>
      <c r="BO296" s="64"/>
      <c r="BP296" s="69"/>
      <c r="BQ296" s="64"/>
      <c r="BR296" s="69"/>
      <c r="BS296" s="64"/>
      <c r="BT296" s="69"/>
      <c r="BU296" t="b">
        <f t="shared" si="5"/>
        <v>0</v>
      </c>
    </row>
    <row r="297" spans="1:73" x14ac:dyDescent="0.25">
      <c r="A297" s="28"/>
      <c r="B297" s="29"/>
      <c r="C297" s="29"/>
      <c r="D297" s="30"/>
      <c r="E297" s="29"/>
      <c r="F297" s="30"/>
      <c r="G297" s="29"/>
      <c r="H297" s="69"/>
      <c r="I297" s="64"/>
      <c r="J297" s="69"/>
      <c r="K297" s="64"/>
      <c r="L297" s="69"/>
      <c r="M297" s="65"/>
      <c r="N297" s="69"/>
      <c r="O297" s="64"/>
      <c r="P297" s="69"/>
      <c r="Q297" s="64"/>
      <c r="R297" s="69"/>
      <c r="S297" s="64"/>
      <c r="T297" s="69"/>
      <c r="U297" s="64"/>
      <c r="V297" s="69"/>
      <c r="W297" s="65"/>
      <c r="X297" s="69"/>
      <c r="Y297" s="64"/>
      <c r="Z297" s="69"/>
      <c r="AA297" s="64"/>
      <c r="AB297" s="69"/>
      <c r="AC297" s="64"/>
      <c r="AD297" s="69"/>
      <c r="AE297" s="65"/>
      <c r="AF297" s="69"/>
      <c r="AG297" s="65"/>
      <c r="AH297" s="69"/>
      <c r="AI297" s="64"/>
      <c r="AJ297" s="69"/>
      <c r="AK297" s="64"/>
      <c r="AL297" s="69"/>
      <c r="AM297" s="64"/>
      <c r="AN297" s="69"/>
      <c r="AO297" s="64"/>
      <c r="AP297" s="69"/>
      <c r="AQ297" s="64"/>
      <c r="AR297" s="69"/>
      <c r="AS297" s="64"/>
      <c r="AT297" s="69"/>
      <c r="AU297" s="64"/>
      <c r="AV297" s="69"/>
      <c r="AW297" s="64"/>
      <c r="AX297" s="69"/>
      <c r="AY297" s="64"/>
      <c r="AZ297" s="69"/>
      <c r="BA297" s="64"/>
      <c r="BB297" s="69"/>
      <c r="BC297" s="64"/>
      <c r="BD297" s="69"/>
      <c r="BE297" s="64"/>
      <c r="BF297" s="69"/>
      <c r="BG297" s="64"/>
      <c r="BH297" s="69"/>
      <c r="BI297" s="64"/>
      <c r="BJ297" s="69"/>
      <c r="BK297" s="64"/>
      <c r="BL297" s="69"/>
      <c r="BM297" s="64"/>
      <c r="BN297" s="69"/>
      <c r="BO297" s="64"/>
      <c r="BP297" s="69"/>
      <c r="BQ297" s="64"/>
      <c r="BR297" s="69"/>
      <c r="BS297" s="64"/>
      <c r="BT297" s="69"/>
      <c r="BU297" t="b">
        <f t="shared" si="5"/>
        <v>0</v>
      </c>
    </row>
    <row r="298" spans="1:73" x14ac:dyDescent="0.25">
      <c r="A298" s="28"/>
      <c r="B298" s="29"/>
      <c r="C298" s="29"/>
      <c r="D298" s="30"/>
      <c r="E298" s="29"/>
      <c r="F298" s="30"/>
      <c r="G298" s="29"/>
      <c r="H298" s="69"/>
      <c r="I298" s="64"/>
      <c r="J298" s="69"/>
      <c r="K298" s="64"/>
      <c r="L298" s="69"/>
      <c r="M298" s="65"/>
      <c r="N298" s="69"/>
      <c r="O298" s="64"/>
      <c r="P298" s="69"/>
      <c r="Q298" s="64"/>
      <c r="R298" s="69"/>
      <c r="S298" s="64"/>
      <c r="T298" s="69"/>
      <c r="U298" s="64"/>
      <c r="V298" s="69"/>
      <c r="W298" s="65"/>
      <c r="X298" s="69"/>
      <c r="Y298" s="64"/>
      <c r="Z298" s="69"/>
      <c r="AA298" s="64"/>
      <c r="AB298" s="69"/>
      <c r="AC298" s="64"/>
      <c r="AD298" s="69"/>
      <c r="AE298" s="65"/>
      <c r="AF298" s="69"/>
      <c r="AG298" s="65"/>
      <c r="AH298" s="69"/>
      <c r="AI298" s="64"/>
      <c r="AJ298" s="69"/>
      <c r="AK298" s="64"/>
      <c r="AL298" s="69"/>
      <c r="AM298" s="64"/>
      <c r="AN298" s="69"/>
      <c r="AO298" s="64"/>
      <c r="AP298" s="69"/>
      <c r="AQ298" s="64"/>
      <c r="AR298" s="69"/>
      <c r="AS298" s="64"/>
      <c r="AT298" s="69"/>
      <c r="AU298" s="64"/>
      <c r="AV298" s="69"/>
      <c r="AW298" s="64"/>
      <c r="AX298" s="69"/>
      <c r="AY298" s="64"/>
      <c r="AZ298" s="69"/>
      <c r="BA298" s="64"/>
      <c r="BB298" s="69"/>
      <c r="BC298" s="64"/>
      <c r="BD298" s="69"/>
      <c r="BE298" s="64"/>
      <c r="BF298" s="69"/>
      <c r="BG298" s="64"/>
      <c r="BH298" s="69"/>
      <c r="BI298" s="64"/>
      <c r="BJ298" s="69"/>
      <c r="BK298" s="64"/>
      <c r="BL298" s="69"/>
      <c r="BM298" s="64"/>
      <c r="BN298" s="69"/>
      <c r="BO298" s="64"/>
      <c r="BP298" s="69"/>
      <c r="BQ298" s="64"/>
      <c r="BR298" s="69"/>
      <c r="BS298" s="64"/>
      <c r="BT298" s="69"/>
      <c r="BU298" t="b">
        <f t="shared" si="5"/>
        <v>0</v>
      </c>
    </row>
    <row r="299" spans="1:73" x14ac:dyDescent="0.25">
      <c r="A299" s="28"/>
      <c r="B299" s="29"/>
      <c r="C299" s="29"/>
      <c r="D299" s="30"/>
      <c r="E299" s="29"/>
      <c r="F299" s="30"/>
      <c r="G299" s="29"/>
      <c r="H299" s="69"/>
      <c r="I299" s="64"/>
      <c r="J299" s="69"/>
      <c r="K299" s="64"/>
      <c r="L299" s="69"/>
      <c r="M299" s="65"/>
      <c r="N299" s="69"/>
      <c r="O299" s="64"/>
      <c r="P299" s="69"/>
      <c r="Q299" s="64"/>
      <c r="R299" s="69"/>
      <c r="S299" s="64"/>
      <c r="T299" s="69"/>
      <c r="U299" s="64"/>
      <c r="V299" s="69"/>
      <c r="W299" s="65"/>
      <c r="X299" s="69"/>
      <c r="Y299" s="64"/>
      <c r="Z299" s="69"/>
      <c r="AA299" s="64"/>
      <c r="AB299" s="69"/>
      <c r="AC299" s="64"/>
      <c r="AD299" s="69"/>
      <c r="AE299" s="65"/>
      <c r="AF299" s="69"/>
      <c r="AG299" s="65"/>
      <c r="AH299" s="69"/>
      <c r="AI299" s="64"/>
      <c r="AJ299" s="69"/>
      <c r="AK299" s="64"/>
      <c r="AL299" s="69"/>
      <c r="AM299" s="64"/>
      <c r="AN299" s="69"/>
      <c r="AO299" s="64"/>
      <c r="AP299" s="69"/>
      <c r="AQ299" s="64"/>
      <c r="AR299" s="69"/>
      <c r="AS299" s="64"/>
      <c r="AT299" s="69"/>
      <c r="AU299" s="64"/>
      <c r="AV299" s="69"/>
      <c r="AW299" s="64"/>
      <c r="AX299" s="69"/>
      <c r="AY299" s="64"/>
      <c r="AZ299" s="69"/>
      <c r="BA299" s="64"/>
      <c r="BB299" s="69"/>
      <c r="BC299" s="64"/>
      <c r="BD299" s="69"/>
      <c r="BE299" s="64"/>
      <c r="BF299" s="69"/>
      <c r="BG299" s="64"/>
      <c r="BH299" s="69"/>
      <c r="BI299" s="64"/>
      <c r="BJ299" s="69"/>
      <c r="BK299" s="64"/>
      <c r="BL299" s="69"/>
      <c r="BM299" s="64"/>
      <c r="BN299" s="69"/>
      <c r="BO299" s="64"/>
      <c r="BP299" s="69"/>
      <c r="BQ299" s="64"/>
      <c r="BR299" s="69"/>
      <c r="BS299" s="64"/>
      <c r="BT299" s="69"/>
      <c r="BU299" t="b">
        <f t="shared" si="5"/>
        <v>0</v>
      </c>
    </row>
    <row r="300" spans="1:73" x14ac:dyDescent="0.25">
      <c r="A300" s="28"/>
      <c r="B300" s="29"/>
      <c r="C300" s="29"/>
      <c r="D300" s="30"/>
      <c r="E300" s="29"/>
      <c r="F300" s="30"/>
      <c r="G300" s="29"/>
      <c r="H300" s="69"/>
      <c r="I300" s="64"/>
      <c r="J300" s="69"/>
      <c r="K300" s="64"/>
      <c r="L300" s="69"/>
      <c r="M300" s="65"/>
      <c r="N300" s="69"/>
      <c r="O300" s="64"/>
      <c r="P300" s="69"/>
      <c r="Q300" s="64"/>
      <c r="R300" s="69"/>
      <c r="S300" s="64"/>
      <c r="T300" s="69"/>
      <c r="U300" s="64"/>
      <c r="V300" s="69"/>
      <c r="W300" s="65"/>
      <c r="X300" s="69"/>
      <c r="Y300" s="64"/>
      <c r="Z300" s="69"/>
      <c r="AA300" s="64"/>
      <c r="AB300" s="69"/>
      <c r="AC300" s="64"/>
      <c r="AD300" s="69"/>
      <c r="AE300" s="65"/>
      <c r="AF300" s="69"/>
      <c r="AG300" s="65"/>
      <c r="AH300" s="69"/>
      <c r="AI300" s="64"/>
      <c r="AJ300" s="69"/>
      <c r="AK300" s="64"/>
      <c r="AL300" s="69"/>
      <c r="AM300" s="64"/>
      <c r="AN300" s="69"/>
      <c r="AO300" s="64"/>
      <c r="AP300" s="69"/>
      <c r="AQ300" s="64"/>
      <c r="AR300" s="69"/>
      <c r="AS300" s="64"/>
      <c r="AT300" s="69"/>
      <c r="AU300" s="64"/>
      <c r="AV300" s="69"/>
      <c r="AW300" s="64"/>
      <c r="AX300" s="69"/>
      <c r="AY300" s="64"/>
      <c r="AZ300" s="69"/>
      <c r="BA300" s="64"/>
      <c r="BB300" s="69"/>
      <c r="BC300" s="64"/>
      <c r="BD300" s="69"/>
      <c r="BE300" s="64"/>
      <c r="BF300" s="69"/>
      <c r="BG300" s="64"/>
      <c r="BH300" s="69"/>
      <c r="BI300" s="64"/>
      <c r="BJ300" s="69"/>
      <c r="BK300" s="64"/>
      <c r="BL300" s="69"/>
      <c r="BM300" s="64"/>
      <c r="BN300" s="69"/>
      <c r="BO300" s="64"/>
      <c r="BP300" s="69"/>
      <c r="BQ300" s="64"/>
      <c r="BR300" s="69"/>
      <c r="BS300" s="64"/>
      <c r="BT300" s="69"/>
      <c r="BU300" t="b">
        <f t="shared" si="5"/>
        <v>0</v>
      </c>
    </row>
    <row r="301" spans="1:73" x14ac:dyDescent="0.25">
      <c r="A301" s="28"/>
      <c r="B301" s="29"/>
      <c r="C301" s="29"/>
      <c r="D301" s="30"/>
      <c r="E301" s="29"/>
      <c r="F301" s="30"/>
      <c r="G301" s="29"/>
      <c r="H301" s="69"/>
      <c r="I301" s="64"/>
      <c r="J301" s="69"/>
      <c r="K301" s="64"/>
      <c r="L301" s="69"/>
      <c r="M301" s="65"/>
      <c r="N301" s="69"/>
      <c r="O301" s="64"/>
      <c r="P301" s="69"/>
      <c r="Q301" s="64"/>
      <c r="R301" s="69"/>
      <c r="S301" s="64"/>
      <c r="T301" s="69"/>
      <c r="U301" s="64"/>
      <c r="V301" s="69"/>
      <c r="W301" s="65"/>
      <c r="X301" s="69"/>
      <c r="Y301" s="64"/>
      <c r="Z301" s="69"/>
      <c r="AA301" s="64"/>
      <c r="AB301" s="69"/>
      <c r="AC301" s="64"/>
      <c r="AD301" s="69"/>
      <c r="AE301" s="65"/>
      <c r="AF301" s="69"/>
      <c r="AG301" s="65"/>
      <c r="AH301" s="69"/>
      <c r="AI301" s="64"/>
      <c r="AJ301" s="69"/>
      <c r="AK301" s="64"/>
      <c r="AL301" s="69"/>
      <c r="AM301" s="64"/>
      <c r="AN301" s="69"/>
      <c r="AO301" s="64"/>
      <c r="AP301" s="69"/>
      <c r="AQ301" s="64"/>
      <c r="AR301" s="69"/>
      <c r="AS301" s="64"/>
      <c r="AT301" s="69"/>
      <c r="AU301" s="64"/>
      <c r="AV301" s="69"/>
      <c r="AW301" s="64"/>
      <c r="AX301" s="69"/>
      <c r="AY301" s="64"/>
      <c r="AZ301" s="69"/>
      <c r="BA301" s="64"/>
      <c r="BB301" s="69"/>
      <c r="BC301" s="64"/>
      <c r="BD301" s="69"/>
      <c r="BE301" s="64"/>
      <c r="BF301" s="69"/>
      <c r="BG301" s="64"/>
      <c r="BH301" s="69"/>
      <c r="BI301" s="64"/>
      <c r="BJ301" s="69"/>
      <c r="BK301" s="64"/>
      <c r="BL301" s="69"/>
      <c r="BM301" s="64"/>
      <c r="BN301" s="69"/>
      <c r="BO301" s="64"/>
      <c r="BP301" s="69"/>
      <c r="BQ301" s="64"/>
      <c r="BR301" s="69"/>
      <c r="BS301" s="64"/>
      <c r="BT301" s="69"/>
      <c r="BU301" t="b">
        <f t="shared" si="5"/>
        <v>0</v>
      </c>
    </row>
    <row r="302" spans="1:73" x14ac:dyDescent="0.25">
      <c r="A302" s="28"/>
      <c r="B302" s="29"/>
      <c r="C302" s="29"/>
      <c r="D302" s="30"/>
      <c r="E302" s="29"/>
      <c r="F302" s="30"/>
      <c r="G302" s="29"/>
      <c r="H302" s="69"/>
      <c r="I302" s="64"/>
      <c r="J302" s="69"/>
      <c r="K302" s="64"/>
      <c r="L302" s="69"/>
      <c r="M302" s="65"/>
      <c r="N302" s="69"/>
      <c r="O302" s="64"/>
      <c r="P302" s="69"/>
      <c r="Q302" s="64"/>
      <c r="R302" s="69"/>
      <c r="S302" s="64"/>
      <c r="T302" s="69"/>
      <c r="U302" s="64"/>
      <c r="V302" s="69"/>
      <c r="W302" s="65"/>
      <c r="X302" s="69"/>
      <c r="Y302" s="64"/>
      <c r="Z302" s="69"/>
      <c r="AA302" s="64"/>
      <c r="AB302" s="69"/>
      <c r="AC302" s="64"/>
      <c r="AD302" s="69"/>
      <c r="AE302" s="65"/>
      <c r="AF302" s="69"/>
      <c r="AG302" s="65"/>
      <c r="AH302" s="69"/>
      <c r="AI302" s="64"/>
      <c r="AJ302" s="69"/>
      <c r="AK302" s="64"/>
      <c r="AL302" s="69"/>
      <c r="AM302" s="64"/>
      <c r="AN302" s="69"/>
      <c r="AO302" s="64"/>
      <c r="AP302" s="69"/>
      <c r="AQ302" s="64"/>
      <c r="AR302" s="69"/>
      <c r="AS302" s="64"/>
      <c r="AT302" s="69"/>
      <c r="AU302" s="64"/>
      <c r="AV302" s="69"/>
      <c r="AW302" s="64"/>
      <c r="AX302" s="69"/>
      <c r="AY302" s="64"/>
      <c r="AZ302" s="69"/>
      <c r="BA302" s="64"/>
      <c r="BB302" s="69"/>
      <c r="BC302" s="64"/>
      <c r="BD302" s="69"/>
      <c r="BE302" s="64"/>
      <c r="BF302" s="69"/>
      <c r="BG302" s="64"/>
      <c r="BH302" s="69"/>
      <c r="BI302" s="64"/>
      <c r="BJ302" s="69"/>
      <c r="BK302" s="64"/>
      <c r="BL302" s="69"/>
      <c r="BM302" s="64"/>
      <c r="BN302" s="69"/>
      <c r="BO302" s="64"/>
      <c r="BP302" s="69"/>
      <c r="BQ302" s="64"/>
      <c r="BR302" s="69"/>
      <c r="BS302" s="64"/>
      <c r="BT302" s="69"/>
      <c r="BU302" t="b">
        <f t="shared" si="5"/>
        <v>0</v>
      </c>
    </row>
    <row r="303" spans="1:73" x14ac:dyDescent="0.25">
      <c r="A303" s="28"/>
      <c r="B303" s="29"/>
      <c r="C303" s="29"/>
      <c r="D303" s="30"/>
      <c r="E303" s="29"/>
      <c r="F303" s="30"/>
      <c r="G303" s="29"/>
      <c r="H303" s="69"/>
      <c r="I303" s="64"/>
      <c r="J303" s="69"/>
      <c r="K303" s="64"/>
      <c r="L303" s="69"/>
      <c r="M303" s="65"/>
      <c r="N303" s="69"/>
      <c r="O303" s="64"/>
      <c r="P303" s="69"/>
      <c r="Q303" s="64"/>
      <c r="R303" s="69"/>
      <c r="S303" s="64"/>
      <c r="T303" s="69"/>
      <c r="U303" s="64"/>
      <c r="V303" s="69"/>
      <c r="W303" s="65"/>
      <c r="X303" s="69"/>
      <c r="Y303" s="64"/>
      <c r="Z303" s="69"/>
      <c r="AA303" s="64"/>
      <c r="AB303" s="69"/>
      <c r="AC303" s="64"/>
      <c r="AD303" s="69"/>
      <c r="AE303" s="65"/>
      <c r="AF303" s="69"/>
      <c r="AG303" s="65"/>
      <c r="AH303" s="69"/>
      <c r="AI303" s="64"/>
      <c r="AJ303" s="69"/>
      <c r="AK303" s="64"/>
      <c r="AL303" s="69"/>
      <c r="AM303" s="64"/>
      <c r="AN303" s="69"/>
      <c r="AO303" s="64"/>
      <c r="AP303" s="69"/>
      <c r="AQ303" s="64"/>
      <c r="AR303" s="69"/>
      <c r="AS303" s="64"/>
      <c r="AT303" s="69"/>
      <c r="AU303" s="64"/>
      <c r="AV303" s="69"/>
      <c r="AW303" s="64"/>
      <c r="AX303" s="69"/>
      <c r="AY303" s="64"/>
      <c r="AZ303" s="69"/>
      <c r="BA303" s="64"/>
      <c r="BB303" s="69"/>
      <c r="BC303" s="64"/>
      <c r="BD303" s="69"/>
      <c r="BE303" s="64"/>
      <c r="BF303" s="69"/>
      <c r="BG303" s="64"/>
      <c r="BH303" s="69"/>
      <c r="BI303" s="64"/>
      <c r="BJ303" s="69"/>
      <c r="BK303" s="64"/>
      <c r="BL303" s="69"/>
      <c r="BM303" s="64"/>
      <c r="BN303" s="69"/>
      <c r="BO303" s="64"/>
      <c r="BP303" s="69"/>
      <c r="BQ303" s="64"/>
      <c r="BR303" s="69"/>
      <c r="BS303" s="64"/>
      <c r="BT303" s="69"/>
      <c r="BU303" t="b">
        <f t="shared" si="5"/>
        <v>0</v>
      </c>
    </row>
    <row r="304" spans="1:73" x14ac:dyDescent="0.25">
      <c r="A304" s="28"/>
      <c r="B304" s="29"/>
      <c r="C304" s="29"/>
      <c r="D304" s="30"/>
      <c r="E304" s="29"/>
      <c r="F304" s="30"/>
      <c r="G304" s="29"/>
      <c r="H304" s="69"/>
      <c r="I304" s="64"/>
      <c r="J304" s="69"/>
      <c r="K304" s="64"/>
      <c r="L304" s="69"/>
      <c r="M304" s="65"/>
      <c r="N304" s="69"/>
      <c r="O304" s="64"/>
      <c r="P304" s="69"/>
      <c r="Q304" s="64"/>
      <c r="R304" s="69"/>
      <c r="S304" s="64"/>
      <c r="T304" s="69"/>
      <c r="U304" s="64"/>
      <c r="V304" s="69"/>
      <c r="W304" s="65"/>
      <c r="X304" s="69"/>
      <c r="Y304" s="64"/>
      <c r="Z304" s="69"/>
      <c r="AA304" s="64"/>
      <c r="AB304" s="69"/>
      <c r="AC304" s="64"/>
      <c r="AD304" s="69"/>
      <c r="AE304" s="65"/>
      <c r="AF304" s="69"/>
      <c r="AG304" s="65"/>
      <c r="AH304" s="69"/>
      <c r="AI304" s="64"/>
      <c r="AJ304" s="69"/>
      <c r="AK304" s="64"/>
      <c r="AL304" s="69"/>
      <c r="AM304" s="64"/>
      <c r="AN304" s="69"/>
      <c r="AO304" s="64"/>
      <c r="AP304" s="69"/>
      <c r="AQ304" s="64"/>
      <c r="AR304" s="69"/>
      <c r="AS304" s="64"/>
      <c r="AT304" s="69"/>
      <c r="AU304" s="64"/>
      <c r="AV304" s="69"/>
      <c r="AW304" s="64"/>
      <c r="AX304" s="69"/>
      <c r="AY304" s="64"/>
      <c r="AZ304" s="69"/>
      <c r="BA304" s="64"/>
      <c r="BB304" s="69"/>
      <c r="BC304" s="64"/>
      <c r="BD304" s="69"/>
      <c r="BE304" s="64"/>
      <c r="BF304" s="69"/>
      <c r="BG304" s="64"/>
      <c r="BH304" s="69"/>
      <c r="BI304" s="64"/>
      <c r="BJ304" s="69"/>
      <c r="BK304" s="64"/>
      <c r="BL304" s="69"/>
      <c r="BM304" s="64"/>
      <c r="BN304" s="69"/>
      <c r="BO304" s="64"/>
      <c r="BP304" s="69"/>
      <c r="BQ304" s="64"/>
      <c r="BR304" s="69"/>
      <c r="BS304" s="64"/>
      <c r="BT304" s="69"/>
      <c r="BU304" t="b">
        <f t="shared" si="5"/>
        <v>0</v>
      </c>
    </row>
    <row r="305" spans="1:73" x14ac:dyDescent="0.25">
      <c r="A305" s="28"/>
      <c r="B305" s="29"/>
      <c r="C305" s="29"/>
      <c r="D305" s="30"/>
      <c r="E305" s="29"/>
      <c r="F305" s="30"/>
      <c r="G305" s="29"/>
      <c r="H305" s="69"/>
      <c r="I305" s="64"/>
      <c r="J305" s="69"/>
      <c r="K305" s="64"/>
      <c r="L305" s="69"/>
      <c r="M305" s="65"/>
      <c r="N305" s="69"/>
      <c r="O305" s="64"/>
      <c r="P305" s="69"/>
      <c r="Q305" s="64"/>
      <c r="R305" s="69"/>
      <c r="S305" s="64"/>
      <c r="T305" s="69"/>
      <c r="U305" s="64"/>
      <c r="V305" s="69"/>
      <c r="W305" s="65"/>
      <c r="X305" s="69"/>
      <c r="Y305" s="64"/>
      <c r="Z305" s="69"/>
      <c r="AA305" s="64"/>
      <c r="AB305" s="69"/>
      <c r="AC305" s="64"/>
      <c r="AD305" s="69"/>
      <c r="AE305" s="65"/>
      <c r="AF305" s="69"/>
      <c r="AG305" s="65"/>
      <c r="AH305" s="69"/>
      <c r="AI305" s="64"/>
      <c r="AJ305" s="69"/>
      <c r="AK305" s="64"/>
      <c r="AL305" s="69"/>
      <c r="AM305" s="64"/>
      <c r="AN305" s="69"/>
      <c r="AO305" s="64"/>
      <c r="AP305" s="69"/>
      <c r="AQ305" s="64"/>
      <c r="AR305" s="69"/>
      <c r="AS305" s="64"/>
      <c r="AT305" s="69"/>
      <c r="AU305" s="64"/>
      <c r="AV305" s="69"/>
      <c r="AW305" s="64"/>
      <c r="AX305" s="69"/>
      <c r="AY305" s="64"/>
      <c r="AZ305" s="69"/>
      <c r="BA305" s="64"/>
      <c r="BB305" s="69"/>
      <c r="BC305" s="64"/>
      <c r="BD305" s="69"/>
      <c r="BE305" s="64"/>
      <c r="BF305" s="69"/>
      <c r="BG305" s="64"/>
      <c r="BH305" s="69"/>
      <c r="BI305" s="64"/>
      <c r="BJ305" s="69"/>
      <c r="BK305" s="64"/>
      <c r="BL305" s="69"/>
      <c r="BM305" s="64"/>
      <c r="BN305" s="69"/>
      <c r="BO305" s="64"/>
      <c r="BP305" s="69"/>
      <c r="BQ305" s="64"/>
      <c r="BR305" s="69"/>
      <c r="BS305" s="64"/>
      <c r="BT305" s="69"/>
      <c r="BU305" t="b">
        <f t="shared" si="5"/>
        <v>0</v>
      </c>
    </row>
    <row r="306" spans="1:73" x14ac:dyDescent="0.25">
      <c r="A306" s="28"/>
      <c r="B306" s="29"/>
      <c r="C306" s="29"/>
      <c r="D306" s="30"/>
      <c r="E306" s="29"/>
      <c r="F306" s="30"/>
      <c r="G306" s="29"/>
      <c r="H306" s="69"/>
      <c r="I306" s="64"/>
      <c r="J306" s="69"/>
      <c r="K306" s="64"/>
      <c r="L306" s="69"/>
      <c r="M306" s="65"/>
      <c r="N306" s="69"/>
      <c r="O306" s="64"/>
      <c r="P306" s="69"/>
      <c r="Q306" s="64"/>
      <c r="R306" s="69"/>
      <c r="S306" s="64"/>
      <c r="T306" s="69"/>
      <c r="U306" s="64"/>
      <c r="V306" s="69"/>
      <c r="W306" s="65"/>
      <c r="X306" s="69"/>
      <c r="Y306" s="64"/>
      <c r="Z306" s="69"/>
      <c r="AA306" s="64"/>
      <c r="AB306" s="69"/>
      <c r="AC306" s="64"/>
      <c r="AD306" s="69"/>
      <c r="AE306" s="65"/>
      <c r="AF306" s="69"/>
      <c r="AG306" s="65"/>
      <c r="AH306" s="69"/>
      <c r="AI306" s="64"/>
      <c r="AJ306" s="69"/>
      <c r="AK306" s="64"/>
      <c r="AL306" s="69"/>
      <c r="AM306" s="64"/>
      <c r="AN306" s="69"/>
      <c r="AO306" s="64"/>
      <c r="AP306" s="69"/>
      <c r="AQ306" s="64"/>
      <c r="AR306" s="69"/>
      <c r="AS306" s="64"/>
      <c r="AT306" s="69"/>
      <c r="AU306" s="64"/>
      <c r="AV306" s="69"/>
      <c r="AW306" s="64"/>
      <c r="AX306" s="69"/>
      <c r="AY306" s="64"/>
      <c r="AZ306" s="69"/>
      <c r="BA306" s="64"/>
      <c r="BB306" s="69"/>
      <c r="BC306" s="64"/>
      <c r="BD306" s="69"/>
      <c r="BE306" s="64"/>
      <c r="BF306" s="69"/>
      <c r="BG306" s="64"/>
      <c r="BH306" s="69"/>
      <c r="BI306" s="64"/>
      <c r="BJ306" s="69"/>
      <c r="BK306" s="64"/>
      <c r="BL306" s="69"/>
      <c r="BM306" s="64"/>
      <c r="BN306" s="69"/>
      <c r="BO306" s="64"/>
      <c r="BP306" s="69"/>
      <c r="BQ306" s="64"/>
      <c r="BR306" s="69"/>
      <c r="BS306" s="64"/>
      <c r="BT306" s="69"/>
      <c r="BU306" t="b">
        <f t="shared" si="5"/>
        <v>0</v>
      </c>
    </row>
    <row r="307" spans="1:73" x14ac:dyDescent="0.25">
      <c r="A307" s="28"/>
      <c r="B307" s="29"/>
      <c r="C307" s="29"/>
      <c r="D307" s="30"/>
      <c r="E307" s="29"/>
      <c r="F307" s="30"/>
      <c r="G307" s="29"/>
      <c r="H307" s="69"/>
      <c r="I307" s="64"/>
      <c r="J307" s="69"/>
      <c r="K307" s="64"/>
      <c r="L307" s="69"/>
      <c r="M307" s="65"/>
      <c r="N307" s="69"/>
      <c r="O307" s="64"/>
      <c r="P307" s="69"/>
      <c r="Q307" s="64"/>
      <c r="R307" s="69"/>
      <c r="S307" s="64"/>
      <c r="T307" s="69"/>
      <c r="U307" s="64"/>
      <c r="V307" s="69"/>
      <c r="W307" s="65"/>
      <c r="X307" s="69"/>
      <c r="Y307" s="64"/>
      <c r="Z307" s="69"/>
      <c r="AA307" s="64"/>
      <c r="AB307" s="69"/>
      <c r="AC307" s="64"/>
      <c r="AD307" s="69"/>
      <c r="AE307" s="65"/>
      <c r="AF307" s="69"/>
      <c r="AG307" s="65"/>
      <c r="AH307" s="69"/>
      <c r="AI307" s="64"/>
      <c r="AJ307" s="69"/>
      <c r="AK307" s="64"/>
      <c r="AL307" s="69"/>
      <c r="AM307" s="64"/>
      <c r="AN307" s="69"/>
      <c r="AO307" s="64"/>
      <c r="AP307" s="69"/>
      <c r="AQ307" s="64"/>
      <c r="AR307" s="69"/>
      <c r="AS307" s="64"/>
      <c r="AT307" s="69"/>
      <c r="AU307" s="64"/>
      <c r="AV307" s="69"/>
      <c r="AW307" s="64"/>
      <c r="AX307" s="69"/>
      <c r="AY307" s="64"/>
      <c r="AZ307" s="69"/>
      <c r="BA307" s="64"/>
      <c r="BB307" s="69"/>
      <c r="BC307" s="64"/>
      <c r="BD307" s="69"/>
      <c r="BE307" s="64"/>
      <c r="BF307" s="69"/>
      <c r="BG307" s="64"/>
      <c r="BH307" s="69"/>
      <c r="BI307" s="64"/>
      <c r="BJ307" s="69"/>
      <c r="BK307" s="64"/>
      <c r="BL307" s="69"/>
      <c r="BM307" s="64"/>
      <c r="BN307" s="69"/>
      <c r="BO307" s="64"/>
      <c r="BP307" s="69"/>
      <c r="BQ307" s="64"/>
      <c r="BR307" s="69"/>
      <c r="BS307" s="64"/>
      <c r="BT307" s="69"/>
      <c r="BU307" t="b">
        <f t="shared" si="5"/>
        <v>0</v>
      </c>
    </row>
    <row r="308" spans="1:73" x14ac:dyDescent="0.25">
      <c r="A308" s="28"/>
      <c r="B308" s="29"/>
      <c r="C308" s="29"/>
      <c r="D308" s="30"/>
      <c r="E308" s="29"/>
      <c r="F308" s="30"/>
      <c r="G308" s="29"/>
      <c r="H308" s="69"/>
      <c r="I308" s="64"/>
      <c r="J308" s="69"/>
      <c r="K308" s="64"/>
      <c r="L308" s="69"/>
      <c r="M308" s="65"/>
      <c r="N308" s="69"/>
      <c r="O308" s="64"/>
      <c r="P308" s="69"/>
      <c r="Q308" s="64"/>
      <c r="R308" s="69"/>
      <c r="S308" s="64"/>
      <c r="T308" s="69"/>
      <c r="U308" s="64"/>
      <c r="V308" s="69"/>
      <c r="W308" s="65"/>
      <c r="X308" s="69"/>
      <c r="Y308" s="64"/>
      <c r="Z308" s="69"/>
      <c r="AA308" s="64"/>
      <c r="AB308" s="69"/>
      <c r="AC308" s="64"/>
      <c r="AD308" s="69"/>
      <c r="AE308" s="65"/>
      <c r="AF308" s="69"/>
      <c r="AG308" s="65"/>
      <c r="AH308" s="69"/>
      <c r="AI308" s="64"/>
      <c r="AJ308" s="69"/>
      <c r="AK308" s="64"/>
      <c r="AL308" s="69"/>
      <c r="AM308" s="64"/>
      <c r="AN308" s="69"/>
      <c r="AO308" s="64"/>
      <c r="AP308" s="69"/>
      <c r="AQ308" s="64"/>
      <c r="AR308" s="69"/>
      <c r="AS308" s="64"/>
      <c r="AT308" s="69"/>
      <c r="AU308" s="64"/>
      <c r="AV308" s="69"/>
      <c r="AW308" s="64"/>
      <c r="AX308" s="69"/>
      <c r="AY308" s="64"/>
      <c r="AZ308" s="69"/>
      <c r="BA308" s="64"/>
      <c r="BB308" s="69"/>
      <c r="BC308" s="64"/>
      <c r="BD308" s="69"/>
      <c r="BE308" s="64"/>
      <c r="BF308" s="69"/>
      <c r="BG308" s="64"/>
      <c r="BH308" s="69"/>
      <c r="BI308" s="64"/>
      <c r="BJ308" s="69"/>
      <c r="BK308" s="64"/>
      <c r="BL308" s="69"/>
      <c r="BM308" s="64"/>
      <c r="BN308" s="69"/>
      <c r="BO308" s="64"/>
      <c r="BP308" s="69"/>
      <c r="BQ308" s="64"/>
      <c r="BR308" s="69"/>
      <c r="BS308" s="64"/>
      <c r="BT308" s="69"/>
      <c r="BU308" t="b">
        <f t="shared" si="5"/>
        <v>0</v>
      </c>
    </row>
    <row r="309" spans="1:73" x14ac:dyDescent="0.25">
      <c r="A309" s="28"/>
      <c r="B309" s="29"/>
      <c r="C309" s="29"/>
      <c r="D309" s="30"/>
      <c r="E309" s="29"/>
      <c r="F309" s="30"/>
      <c r="G309" s="29"/>
      <c r="H309" s="69"/>
      <c r="I309" s="64"/>
      <c r="J309" s="69"/>
      <c r="K309" s="64"/>
      <c r="L309" s="69"/>
      <c r="M309" s="65"/>
      <c r="N309" s="69"/>
      <c r="O309" s="64"/>
      <c r="P309" s="69"/>
      <c r="Q309" s="64"/>
      <c r="R309" s="69"/>
      <c r="S309" s="64"/>
      <c r="T309" s="69"/>
      <c r="U309" s="64"/>
      <c r="V309" s="69"/>
      <c r="W309" s="65"/>
      <c r="X309" s="69"/>
      <c r="Y309" s="64"/>
      <c r="Z309" s="69"/>
      <c r="AA309" s="64"/>
      <c r="AB309" s="69"/>
      <c r="AC309" s="64"/>
      <c r="AD309" s="69"/>
      <c r="AE309" s="65"/>
      <c r="AF309" s="69"/>
      <c r="AG309" s="65"/>
      <c r="AH309" s="69"/>
      <c r="AI309" s="64"/>
      <c r="AJ309" s="69"/>
      <c r="AK309" s="64"/>
      <c r="AL309" s="69"/>
      <c r="AM309" s="64"/>
      <c r="AN309" s="69"/>
      <c r="AO309" s="64"/>
      <c r="AP309" s="69"/>
      <c r="AQ309" s="64"/>
      <c r="AR309" s="69"/>
      <c r="AS309" s="64"/>
      <c r="AT309" s="69"/>
      <c r="AU309" s="64"/>
      <c r="AV309" s="69"/>
      <c r="AW309" s="64"/>
      <c r="AX309" s="69"/>
      <c r="AY309" s="64"/>
      <c r="AZ309" s="69"/>
      <c r="BA309" s="64"/>
      <c r="BB309" s="69"/>
      <c r="BC309" s="64"/>
      <c r="BD309" s="69"/>
      <c r="BE309" s="64"/>
      <c r="BF309" s="69"/>
      <c r="BG309" s="64"/>
      <c r="BH309" s="69"/>
      <c r="BI309" s="64"/>
      <c r="BJ309" s="69"/>
      <c r="BK309" s="64"/>
      <c r="BL309" s="69"/>
      <c r="BM309" s="64"/>
      <c r="BN309" s="69"/>
      <c r="BO309" s="64"/>
      <c r="BP309" s="69"/>
      <c r="BQ309" s="64"/>
      <c r="BR309" s="69"/>
      <c r="BS309" s="64"/>
      <c r="BT309" s="69"/>
      <c r="BU309" t="b">
        <f t="shared" si="5"/>
        <v>0</v>
      </c>
    </row>
    <row r="310" spans="1:73" x14ac:dyDescent="0.25">
      <c r="A310" s="28"/>
      <c r="B310" s="29"/>
      <c r="C310" s="29"/>
      <c r="D310" s="30"/>
      <c r="E310" s="29"/>
      <c r="F310" s="30"/>
      <c r="G310" s="29"/>
      <c r="H310" s="69"/>
      <c r="I310" s="64"/>
      <c r="J310" s="69"/>
      <c r="K310" s="64"/>
      <c r="L310" s="69"/>
      <c r="M310" s="65"/>
      <c r="N310" s="69"/>
      <c r="O310" s="64"/>
      <c r="P310" s="69"/>
      <c r="Q310" s="64"/>
      <c r="R310" s="69"/>
      <c r="S310" s="64"/>
      <c r="T310" s="69"/>
      <c r="U310" s="64"/>
      <c r="V310" s="69"/>
      <c r="W310" s="65"/>
      <c r="X310" s="69"/>
      <c r="Y310" s="64"/>
      <c r="Z310" s="69"/>
      <c r="AA310" s="64"/>
      <c r="AB310" s="69"/>
      <c r="AC310" s="64"/>
      <c r="AD310" s="69"/>
      <c r="AE310" s="65"/>
      <c r="AF310" s="69"/>
      <c r="AG310" s="65"/>
      <c r="AH310" s="69"/>
      <c r="AI310" s="64"/>
      <c r="AJ310" s="69"/>
      <c r="AK310" s="64"/>
      <c r="AL310" s="69"/>
      <c r="AM310" s="64"/>
      <c r="AN310" s="69"/>
      <c r="AO310" s="64"/>
      <c r="AP310" s="69"/>
      <c r="AQ310" s="64"/>
      <c r="AR310" s="69"/>
      <c r="AS310" s="64"/>
      <c r="AT310" s="69"/>
      <c r="AU310" s="64"/>
      <c r="AV310" s="69"/>
      <c r="AW310" s="64"/>
      <c r="AX310" s="69"/>
      <c r="AY310" s="64"/>
      <c r="AZ310" s="69"/>
      <c r="BA310" s="64"/>
      <c r="BB310" s="69"/>
      <c r="BC310" s="64"/>
      <c r="BD310" s="69"/>
      <c r="BE310" s="64"/>
      <c r="BF310" s="69"/>
      <c r="BG310" s="64"/>
      <c r="BH310" s="69"/>
      <c r="BI310" s="64"/>
      <c r="BJ310" s="69"/>
      <c r="BK310" s="64"/>
      <c r="BL310" s="69"/>
      <c r="BM310" s="64"/>
      <c r="BN310" s="69"/>
      <c r="BO310" s="64"/>
      <c r="BP310" s="69"/>
      <c r="BQ310" s="64"/>
      <c r="BR310" s="69"/>
      <c r="BS310" s="64"/>
      <c r="BT310" s="69"/>
      <c r="BU310" t="b">
        <f t="shared" si="5"/>
        <v>0</v>
      </c>
    </row>
    <row r="311" spans="1:73" x14ac:dyDescent="0.25">
      <c r="A311" s="28"/>
      <c r="B311" s="29"/>
      <c r="C311" s="29"/>
      <c r="D311" s="30"/>
      <c r="E311" s="29"/>
      <c r="F311" s="30"/>
      <c r="G311" s="29"/>
      <c r="H311" s="69"/>
      <c r="I311" s="64"/>
      <c r="J311" s="69"/>
      <c r="K311" s="64"/>
      <c r="L311" s="69"/>
      <c r="M311" s="65"/>
      <c r="N311" s="69"/>
      <c r="O311" s="64"/>
      <c r="P311" s="69"/>
      <c r="Q311" s="64"/>
      <c r="R311" s="69"/>
      <c r="S311" s="64"/>
      <c r="T311" s="69"/>
      <c r="U311" s="64"/>
      <c r="V311" s="69"/>
      <c r="W311" s="65"/>
      <c r="X311" s="69"/>
      <c r="Y311" s="64"/>
      <c r="Z311" s="69"/>
      <c r="AA311" s="64"/>
      <c r="AB311" s="69"/>
      <c r="AC311" s="64"/>
      <c r="AD311" s="69"/>
      <c r="AE311" s="65"/>
      <c r="AF311" s="69"/>
      <c r="AG311" s="65"/>
      <c r="AH311" s="69"/>
      <c r="AI311" s="64"/>
      <c r="AJ311" s="69"/>
      <c r="AK311" s="64"/>
      <c r="AL311" s="69"/>
      <c r="AM311" s="64"/>
      <c r="AN311" s="69"/>
      <c r="AO311" s="64"/>
      <c r="AP311" s="69"/>
      <c r="AQ311" s="64"/>
      <c r="AR311" s="69"/>
      <c r="AS311" s="64"/>
      <c r="AT311" s="69"/>
      <c r="AU311" s="64"/>
      <c r="AV311" s="69"/>
      <c r="AW311" s="64"/>
      <c r="AX311" s="69"/>
      <c r="AY311" s="64"/>
      <c r="AZ311" s="69"/>
      <c r="BA311" s="64"/>
      <c r="BB311" s="69"/>
      <c r="BC311" s="64"/>
      <c r="BD311" s="69"/>
      <c r="BE311" s="64"/>
      <c r="BF311" s="69"/>
      <c r="BG311" s="64"/>
      <c r="BH311" s="69"/>
      <c r="BI311" s="64"/>
      <c r="BJ311" s="69"/>
      <c r="BK311" s="64"/>
      <c r="BL311" s="69"/>
      <c r="BM311" s="64"/>
      <c r="BN311" s="69"/>
      <c r="BO311" s="64"/>
      <c r="BP311" s="69"/>
      <c r="BQ311" s="64"/>
      <c r="BR311" s="69"/>
      <c r="BS311" s="64"/>
      <c r="BT311" s="69"/>
      <c r="BU311" t="b">
        <f t="shared" si="5"/>
        <v>0</v>
      </c>
    </row>
    <row r="312" spans="1:73" x14ac:dyDescent="0.25">
      <c r="A312" s="28"/>
      <c r="B312" s="29"/>
      <c r="C312" s="29"/>
      <c r="D312" s="30"/>
      <c r="E312" s="29"/>
      <c r="F312" s="30"/>
      <c r="G312" s="29"/>
      <c r="H312" s="69"/>
      <c r="I312" s="64"/>
      <c r="J312" s="69"/>
      <c r="K312" s="64"/>
      <c r="L312" s="69"/>
      <c r="M312" s="65"/>
      <c r="N312" s="69"/>
      <c r="O312" s="64"/>
      <c r="P312" s="69"/>
      <c r="Q312" s="64"/>
      <c r="R312" s="69"/>
      <c r="S312" s="64"/>
      <c r="T312" s="69"/>
      <c r="U312" s="64"/>
      <c r="V312" s="69"/>
      <c r="W312" s="65"/>
      <c r="X312" s="69"/>
      <c r="Y312" s="64"/>
      <c r="Z312" s="69"/>
      <c r="AA312" s="64"/>
      <c r="AB312" s="69"/>
      <c r="AC312" s="64"/>
      <c r="AD312" s="69"/>
      <c r="AE312" s="65"/>
      <c r="AF312" s="69"/>
      <c r="AG312" s="65"/>
      <c r="AH312" s="69"/>
      <c r="AI312" s="64"/>
      <c r="AJ312" s="69"/>
      <c r="AK312" s="64"/>
      <c r="AL312" s="69"/>
      <c r="AM312" s="64"/>
      <c r="AN312" s="69"/>
      <c r="AO312" s="64"/>
      <c r="AP312" s="69"/>
      <c r="AQ312" s="64"/>
      <c r="AR312" s="69"/>
      <c r="AS312" s="64"/>
      <c r="AT312" s="69"/>
      <c r="AU312" s="64"/>
      <c r="AV312" s="69"/>
      <c r="AW312" s="64"/>
      <c r="AX312" s="69"/>
      <c r="AY312" s="64"/>
      <c r="AZ312" s="69"/>
      <c r="BA312" s="64"/>
      <c r="BB312" s="69"/>
      <c r="BC312" s="64"/>
      <c r="BD312" s="69"/>
      <c r="BE312" s="64"/>
      <c r="BF312" s="69"/>
      <c r="BG312" s="64"/>
      <c r="BH312" s="69"/>
      <c r="BI312" s="64"/>
      <c r="BJ312" s="69"/>
      <c r="BK312" s="64"/>
      <c r="BL312" s="69"/>
      <c r="BM312" s="64"/>
      <c r="BN312" s="69"/>
      <c r="BO312" s="64"/>
      <c r="BP312" s="69"/>
      <c r="BQ312" s="64"/>
      <c r="BR312" s="69"/>
      <c r="BS312" s="64"/>
      <c r="BT312" s="69"/>
      <c r="BU312" t="b">
        <f t="shared" si="5"/>
        <v>0</v>
      </c>
    </row>
    <row r="313" spans="1:73" x14ac:dyDescent="0.25">
      <c r="A313" s="28"/>
      <c r="B313" s="29"/>
      <c r="C313" s="29"/>
      <c r="D313" s="30"/>
      <c r="E313" s="29"/>
      <c r="F313" s="30"/>
      <c r="G313" s="29"/>
      <c r="H313" s="69"/>
      <c r="I313" s="64"/>
      <c r="J313" s="69"/>
      <c r="K313" s="64"/>
      <c r="L313" s="69"/>
      <c r="M313" s="65"/>
      <c r="N313" s="69"/>
      <c r="O313" s="64"/>
      <c r="P313" s="69"/>
      <c r="Q313" s="64"/>
      <c r="R313" s="69"/>
      <c r="S313" s="64"/>
      <c r="T313" s="69"/>
      <c r="U313" s="64"/>
      <c r="V313" s="69"/>
      <c r="W313" s="65"/>
      <c r="X313" s="69"/>
      <c r="Y313" s="64"/>
      <c r="Z313" s="69"/>
      <c r="AA313" s="64"/>
      <c r="AB313" s="69"/>
      <c r="AC313" s="64"/>
      <c r="AD313" s="69"/>
      <c r="AE313" s="65"/>
      <c r="AF313" s="69"/>
      <c r="AG313" s="65"/>
      <c r="AH313" s="69"/>
      <c r="AI313" s="64"/>
      <c r="AJ313" s="69"/>
      <c r="AK313" s="64"/>
      <c r="AL313" s="69"/>
      <c r="AM313" s="64"/>
      <c r="AN313" s="69"/>
      <c r="AO313" s="64"/>
      <c r="AP313" s="69"/>
      <c r="AQ313" s="64"/>
      <c r="AR313" s="69"/>
      <c r="AS313" s="64"/>
      <c r="AT313" s="69"/>
      <c r="AU313" s="64"/>
      <c r="AV313" s="69"/>
      <c r="AW313" s="64"/>
      <c r="AX313" s="69"/>
      <c r="AY313" s="64"/>
      <c r="AZ313" s="69"/>
      <c r="BA313" s="64"/>
      <c r="BB313" s="69"/>
      <c r="BC313" s="64"/>
      <c r="BD313" s="69"/>
      <c r="BE313" s="64"/>
      <c r="BF313" s="69"/>
      <c r="BG313" s="64"/>
      <c r="BH313" s="69"/>
      <c r="BI313" s="64"/>
      <c r="BJ313" s="69"/>
      <c r="BK313" s="64"/>
      <c r="BL313" s="69"/>
      <c r="BM313" s="64"/>
      <c r="BN313" s="69"/>
      <c r="BO313" s="64"/>
      <c r="BP313" s="69"/>
      <c r="BQ313" s="64"/>
      <c r="BR313" s="69"/>
      <c r="BS313" s="64"/>
      <c r="BT313" s="69"/>
      <c r="BU313" t="b">
        <f t="shared" si="5"/>
        <v>0</v>
      </c>
    </row>
    <row r="314" spans="1:73" x14ac:dyDescent="0.25">
      <c r="A314" s="28"/>
      <c r="B314" s="29"/>
      <c r="C314" s="29"/>
      <c r="D314" s="30"/>
      <c r="E314" s="29"/>
      <c r="F314" s="30"/>
      <c r="G314" s="29"/>
      <c r="H314" s="69"/>
      <c r="I314" s="64"/>
      <c r="J314" s="69"/>
      <c r="K314" s="64"/>
      <c r="L314" s="69"/>
      <c r="M314" s="65"/>
      <c r="N314" s="69"/>
      <c r="O314" s="64"/>
      <c r="P314" s="69"/>
      <c r="Q314" s="64"/>
      <c r="R314" s="69"/>
      <c r="S314" s="64"/>
      <c r="T314" s="69"/>
      <c r="U314" s="64"/>
      <c r="V314" s="69"/>
      <c r="W314" s="65"/>
      <c r="X314" s="69"/>
      <c r="Y314" s="64"/>
      <c r="Z314" s="69"/>
      <c r="AA314" s="64"/>
      <c r="AB314" s="69"/>
      <c r="AC314" s="64"/>
      <c r="AD314" s="69"/>
      <c r="AE314" s="65"/>
      <c r="AF314" s="69"/>
      <c r="AG314" s="65"/>
      <c r="AH314" s="69"/>
      <c r="AI314" s="64"/>
      <c r="AJ314" s="69"/>
      <c r="AK314" s="64"/>
      <c r="AL314" s="69"/>
      <c r="AM314" s="64"/>
      <c r="AN314" s="69"/>
      <c r="AO314" s="64"/>
      <c r="AP314" s="69"/>
      <c r="AQ314" s="64"/>
      <c r="AR314" s="69"/>
      <c r="AS314" s="64"/>
      <c r="AT314" s="69"/>
      <c r="AU314" s="64"/>
      <c r="AV314" s="69"/>
      <c r="AW314" s="64"/>
      <c r="AX314" s="69"/>
      <c r="AY314" s="64"/>
      <c r="AZ314" s="69"/>
      <c r="BA314" s="64"/>
      <c r="BB314" s="69"/>
      <c r="BC314" s="64"/>
      <c r="BD314" s="69"/>
      <c r="BE314" s="64"/>
      <c r="BF314" s="69"/>
      <c r="BG314" s="64"/>
      <c r="BH314" s="69"/>
      <c r="BI314" s="64"/>
      <c r="BJ314" s="69"/>
      <c r="BK314" s="64"/>
      <c r="BL314" s="69"/>
      <c r="BM314" s="64"/>
      <c r="BN314" s="69"/>
      <c r="BO314" s="64"/>
      <c r="BP314" s="69"/>
      <c r="BQ314" s="64"/>
      <c r="BR314" s="69"/>
      <c r="BS314" s="64"/>
      <c r="BT314" s="69"/>
      <c r="BU314" t="b">
        <f t="shared" si="5"/>
        <v>0</v>
      </c>
    </row>
    <row r="315" spans="1:73" x14ac:dyDescent="0.25">
      <c r="A315" s="28"/>
      <c r="B315" s="29"/>
      <c r="C315" s="29"/>
      <c r="D315" s="30"/>
      <c r="E315" s="29"/>
      <c r="F315" s="30"/>
      <c r="G315" s="29"/>
      <c r="H315" s="69"/>
      <c r="I315" s="64"/>
      <c r="J315" s="69"/>
      <c r="K315" s="64"/>
      <c r="L315" s="69"/>
      <c r="M315" s="65"/>
      <c r="N315" s="69"/>
      <c r="O315" s="64"/>
      <c r="P315" s="69"/>
      <c r="Q315" s="64"/>
      <c r="R315" s="69"/>
      <c r="S315" s="64"/>
      <c r="T315" s="69"/>
      <c r="U315" s="64"/>
      <c r="V315" s="69"/>
      <c r="W315" s="65"/>
      <c r="X315" s="69"/>
      <c r="Y315" s="64"/>
      <c r="Z315" s="69"/>
      <c r="AA315" s="64"/>
      <c r="AB315" s="69"/>
      <c r="AC315" s="64"/>
      <c r="AD315" s="69"/>
      <c r="AE315" s="65"/>
      <c r="AF315" s="69"/>
      <c r="AG315" s="65"/>
      <c r="AH315" s="69"/>
      <c r="AI315" s="64"/>
      <c r="AJ315" s="69"/>
      <c r="AK315" s="64"/>
      <c r="AL315" s="69"/>
      <c r="AM315" s="64"/>
      <c r="AN315" s="69"/>
      <c r="AO315" s="64"/>
      <c r="AP315" s="69"/>
      <c r="AQ315" s="64"/>
      <c r="AR315" s="69"/>
      <c r="AS315" s="64"/>
      <c r="AT315" s="69"/>
      <c r="AU315" s="64"/>
      <c r="AV315" s="69"/>
      <c r="AW315" s="64"/>
      <c r="AX315" s="69"/>
      <c r="AY315" s="64"/>
      <c r="AZ315" s="69"/>
      <c r="BA315" s="64"/>
      <c r="BB315" s="69"/>
      <c r="BC315" s="64"/>
      <c r="BD315" s="69"/>
      <c r="BE315" s="64"/>
      <c r="BF315" s="69"/>
      <c r="BG315" s="64"/>
      <c r="BH315" s="69"/>
      <c r="BI315" s="64"/>
      <c r="BJ315" s="69"/>
      <c r="BK315" s="64"/>
      <c r="BL315" s="69"/>
      <c r="BM315" s="64"/>
      <c r="BN315" s="69"/>
      <c r="BO315" s="64"/>
      <c r="BP315" s="69"/>
      <c r="BQ315" s="64"/>
      <c r="BR315" s="69"/>
      <c r="BS315" s="64"/>
      <c r="BT315" s="69"/>
      <c r="BU315" t="b">
        <f t="shared" si="5"/>
        <v>0</v>
      </c>
    </row>
    <row r="316" spans="1:73" x14ac:dyDescent="0.25">
      <c r="A316" s="28"/>
      <c r="B316" s="29"/>
      <c r="C316" s="29"/>
      <c r="D316" s="30"/>
      <c r="E316" s="29"/>
      <c r="F316" s="30"/>
      <c r="G316" s="29"/>
      <c r="H316" s="69"/>
      <c r="I316" s="64"/>
      <c r="J316" s="69"/>
      <c r="K316" s="64"/>
      <c r="L316" s="69"/>
      <c r="M316" s="65"/>
      <c r="N316" s="69"/>
      <c r="O316" s="64"/>
      <c r="P316" s="69"/>
      <c r="Q316" s="64"/>
      <c r="R316" s="69"/>
      <c r="S316" s="64"/>
      <c r="T316" s="69"/>
      <c r="U316" s="64"/>
      <c r="V316" s="69"/>
      <c r="W316" s="65"/>
      <c r="X316" s="69"/>
      <c r="Y316" s="64"/>
      <c r="Z316" s="69"/>
      <c r="AA316" s="64"/>
      <c r="AB316" s="69"/>
      <c r="AC316" s="64"/>
      <c r="AD316" s="69"/>
      <c r="AE316" s="65"/>
      <c r="AF316" s="69"/>
      <c r="AG316" s="65"/>
      <c r="AH316" s="69"/>
      <c r="AI316" s="64"/>
      <c r="AJ316" s="69"/>
      <c r="AK316" s="64"/>
      <c r="AL316" s="69"/>
      <c r="AM316" s="64"/>
      <c r="AN316" s="69"/>
      <c r="AO316" s="64"/>
      <c r="AP316" s="69"/>
      <c r="AQ316" s="64"/>
      <c r="AR316" s="69"/>
      <c r="AS316" s="64"/>
      <c r="AT316" s="69"/>
      <c r="AU316" s="64"/>
      <c r="AV316" s="69"/>
      <c r="AW316" s="64"/>
      <c r="AX316" s="69"/>
      <c r="AY316" s="64"/>
      <c r="AZ316" s="69"/>
      <c r="BA316" s="64"/>
      <c r="BB316" s="69"/>
      <c r="BC316" s="64"/>
      <c r="BD316" s="69"/>
      <c r="BE316" s="64"/>
      <c r="BF316" s="69"/>
      <c r="BG316" s="64"/>
      <c r="BH316" s="69"/>
      <c r="BI316" s="64"/>
      <c r="BJ316" s="69"/>
      <c r="BK316" s="64"/>
      <c r="BL316" s="69"/>
      <c r="BM316" s="64"/>
      <c r="BN316" s="69"/>
      <c r="BO316" s="64"/>
      <c r="BP316" s="69"/>
      <c r="BQ316" s="64"/>
      <c r="BR316" s="69"/>
      <c r="BS316" s="64"/>
      <c r="BT316" s="69"/>
      <c r="BU316" t="b">
        <f t="shared" si="5"/>
        <v>0</v>
      </c>
    </row>
    <row r="317" spans="1:73" x14ac:dyDescent="0.25">
      <c r="A317" s="28"/>
      <c r="B317" s="29"/>
      <c r="C317" s="29"/>
      <c r="D317" s="30"/>
      <c r="E317" s="29"/>
      <c r="F317" s="30"/>
      <c r="G317" s="29"/>
      <c r="H317" s="69"/>
      <c r="I317" s="64"/>
      <c r="J317" s="69"/>
      <c r="K317" s="64"/>
      <c r="L317" s="69"/>
      <c r="M317" s="65"/>
      <c r="N317" s="69"/>
      <c r="O317" s="64"/>
      <c r="P317" s="69"/>
      <c r="Q317" s="64"/>
      <c r="R317" s="69"/>
      <c r="S317" s="64"/>
      <c r="T317" s="69"/>
      <c r="U317" s="64"/>
      <c r="V317" s="69"/>
      <c r="W317" s="65"/>
      <c r="X317" s="69"/>
      <c r="Y317" s="64"/>
      <c r="Z317" s="69"/>
      <c r="AA317" s="64"/>
      <c r="AB317" s="69"/>
      <c r="AC317" s="64"/>
      <c r="AD317" s="69"/>
      <c r="AE317" s="65"/>
      <c r="AF317" s="69"/>
      <c r="AG317" s="65"/>
      <c r="AH317" s="69"/>
      <c r="AI317" s="64"/>
      <c r="AJ317" s="69"/>
      <c r="AK317" s="64"/>
      <c r="AL317" s="69"/>
      <c r="AM317" s="64"/>
      <c r="AN317" s="69"/>
      <c r="AO317" s="64"/>
      <c r="AP317" s="69"/>
      <c r="AQ317" s="64"/>
      <c r="AR317" s="69"/>
      <c r="AS317" s="64"/>
      <c r="AT317" s="69"/>
      <c r="AU317" s="64"/>
      <c r="AV317" s="69"/>
      <c r="AW317" s="64"/>
      <c r="AX317" s="69"/>
      <c r="AY317" s="64"/>
      <c r="AZ317" s="69"/>
      <c r="BA317" s="64"/>
      <c r="BB317" s="69"/>
      <c r="BC317" s="64"/>
      <c r="BD317" s="69"/>
      <c r="BE317" s="64"/>
      <c r="BF317" s="69"/>
      <c r="BG317" s="64"/>
      <c r="BH317" s="69"/>
      <c r="BI317" s="64"/>
      <c r="BJ317" s="69"/>
      <c r="BK317" s="64"/>
      <c r="BL317" s="69"/>
      <c r="BM317" s="64"/>
      <c r="BN317" s="69"/>
      <c r="BO317" s="64"/>
      <c r="BP317" s="69"/>
      <c r="BQ317" s="64"/>
      <c r="BR317" s="69"/>
      <c r="BS317" s="64"/>
      <c r="BT317" s="69"/>
      <c r="BU317" t="b">
        <f t="shared" si="5"/>
        <v>0</v>
      </c>
    </row>
    <row r="318" spans="1:73" x14ac:dyDescent="0.25">
      <c r="A318" s="28"/>
      <c r="B318" s="29"/>
      <c r="C318" s="29"/>
      <c r="D318" s="30"/>
      <c r="E318" s="29"/>
      <c r="F318" s="30"/>
      <c r="G318" s="29"/>
      <c r="H318" s="69"/>
      <c r="I318" s="64"/>
      <c r="J318" s="69"/>
      <c r="K318" s="64"/>
      <c r="L318" s="69"/>
      <c r="M318" s="65"/>
      <c r="N318" s="69"/>
      <c r="O318" s="64"/>
      <c r="P318" s="69"/>
      <c r="Q318" s="64"/>
      <c r="R318" s="69"/>
      <c r="S318" s="64"/>
      <c r="T318" s="69"/>
      <c r="U318" s="64"/>
      <c r="V318" s="69"/>
      <c r="W318" s="65"/>
      <c r="X318" s="69"/>
      <c r="Y318" s="64"/>
      <c r="Z318" s="69"/>
      <c r="AA318" s="64"/>
      <c r="AB318" s="69"/>
      <c r="AC318" s="64"/>
      <c r="AD318" s="69"/>
      <c r="AE318" s="65"/>
      <c r="AF318" s="69"/>
      <c r="AG318" s="65"/>
      <c r="AH318" s="69"/>
      <c r="AI318" s="64"/>
      <c r="AJ318" s="69"/>
      <c r="AK318" s="64"/>
      <c r="AL318" s="69"/>
      <c r="AM318" s="64"/>
      <c r="AN318" s="69"/>
      <c r="AO318" s="64"/>
      <c r="AP318" s="69"/>
      <c r="AQ318" s="64"/>
      <c r="AR318" s="69"/>
      <c r="AS318" s="64"/>
      <c r="AT318" s="69"/>
      <c r="AU318" s="64"/>
      <c r="AV318" s="69"/>
      <c r="AW318" s="64"/>
      <c r="AX318" s="69"/>
      <c r="AY318" s="64"/>
      <c r="AZ318" s="69"/>
      <c r="BA318" s="64"/>
      <c r="BB318" s="69"/>
      <c r="BC318" s="64"/>
      <c r="BD318" s="69"/>
      <c r="BE318" s="64"/>
      <c r="BF318" s="69"/>
      <c r="BG318" s="64"/>
      <c r="BH318" s="69"/>
      <c r="BI318" s="64"/>
      <c r="BJ318" s="69"/>
      <c r="BK318" s="64"/>
      <c r="BL318" s="69"/>
      <c r="BM318" s="64"/>
      <c r="BN318" s="69"/>
      <c r="BO318" s="64"/>
      <c r="BP318" s="69"/>
      <c r="BQ318" s="64"/>
      <c r="BR318" s="69"/>
      <c r="BS318" s="64"/>
      <c r="BT318" s="69"/>
      <c r="BU318" t="b">
        <f t="shared" si="5"/>
        <v>0</v>
      </c>
    </row>
    <row r="319" spans="1:73" x14ac:dyDescent="0.25">
      <c r="A319" s="28"/>
      <c r="B319" s="29"/>
      <c r="C319" s="29"/>
      <c r="D319" s="30"/>
      <c r="E319" s="29"/>
      <c r="F319" s="30"/>
      <c r="G319" s="29"/>
      <c r="H319" s="69"/>
      <c r="I319" s="64"/>
      <c r="J319" s="69"/>
      <c r="K319" s="64"/>
      <c r="L319" s="69"/>
      <c r="M319" s="65"/>
      <c r="N319" s="69"/>
      <c r="O319" s="64"/>
      <c r="P319" s="69"/>
      <c r="Q319" s="64"/>
      <c r="R319" s="69"/>
      <c r="S319" s="64"/>
      <c r="T319" s="69"/>
      <c r="U319" s="64"/>
      <c r="V319" s="69"/>
      <c r="W319" s="65"/>
      <c r="X319" s="69"/>
      <c r="Y319" s="64"/>
      <c r="Z319" s="69"/>
      <c r="AA319" s="64"/>
      <c r="AB319" s="69"/>
      <c r="AC319" s="64"/>
      <c r="AD319" s="69"/>
      <c r="AE319" s="65"/>
      <c r="AF319" s="69"/>
      <c r="AG319" s="65"/>
      <c r="AH319" s="69"/>
      <c r="AI319" s="64"/>
      <c r="AJ319" s="69"/>
      <c r="AK319" s="64"/>
      <c r="AL319" s="69"/>
      <c r="AM319" s="64"/>
      <c r="AN319" s="69"/>
      <c r="AO319" s="64"/>
      <c r="AP319" s="69"/>
      <c r="AQ319" s="64"/>
      <c r="AR319" s="69"/>
      <c r="AS319" s="64"/>
      <c r="AT319" s="69"/>
      <c r="AU319" s="64"/>
      <c r="AV319" s="69"/>
      <c r="AW319" s="64"/>
      <c r="AX319" s="69"/>
      <c r="AY319" s="64"/>
      <c r="AZ319" s="69"/>
      <c r="BA319" s="64"/>
      <c r="BB319" s="69"/>
      <c r="BC319" s="64"/>
      <c r="BD319" s="69"/>
      <c r="BE319" s="64"/>
      <c r="BF319" s="69"/>
      <c r="BG319" s="64"/>
      <c r="BH319" s="69"/>
      <c r="BI319" s="64"/>
      <c r="BJ319" s="69"/>
      <c r="BK319" s="64"/>
      <c r="BL319" s="69"/>
      <c r="BM319" s="64"/>
      <c r="BN319" s="69"/>
      <c r="BO319" s="64"/>
      <c r="BP319" s="69"/>
      <c r="BQ319" s="64"/>
      <c r="BR319" s="69"/>
      <c r="BS319" s="64"/>
      <c r="BT319" s="69"/>
      <c r="BU319" t="b">
        <f t="shared" si="5"/>
        <v>0</v>
      </c>
    </row>
    <row r="320" spans="1:73" x14ac:dyDescent="0.25">
      <c r="A320" s="28"/>
      <c r="B320" s="29"/>
      <c r="C320" s="29"/>
      <c r="D320" s="30"/>
      <c r="E320" s="29"/>
      <c r="F320" s="30"/>
      <c r="G320" s="29"/>
      <c r="H320" s="69"/>
      <c r="I320" s="64"/>
      <c r="J320" s="69"/>
      <c r="K320" s="64"/>
      <c r="L320" s="69"/>
      <c r="M320" s="65"/>
      <c r="N320" s="69"/>
      <c r="O320" s="64"/>
      <c r="P320" s="69"/>
      <c r="Q320" s="64"/>
      <c r="R320" s="69"/>
      <c r="S320" s="64"/>
      <c r="T320" s="69"/>
      <c r="U320" s="64"/>
      <c r="V320" s="69"/>
      <c r="W320" s="65"/>
      <c r="X320" s="69"/>
      <c r="Y320" s="64"/>
      <c r="Z320" s="69"/>
      <c r="AA320" s="64"/>
      <c r="AB320" s="69"/>
      <c r="AC320" s="64"/>
      <c r="AD320" s="69"/>
      <c r="AE320" s="65"/>
      <c r="AF320" s="69"/>
      <c r="AG320" s="65"/>
      <c r="AH320" s="69"/>
      <c r="AI320" s="64"/>
      <c r="AJ320" s="69"/>
      <c r="AK320" s="64"/>
      <c r="AL320" s="69"/>
      <c r="AM320" s="64"/>
      <c r="AN320" s="69"/>
      <c r="AO320" s="64"/>
      <c r="AP320" s="69"/>
      <c r="AQ320" s="64"/>
      <c r="AR320" s="69"/>
      <c r="AS320" s="64"/>
      <c r="AT320" s="69"/>
      <c r="AU320" s="64"/>
      <c r="AV320" s="69"/>
      <c r="AW320" s="64"/>
      <c r="AX320" s="69"/>
      <c r="AY320" s="64"/>
      <c r="AZ320" s="69"/>
      <c r="BA320" s="64"/>
      <c r="BB320" s="69"/>
      <c r="BC320" s="64"/>
      <c r="BD320" s="69"/>
      <c r="BE320" s="64"/>
      <c r="BF320" s="69"/>
      <c r="BG320" s="64"/>
      <c r="BH320" s="69"/>
      <c r="BI320" s="64"/>
      <c r="BJ320" s="69"/>
      <c r="BK320" s="64"/>
      <c r="BL320" s="69"/>
      <c r="BM320" s="64"/>
      <c r="BN320" s="69"/>
      <c r="BO320" s="64"/>
      <c r="BP320" s="69"/>
      <c r="BQ320" s="64"/>
      <c r="BR320" s="69"/>
      <c r="BS320" s="64"/>
      <c r="BT320" s="69"/>
      <c r="BU320" t="b">
        <f t="shared" si="5"/>
        <v>0</v>
      </c>
    </row>
    <row r="321" spans="1:73" x14ac:dyDescent="0.25">
      <c r="A321" s="28"/>
      <c r="B321" s="29"/>
      <c r="C321" s="29"/>
      <c r="D321" s="30"/>
      <c r="E321" s="29"/>
      <c r="F321" s="30"/>
      <c r="G321" s="29"/>
      <c r="H321" s="69"/>
      <c r="I321" s="64"/>
      <c r="J321" s="69"/>
      <c r="K321" s="64"/>
      <c r="L321" s="69"/>
      <c r="M321" s="65"/>
      <c r="N321" s="69"/>
      <c r="O321" s="64"/>
      <c r="P321" s="69"/>
      <c r="Q321" s="64"/>
      <c r="R321" s="69"/>
      <c r="S321" s="64"/>
      <c r="T321" s="69"/>
      <c r="U321" s="64"/>
      <c r="V321" s="69"/>
      <c r="W321" s="65"/>
      <c r="X321" s="69"/>
      <c r="Y321" s="64"/>
      <c r="Z321" s="69"/>
      <c r="AA321" s="64"/>
      <c r="AB321" s="69"/>
      <c r="AC321" s="64"/>
      <c r="AD321" s="69"/>
      <c r="AE321" s="65"/>
      <c r="AF321" s="69"/>
      <c r="AG321" s="65"/>
      <c r="AH321" s="69"/>
      <c r="AI321" s="64"/>
      <c r="AJ321" s="69"/>
      <c r="AK321" s="64"/>
      <c r="AL321" s="69"/>
      <c r="AM321" s="64"/>
      <c r="AN321" s="69"/>
      <c r="AO321" s="64"/>
      <c r="AP321" s="69"/>
      <c r="AQ321" s="64"/>
      <c r="AR321" s="69"/>
      <c r="AS321" s="64"/>
      <c r="AT321" s="69"/>
      <c r="AU321" s="64"/>
      <c r="AV321" s="69"/>
      <c r="AW321" s="64"/>
      <c r="AX321" s="69"/>
      <c r="AY321" s="64"/>
      <c r="AZ321" s="69"/>
      <c r="BA321" s="64"/>
      <c r="BB321" s="69"/>
      <c r="BC321" s="64"/>
      <c r="BD321" s="69"/>
      <c r="BE321" s="64"/>
      <c r="BF321" s="69"/>
      <c r="BG321" s="64"/>
      <c r="BH321" s="69"/>
      <c r="BI321" s="64"/>
      <c r="BJ321" s="69"/>
      <c r="BK321" s="64"/>
      <c r="BL321" s="69"/>
      <c r="BM321" s="64"/>
      <c r="BN321" s="69"/>
      <c r="BO321" s="64"/>
      <c r="BP321" s="69"/>
      <c r="BQ321" s="64"/>
      <c r="BR321" s="69"/>
      <c r="BS321" s="64"/>
      <c r="BT321" s="69"/>
      <c r="BU321" t="b">
        <f t="shared" si="5"/>
        <v>0</v>
      </c>
    </row>
    <row r="322" spans="1:73" x14ac:dyDescent="0.25">
      <c r="A322" s="28"/>
      <c r="B322" s="29"/>
      <c r="C322" s="29"/>
      <c r="D322" s="30"/>
      <c r="E322" s="29"/>
      <c r="F322" s="30"/>
      <c r="G322" s="29"/>
      <c r="H322" s="69"/>
      <c r="I322" s="64"/>
      <c r="J322" s="69"/>
      <c r="K322" s="64"/>
      <c r="L322" s="69"/>
      <c r="M322" s="65"/>
      <c r="N322" s="69"/>
      <c r="O322" s="64"/>
      <c r="P322" s="69"/>
      <c r="Q322" s="64"/>
      <c r="R322" s="69"/>
      <c r="S322" s="64"/>
      <c r="T322" s="69"/>
      <c r="U322" s="64"/>
      <c r="V322" s="69"/>
      <c r="W322" s="65"/>
      <c r="X322" s="69"/>
      <c r="Y322" s="64"/>
      <c r="Z322" s="69"/>
      <c r="AA322" s="64"/>
      <c r="AB322" s="69"/>
      <c r="AC322" s="64"/>
      <c r="AD322" s="69"/>
      <c r="AE322" s="65"/>
      <c r="AF322" s="69"/>
      <c r="AG322" s="65"/>
      <c r="AH322" s="69"/>
      <c r="AI322" s="64"/>
      <c r="AJ322" s="69"/>
      <c r="AK322" s="64"/>
      <c r="AL322" s="69"/>
      <c r="AM322" s="64"/>
      <c r="AN322" s="69"/>
      <c r="AO322" s="64"/>
      <c r="AP322" s="69"/>
      <c r="AQ322" s="64"/>
      <c r="AR322" s="69"/>
      <c r="AS322" s="64"/>
      <c r="AT322" s="69"/>
      <c r="AU322" s="64"/>
      <c r="AV322" s="69"/>
      <c r="AW322" s="64"/>
      <c r="AX322" s="69"/>
      <c r="AY322" s="64"/>
      <c r="AZ322" s="69"/>
      <c r="BA322" s="64"/>
      <c r="BB322" s="69"/>
      <c r="BC322" s="64"/>
      <c r="BD322" s="69"/>
      <c r="BE322" s="64"/>
      <c r="BF322" s="69"/>
      <c r="BG322" s="64"/>
      <c r="BH322" s="69"/>
      <c r="BI322" s="64"/>
      <c r="BJ322" s="69"/>
      <c r="BK322" s="64"/>
      <c r="BL322" s="69"/>
      <c r="BM322" s="64"/>
      <c r="BN322" s="69"/>
      <c r="BO322" s="64"/>
      <c r="BP322" s="69"/>
      <c r="BQ322" s="64"/>
      <c r="BR322" s="69"/>
      <c r="BS322" s="64"/>
      <c r="BT322" s="69"/>
      <c r="BU322" t="b">
        <f t="shared" si="5"/>
        <v>0</v>
      </c>
    </row>
    <row r="323" spans="1:73" x14ac:dyDescent="0.25">
      <c r="A323" s="28"/>
      <c r="B323" s="29"/>
      <c r="C323" s="29"/>
      <c r="D323" s="30"/>
      <c r="E323" s="29"/>
      <c r="F323" s="30"/>
      <c r="G323" s="29"/>
      <c r="H323" s="69"/>
      <c r="I323" s="64"/>
      <c r="J323" s="69"/>
      <c r="K323" s="64"/>
      <c r="L323" s="69"/>
      <c r="M323" s="65"/>
      <c r="N323" s="69"/>
      <c r="O323" s="64"/>
      <c r="P323" s="69"/>
      <c r="Q323" s="64"/>
      <c r="R323" s="69"/>
      <c r="S323" s="64"/>
      <c r="T323" s="69"/>
      <c r="U323" s="64"/>
      <c r="V323" s="69"/>
      <c r="W323" s="65"/>
      <c r="X323" s="69"/>
      <c r="Y323" s="64"/>
      <c r="Z323" s="69"/>
      <c r="AA323" s="64"/>
      <c r="AB323" s="69"/>
      <c r="AC323" s="64"/>
      <c r="AD323" s="69"/>
      <c r="AE323" s="65"/>
      <c r="AF323" s="69"/>
      <c r="AG323" s="65"/>
      <c r="AH323" s="69"/>
      <c r="AI323" s="64"/>
      <c r="AJ323" s="69"/>
      <c r="AK323" s="64"/>
      <c r="AL323" s="69"/>
      <c r="AM323" s="64"/>
      <c r="AN323" s="69"/>
      <c r="AO323" s="64"/>
      <c r="AP323" s="69"/>
      <c r="AQ323" s="64"/>
      <c r="AR323" s="69"/>
      <c r="AS323" s="64"/>
      <c r="AT323" s="69"/>
      <c r="AU323" s="64"/>
      <c r="AV323" s="69"/>
      <c r="AW323" s="64"/>
      <c r="AX323" s="69"/>
      <c r="AY323" s="64"/>
      <c r="AZ323" s="69"/>
      <c r="BA323" s="64"/>
      <c r="BB323" s="69"/>
      <c r="BC323" s="64"/>
      <c r="BD323" s="69"/>
      <c r="BE323" s="64"/>
      <c r="BF323" s="69"/>
      <c r="BG323" s="64"/>
      <c r="BH323" s="69"/>
      <c r="BI323" s="64"/>
      <c r="BJ323" s="69"/>
      <c r="BK323" s="64"/>
      <c r="BL323" s="69"/>
      <c r="BM323" s="64"/>
      <c r="BN323" s="69"/>
      <c r="BO323" s="64"/>
      <c r="BP323" s="69"/>
      <c r="BQ323" s="64"/>
      <c r="BR323" s="69"/>
      <c r="BS323" s="64"/>
      <c r="BT323" s="69"/>
      <c r="BU323" t="b">
        <f t="shared" si="5"/>
        <v>0</v>
      </c>
    </row>
    <row r="324" spans="1:73" x14ac:dyDescent="0.25">
      <c r="A324" s="28"/>
      <c r="B324" s="29"/>
      <c r="C324" s="29"/>
      <c r="D324" s="30"/>
      <c r="E324" s="29"/>
      <c r="F324" s="30"/>
      <c r="G324" s="29"/>
      <c r="H324" s="69"/>
      <c r="I324" s="64"/>
      <c r="J324" s="69"/>
      <c r="K324" s="64"/>
      <c r="L324" s="69"/>
      <c r="M324" s="65"/>
      <c r="N324" s="69"/>
      <c r="O324" s="64"/>
      <c r="P324" s="69"/>
      <c r="Q324" s="64"/>
      <c r="R324" s="69"/>
      <c r="S324" s="64"/>
      <c r="T324" s="69"/>
      <c r="U324" s="64"/>
      <c r="V324" s="69"/>
      <c r="W324" s="65"/>
      <c r="X324" s="69"/>
      <c r="Y324" s="64"/>
      <c r="Z324" s="69"/>
      <c r="AA324" s="64"/>
      <c r="AB324" s="69"/>
      <c r="AC324" s="64"/>
      <c r="AD324" s="69"/>
      <c r="AE324" s="65"/>
      <c r="AF324" s="69"/>
      <c r="AG324" s="65"/>
      <c r="AH324" s="69"/>
      <c r="AI324" s="64"/>
      <c r="AJ324" s="69"/>
      <c r="AK324" s="64"/>
      <c r="AL324" s="69"/>
      <c r="AM324" s="64"/>
      <c r="AN324" s="69"/>
      <c r="AO324" s="64"/>
      <c r="AP324" s="69"/>
      <c r="AQ324" s="64"/>
      <c r="AR324" s="69"/>
      <c r="AS324" s="64"/>
      <c r="AT324" s="69"/>
      <c r="AU324" s="64"/>
      <c r="AV324" s="69"/>
      <c r="AW324" s="64"/>
      <c r="AX324" s="69"/>
      <c r="AY324" s="64"/>
      <c r="AZ324" s="69"/>
      <c r="BA324" s="64"/>
      <c r="BB324" s="69"/>
      <c r="BC324" s="64"/>
      <c r="BD324" s="69"/>
      <c r="BE324" s="64"/>
      <c r="BF324" s="69"/>
      <c r="BG324" s="64"/>
      <c r="BH324" s="69"/>
      <c r="BI324" s="64"/>
      <c r="BJ324" s="69"/>
      <c r="BK324" s="64"/>
      <c r="BL324" s="69"/>
      <c r="BM324" s="64"/>
      <c r="BN324" s="69"/>
      <c r="BO324" s="64"/>
      <c r="BP324" s="69"/>
      <c r="BQ324" s="64"/>
      <c r="BR324" s="69"/>
      <c r="BS324" s="64"/>
      <c r="BT324" s="69"/>
      <c r="BU324" t="b">
        <f t="shared" si="5"/>
        <v>0</v>
      </c>
    </row>
    <row r="325" spans="1:73" x14ac:dyDescent="0.25">
      <c r="A325" s="28"/>
      <c r="B325" s="29"/>
      <c r="C325" s="29"/>
      <c r="D325" s="30"/>
      <c r="E325" s="29"/>
      <c r="F325" s="30"/>
      <c r="G325" s="29"/>
      <c r="H325" s="69"/>
      <c r="I325" s="64"/>
      <c r="J325" s="69"/>
      <c r="K325" s="64"/>
      <c r="L325" s="69"/>
      <c r="M325" s="65"/>
      <c r="N325" s="69"/>
      <c r="O325" s="64"/>
      <c r="P325" s="69"/>
      <c r="Q325" s="64"/>
      <c r="R325" s="69"/>
      <c r="S325" s="64"/>
      <c r="T325" s="69"/>
      <c r="U325" s="64"/>
      <c r="V325" s="69"/>
      <c r="W325" s="65"/>
      <c r="X325" s="69"/>
      <c r="Y325" s="64"/>
      <c r="Z325" s="69"/>
      <c r="AA325" s="64"/>
      <c r="AB325" s="69"/>
      <c r="AC325" s="64"/>
      <c r="AD325" s="69"/>
      <c r="AE325" s="65"/>
      <c r="AF325" s="69"/>
      <c r="AG325" s="65"/>
      <c r="AH325" s="69"/>
      <c r="AI325" s="64"/>
      <c r="AJ325" s="69"/>
      <c r="AK325" s="64"/>
      <c r="AL325" s="69"/>
      <c r="AM325" s="64"/>
      <c r="AN325" s="69"/>
      <c r="AO325" s="64"/>
      <c r="AP325" s="69"/>
      <c r="AQ325" s="64"/>
      <c r="AR325" s="69"/>
      <c r="AS325" s="64"/>
      <c r="AT325" s="69"/>
      <c r="AU325" s="64"/>
      <c r="AV325" s="69"/>
      <c r="AW325" s="64"/>
      <c r="AX325" s="69"/>
      <c r="AY325" s="64"/>
      <c r="AZ325" s="69"/>
      <c r="BA325" s="64"/>
      <c r="BB325" s="69"/>
      <c r="BC325" s="64"/>
      <c r="BD325" s="69"/>
      <c r="BE325" s="64"/>
      <c r="BF325" s="69"/>
      <c r="BG325" s="64"/>
      <c r="BH325" s="69"/>
      <c r="BI325" s="64"/>
      <c r="BJ325" s="69"/>
      <c r="BK325" s="64"/>
      <c r="BL325" s="69"/>
      <c r="BM325" s="64"/>
      <c r="BN325" s="69"/>
      <c r="BO325" s="64"/>
      <c r="BP325" s="69"/>
      <c r="BQ325" s="64"/>
      <c r="BR325" s="69"/>
      <c r="BS325" s="64"/>
      <c r="BT325" s="69"/>
      <c r="BU325" t="b">
        <f t="shared" si="5"/>
        <v>0</v>
      </c>
    </row>
    <row r="326" spans="1:73" x14ac:dyDescent="0.25">
      <c r="A326" s="28"/>
      <c r="B326" s="29"/>
      <c r="C326" s="29"/>
      <c r="D326" s="30"/>
      <c r="E326" s="29"/>
      <c r="F326" s="30"/>
      <c r="G326" s="29"/>
      <c r="H326" s="69"/>
      <c r="I326" s="64"/>
      <c r="J326" s="69"/>
      <c r="K326" s="64"/>
      <c r="L326" s="69"/>
      <c r="M326" s="65"/>
      <c r="N326" s="69"/>
      <c r="O326" s="64"/>
      <c r="P326" s="69"/>
      <c r="Q326" s="64"/>
      <c r="R326" s="69"/>
      <c r="S326" s="64"/>
      <c r="T326" s="69"/>
      <c r="U326" s="64"/>
      <c r="V326" s="69"/>
      <c r="W326" s="65"/>
      <c r="X326" s="69"/>
      <c r="Y326" s="64"/>
      <c r="Z326" s="69"/>
      <c r="AA326" s="64"/>
      <c r="AB326" s="69"/>
      <c r="AC326" s="64"/>
      <c r="AD326" s="69"/>
      <c r="AE326" s="65"/>
      <c r="AF326" s="69"/>
      <c r="AG326" s="65"/>
      <c r="AH326" s="69"/>
      <c r="AI326" s="64"/>
      <c r="AJ326" s="69"/>
      <c r="AK326" s="64"/>
      <c r="AL326" s="69"/>
      <c r="AM326" s="64"/>
      <c r="AN326" s="69"/>
      <c r="AO326" s="64"/>
      <c r="AP326" s="69"/>
      <c r="AQ326" s="64"/>
      <c r="AR326" s="69"/>
      <c r="AS326" s="64"/>
      <c r="AT326" s="69"/>
      <c r="AU326" s="64"/>
      <c r="AV326" s="69"/>
      <c r="AW326" s="64"/>
      <c r="AX326" s="69"/>
      <c r="AY326" s="64"/>
      <c r="AZ326" s="69"/>
      <c r="BA326" s="64"/>
      <c r="BB326" s="69"/>
      <c r="BC326" s="64"/>
      <c r="BD326" s="69"/>
      <c r="BE326" s="64"/>
      <c r="BF326" s="69"/>
      <c r="BG326" s="64"/>
      <c r="BH326" s="69"/>
      <c r="BI326" s="64"/>
      <c r="BJ326" s="69"/>
      <c r="BK326" s="64"/>
      <c r="BL326" s="69"/>
      <c r="BM326" s="64"/>
      <c r="BN326" s="69"/>
      <c r="BO326" s="64"/>
      <c r="BP326" s="69"/>
      <c r="BQ326" s="64"/>
      <c r="BR326" s="69"/>
      <c r="BS326" s="64"/>
      <c r="BT326" s="69"/>
      <c r="BU326" t="b">
        <f t="shared" si="5"/>
        <v>0</v>
      </c>
    </row>
    <row r="327" spans="1:73" x14ac:dyDescent="0.25">
      <c r="A327" s="28"/>
      <c r="B327" s="29"/>
      <c r="C327" s="29"/>
      <c r="D327" s="30"/>
      <c r="E327" s="29"/>
      <c r="F327" s="30"/>
      <c r="G327" s="29"/>
      <c r="H327" s="69"/>
      <c r="I327" s="64"/>
      <c r="J327" s="69"/>
      <c r="K327" s="64"/>
      <c r="L327" s="69"/>
      <c r="M327" s="65"/>
      <c r="N327" s="69"/>
      <c r="O327" s="64"/>
      <c r="P327" s="69"/>
      <c r="Q327" s="64"/>
      <c r="R327" s="69"/>
      <c r="S327" s="64"/>
      <c r="T327" s="69"/>
      <c r="U327" s="64"/>
      <c r="V327" s="69"/>
      <c r="W327" s="65"/>
      <c r="X327" s="69"/>
      <c r="Y327" s="64"/>
      <c r="Z327" s="69"/>
      <c r="AA327" s="64"/>
      <c r="AB327" s="69"/>
      <c r="AC327" s="64"/>
      <c r="AD327" s="69"/>
      <c r="AE327" s="65"/>
      <c r="AF327" s="69"/>
      <c r="AG327" s="65"/>
      <c r="AH327" s="69"/>
      <c r="AI327" s="64"/>
      <c r="AJ327" s="69"/>
      <c r="AK327" s="64"/>
      <c r="AL327" s="69"/>
      <c r="AM327" s="64"/>
      <c r="AN327" s="69"/>
      <c r="AO327" s="64"/>
      <c r="AP327" s="69"/>
      <c r="AQ327" s="64"/>
      <c r="AR327" s="69"/>
      <c r="AS327" s="64"/>
      <c r="AT327" s="69"/>
      <c r="AU327" s="64"/>
      <c r="AV327" s="69"/>
      <c r="AW327" s="64"/>
      <c r="AX327" s="69"/>
      <c r="AY327" s="64"/>
      <c r="AZ327" s="69"/>
      <c r="BA327" s="64"/>
      <c r="BB327" s="69"/>
      <c r="BC327" s="64"/>
      <c r="BD327" s="69"/>
      <c r="BE327" s="64"/>
      <c r="BF327" s="69"/>
      <c r="BG327" s="64"/>
      <c r="BH327" s="69"/>
      <c r="BI327" s="64"/>
      <c r="BJ327" s="69"/>
      <c r="BK327" s="64"/>
      <c r="BL327" s="69"/>
      <c r="BM327" s="64"/>
      <c r="BN327" s="69"/>
      <c r="BO327" s="64"/>
      <c r="BP327" s="69"/>
      <c r="BQ327" s="64"/>
      <c r="BR327" s="69"/>
      <c r="BS327" s="64"/>
      <c r="BT327" s="69"/>
      <c r="BU327" t="b">
        <f t="shared" si="5"/>
        <v>0</v>
      </c>
    </row>
    <row r="328" spans="1:73" x14ac:dyDescent="0.25">
      <c r="A328" s="28"/>
      <c r="B328" s="29"/>
      <c r="C328" s="29"/>
      <c r="D328" s="30"/>
      <c r="E328" s="29"/>
      <c r="F328" s="30"/>
      <c r="G328" s="29"/>
      <c r="H328" s="69"/>
      <c r="I328" s="64"/>
      <c r="J328" s="69"/>
      <c r="K328" s="64"/>
      <c r="L328" s="69"/>
      <c r="M328" s="65"/>
      <c r="N328" s="69"/>
      <c r="O328" s="64"/>
      <c r="P328" s="69"/>
      <c r="Q328" s="64"/>
      <c r="R328" s="69"/>
      <c r="S328" s="64"/>
      <c r="T328" s="69"/>
      <c r="U328" s="64"/>
      <c r="V328" s="69"/>
      <c r="W328" s="65"/>
      <c r="X328" s="69"/>
      <c r="Y328" s="64"/>
      <c r="Z328" s="69"/>
      <c r="AA328" s="64"/>
      <c r="AB328" s="69"/>
      <c r="AC328" s="64"/>
      <c r="AD328" s="69"/>
      <c r="AE328" s="65"/>
      <c r="AF328" s="69"/>
      <c r="AG328" s="65"/>
      <c r="AH328" s="69"/>
      <c r="AI328" s="64"/>
      <c r="AJ328" s="69"/>
      <c r="AK328" s="64"/>
      <c r="AL328" s="69"/>
      <c r="AM328" s="64"/>
      <c r="AN328" s="69"/>
      <c r="AO328" s="64"/>
      <c r="AP328" s="69"/>
      <c r="AQ328" s="64"/>
      <c r="AR328" s="69"/>
      <c r="AS328" s="64"/>
      <c r="AT328" s="69"/>
      <c r="AU328" s="64"/>
      <c r="AV328" s="69"/>
      <c r="AW328" s="64"/>
      <c r="AX328" s="69"/>
      <c r="AY328" s="64"/>
      <c r="AZ328" s="69"/>
      <c r="BA328" s="64"/>
      <c r="BB328" s="69"/>
      <c r="BC328" s="64"/>
      <c r="BD328" s="69"/>
      <c r="BE328" s="64"/>
      <c r="BF328" s="69"/>
      <c r="BG328" s="64"/>
      <c r="BH328" s="69"/>
      <c r="BI328" s="64"/>
      <c r="BJ328" s="69"/>
      <c r="BK328" s="64"/>
      <c r="BL328" s="69"/>
      <c r="BM328" s="64"/>
      <c r="BN328" s="69"/>
      <c r="BO328" s="64"/>
      <c r="BP328" s="69"/>
      <c r="BQ328" s="64"/>
      <c r="BR328" s="69"/>
      <c r="BS328" s="64"/>
      <c r="BT328" s="69"/>
      <c r="BU328" t="b">
        <f t="shared" si="5"/>
        <v>0</v>
      </c>
    </row>
    <row r="329" spans="1:73" x14ac:dyDescent="0.25">
      <c r="A329" s="28"/>
      <c r="B329" s="29"/>
      <c r="C329" s="29"/>
      <c r="D329" s="30"/>
      <c r="E329" s="29"/>
      <c r="F329" s="30"/>
      <c r="G329" s="29"/>
      <c r="H329" s="69"/>
      <c r="I329" s="64"/>
      <c r="J329" s="69"/>
      <c r="K329" s="64"/>
      <c r="L329" s="69"/>
      <c r="M329" s="65"/>
      <c r="N329" s="69"/>
      <c r="O329" s="64"/>
      <c r="P329" s="69"/>
      <c r="Q329" s="64"/>
      <c r="R329" s="69"/>
      <c r="S329" s="64"/>
      <c r="T329" s="69"/>
      <c r="U329" s="64"/>
      <c r="V329" s="69"/>
      <c r="W329" s="65"/>
      <c r="X329" s="69"/>
      <c r="Y329" s="64"/>
      <c r="Z329" s="69"/>
      <c r="AA329" s="64"/>
      <c r="AB329" s="69"/>
      <c r="AC329" s="64"/>
      <c r="AD329" s="69"/>
      <c r="AE329" s="65"/>
      <c r="AF329" s="69"/>
      <c r="AG329" s="65"/>
      <c r="AH329" s="69"/>
      <c r="AI329" s="64"/>
      <c r="AJ329" s="69"/>
      <c r="AK329" s="64"/>
      <c r="AL329" s="69"/>
      <c r="AM329" s="64"/>
      <c r="AN329" s="69"/>
      <c r="AO329" s="64"/>
      <c r="AP329" s="69"/>
      <c r="AQ329" s="64"/>
      <c r="AR329" s="69"/>
      <c r="AS329" s="64"/>
      <c r="AT329" s="69"/>
      <c r="AU329" s="64"/>
      <c r="AV329" s="69"/>
      <c r="AW329" s="64"/>
      <c r="AX329" s="69"/>
      <c r="AY329" s="64"/>
      <c r="AZ329" s="69"/>
      <c r="BA329" s="64"/>
      <c r="BB329" s="69"/>
      <c r="BC329" s="64"/>
      <c r="BD329" s="69"/>
      <c r="BE329" s="64"/>
      <c r="BF329" s="69"/>
      <c r="BG329" s="64"/>
      <c r="BH329" s="69"/>
      <c r="BI329" s="64"/>
      <c r="BJ329" s="69"/>
      <c r="BK329" s="64"/>
      <c r="BL329" s="69"/>
      <c r="BM329" s="64"/>
      <c r="BN329" s="69"/>
      <c r="BO329" s="64"/>
      <c r="BP329" s="69"/>
      <c r="BQ329" s="64"/>
      <c r="BR329" s="69"/>
      <c r="BS329" s="64"/>
      <c r="BT329" s="69"/>
      <c r="BU329" t="b">
        <f t="shared" si="5"/>
        <v>0</v>
      </c>
    </row>
    <row r="330" spans="1:73" x14ac:dyDescent="0.25">
      <c r="A330" s="28"/>
      <c r="B330" s="29"/>
      <c r="C330" s="29"/>
      <c r="D330" s="30"/>
      <c r="E330" s="29"/>
      <c r="F330" s="30"/>
      <c r="G330" s="29"/>
      <c r="H330" s="69"/>
      <c r="I330" s="64"/>
      <c r="J330" s="69"/>
      <c r="K330" s="64"/>
      <c r="L330" s="69"/>
      <c r="M330" s="65"/>
      <c r="N330" s="69"/>
      <c r="O330" s="64"/>
      <c r="P330" s="69"/>
      <c r="Q330" s="64"/>
      <c r="R330" s="69"/>
      <c r="S330" s="64"/>
      <c r="T330" s="69"/>
      <c r="U330" s="64"/>
      <c r="V330" s="69"/>
      <c r="W330" s="65"/>
      <c r="X330" s="69"/>
      <c r="Y330" s="64"/>
      <c r="Z330" s="69"/>
      <c r="AA330" s="64"/>
      <c r="AB330" s="69"/>
      <c r="AC330" s="64"/>
      <c r="AD330" s="69"/>
      <c r="AE330" s="65"/>
      <c r="AF330" s="69"/>
      <c r="AG330" s="65"/>
      <c r="AH330" s="69"/>
      <c r="AI330" s="64"/>
      <c r="AJ330" s="69"/>
      <c r="AK330" s="64"/>
      <c r="AL330" s="69"/>
      <c r="AM330" s="64"/>
      <c r="AN330" s="69"/>
      <c r="AO330" s="64"/>
      <c r="AP330" s="69"/>
      <c r="AQ330" s="64"/>
      <c r="AR330" s="69"/>
      <c r="AS330" s="64"/>
      <c r="AT330" s="69"/>
      <c r="AU330" s="64"/>
      <c r="AV330" s="69"/>
      <c r="AW330" s="64"/>
      <c r="AX330" s="69"/>
      <c r="AY330" s="64"/>
      <c r="AZ330" s="69"/>
      <c r="BA330" s="64"/>
      <c r="BB330" s="69"/>
      <c r="BC330" s="64"/>
      <c r="BD330" s="69"/>
      <c r="BE330" s="64"/>
      <c r="BF330" s="69"/>
      <c r="BG330" s="64"/>
      <c r="BH330" s="69"/>
      <c r="BI330" s="64"/>
      <c r="BJ330" s="69"/>
      <c r="BK330" s="64"/>
      <c r="BL330" s="69"/>
      <c r="BM330" s="64"/>
      <c r="BN330" s="69"/>
      <c r="BO330" s="64"/>
      <c r="BP330" s="69"/>
      <c r="BQ330" s="64"/>
      <c r="BR330" s="69"/>
      <c r="BS330" s="64"/>
      <c r="BT330" s="69"/>
      <c r="BU330" t="b">
        <f t="shared" si="5"/>
        <v>0</v>
      </c>
    </row>
    <row r="331" spans="1:73" x14ac:dyDescent="0.25">
      <c r="A331" s="28"/>
      <c r="B331" s="29"/>
      <c r="C331" s="29"/>
      <c r="D331" s="30"/>
      <c r="E331" s="29"/>
      <c r="F331" s="30"/>
      <c r="G331" s="29"/>
      <c r="H331" s="69"/>
      <c r="I331" s="64"/>
      <c r="J331" s="69"/>
      <c r="K331" s="64"/>
      <c r="L331" s="69"/>
      <c r="M331" s="65"/>
      <c r="N331" s="69"/>
      <c r="O331" s="64"/>
      <c r="P331" s="69"/>
      <c r="Q331" s="64"/>
      <c r="R331" s="69"/>
      <c r="S331" s="64"/>
      <c r="T331" s="69"/>
      <c r="U331" s="64"/>
      <c r="V331" s="69"/>
      <c r="W331" s="65"/>
      <c r="X331" s="69"/>
      <c r="Y331" s="64"/>
      <c r="Z331" s="69"/>
      <c r="AA331" s="64"/>
      <c r="AB331" s="69"/>
      <c r="AC331" s="64"/>
      <c r="AD331" s="69"/>
      <c r="AE331" s="65"/>
      <c r="AF331" s="69"/>
      <c r="AG331" s="65"/>
      <c r="AH331" s="69"/>
      <c r="AI331" s="64"/>
      <c r="AJ331" s="69"/>
      <c r="AK331" s="64"/>
      <c r="AL331" s="69"/>
      <c r="AM331" s="64"/>
      <c r="AN331" s="69"/>
      <c r="AO331" s="64"/>
      <c r="AP331" s="69"/>
      <c r="AQ331" s="64"/>
      <c r="AR331" s="69"/>
      <c r="AS331" s="64"/>
      <c r="AT331" s="69"/>
      <c r="AU331" s="64"/>
      <c r="AV331" s="69"/>
      <c r="AW331" s="64"/>
      <c r="AX331" s="69"/>
      <c r="AY331" s="64"/>
      <c r="AZ331" s="69"/>
      <c r="BA331" s="64"/>
      <c r="BB331" s="69"/>
      <c r="BC331" s="64"/>
      <c r="BD331" s="69"/>
      <c r="BE331" s="64"/>
      <c r="BF331" s="69"/>
      <c r="BG331" s="64"/>
      <c r="BH331" s="69"/>
      <c r="BI331" s="64"/>
      <c r="BJ331" s="69"/>
      <c r="BK331" s="64"/>
      <c r="BL331" s="69"/>
      <c r="BM331" s="64"/>
      <c r="BN331" s="69"/>
      <c r="BO331" s="64"/>
      <c r="BP331" s="69"/>
      <c r="BQ331" s="64"/>
      <c r="BR331" s="69"/>
      <c r="BS331" s="64"/>
      <c r="BT331" s="69"/>
      <c r="BU331" t="b">
        <f t="shared" si="5"/>
        <v>0</v>
      </c>
    </row>
    <row r="332" spans="1:73" x14ac:dyDescent="0.25">
      <c r="A332" s="28"/>
      <c r="B332" s="29"/>
      <c r="C332" s="29"/>
      <c r="D332" s="30"/>
      <c r="E332" s="29"/>
      <c r="F332" s="30"/>
      <c r="G332" s="29"/>
      <c r="H332" s="69"/>
      <c r="I332" s="64"/>
      <c r="J332" s="69"/>
      <c r="K332" s="64"/>
      <c r="L332" s="69"/>
      <c r="M332" s="65"/>
      <c r="N332" s="69"/>
      <c r="O332" s="64"/>
      <c r="P332" s="69"/>
      <c r="Q332" s="64"/>
      <c r="R332" s="69"/>
      <c r="S332" s="64"/>
      <c r="T332" s="69"/>
      <c r="U332" s="64"/>
      <c r="V332" s="69"/>
      <c r="W332" s="65"/>
      <c r="X332" s="69"/>
      <c r="Y332" s="64"/>
      <c r="Z332" s="69"/>
      <c r="AA332" s="64"/>
      <c r="AB332" s="69"/>
      <c r="AC332" s="64"/>
      <c r="AD332" s="69"/>
      <c r="AE332" s="65"/>
      <c r="AF332" s="69"/>
      <c r="AG332" s="65"/>
      <c r="AH332" s="69"/>
      <c r="AI332" s="64"/>
      <c r="AJ332" s="69"/>
      <c r="AK332" s="64"/>
      <c r="AL332" s="69"/>
      <c r="AM332" s="64"/>
      <c r="AN332" s="69"/>
      <c r="AO332" s="64"/>
      <c r="AP332" s="69"/>
      <c r="AQ332" s="64"/>
      <c r="AR332" s="69"/>
      <c r="AS332" s="64"/>
      <c r="AT332" s="69"/>
      <c r="AU332" s="64"/>
      <c r="AV332" s="69"/>
      <c r="AW332" s="64"/>
      <c r="AX332" s="69"/>
      <c r="AY332" s="64"/>
      <c r="AZ332" s="69"/>
      <c r="BA332" s="64"/>
      <c r="BB332" s="69"/>
      <c r="BC332" s="64"/>
      <c r="BD332" s="69"/>
      <c r="BE332" s="64"/>
      <c r="BF332" s="69"/>
      <c r="BG332" s="64"/>
      <c r="BH332" s="69"/>
      <c r="BI332" s="64"/>
      <c r="BJ332" s="69"/>
      <c r="BK332" s="64"/>
      <c r="BL332" s="69"/>
      <c r="BM332" s="64"/>
      <c r="BN332" s="69"/>
      <c r="BO332" s="64"/>
      <c r="BP332" s="69"/>
      <c r="BQ332" s="64"/>
      <c r="BR332" s="69"/>
      <c r="BS332" s="64"/>
      <c r="BT332" s="69"/>
      <c r="BU332" t="b">
        <f t="shared" si="5"/>
        <v>0</v>
      </c>
    </row>
    <row r="333" spans="1:73" x14ac:dyDescent="0.25">
      <c r="A333" s="28"/>
      <c r="B333" s="29"/>
      <c r="C333" s="29"/>
      <c r="D333" s="30"/>
      <c r="E333" s="29"/>
      <c r="F333" s="30"/>
      <c r="G333" s="29"/>
      <c r="H333" s="69"/>
      <c r="I333" s="64"/>
      <c r="J333" s="69"/>
      <c r="K333" s="64"/>
      <c r="L333" s="69"/>
      <c r="M333" s="65"/>
      <c r="N333" s="69"/>
      <c r="O333" s="64"/>
      <c r="P333" s="69"/>
      <c r="Q333" s="64"/>
      <c r="R333" s="69"/>
      <c r="S333" s="64"/>
      <c r="T333" s="69"/>
      <c r="U333" s="64"/>
      <c r="V333" s="69"/>
      <c r="W333" s="65"/>
      <c r="X333" s="69"/>
      <c r="Y333" s="64"/>
      <c r="Z333" s="69"/>
      <c r="AA333" s="64"/>
      <c r="AB333" s="69"/>
      <c r="AC333" s="64"/>
      <c r="AD333" s="69"/>
      <c r="AE333" s="65"/>
      <c r="AF333" s="69"/>
      <c r="AG333" s="65"/>
      <c r="AH333" s="69"/>
      <c r="AI333" s="64"/>
      <c r="AJ333" s="69"/>
      <c r="AK333" s="64"/>
      <c r="AL333" s="69"/>
      <c r="AM333" s="64"/>
      <c r="AN333" s="69"/>
      <c r="AO333" s="64"/>
      <c r="AP333" s="69"/>
      <c r="AQ333" s="64"/>
      <c r="AR333" s="69"/>
      <c r="AS333" s="64"/>
      <c r="AT333" s="69"/>
      <c r="AU333" s="64"/>
      <c r="AV333" s="69"/>
      <c r="AW333" s="64"/>
      <c r="AX333" s="69"/>
      <c r="AY333" s="64"/>
      <c r="AZ333" s="69"/>
      <c r="BA333" s="64"/>
      <c r="BB333" s="69"/>
      <c r="BC333" s="64"/>
      <c r="BD333" s="69"/>
      <c r="BE333" s="64"/>
      <c r="BF333" s="69"/>
      <c r="BG333" s="64"/>
      <c r="BH333" s="69"/>
      <c r="BI333" s="64"/>
      <c r="BJ333" s="69"/>
      <c r="BK333" s="64"/>
      <c r="BL333" s="69"/>
      <c r="BM333" s="64"/>
      <c r="BN333" s="69"/>
      <c r="BO333" s="64"/>
      <c r="BP333" s="69"/>
      <c r="BQ333" s="64"/>
      <c r="BR333" s="69"/>
      <c r="BS333" s="64"/>
      <c r="BT333" s="69"/>
      <c r="BU333" t="b">
        <f t="shared" si="5"/>
        <v>0</v>
      </c>
    </row>
    <row r="334" spans="1:73" x14ac:dyDescent="0.25">
      <c r="A334" s="28"/>
      <c r="B334" s="29"/>
      <c r="C334" s="29"/>
      <c r="D334" s="30"/>
      <c r="E334" s="29"/>
      <c r="F334" s="30"/>
      <c r="G334" s="29"/>
      <c r="H334" s="69"/>
      <c r="I334" s="64"/>
      <c r="J334" s="69"/>
      <c r="K334" s="64"/>
      <c r="L334" s="69"/>
      <c r="M334" s="65"/>
      <c r="N334" s="69"/>
      <c r="O334" s="64"/>
      <c r="P334" s="69"/>
      <c r="Q334" s="64"/>
      <c r="R334" s="69"/>
      <c r="S334" s="64"/>
      <c r="T334" s="69"/>
      <c r="U334" s="64"/>
      <c r="V334" s="69"/>
      <c r="W334" s="65"/>
      <c r="X334" s="69"/>
      <c r="Y334" s="64"/>
      <c r="Z334" s="69"/>
      <c r="AA334" s="64"/>
      <c r="AB334" s="69"/>
      <c r="AC334" s="64"/>
      <c r="AD334" s="69"/>
      <c r="AE334" s="65"/>
      <c r="AF334" s="69"/>
      <c r="AG334" s="65"/>
      <c r="AH334" s="69"/>
      <c r="AI334" s="64"/>
      <c r="AJ334" s="69"/>
      <c r="AK334" s="64"/>
      <c r="AL334" s="69"/>
      <c r="AM334" s="64"/>
      <c r="AN334" s="69"/>
      <c r="AO334" s="64"/>
      <c r="AP334" s="69"/>
      <c r="AQ334" s="64"/>
      <c r="AR334" s="69"/>
      <c r="AS334" s="64"/>
      <c r="AT334" s="69"/>
      <c r="AU334" s="64"/>
      <c r="AV334" s="69"/>
      <c r="AW334" s="64"/>
      <c r="AX334" s="69"/>
      <c r="AY334" s="64"/>
      <c r="AZ334" s="69"/>
      <c r="BA334" s="64"/>
      <c r="BB334" s="69"/>
      <c r="BC334" s="64"/>
      <c r="BD334" s="69"/>
      <c r="BE334" s="64"/>
      <c r="BF334" s="69"/>
      <c r="BG334" s="64"/>
      <c r="BH334" s="69"/>
      <c r="BI334" s="64"/>
      <c r="BJ334" s="69"/>
      <c r="BK334" s="64"/>
      <c r="BL334" s="69"/>
      <c r="BM334" s="64"/>
      <c r="BN334" s="69"/>
      <c r="BO334" s="64"/>
      <c r="BP334" s="69"/>
      <c r="BQ334" s="64"/>
      <c r="BR334" s="69"/>
      <c r="BS334" s="64"/>
      <c r="BT334" s="69"/>
      <c r="BU334" t="b">
        <f t="shared" si="5"/>
        <v>0</v>
      </c>
    </row>
    <row r="335" spans="1:73" x14ac:dyDescent="0.25">
      <c r="A335" s="28"/>
      <c r="B335" s="29"/>
      <c r="C335" s="29"/>
      <c r="D335" s="30"/>
      <c r="E335" s="29"/>
      <c r="F335" s="30"/>
      <c r="G335" s="29"/>
      <c r="H335" s="69"/>
      <c r="I335" s="64"/>
      <c r="J335" s="69"/>
      <c r="K335" s="64"/>
      <c r="L335" s="69"/>
      <c r="M335" s="65"/>
      <c r="N335" s="69"/>
      <c r="O335" s="64"/>
      <c r="P335" s="69"/>
      <c r="Q335" s="64"/>
      <c r="R335" s="69"/>
      <c r="S335" s="64"/>
      <c r="T335" s="69"/>
      <c r="U335" s="64"/>
      <c r="V335" s="69"/>
      <c r="W335" s="65"/>
      <c r="X335" s="69"/>
      <c r="Y335" s="64"/>
      <c r="Z335" s="69"/>
      <c r="AA335" s="64"/>
      <c r="AB335" s="69"/>
      <c r="AC335" s="64"/>
      <c r="AD335" s="69"/>
      <c r="AE335" s="65"/>
      <c r="AF335" s="69"/>
      <c r="AG335" s="65"/>
      <c r="AH335" s="69"/>
      <c r="AI335" s="64"/>
      <c r="AJ335" s="69"/>
      <c r="AK335" s="64"/>
      <c r="AL335" s="69"/>
      <c r="AM335" s="64"/>
      <c r="AN335" s="69"/>
      <c r="AO335" s="64"/>
      <c r="AP335" s="69"/>
      <c r="AQ335" s="64"/>
      <c r="AR335" s="69"/>
      <c r="AS335" s="64"/>
      <c r="AT335" s="69"/>
      <c r="AU335" s="64"/>
      <c r="AV335" s="69"/>
      <c r="AW335" s="64"/>
      <c r="AX335" s="69"/>
      <c r="AY335" s="64"/>
      <c r="AZ335" s="69"/>
      <c r="BA335" s="64"/>
      <c r="BB335" s="69"/>
      <c r="BC335" s="64"/>
      <c r="BD335" s="69"/>
      <c r="BE335" s="64"/>
      <c r="BF335" s="69"/>
      <c r="BG335" s="64"/>
      <c r="BH335" s="69"/>
      <c r="BI335" s="64"/>
      <c r="BJ335" s="69"/>
      <c r="BK335" s="64"/>
      <c r="BL335" s="69"/>
      <c r="BM335" s="64"/>
      <c r="BN335" s="69"/>
      <c r="BO335" s="64"/>
      <c r="BP335" s="69"/>
      <c r="BQ335" s="64"/>
      <c r="BR335" s="69"/>
      <c r="BS335" s="64"/>
      <c r="BT335" s="69"/>
      <c r="BU335" t="b">
        <f t="shared" si="5"/>
        <v>0</v>
      </c>
    </row>
    <row r="336" spans="1:73" x14ac:dyDescent="0.25">
      <c r="A336" s="28"/>
      <c r="B336" s="29"/>
      <c r="C336" s="29"/>
      <c r="D336" s="30"/>
      <c r="E336" s="29"/>
      <c r="F336" s="30"/>
      <c r="G336" s="29"/>
      <c r="H336" s="69"/>
      <c r="I336" s="64"/>
      <c r="J336" s="69"/>
      <c r="K336" s="64"/>
      <c r="L336" s="69"/>
      <c r="M336" s="65"/>
      <c r="N336" s="69"/>
      <c r="O336" s="64"/>
      <c r="P336" s="69"/>
      <c r="Q336" s="64"/>
      <c r="R336" s="69"/>
      <c r="S336" s="64"/>
      <c r="T336" s="69"/>
      <c r="U336" s="64"/>
      <c r="V336" s="69"/>
      <c r="W336" s="65"/>
      <c r="X336" s="69"/>
      <c r="Y336" s="64"/>
      <c r="Z336" s="69"/>
      <c r="AA336" s="64"/>
      <c r="AB336" s="69"/>
      <c r="AC336" s="64"/>
      <c r="AD336" s="69"/>
      <c r="AE336" s="65"/>
      <c r="AF336" s="69"/>
      <c r="AG336" s="65"/>
      <c r="AH336" s="69"/>
      <c r="AI336" s="64"/>
      <c r="AJ336" s="69"/>
      <c r="AK336" s="64"/>
      <c r="AL336" s="69"/>
      <c r="AM336" s="64"/>
      <c r="AN336" s="69"/>
      <c r="AO336" s="64"/>
      <c r="AP336" s="69"/>
      <c r="AQ336" s="64"/>
      <c r="AR336" s="69"/>
      <c r="AS336" s="64"/>
      <c r="AT336" s="69"/>
      <c r="AU336" s="64"/>
      <c r="AV336" s="69"/>
      <c r="AW336" s="64"/>
      <c r="AX336" s="69"/>
      <c r="AY336" s="64"/>
      <c r="AZ336" s="69"/>
      <c r="BA336" s="64"/>
      <c r="BB336" s="69"/>
      <c r="BC336" s="64"/>
      <c r="BD336" s="69"/>
      <c r="BE336" s="64"/>
      <c r="BF336" s="69"/>
      <c r="BG336" s="64"/>
      <c r="BH336" s="69"/>
      <c r="BI336" s="64"/>
      <c r="BJ336" s="69"/>
      <c r="BK336" s="64"/>
      <c r="BL336" s="69"/>
      <c r="BM336" s="64"/>
      <c r="BN336" s="69"/>
      <c r="BO336" s="64"/>
      <c r="BP336" s="69"/>
      <c r="BQ336" s="64"/>
      <c r="BR336" s="69"/>
      <c r="BS336" s="64"/>
      <c r="BT336" s="69"/>
      <c r="BU336" t="b">
        <f t="shared" si="5"/>
        <v>0</v>
      </c>
    </row>
    <row r="337" spans="1:73" x14ac:dyDescent="0.25">
      <c r="A337" s="28"/>
      <c r="B337" s="29"/>
      <c r="C337" s="29"/>
      <c r="D337" s="30"/>
      <c r="E337" s="29"/>
      <c r="F337" s="30"/>
      <c r="G337" s="29"/>
      <c r="H337" s="69"/>
      <c r="I337" s="64"/>
      <c r="J337" s="69"/>
      <c r="K337" s="64"/>
      <c r="L337" s="69"/>
      <c r="M337" s="65"/>
      <c r="N337" s="69"/>
      <c r="O337" s="64"/>
      <c r="P337" s="69"/>
      <c r="Q337" s="64"/>
      <c r="R337" s="69"/>
      <c r="S337" s="64"/>
      <c r="T337" s="69"/>
      <c r="U337" s="64"/>
      <c r="V337" s="69"/>
      <c r="W337" s="65"/>
      <c r="X337" s="69"/>
      <c r="Y337" s="64"/>
      <c r="Z337" s="69"/>
      <c r="AA337" s="64"/>
      <c r="AB337" s="69"/>
      <c r="AC337" s="64"/>
      <c r="AD337" s="69"/>
      <c r="AE337" s="65"/>
      <c r="AF337" s="69"/>
      <c r="AG337" s="65"/>
      <c r="AH337" s="69"/>
      <c r="AI337" s="64"/>
      <c r="AJ337" s="69"/>
      <c r="AK337" s="64"/>
      <c r="AL337" s="69"/>
      <c r="AM337" s="64"/>
      <c r="AN337" s="69"/>
      <c r="AO337" s="64"/>
      <c r="AP337" s="69"/>
      <c r="AQ337" s="64"/>
      <c r="AR337" s="69"/>
      <c r="AS337" s="64"/>
      <c r="AT337" s="69"/>
      <c r="AU337" s="64"/>
      <c r="AV337" s="69"/>
      <c r="AW337" s="64"/>
      <c r="AX337" s="69"/>
      <c r="AY337" s="64"/>
      <c r="AZ337" s="69"/>
      <c r="BA337" s="64"/>
      <c r="BB337" s="69"/>
      <c r="BC337" s="64"/>
      <c r="BD337" s="69"/>
      <c r="BE337" s="64"/>
      <c r="BF337" s="69"/>
      <c r="BG337" s="64"/>
      <c r="BH337" s="69"/>
      <c r="BI337" s="64"/>
      <c r="BJ337" s="69"/>
      <c r="BK337" s="64"/>
      <c r="BL337" s="69"/>
      <c r="BM337" s="64"/>
      <c r="BN337" s="69"/>
      <c r="BO337" s="64"/>
      <c r="BP337" s="69"/>
      <c r="BQ337" s="64"/>
      <c r="BR337" s="69"/>
      <c r="BS337" s="64"/>
      <c r="BT337" s="69"/>
      <c r="BU337" t="b">
        <f t="shared" si="5"/>
        <v>0</v>
      </c>
    </row>
    <row r="338" spans="1:73" x14ac:dyDescent="0.25">
      <c r="A338" s="28"/>
      <c r="B338" s="29"/>
      <c r="C338" s="29"/>
      <c r="D338" s="30"/>
      <c r="E338" s="29"/>
      <c r="F338" s="30"/>
      <c r="G338" s="29"/>
      <c r="H338" s="69"/>
      <c r="I338" s="64"/>
      <c r="J338" s="69"/>
      <c r="K338" s="64"/>
      <c r="L338" s="69"/>
      <c r="M338" s="65"/>
      <c r="N338" s="69"/>
      <c r="O338" s="64"/>
      <c r="P338" s="69"/>
      <c r="Q338" s="64"/>
      <c r="R338" s="69"/>
      <c r="S338" s="64"/>
      <c r="T338" s="69"/>
      <c r="U338" s="64"/>
      <c r="V338" s="69"/>
      <c r="W338" s="65"/>
      <c r="X338" s="69"/>
      <c r="Y338" s="64"/>
      <c r="Z338" s="69"/>
      <c r="AA338" s="64"/>
      <c r="AB338" s="69"/>
      <c r="AC338" s="64"/>
      <c r="AD338" s="69"/>
      <c r="AE338" s="65"/>
      <c r="AF338" s="69"/>
      <c r="AG338" s="65"/>
      <c r="AH338" s="69"/>
      <c r="AI338" s="64"/>
      <c r="AJ338" s="69"/>
      <c r="AK338" s="64"/>
      <c r="AL338" s="69"/>
      <c r="AM338" s="64"/>
      <c r="AN338" s="69"/>
      <c r="AO338" s="64"/>
      <c r="AP338" s="69"/>
      <c r="AQ338" s="64"/>
      <c r="AR338" s="69"/>
      <c r="AS338" s="64"/>
      <c r="AT338" s="69"/>
      <c r="AU338" s="64"/>
      <c r="AV338" s="69"/>
      <c r="AW338" s="64"/>
      <c r="AX338" s="69"/>
      <c r="AY338" s="64"/>
      <c r="AZ338" s="69"/>
      <c r="BA338" s="64"/>
      <c r="BB338" s="69"/>
      <c r="BC338" s="64"/>
      <c r="BD338" s="69"/>
      <c r="BE338" s="64"/>
      <c r="BF338" s="69"/>
      <c r="BG338" s="64"/>
      <c r="BH338" s="69"/>
      <c r="BI338" s="64"/>
      <c r="BJ338" s="69"/>
      <c r="BK338" s="64"/>
      <c r="BL338" s="69"/>
      <c r="BM338" s="64"/>
      <c r="BN338" s="69"/>
      <c r="BO338" s="64"/>
      <c r="BP338" s="69"/>
      <c r="BQ338" s="64"/>
      <c r="BR338" s="69"/>
      <c r="BS338" s="64"/>
      <c r="BT338" s="69"/>
      <c r="BU338" t="b">
        <f t="shared" si="5"/>
        <v>0</v>
      </c>
    </row>
    <row r="339" spans="1:73" x14ac:dyDescent="0.25">
      <c r="A339" s="28"/>
      <c r="B339" s="29"/>
      <c r="C339" s="29"/>
      <c r="D339" s="30"/>
      <c r="E339" s="29"/>
      <c r="F339" s="30"/>
      <c r="G339" s="29"/>
      <c r="H339" s="69"/>
      <c r="I339" s="64"/>
      <c r="J339" s="69"/>
      <c r="K339" s="64"/>
      <c r="L339" s="69"/>
      <c r="M339" s="65"/>
      <c r="N339" s="69"/>
      <c r="O339" s="64"/>
      <c r="P339" s="69"/>
      <c r="Q339" s="64"/>
      <c r="R339" s="69"/>
      <c r="S339" s="64"/>
      <c r="T339" s="69"/>
      <c r="U339" s="64"/>
      <c r="V339" s="69"/>
      <c r="W339" s="65"/>
      <c r="X339" s="69"/>
      <c r="Y339" s="64"/>
      <c r="Z339" s="69"/>
      <c r="AA339" s="64"/>
      <c r="AB339" s="69"/>
      <c r="AC339" s="64"/>
      <c r="AD339" s="69"/>
      <c r="AE339" s="65"/>
      <c r="AF339" s="69"/>
      <c r="AG339" s="65"/>
      <c r="AH339" s="69"/>
      <c r="AI339" s="64"/>
      <c r="AJ339" s="69"/>
      <c r="AK339" s="64"/>
      <c r="AL339" s="69"/>
      <c r="AM339" s="64"/>
      <c r="AN339" s="69"/>
      <c r="AO339" s="64"/>
      <c r="AP339" s="69"/>
      <c r="AQ339" s="64"/>
      <c r="AR339" s="69"/>
      <c r="AS339" s="64"/>
      <c r="AT339" s="69"/>
      <c r="AU339" s="64"/>
      <c r="AV339" s="69"/>
      <c r="AW339" s="64"/>
      <c r="AX339" s="69"/>
      <c r="AY339" s="64"/>
      <c r="AZ339" s="69"/>
      <c r="BA339" s="64"/>
      <c r="BB339" s="69"/>
      <c r="BC339" s="64"/>
      <c r="BD339" s="69"/>
      <c r="BE339" s="64"/>
      <c r="BF339" s="69"/>
      <c r="BG339" s="64"/>
      <c r="BH339" s="69"/>
      <c r="BI339" s="64"/>
      <c r="BJ339" s="69"/>
      <c r="BK339" s="64"/>
      <c r="BL339" s="69"/>
      <c r="BM339" s="64"/>
      <c r="BN339" s="69"/>
      <c r="BO339" s="64"/>
      <c r="BP339" s="69"/>
      <c r="BQ339" s="64"/>
      <c r="BR339" s="69"/>
      <c r="BS339" s="64"/>
      <c r="BT339" s="69"/>
      <c r="BU339" t="b">
        <f t="shared" si="5"/>
        <v>0</v>
      </c>
    </row>
    <row r="340" spans="1:73" x14ac:dyDescent="0.25">
      <c r="A340" s="28"/>
      <c r="B340" s="29"/>
      <c r="C340" s="29"/>
      <c r="D340" s="30"/>
      <c r="E340" s="29"/>
      <c r="F340" s="30"/>
      <c r="G340" s="29"/>
      <c r="H340" s="69"/>
      <c r="I340" s="64"/>
      <c r="J340" s="69"/>
      <c r="K340" s="64"/>
      <c r="L340" s="69"/>
      <c r="M340" s="65"/>
      <c r="N340" s="69"/>
      <c r="O340" s="64"/>
      <c r="P340" s="69"/>
      <c r="Q340" s="64"/>
      <c r="R340" s="69"/>
      <c r="S340" s="64"/>
      <c r="T340" s="69"/>
      <c r="U340" s="64"/>
      <c r="V340" s="69"/>
      <c r="W340" s="65"/>
      <c r="X340" s="69"/>
      <c r="Y340" s="64"/>
      <c r="Z340" s="69"/>
      <c r="AA340" s="64"/>
      <c r="AB340" s="69"/>
      <c r="AC340" s="64"/>
      <c r="AD340" s="69"/>
      <c r="AE340" s="65"/>
      <c r="AF340" s="69"/>
      <c r="AG340" s="65"/>
      <c r="AH340" s="69"/>
      <c r="AI340" s="64"/>
      <c r="AJ340" s="69"/>
      <c r="AK340" s="64"/>
      <c r="AL340" s="69"/>
      <c r="AM340" s="64"/>
      <c r="AN340" s="69"/>
      <c r="AO340" s="64"/>
      <c r="AP340" s="69"/>
      <c r="AQ340" s="64"/>
      <c r="AR340" s="69"/>
      <c r="AS340" s="64"/>
      <c r="AT340" s="69"/>
      <c r="AU340" s="64"/>
      <c r="AV340" s="69"/>
      <c r="AW340" s="64"/>
      <c r="AX340" s="69"/>
      <c r="AY340" s="64"/>
      <c r="AZ340" s="69"/>
      <c r="BA340" s="64"/>
      <c r="BB340" s="69"/>
      <c r="BC340" s="64"/>
      <c r="BD340" s="69"/>
      <c r="BE340" s="64"/>
      <c r="BF340" s="69"/>
      <c r="BG340" s="64"/>
      <c r="BH340" s="69"/>
      <c r="BI340" s="64"/>
      <c r="BJ340" s="69"/>
      <c r="BK340" s="64"/>
      <c r="BL340" s="69"/>
      <c r="BM340" s="64"/>
      <c r="BN340" s="69"/>
      <c r="BO340" s="64"/>
      <c r="BP340" s="69"/>
      <c r="BQ340" s="64"/>
      <c r="BR340" s="69"/>
      <c r="BS340" s="64"/>
      <c r="BT340" s="69"/>
      <c r="BU340" t="b">
        <f t="shared" si="5"/>
        <v>0</v>
      </c>
    </row>
    <row r="341" spans="1:73" x14ac:dyDescent="0.25">
      <c r="A341" s="28"/>
      <c r="B341" s="29"/>
      <c r="C341" s="29"/>
      <c r="D341" s="30"/>
      <c r="E341" s="29"/>
      <c r="F341" s="30"/>
      <c r="G341" s="29"/>
      <c r="H341" s="69"/>
      <c r="I341" s="64"/>
      <c r="J341" s="69"/>
      <c r="K341" s="64"/>
      <c r="L341" s="69"/>
      <c r="M341" s="65"/>
      <c r="N341" s="69"/>
      <c r="O341" s="64"/>
      <c r="P341" s="69"/>
      <c r="Q341" s="64"/>
      <c r="R341" s="69"/>
      <c r="S341" s="64"/>
      <c r="T341" s="69"/>
      <c r="U341" s="64"/>
      <c r="V341" s="69"/>
      <c r="W341" s="65"/>
      <c r="X341" s="69"/>
      <c r="Y341" s="64"/>
      <c r="Z341" s="69"/>
      <c r="AA341" s="64"/>
      <c r="AB341" s="69"/>
      <c r="AC341" s="64"/>
      <c r="AD341" s="69"/>
      <c r="AE341" s="65"/>
      <c r="AF341" s="69"/>
      <c r="AG341" s="65"/>
      <c r="AH341" s="69"/>
      <c r="AI341" s="64"/>
      <c r="AJ341" s="69"/>
      <c r="AK341" s="64"/>
      <c r="AL341" s="69"/>
      <c r="AM341" s="64"/>
      <c r="AN341" s="69"/>
      <c r="AO341" s="64"/>
      <c r="AP341" s="69"/>
      <c r="AQ341" s="64"/>
      <c r="AR341" s="69"/>
      <c r="AS341" s="64"/>
      <c r="AT341" s="69"/>
      <c r="AU341" s="64"/>
      <c r="AV341" s="69"/>
      <c r="AW341" s="64"/>
      <c r="AX341" s="69"/>
      <c r="AY341" s="64"/>
      <c r="AZ341" s="69"/>
      <c r="BA341" s="64"/>
      <c r="BB341" s="69"/>
      <c r="BC341" s="64"/>
      <c r="BD341" s="69"/>
      <c r="BE341" s="64"/>
      <c r="BF341" s="69"/>
      <c r="BG341" s="64"/>
      <c r="BH341" s="69"/>
      <c r="BI341" s="64"/>
      <c r="BJ341" s="69"/>
      <c r="BK341" s="64"/>
      <c r="BL341" s="69"/>
      <c r="BM341" s="64"/>
      <c r="BN341" s="69"/>
      <c r="BO341" s="64"/>
      <c r="BP341" s="69"/>
      <c r="BQ341" s="64"/>
      <c r="BR341" s="69"/>
      <c r="BS341" s="64"/>
      <c r="BT341" s="69"/>
      <c r="BU341" t="b">
        <f t="shared" si="5"/>
        <v>0</v>
      </c>
    </row>
    <row r="342" spans="1:73" x14ac:dyDescent="0.25">
      <c r="A342" s="28"/>
      <c r="B342" s="29"/>
      <c r="C342" s="29"/>
      <c r="D342" s="30"/>
      <c r="E342" s="29"/>
      <c r="F342" s="30"/>
      <c r="G342" s="29"/>
      <c r="H342" s="69"/>
      <c r="I342" s="64"/>
      <c r="J342" s="69"/>
      <c r="K342" s="64"/>
      <c r="L342" s="69"/>
      <c r="M342" s="65"/>
      <c r="N342" s="69"/>
      <c r="O342" s="64"/>
      <c r="P342" s="69"/>
      <c r="Q342" s="64"/>
      <c r="R342" s="69"/>
      <c r="S342" s="64"/>
      <c r="T342" s="69"/>
      <c r="U342" s="64"/>
      <c r="V342" s="69"/>
      <c r="W342" s="65"/>
      <c r="X342" s="69"/>
      <c r="Y342" s="64"/>
      <c r="Z342" s="69"/>
      <c r="AA342" s="64"/>
      <c r="AB342" s="69"/>
      <c r="AC342" s="64"/>
      <c r="AD342" s="69"/>
      <c r="AE342" s="65"/>
      <c r="AF342" s="69"/>
      <c r="AG342" s="65"/>
      <c r="AH342" s="69"/>
      <c r="AI342" s="64"/>
      <c r="AJ342" s="69"/>
      <c r="AK342" s="64"/>
      <c r="AL342" s="69"/>
      <c r="AM342" s="64"/>
      <c r="AN342" s="69"/>
      <c r="AO342" s="64"/>
      <c r="AP342" s="69"/>
      <c r="AQ342" s="64"/>
      <c r="AR342" s="69"/>
      <c r="AS342" s="64"/>
      <c r="AT342" s="69"/>
      <c r="AU342" s="64"/>
      <c r="AV342" s="69"/>
      <c r="AW342" s="64"/>
      <c r="AX342" s="69"/>
      <c r="AY342" s="64"/>
      <c r="AZ342" s="69"/>
      <c r="BA342" s="64"/>
      <c r="BB342" s="69"/>
      <c r="BC342" s="64"/>
      <c r="BD342" s="69"/>
      <c r="BE342" s="64"/>
      <c r="BF342" s="69"/>
      <c r="BG342" s="64"/>
      <c r="BH342" s="69"/>
      <c r="BI342" s="64"/>
      <c r="BJ342" s="69"/>
      <c r="BK342" s="64"/>
      <c r="BL342" s="69"/>
      <c r="BM342" s="64"/>
      <c r="BN342" s="69"/>
      <c r="BO342" s="64"/>
      <c r="BP342" s="69"/>
      <c r="BQ342" s="64"/>
      <c r="BR342" s="69"/>
      <c r="BS342" s="64"/>
      <c r="BT342" s="69"/>
      <c r="BU342" t="b">
        <f t="shared" si="5"/>
        <v>0</v>
      </c>
    </row>
    <row r="343" spans="1:73" x14ac:dyDescent="0.25">
      <c r="A343" s="28"/>
      <c r="B343" s="29"/>
      <c r="C343" s="29"/>
      <c r="D343" s="30"/>
      <c r="E343" s="29"/>
      <c r="F343" s="30"/>
      <c r="G343" s="29"/>
      <c r="H343" s="69"/>
      <c r="I343" s="64"/>
      <c r="J343" s="69"/>
      <c r="K343" s="64"/>
      <c r="L343" s="69"/>
      <c r="M343" s="65"/>
      <c r="N343" s="69"/>
      <c r="O343" s="64"/>
      <c r="P343" s="69"/>
      <c r="Q343" s="64"/>
      <c r="R343" s="69"/>
      <c r="S343" s="64"/>
      <c r="T343" s="69"/>
      <c r="U343" s="64"/>
      <c r="V343" s="69"/>
      <c r="W343" s="65"/>
      <c r="X343" s="69"/>
      <c r="Y343" s="64"/>
      <c r="Z343" s="69"/>
      <c r="AA343" s="64"/>
      <c r="AB343" s="69"/>
      <c r="AC343" s="64"/>
      <c r="AD343" s="69"/>
      <c r="AE343" s="65"/>
      <c r="AF343" s="69"/>
      <c r="AG343" s="65"/>
      <c r="AH343" s="69"/>
      <c r="AI343" s="64"/>
      <c r="AJ343" s="69"/>
      <c r="AK343" s="64"/>
      <c r="AL343" s="69"/>
      <c r="AM343" s="64"/>
      <c r="AN343" s="69"/>
      <c r="AO343" s="64"/>
      <c r="AP343" s="69"/>
      <c r="AQ343" s="64"/>
      <c r="AR343" s="69"/>
      <c r="AS343" s="64"/>
      <c r="AT343" s="69"/>
      <c r="AU343" s="64"/>
      <c r="AV343" s="69"/>
      <c r="AW343" s="64"/>
      <c r="AX343" s="69"/>
      <c r="AY343" s="64"/>
      <c r="AZ343" s="69"/>
      <c r="BA343" s="64"/>
      <c r="BB343" s="69"/>
      <c r="BC343" s="64"/>
      <c r="BD343" s="69"/>
      <c r="BE343" s="64"/>
      <c r="BF343" s="69"/>
      <c r="BG343" s="64"/>
      <c r="BH343" s="69"/>
      <c r="BI343" s="64"/>
      <c r="BJ343" s="69"/>
      <c r="BK343" s="64"/>
      <c r="BL343" s="69"/>
      <c r="BM343" s="64"/>
      <c r="BN343" s="69"/>
      <c r="BO343" s="64"/>
      <c r="BP343" s="69"/>
      <c r="BQ343" s="64"/>
      <c r="BR343" s="69"/>
      <c r="BS343" s="64"/>
      <c r="BT343" s="69"/>
      <c r="BU343" t="b">
        <f t="shared" si="5"/>
        <v>0</v>
      </c>
    </row>
    <row r="344" spans="1:73" x14ac:dyDescent="0.25">
      <c r="A344" s="28"/>
      <c r="B344" s="29"/>
      <c r="C344" s="29"/>
      <c r="D344" s="30"/>
      <c r="E344" s="29"/>
      <c r="F344" s="30"/>
      <c r="G344" s="29"/>
      <c r="H344" s="69"/>
      <c r="I344" s="64"/>
      <c r="J344" s="69"/>
      <c r="K344" s="64"/>
      <c r="L344" s="69"/>
      <c r="M344" s="65"/>
      <c r="N344" s="69"/>
      <c r="O344" s="64"/>
      <c r="P344" s="69"/>
      <c r="Q344" s="64"/>
      <c r="R344" s="69"/>
      <c r="S344" s="64"/>
      <c r="T344" s="69"/>
      <c r="U344" s="64"/>
      <c r="V344" s="69"/>
      <c r="W344" s="65"/>
      <c r="X344" s="69"/>
      <c r="Y344" s="64"/>
      <c r="Z344" s="69"/>
      <c r="AA344" s="64"/>
      <c r="AB344" s="69"/>
      <c r="AC344" s="64"/>
      <c r="AD344" s="69"/>
      <c r="AE344" s="65"/>
      <c r="AF344" s="69"/>
      <c r="AG344" s="65"/>
      <c r="AH344" s="69"/>
      <c r="AI344" s="64"/>
      <c r="AJ344" s="69"/>
      <c r="AK344" s="64"/>
      <c r="AL344" s="69"/>
      <c r="AM344" s="64"/>
      <c r="AN344" s="69"/>
      <c r="AO344" s="64"/>
      <c r="AP344" s="69"/>
      <c r="AQ344" s="64"/>
      <c r="AR344" s="69"/>
      <c r="AS344" s="64"/>
      <c r="AT344" s="69"/>
      <c r="AU344" s="64"/>
      <c r="AV344" s="69"/>
      <c r="AW344" s="64"/>
      <c r="AX344" s="69"/>
      <c r="AY344" s="64"/>
      <c r="AZ344" s="69"/>
      <c r="BA344" s="64"/>
      <c r="BB344" s="69"/>
      <c r="BC344" s="64"/>
      <c r="BD344" s="69"/>
      <c r="BE344" s="64"/>
      <c r="BF344" s="69"/>
      <c r="BG344" s="64"/>
      <c r="BH344" s="69"/>
      <c r="BI344" s="64"/>
      <c r="BJ344" s="69"/>
      <c r="BK344" s="64"/>
      <c r="BL344" s="69"/>
      <c r="BM344" s="64"/>
      <c r="BN344" s="69"/>
      <c r="BO344" s="64"/>
      <c r="BP344" s="69"/>
      <c r="BQ344" s="64"/>
      <c r="BR344" s="69"/>
      <c r="BS344" s="64"/>
      <c r="BT344" s="69"/>
      <c r="BU344" t="b">
        <f t="shared" si="5"/>
        <v>0</v>
      </c>
    </row>
    <row r="345" spans="1:73" x14ac:dyDescent="0.25">
      <c r="A345" s="28"/>
      <c r="B345" s="29"/>
      <c r="C345" s="29"/>
      <c r="D345" s="30"/>
      <c r="E345" s="29"/>
      <c r="F345" s="30"/>
      <c r="G345" s="29"/>
      <c r="H345" s="69"/>
      <c r="I345" s="64"/>
      <c r="J345" s="69"/>
      <c r="K345" s="64"/>
      <c r="L345" s="69"/>
      <c r="M345" s="65"/>
      <c r="N345" s="69"/>
      <c r="O345" s="64"/>
      <c r="P345" s="69"/>
      <c r="Q345" s="64"/>
      <c r="R345" s="69"/>
      <c r="S345" s="64"/>
      <c r="T345" s="69"/>
      <c r="U345" s="64"/>
      <c r="V345" s="69"/>
      <c r="W345" s="65"/>
      <c r="X345" s="69"/>
      <c r="Y345" s="64"/>
      <c r="Z345" s="69"/>
      <c r="AA345" s="64"/>
      <c r="AB345" s="69"/>
      <c r="AC345" s="64"/>
      <c r="AD345" s="69"/>
      <c r="AE345" s="65"/>
      <c r="AF345" s="69"/>
      <c r="AG345" s="65"/>
      <c r="AH345" s="69"/>
      <c r="AI345" s="64"/>
      <c r="AJ345" s="69"/>
      <c r="AK345" s="64"/>
      <c r="AL345" s="69"/>
      <c r="AM345" s="64"/>
      <c r="AN345" s="69"/>
      <c r="AO345" s="64"/>
      <c r="AP345" s="69"/>
      <c r="AQ345" s="64"/>
      <c r="AR345" s="69"/>
      <c r="AS345" s="64"/>
      <c r="AT345" s="69"/>
      <c r="AU345" s="64"/>
      <c r="AV345" s="69"/>
      <c r="AW345" s="64"/>
      <c r="AX345" s="69"/>
      <c r="AY345" s="64"/>
      <c r="AZ345" s="69"/>
      <c r="BA345" s="64"/>
      <c r="BB345" s="69"/>
      <c r="BC345" s="64"/>
      <c r="BD345" s="69"/>
      <c r="BE345" s="64"/>
      <c r="BF345" s="69"/>
      <c r="BG345" s="64"/>
      <c r="BH345" s="69"/>
      <c r="BI345" s="64"/>
      <c r="BJ345" s="69"/>
      <c r="BK345" s="64"/>
      <c r="BL345" s="69"/>
      <c r="BM345" s="64"/>
      <c r="BN345" s="69"/>
      <c r="BO345" s="64"/>
      <c r="BP345" s="69"/>
      <c r="BQ345" s="64"/>
      <c r="BR345" s="69"/>
      <c r="BS345" s="64"/>
      <c r="BT345" s="69"/>
      <c r="BU345" t="b">
        <f t="shared" si="5"/>
        <v>0</v>
      </c>
    </row>
    <row r="346" spans="1:73" x14ac:dyDescent="0.25">
      <c r="A346" s="28"/>
      <c r="B346" s="29"/>
      <c r="C346" s="29"/>
      <c r="D346" s="30"/>
      <c r="E346" s="29"/>
      <c r="F346" s="30"/>
      <c r="G346" s="29"/>
      <c r="H346" s="69"/>
      <c r="I346" s="64"/>
      <c r="J346" s="69"/>
      <c r="K346" s="64"/>
      <c r="L346" s="69"/>
      <c r="M346" s="65"/>
      <c r="N346" s="69"/>
      <c r="O346" s="64"/>
      <c r="P346" s="69"/>
      <c r="Q346" s="64"/>
      <c r="R346" s="69"/>
      <c r="S346" s="64"/>
      <c r="T346" s="69"/>
      <c r="U346" s="64"/>
      <c r="V346" s="69"/>
      <c r="W346" s="65"/>
      <c r="X346" s="69"/>
      <c r="Y346" s="64"/>
      <c r="Z346" s="69"/>
      <c r="AA346" s="64"/>
      <c r="AB346" s="69"/>
      <c r="AC346" s="64"/>
      <c r="AD346" s="69"/>
      <c r="AE346" s="65"/>
      <c r="AF346" s="69"/>
      <c r="AG346" s="65"/>
      <c r="AH346" s="69"/>
      <c r="AI346" s="64"/>
      <c r="AJ346" s="69"/>
      <c r="AK346" s="64"/>
      <c r="AL346" s="69"/>
      <c r="AM346" s="64"/>
      <c r="AN346" s="69"/>
      <c r="AO346" s="64"/>
      <c r="AP346" s="69"/>
      <c r="AQ346" s="64"/>
      <c r="AR346" s="69"/>
      <c r="AS346" s="64"/>
      <c r="AT346" s="69"/>
      <c r="AU346" s="64"/>
      <c r="AV346" s="69"/>
      <c r="AW346" s="64"/>
      <c r="AX346" s="69"/>
      <c r="AY346" s="64"/>
      <c r="AZ346" s="69"/>
      <c r="BA346" s="64"/>
      <c r="BB346" s="69"/>
      <c r="BC346" s="64"/>
      <c r="BD346" s="69"/>
      <c r="BE346" s="64"/>
      <c r="BF346" s="69"/>
      <c r="BG346" s="64"/>
      <c r="BH346" s="69"/>
      <c r="BI346" s="64"/>
      <c r="BJ346" s="69"/>
      <c r="BK346" s="64"/>
      <c r="BL346" s="69"/>
      <c r="BM346" s="64"/>
      <c r="BN346" s="69"/>
      <c r="BO346" s="64"/>
      <c r="BP346" s="69"/>
      <c r="BQ346" s="64"/>
      <c r="BR346" s="69"/>
      <c r="BS346" s="64"/>
      <c r="BT346" s="69"/>
      <c r="BU346" t="b">
        <f t="shared" si="5"/>
        <v>0</v>
      </c>
    </row>
    <row r="347" spans="1:73" x14ac:dyDescent="0.25">
      <c r="A347" s="28"/>
      <c r="B347" s="29"/>
      <c r="C347" s="29"/>
      <c r="D347" s="30"/>
      <c r="E347" s="29"/>
      <c r="F347" s="30"/>
      <c r="G347" s="29"/>
      <c r="H347" s="69"/>
      <c r="I347" s="64"/>
      <c r="J347" s="69"/>
      <c r="K347" s="64"/>
      <c r="L347" s="69"/>
      <c r="M347" s="65"/>
      <c r="N347" s="69"/>
      <c r="O347" s="64"/>
      <c r="P347" s="69"/>
      <c r="Q347" s="64"/>
      <c r="R347" s="69"/>
      <c r="S347" s="64"/>
      <c r="T347" s="69"/>
      <c r="U347" s="64"/>
      <c r="V347" s="69"/>
      <c r="W347" s="65"/>
      <c r="X347" s="69"/>
      <c r="Y347" s="64"/>
      <c r="Z347" s="69"/>
      <c r="AA347" s="64"/>
      <c r="AB347" s="69"/>
      <c r="AC347" s="64"/>
      <c r="AD347" s="69"/>
      <c r="AE347" s="65"/>
      <c r="AF347" s="69"/>
      <c r="AG347" s="65"/>
      <c r="AH347" s="69"/>
      <c r="AI347" s="64"/>
      <c r="AJ347" s="69"/>
      <c r="AK347" s="64"/>
      <c r="AL347" s="69"/>
      <c r="AM347" s="64"/>
      <c r="AN347" s="69"/>
      <c r="AO347" s="64"/>
      <c r="AP347" s="69"/>
      <c r="AQ347" s="64"/>
      <c r="AR347" s="69"/>
      <c r="AS347" s="64"/>
      <c r="AT347" s="69"/>
      <c r="AU347" s="64"/>
      <c r="AV347" s="69"/>
      <c r="AW347" s="64"/>
      <c r="AX347" s="69"/>
      <c r="AY347" s="64"/>
      <c r="AZ347" s="69"/>
      <c r="BA347" s="64"/>
      <c r="BB347" s="69"/>
      <c r="BC347" s="64"/>
      <c r="BD347" s="69"/>
      <c r="BE347" s="64"/>
      <c r="BF347" s="69"/>
      <c r="BG347" s="64"/>
      <c r="BH347" s="69"/>
      <c r="BI347" s="64"/>
      <c r="BJ347" s="69"/>
      <c r="BK347" s="64"/>
      <c r="BL347" s="69"/>
      <c r="BM347" s="64"/>
      <c r="BN347" s="69"/>
      <c r="BO347" s="64"/>
      <c r="BP347" s="69"/>
      <c r="BQ347" s="64"/>
      <c r="BR347" s="69"/>
      <c r="BS347" s="64"/>
      <c r="BT347" s="69"/>
      <c r="BU347" t="b">
        <f t="shared" si="5"/>
        <v>0</v>
      </c>
    </row>
    <row r="348" spans="1:73" x14ac:dyDescent="0.25">
      <c r="A348" s="28"/>
      <c r="B348" s="29"/>
      <c r="C348" s="29"/>
      <c r="D348" s="30"/>
      <c r="E348" s="29"/>
      <c r="F348" s="30"/>
      <c r="G348" s="29"/>
      <c r="H348" s="69"/>
      <c r="I348" s="64"/>
      <c r="J348" s="69"/>
      <c r="K348" s="64"/>
      <c r="L348" s="69"/>
      <c r="M348" s="65"/>
      <c r="N348" s="69"/>
      <c r="O348" s="64"/>
      <c r="P348" s="69"/>
      <c r="Q348" s="64"/>
      <c r="R348" s="69"/>
      <c r="S348" s="64"/>
      <c r="T348" s="69"/>
      <c r="U348" s="64"/>
      <c r="V348" s="69"/>
      <c r="W348" s="65"/>
      <c r="X348" s="69"/>
      <c r="Y348" s="64"/>
      <c r="Z348" s="69"/>
      <c r="AA348" s="64"/>
      <c r="AB348" s="69"/>
      <c r="AC348" s="64"/>
      <c r="AD348" s="69"/>
      <c r="AE348" s="65"/>
      <c r="AF348" s="69"/>
      <c r="AG348" s="65"/>
      <c r="AH348" s="69"/>
      <c r="AI348" s="64"/>
      <c r="AJ348" s="69"/>
      <c r="AK348" s="64"/>
      <c r="AL348" s="69"/>
      <c r="AM348" s="64"/>
      <c r="AN348" s="69"/>
      <c r="AO348" s="64"/>
      <c r="AP348" s="69"/>
      <c r="AQ348" s="64"/>
      <c r="AR348" s="69"/>
      <c r="AS348" s="64"/>
      <c r="AT348" s="69"/>
      <c r="AU348" s="64"/>
      <c r="AV348" s="69"/>
      <c r="AW348" s="64"/>
      <c r="AX348" s="69"/>
      <c r="AY348" s="64"/>
      <c r="AZ348" s="69"/>
      <c r="BA348" s="64"/>
      <c r="BB348" s="69"/>
      <c r="BC348" s="64"/>
      <c r="BD348" s="69"/>
      <c r="BE348" s="64"/>
      <c r="BF348" s="69"/>
      <c r="BG348" s="64"/>
      <c r="BH348" s="69"/>
      <c r="BI348" s="64"/>
      <c r="BJ348" s="69"/>
      <c r="BK348" s="64"/>
      <c r="BL348" s="69"/>
      <c r="BM348" s="64"/>
      <c r="BN348" s="69"/>
      <c r="BO348" s="64"/>
      <c r="BP348" s="69"/>
      <c r="BQ348" s="64"/>
      <c r="BR348" s="69"/>
      <c r="BS348" s="64"/>
      <c r="BT348" s="69"/>
      <c r="BU348" t="b">
        <f t="shared" si="5"/>
        <v>0</v>
      </c>
    </row>
    <row r="349" spans="1:73" x14ac:dyDescent="0.25">
      <c r="A349" s="28"/>
      <c r="B349" s="29"/>
      <c r="C349" s="29"/>
      <c r="D349" s="30"/>
      <c r="E349" s="29"/>
      <c r="F349" s="30"/>
      <c r="G349" s="29"/>
      <c r="H349" s="69"/>
      <c r="I349" s="64"/>
      <c r="J349" s="69"/>
      <c r="K349" s="64"/>
      <c r="L349" s="69"/>
      <c r="M349" s="65"/>
      <c r="N349" s="69"/>
      <c r="O349" s="64"/>
      <c r="P349" s="69"/>
      <c r="Q349" s="64"/>
      <c r="R349" s="69"/>
      <c r="S349" s="64"/>
      <c r="T349" s="69"/>
      <c r="U349" s="64"/>
      <c r="V349" s="69"/>
      <c r="W349" s="65"/>
      <c r="X349" s="69"/>
      <c r="Y349" s="64"/>
      <c r="Z349" s="69"/>
      <c r="AA349" s="64"/>
      <c r="AB349" s="69"/>
      <c r="AC349" s="64"/>
      <c r="AD349" s="69"/>
      <c r="AE349" s="65"/>
      <c r="AF349" s="69"/>
      <c r="AG349" s="65"/>
      <c r="AH349" s="69"/>
      <c r="AI349" s="64"/>
      <c r="AJ349" s="69"/>
      <c r="AK349" s="64"/>
      <c r="AL349" s="69"/>
      <c r="AM349" s="64"/>
      <c r="AN349" s="69"/>
      <c r="AO349" s="64"/>
      <c r="AP349" s="69"/>
      <c r="AQ349" s="64"/>
      <c r="AR349" s="69"/>
      <c r="AS349" s="64"/>
      <c r="AT349" s="69"/>
      <c r="AU349" s="64"/>
      <c r="AV349" s="69"/>
      <c r="AW349" s="64"/>
      <c r="AX349" s="69"/>
      <c r="AY349" s="64"/>
      <c r="AZ349" s="69"/>
      <c r="BA349" s="64"/>
      <c r="BB349" s="69"/>
      <c r="BC349" s="64"/>
      <c r="BD349" s="69"/>
      <c r="BE349" s="64"/>
      <c r="BF349" s="69"/>
      <c r="BG349" s="64"/>
      <c r="BH349" s="69"/>
      <c r="BI349" s="64"/>
      <c r="BJ349" s="69"/>
      <c r="BK349" s="64"/>
      <c r="BL349" s="69"/>
      <c r="BM349" s="64"/>
      <c r="BN349" s="69"/>
      <c r="BO349" s="64"/>
      <c r="BP349" s="69"/>
      <c r="BQ349" s="64"/>
      <c r="BR349" s="69"/>
      <c r="BS349" s="64"/>
      <c r="BT349" s="69"/>
      <c r="BU349" t="b">
        <f t="shared" si="5"/>
        <v>0</v>
      </c>
    </row>
    <row r="350" spans="1:73" x14ac:dyDescent="0.25">
      <c r="A350" s="28"/>
      <c r="B350" s="29"/>
      <c r="C350" s="29"/>
      <c r="D350" s="30"/>
      <c r="E350" s="29"/>
      <c r="F350" s="30"/>
      <c r="G350" s="29"/>
      <c r="H350" s="69"/>
      <c r="I350" s="64"/>
      <c r="J350" s="69"/>
      <c r="K350" s="64"/>
      <c r="L350" s="69"/>
      <c r="M350" s="65"/>
      <c r="N350" s="69"/>
      <c r="O350" s="64"/>
      <c r="P350" s="69"/>
      <c r="Q350" s="64"/>
      <c r="R350" s="69"/>
      <c r="S350" s="64"/>
      <c r="T350" s="69"/>
      <c r="U350" s="64"/>
      <c r="V350" s="69"/>
      <c r="W350" s="65"/>
      <c r="X350" s="69"/>
      <c r="Y350" s="64"/>
      <c r="Z350" s="69"/>
      <c r="AA350" s="64"/>
      <c r="AB350" s="69"/>
      <c r="AC350" s="64"/>
      <c r="AD350" s="69"/>
      <c r="AE350" s="65"/>
      <c r="AF350" s="69"/>
      <c r="AG350" s="65"/>
      <c r="AH350" s="69"/>
      <c r="AI350" s="64"/>
      <c r="AJ350" s="69"/>
      <c r="AK350" s="64"/>
      <c r="AL350" s="69"/>
      <c r="AM350" s="64"/>
      <c r="AN350" s="69"/>
      <c r="AO350" s="64"/>
      <c r="AP350" s="69"/>
      <c r="AQ350" s="64"/>
      <c r="AR350" s="69"/>
      <c r="AS350" s="64"/>
      <c r="AT350" s="69"/>
      <c r="AU350" s="64"/>
      <c r="AV350" s="69"/>
      <c r="AW350" s="64"/>
      <c r="AX350" s="69"/>
      <c r="AY350" s="64"/>
      <c r="AZ350" s="69"/>
      <c r="BA350" s="64"/>
      <c r="BB350" s="69"/>
      <c r="BC350" s="64"/>
      <c r="BD350" s="69"/>
      <c r="BE350" s="64"/>
      <c r="BF350" s="69"/>
      <c r="BG350" s="64"/>
      <c r="BH350" s="69"/>
      <c r="BI350" s="64"/>
      <c r="BJ350" s="69"/>
      <c r="BK350" s="64"/>
      <c r="BL350" s="69"/>
      <c r="BM350" s="64"/>
      <c r="BN350" s="69"/>
      <c r="BO350" s="64"/>
      <c r="BP350" s="69"/>
      <c r="BQ350" s="64"/>
      <c r="BR350" s="69"/>
      <c r="BS350" s="64"/>
      <c r="BT350" s="69"/>
      <c r="BU350" t="b">
        <f t="shared" si="5"/>
        <v>0</v>
      </c>
    </row>
    <row r="351" spans="1:73" x14ac:dyDescent="0.25">
      <c r="A351" s="28"/>
      <c r="B351" s="29"/>
      <c r="C351" s="29"/>
      <c r="D351" s="30"/>
      <c r="E351" s="29"/>
      <c r="F351" s="30"/>
      <c r="G351" s="29"/>
      <c r="H351" s="69"/>
      <c r="I351" s="64"/>
      <c r="J351" s="69"/>
      <c r="K351" s="64"/>
      <c r="L351" s="69"/>
      <c r="M351" s="65"/>
      <c r="N351" s="69"/>
      <c r="O351" s="64"/>
      <c r="P351" s="69"/>
      <c r="Q351" s="64"/>
      <c r="R351" s="69"/>
      <c r="S351" s="64"/>
      <c r="T351" s="69"/>
      <c r="U351" s="64"/>
      <c r="V351" s="69"/>
      <c r="W351" s="65"/>
      <c r="X351" s="69"/>
      <c r="Y351" s="64"/>
      <c r="Z351" s="69"/>
      <c r="AA351" s="64"/>
      <c r="AB351" s="69"/>
      <c r="AC351" s="64"/>
      <c r="AD351" s="69"/>
      <c r="AE351" s="65"/>
      <c r="AF351" s="69"/>
      <c r="AG351" s="65"/>
      <c r="AH351" s="69"/>
      <c r="AI351" s="64"/>
      <c r="AJ351" s="69"/>
      <c r="AK351" s="64"/>
      <c r="AL351" s="69"/>
      <c r="AM351" s="64"/>
      <c r="AN351" s="69"/>
      <c r="AO351" s="64"/>
      <c r="AP351" s="69"/>
      <c r="AQ351" s="64"/>
      <c r="AR351" s="69"/>
      <c r="AS351" s="64"/>
      <c r="AT351" s="69"/>
      <c r="AU351" s="64"/>
      <c r="AV351" s="69"/>
      <c r="AW351" s="64"/>
      <c r="AX351" s="69"/>
      <c r="AY351" s="64"/>
      <c r="AZ351" s="69"/>
      <c r="BA351" s="64"/>
      <c r="BB351" s="69"/>
      <c r="BC351" s="64"/>
      <c r="BD351" s="69"/>
      <c r="BE351" s="64"/>
      <c r="BF351" s="69"/>
      <c r="BG351" s="64"/>
      <c r="BH351" s="69"/>
      <c r="BI351" s="64"/>
      <c r="BJ351" s="69"/>
      <c r="BK351" s="64"/>
      <c r="BL351" s="69"/>
      <c r="BM351" s="64"/>
      <c r="BN351" s="69"/>
      <c r="BO351" s="64"/>
      <c r="BP351" s="69"/>
      <c r="BQ351" s="64"/>
      <c r="BR351" s="69"/>
      <c r="BS351" s="64"/>
      <c r="BT351" s="69"/>
      <c r="BU351" t="b">
        <f t="shared" si="5"/>
        <v>0</v>
      </c>
    </row>
    <row r="352" spans="1:73" x14ac:dyDescent="0.25">
      <c r="A352" s="28"/>
      <c r="B352" s="29"/>
      <c r="C352" s="29"/>
      <c r="D352" s="30"/>
      <c r="E352" s="29"/>
      <c r="F352" s="30"/>
      <c r="G352" s="29"/>
      <c r="H352" s="69"/>
      <c r="I352" s="64"/>
      <c r="J352" s="69"/>
      <c r="K352" s="64"/>
      <c r="L352" s="69"/>
      <c r="M352" s="65"/>
      <c r="N352" s="69"/>
      <c r="O352" s="64"/>
      <c r="P352" s="69"/>
      <c r="Q352" s="64"/>
      <c r="R352" s="69"/>
      <c r="S352" s="64"/>
      <c r="T352" s="69"/>
      <c r="U352" s="64"/>
      <c r="V352" s="69"/>
      <c r="W352" s="65"/>
      <c r="X352" s="69"/>
      <c r="Y352" s="64"/>
      <c r="Z352" s="69"/>
      <c r="AA352" s="64"/>
      <c r="AB352" s="69"/>
      <c r="AC352" s="64"/>
      <c r="AD352" s="69"/>
      <c r="AE352" s="65"/>
      <c r="AF352" s="69"/>
      <c r="AG352" s="65"/>
      <c r="AH352" s="69"/>
      <c r="AI352" s="64"/>
      <c r="AJ352" s="69"/>
      <c r="AK352" s="64"/>
      <c r="AL352" s="69"/>
      <c r="AM352" s="64"/>
      <c r="AN352" s="69"/>
      <c r="AO352" s="64"/>
      <c r="AP352" s="69"/>
      <c r="AQ352" s="64"/>
      <c r="AR352" s="69"/>
      <c r="AS352" s="64"/>
      <c r="AT352" s="69"/>
      <c r="AU352" s="64"/>
      <c r="AV352" s="69"/>
      <c r="AW352" s="64"/>
      <c r="AX352" s="69"/>
      <c r="AY352" s="64"/>
      <c r="AZ352" s="69"/>
      <c r="BA352" s="64"/>
      <c r="BB352" s="69"/>
      <c r="BC352" s="64"/>
      <c r="BD352" s="69"/>
      <c r="BE352" s="64"/>
      <c r="BF352" s="69"/>
      <c r="BG352" s="64"/>
      <c r="BH352" s="69"/>
      <c r="BI352" s="64"/>
      <c r="BJ352" s="69"/>
      <c r="BK352" s="64"/>
      <c r="BL352" s="69"/>
      <c r="BM352" s="64"/>
      <c r="BN352" s="69"/>
      <c r="BO352" s="64"/>
      <c r="BP352" s="69"/>
      <c r="BQ352" s="64"/>
      <c r="BR352" s="69"/>
      <c r="BS352" s="64"/>
      <c r="BT352" s="69"/>
      <c r="BU352" t="b">
        <f t="shared" si="5"/>
        <v>0</v>
      </c>
    </row>
    <row r="353" spans="1:73" x14ac:dyDescent="0.25">
      <c r="A353" s="28"/>
      <c r="B353" s="29"/>
      <c r="C353" s="29"/>
      <c r="D353" s="30"/>
      <c r="E353" s="29"/>
      <c r="F353" s="30"/>
      <c r="G353" s="29"/>
      <c r="H353" s="69"/>
      <c r="I353" s="64"/>
      <c r="J353" s="69"/>
      <c r="K353" s="64"/>
      <c r="L353" s="69"/>
      <c r="M353" s="65"/>
      <c r="N353" s="69"/>
      <c r="O353" s="64"/>
      <c r="P353" s="69"/>
      <c r="Q353" s="64"/>
      <c r="R353" s="69"/>
      <c r="S353" s="64"/>
      <c r="T353" s="69"/>
      <c r="U353" s="64"/>
      <c r="V353" s="69"/>
      <c r="W353" s="65"/>
      <c r="X353" s="69"/>
      <c r="Y353" s="64"/>
      <c r="Z353" s="69"/>
      <c r="AA353" s="64"/>
      <c r="AB353" s="69"/>
      <c r="AC353" s="64"/>
      <c r="AD353" s="69"/>
      <c r="AE353" s="65"/>
      <c r="AF353" s="69"/>
      <c r="AG353" s="65"/>
      <c r="AH353" s="69"/>
      <c r="AI353" s="64"/>
      <c r="AJ353" s="69"/>
      <c r="AK353" s="64"/>
      <c r="AL353" s="69"/>
      <c r="AM353" s="64"/>
      <c r="AN353" s="69"/>
      <c r="AO353" s="64"/>
      <c r="AP353" s="69"/>
      <c r="AQ353" s="64"/>
      <c r="AR353" s="69"/>
      <c r="AS353" s="64"/>
      <c r="AT353" s="69"/>
      <c r="AU353" s="64"/>
      <c r="AV353" s="69"/>
      <c r="AW353" s="64"/>
      <c r="AX353" s="69"/>
      <c r="AY353" s="64"/>
      <c r="AZ353" s="69"/>
      <c r="BA353" s="64"/>
      <c r="BB353" s="69"/>
      <c r="BC353" s="64"/>
      <c r="BD353" s="69"/>
      <c r="BE353" s="64"/>
      <c r="BF353" s="69"/>
      <c r="BG353" s="64"/>
      <c r="BH353" s="69"/>
      <c r="BI353" s="64"/>
      <c r="BJ353" s="69"/>
      <c r="BK353" s="64"/>
      <c r="BL353" s="69"/>
      <c r="BM353" s="64"/>
      <c r="BN353" s="69"/>
      <c r="BO353" s="64"/>
      <c r="BP353" s="69"/>
      <c r="BQ353" s="64"/>
      <c r="BR353" s="69"/>
      <c r="BS353" s="64"/>
      <c r="BT353" s="69"/>
      <c r="BU353" t="b">
        <f t="shared" si="5"/>
        <v>0</v>
      </c>
    </row>
    <row r="354" spans="1:73" x14ac:dyDescent="0.25">
      <c r="A354" s="28"/>
      <c r="B354" s="29"/>
      <c r="C354" s="29"/>
      <c r="D354" s="30"/>
      <c r="E354" s="29"/>
      <c r="F354" s="30"/>
      <c r="G354" s="29"/>
      <c r="H354" s="69"/>
      <c r="I354" s="64"/>
      <c r="J354" s="69"/>
      <c r="K354" s="64"/>
      <c r="L354" s="69"/>
      <c r="M354" s="65"/>
      <c r="N354" s="69"/>
      <c r="O354" s="64"/>
      <c r="P354" s="69"/>
      <c r="Q354" s="64"/>
      <c r="R354" s="69"/>
      <c r="S354" s="64"/>
      <c r="T354" s="69"/>
      <c r="U354" s="64"/>
      <c r="V354" s="69"/>
      <c r="W354" s="65"/>
      <c r="X354" s="69"/>
      <c r="Y354" s="64"/>
      <c r="Z354" s="69"/>
      <c r="AA354" s="64"/>
      <c r="AB354" s="69"/>
      <c r="AC354" s="64"/>
      <c r="AD354" s="69"/>
      <c r="AE354" s="65"/>
      <c r="AF354" s="69"/>
      <c r="AG354" s="65"/>
      <c r="AH354" s="69"/>
      <c r="AI354" s="64"/>
      <c r="AJ354" s="69"/>
      <c r="AK354" s="64"/>
      <c r="AL354" s="69"/>
      <c r="AM354" s="64"/>
      <c r="AN354" s="69"/>
      <c r="AO354" s="64"/>
      <c r="AP354" s="69"/>
      <c r="AQ354" s="64"/>
      <c r="AR354" s="69"/>
      <c r="AS354" s="64"/>
      <c r="AT354" s="69"/>
      <c r="AU354" s="64"/>
      <c r="AV354" s="69"/>
      <c r="AW354" s="64"/>
      <c r="AX354" s="69"/>
      <c r="AY354" s="64"/>
      <c r="AZ354" s="69"/>
      <c r="BA354" s="64"/>
      <c r="BB354" s="69"/>
      <c r="BC354" s="64"/>
      <c r="BD354" s="69"/>
      <c r="BE354" s="64"/>
      <c r="BF354" s="69"/>
      <c r="BG354" s="64"/>
      <c r="BH354" s="69"/>
      <c r="BI354" s="64"/>
      <c r="BJ354" s="69"/>
      <c r="BK354" s="64"/>
      <c r="BL354" s="69"/>
      <c r="BM354" s="64"/>
      <c r="BN354" s="69"/>
      <c r="BO354" s="64"/>
      <c r="BP354" s="69"/>
      <c r="BQ354" s="64"/>
      <c r="BR354" s="69"/>
      <c r="BS354" s="64"/>
      <c r="BT354" s="69"/>
      <c r="BU354" t="b">
        <f t="shared" si="5"/>
        <v>0</v>
      </c>
    </row>
    <row r="355" spans="1:73" x14ac:dyDescent="0.25">
      <c r="A355" s="28"/>
      <c r="B355" s="29"/>
      <c r="C355" s="29"/>
      <c r="D355" s="30"/>
      <c r="E355" s="29"/>
      <c r="F355" s="30"/>
      <c r="G355" s="29"/>
      <c r="H355" s="69"/>
      <c r="I355" s="64"/>
      <c r="J355" s="69"/>
      <c r="K355" s="64"/>
      <c r="L355" s="69"/>
      <c r="M355" s="65"/>
      <c r="N355" s="69"/>
      <c r="O355" s="64"/>
      <c r="P355" s="69"/>
      <c r="Q355" s="64"/>
      <c r="R355" s="69"/>
      <c r="S355" s="64"/>
      <c r="T355" s="69"/>
      <c r="U355" s="64"/>
      <c r="V355" s="69"/>
      <c r="W355" s="65"/>
      <c r="X355" s="69"/>
      <c r="Y355" s="64"/>
      <c r="Z355" s="69"/>
      <c r="AA355" s="64"/>
      <c r="AB355" s="69"/>
      <c r="AC355" s="64"/>
      <c r="AD355" s="69"/>
      <c r="AE355" s="65"/>
      <c r="AF355" s="69"/>
      <c r="AG355" s="65"/>
      <c r="AH355" s="69"/>
      <c r="AI355" s="64"/>
      <c r="AJ355" s="69"/>
      <c r="AK355" s="64"/>
      <c r="AL355" s="69"/>
      <c r="AM355" s="64"/>
      <c r="AN355" s="69"/>
      <c r="AO355" s="64"/>
      <c r="AP355" s="69"/>
      <c r="AQ355" s="64"/>
      <c r="AR355" s="69"/>
      <c r="AS355" s="64"/>
      <c r="AT355" s="69"/>
      <c r="AU355" s="64"/>
      <c r="AV355" s="69"/>
      <c r="AW355" s="64"/>
      <c r="AX355" s="69"/>
      <c r="AY355" s="64"/>
      <c r="AZ355" s="69"/>
      <c r="BA355" s="64"/>
      <c r="BB355" s="69"/>
      <c r="BC355" s="64"/>
      <c r="BD355" s="69"/>
      <c r="BE355" s="64"/>
      <c r="BF355" s="69"/>
      <c r="BG355" s="64"/>
      <c r="BH355" s="69"/>
      <c r="BI355" s="64"/>
      <c r="BJ355" s="69"/>
      <c r="BK355" s="64"/>
      <c r="BL355" s="69"/>
      <c r="BM355" s="64"/>
      <c r="BN355" s="69"/>
      <c r="BO355" s="64"/>
      <c r="BP355" s="69"/>
      <c r="BQ355" s="64"/>
      <c r="BR355" s="69"/>
      <c r="BS355" s="64"/>
      <c r="BT355" s="69"/>
      <c r="BU355" t="b">
        <f t="shared" si="5"/>
        <v>0</v>
      </c>
    </row>
    <row r="356" spans="1:73" x14ac:dyDescent="0.25">
      <c r="A356" s="28"/>
      <c r="B356" s="29"/>
      <c r="C356" s="29"/>
      <c r="D356" s="30"/>
      <c r="E356" s="29"/>
      <c r="F356" s="30"/>
      <c r="G356" s="29"/>
      <c r="H356" s="69"/>
      <c r="I356" s="64"/>
      <c r="J356" s="69"/>
      <c r="K356" s="64"/>
      <c r="L356" s="69"/>
      <c r="M356" s="65"/>
      <c r="N356" s="69"/>
      <c r="O356" s="64"/>
      <c r="P356" s="69"/>
      <c r="Q356" s="64"/>
      <c r="R356" s="69"/>
      <c r="S356" s="64"/>
      <c r="T356" s="69"/>
      <c r="U356" s="64"/>
      <c r="V356" s="69"/>
      <c r="W356" s="65"/>
      <c r="X356" s="69"/>
      <c r="Y356" s="64"/>
      <c r="Z356" s="69"/>
      <c r="AA356" s="64"/>
      <c r="AB356" s="69"/>
      <c r="AC356" s="64"/>
      <c r="AD356" s="69"/>
      <c r="AE356" s="65"/>
      <c r="AF356" s="69"/>
      <c r="AG356" s="65"/>
      <c r="AH356" s="69"/>
      <c r="AI356" s="64"/>
      <c r="AJ356" s="69"/>
      <c r="AK356" s="64"/>
      <c r="AL356" s="69"/>
      <c r="AM356" s="64"/>
      <c r="AN356" s="69"/>
      <c r="AO356" s="64"/>
      <c r="AP356" s="69"/>
      <c r="AQ356" s="64"/>
      <c r="AR356" s="69"/>
      <c r="AS356" s="64"/>
      <c r="AT356" s="69"/>
      <c r="AU356" s="64"/>
      <c r="AV356" s="69"/>
      <c r="AW356" s="64"/>
      <c r="AX356" s="69"/>
      <c r="AY356" s="64"/>
      <c r="AZ356" s="69"/>
      <c r="BA356" s="64"/>
      <c r="BB356" s="69"/>
      <c r="BC356" s="64"/>
      <c r="BD356" s="69"/>
      <c r="BE356" s="64"/>
      <c r="BF356" s="69"/>
      <c r="BG356" s="64"/>
      <c r="BH356" s="69"/>
      <c r="BI356" s="64"/>
      <c r="BJ356" s="69"/>
      <c r="BK356" s="64"/>
      <c r="BL356" s="69"/>
      <c r="BM356" s="64"/>
      <c r="BN356" s="69"/>
      <c r="BO356" s="64"/>
      <c r="BP356" s="69"/>
      <c r="BQ356" s="64"/>
      <c r="BR356" s="69"/>
      <c r="BS356" s="64"/>
      <c r="BT356" s="69"/>
      <c r="BU356" t="b">
        <f t="shared" si="5"/>
        <v>0</v>
      </c>
    </row>
    <row r="357" spans="1:73" x14ac:dyDescent="0.25">
      <c r="A357" s="28"/>
      <c r="B357" s="29"/>
      <c r="C357" s="29"/>
      <c r="D357" s="30"/>
      <c r="E357" s="29"/>
      <c r="F357" s="30"/>
      <c r="G357" s="29"/>
      <c r="H357" s="69"/>
      <c r="I357" s="64"/>
      <c r="J357" s="69"/>
      <c r="K357" s="64"/>
      <c r="L357" s="69"/>
      <c r="M357" s="65"/>
      <c r="N357" s="69"/>
      <c r="O357" s="64"/>
      <c r="P357" s="69"/>
      <c r="Q357" s="64"/>
      <c r="R357" s="69"/>
      <c r="S357" s="64"/>
      <c r="T357" s="69"/>
      <c r="U357" s="64"/>
      <c r="V357" s="69"/>
      <c r="W357" s="65"/>
      <c r="X357" s="69"/>
      <c r="Y357" s="64"/>
      <c r="Z357" s="69"/>
      <c r="AA357" s="64"/>
      <c r="AB357" s="69"/>
      <c r="AC357" s="64"/>
      <c r="AD357" s="69"/>
      <c r="AE357" s="65"/>
      <c r="AF357" s="69"/>
      <c r="AG357" s="65"/>
      <c r="AH357" s="69"/>
      <c r="AI357" s="64"/>
      <c r="AJ357" s="69"/>
      <c r="AK357" s="64"/>
      <c r="AL357" s="69"/>
      <c r="AM357" s="64"/>
      <c r="AN357" s="69"/>
      <c r="AO357" s="64"/>
      <c r="AP357" s="69"/>
      <c r="AQ357" s="64"/>
      <c r="AR357" s="69"/>
      <c r="AS357" s="64"/>
      <c r="AT357" s="69"/>
      <c r="AU357" s="64"/>
      <c r="AV357" s="69"/>
      <c r="AW357" s="64"/>
      <c r="AX357" s="69"/>
      <c r="AY357" s="64"/>
      <c r="AZ357" s="69"/>
      <c r="BA357" s="64"/>
      <c r="BB357" s="69"/>
      <c r="BC357" s="64"/>
      <c r="BD357" s="69"/>
      <c r="BE357" s="64"/>
      <c r="BF357" s="69"/>
      <c r="BG357" s="64"/>
      <c r="BH357" s="69"/>
      <c r="BI357" s="64"/>
      <c r="BJ357" s="69"/>
      <c r="BK357" s="64"/>
      <c r="BL357" s="69"/>
      <c r="BM357" s="64"/>
      <c r="BN357" s="69"/>
      <c r="BO357" s="64"/>
      <c r="BP357" s="69"/>
      <c r="BQ357" s="64"/>
      <c r="BR357" s="69"/>
      <c r="BS357" s="64"/>
      <c r="BT357" s="69"/>
      <c r="BU357" t="b">
        <f t="shared" ref="BU357:BU420" si="6">NOT(AND(BR357="",BP357="",BN357="",BL357="",BJ357="",BH357="",BF357="",BD357="",BB357="",AZ357="",AX357="",AV357="",AT357="",AR357="",AP357="",AN357="",AL357="",AJ357="",AH357="",AF357="",AD357="",AB357="",Z357="",X357="",V357="",T357="",R357="",P357="",N357="", L357="",J357=""))</f>
        <v>0</v>
      </c>
    </row>
    <row r="358" spans="1:73" x14ac:dyDescent="0.25">
      <c r="A358" s="28"/>
      <c r="B358" s="29"/>
      <c r="C358" s="29"/>
      <c r="D358" s="30"/>
      <c r="E358" s="29"/>
      <c r="F358" s="30"/>
      <c r="G358" s="29"/>
      <c r="H358" s="69"/>
      <c r="I358" s="64"/>
      <c r="J358" s="69"/>
      <c r="K358" s="64"/>
      <c r="L358" s="69"/>
      <c r="M358" s="65"/>
      <c r="N358" s="69"/>
      <c r="O358" s="64"/>
      <c r="P358" s="69"/>
      <c r="Q358" s="64"/>
      <c r="R358" s="69"/>
      <c r="S358" s="64"/>
      <c r="T358" s="69"/>
      <c r="U358" s="64"/>
      <c r="V358" s="69"/>
      <c r="W358" s="65"/>
      <c r="X358" s="69"/>
      <c r="Y358" s="64"/>
      <c r="Z358" s="69"/>
      <c r="AA358" s="64"/>
      <c r="AB358" s="69"/>
      <c r="AC358" s="64"/>
      <c r="AD358" s="69"/>
      <c r="AE358" s="65"/>
      <c r="AF358" s="69"/>
      <c r="AG358" s="65"/>
      <c r="AH358" s="69"/>
      <c r="AI358" s="64"/>
      <c r="AJ358" s="69"/>
      <c r="AK358" s="64"/>
      <c r="AL358" s="69"/>
      <c r="AM358" s="64"/>
      <c r="AN358" s="69"/>
      <c r="AO358" s="64"/>
      <c r="AP358" s="69"/>
      <c r="AQ358" s="64"/>
      <c r="AR358" s="69"/>
      <c r="AS358" s="64"/>
      <c r="AT358" s="69"/>
      <c r="AU358" s="64"/>
      <c r="AV358" s="69"/>
      <c r="AW358" s="64"/>
      <c r="AX358" s="69"/>
      <c r="AY358" s="64"/>
      <c r="AZ358" s="69"/>
      <c r="BA358" s="64"/>
      <c r="BB358" s="69"/>
      <c r="BC358" s="64"/>
      <c r="BD358" s="69"/>
      <c r="BE358" s="64"/>
      <c r="BF358" s="69"/>
      <c r="BG358" s="64"/>
      <c r="BH358" s="69"/>
      <c r="BI358" s="64"/>
      <c r="BJ358" s="69"/>
      <c r="BK358" s="64"/>
      <c r="BL358" s="69"/>
      <c r="BM358" s="64"/>
      <c r="BN358" s="69"/>
      <c r="BO358" s="64"/>
      <c r="BP358" s="69"/>
      <c r="BQ358" s="64"/>
      <c r="BR358" s="69"/>
      <c r="BS358" s="64"/>
      <c r="BT358" s="69"/>
      <c r="BU358" t="b">
        <f t="shared" si="6"/>
        <v>0</v>
      </c>
    </row>
    <row r="359" spans="1:73" x14ac:dyDescent="0.25">
      <c r="A359" s="28"/>
      <c r="B359" s="29"/>
      <c r="C359" s="29"/>
      <c r="D359" s="30"/>
      <c r="E359" s="29"/>
      <c r="F359" s="30"/>
      <c r="G359" s="29"/>
      <c r="H359" s="69"/>
      <c r="I359" s="64"/>
      <c r="J359" s="69"/>
      <c r="K359" s="64"/>
      <c r="L359" s="69"/>
      <c r="M359" s="65"/>
      <c r="N359" s="69"/>
      <c r="O359" s="64"/>
      <c r="P359" s="69"/>
      <c r="Q359" s="64"/>
      <c r="R359" s="69"/>
      <c r="S359" s="64"/>
      <c r="T359" s="69"/>
      <c r="U359" s="64"/>
      <c r="V359" s="69"/>
      <c r="W359" s="65"/>
      <c r="X359" s="69"/>
      <c r="Y359" s="64"/>
      <c r="Z359" s="69"/>
      <c r="AA359" s="64"/>
      <c r="AB359" s="69"/>
      <c r="AC359" s="64"/>
      <c r="AD359" s="69"/>
      <c r="AE359" s="65"/>
      <c r="AF359" s="69"/>
      <c r="AG359" s="65"/>
      <c r="AH359" s="69"/>
      <c r="AI359" s="64"/>
      <c r="AJ359" s="69"/>
      <c r="AK359" s="64"/>
      <c r="AL359" s="69"/>
      <c r="AM359" s="64"/>
      <c r="AN359" s="69"/>
      <c r="AO359" s="64"/>
      <c r="AP359" s="69"/>
      <c r="AQ359" s="64"/>
      <c r="AR359" s="69"/>
      <c r="AS359" s="64"/>
      <c r="AT359" s="69"/>
      <c r="AU359" s="64"/>
      <c r="AV359" s="69"/>
      <c r="AW359" s="64"/>
      <c r="AX359" s="69"/>
      <c r="AY359" s="64"/>
      <c r="AZ359" s="69"/>
      <c r="BA359" s="64"/>
      <c r="BB359" s="69"/>
      <c r="BC359" s="64"/>
      <c r="BD359" s="69"/>
      <c r="BE359" s="64"/>
      <c r="BF359" s="69"/>
      <c r="BG359" s="64"/>
      <c r="BH359" s="69"/>
      <c r="BI359" s="64"/>
      <c r="BJ359" s="69"/>
      <c r="BK359" s="64"/>
      <c r="BL359" s="69"/>
      <c r="BM359" s="64"/>
      <c r="BN359" s="69"/>
      <c r="BO359" s="64"/>
      <c r="BP359" s="69"/>
      <c r="BQ359" s="64"/>
      <c r="BR359" s="69"/>
      <c r="BS359" s="64"/>
      <c r="BT359" s="69"/>
      <c r="BU359" t="b">
        <f t="shared" si="6"/>
        <v>0</v>
      </c>
    </row>
    <row r="360" spans="1:73" x14ac:dyDescent="0.25">
      <c r="A360" s="28"/>
      <c r="B360" s="29"/>
      <c r="C360" s="29"/>
      <c r="D360" s="30"/>
      <c r="E360" s="29"/>
      <c r="F360" s="30"/>
      <c r="G360" s="29"/>
      <c r="H360" s="69"/>
      <c r="I360" s="64"/>
      <c r="J360" s="69"/>
      <c r="K360" s="64"/>
      <c r="L360" s="69"/>
      <c r="M360" s="65"/>
      <c r="N360" s="69"/>
      <c r="O360" s="64"/>
      <c r="P360" s="69"/>
      <c r="Q360" s="64"/>
      <c r="R360" s="69"/>
      <c r="S360" s="64"/>
      <c r="T360" s="69"/>
      <c r="U360" s="64"/>
      <c r="V360" s="69"/>
      <c r="W360" s="65"/>
      <c r="X360" s="69"/>
      <c r="Y360" s="64"/>
      <c r="Z360" s="69"/>
      <c r="AA360" s="64"/>
      <c r="AB360" s="69"/>
      <c r="AC360" s="64"/>
      <c r="AD360" s="69"/>
      <c r="AE360" s="65"/>
      <c r="AF360" s="69"/>
      <c r="AG360" s="65"/>
      <c r="AH360" s="69"/>
      <c r="AI360" s="64"/>
      <c r="AJ360" s="69"/>
      <c r="AK360" s="64"/>
      <c r="AL360" s="69"/>
      <c r="AM360" s="64"/>
      <c r="AN360" s="69"/>
      <c r="AO360" s="64"/>
      <c r="AP360" s="69"/>
      <c r="AQ360" s="64"/>
      <c r="AR360" s="69"/>
      <c r="AS360" s="64"/>
      <c r="AT360" s="69"/>
      <c r="AU360" s="64"/>
      <c r="AV360" s="69"/>
      <c r="AW360" s="64"/>
      <c r="AX360" s="69"/>
      <c r="AY360" s="64"/>
      <c r="AZ360" s="69"/>
      <c r="BA360" s="64"/>
      <c r="BB360" s="69"/>
      <c r="BC360" s="64"/>
      <c r="BD360" s="69"/>
      <c r="BE360" s="64"/>
      <c r="BF360" s="69"/>
      <c r="BG360" s="64"/>
      <c r="BH360" s="69"/>
      <c r="BI360" s="64"/>
      <c r="BJ360" s="69"/>
      <c r="BK360" s="64"/>
      <c r="BL360" s="69"/>
      <c r="BM360" s="64"/>
      <c r="BN360" s="69"/>
      <c r="BO360" s="64"/>
      <c r="BP360" s="69"/>
      <c r="BQ360" s="64"/>
      <c r="BR360" s="69"/>
      <c r="BS360" s="64"/>
      <c r="BT360" s="69"/>
      <c r="BU360" t="b">
        <f t="shared" si="6"/>
        <v>0</v>
      </c>
    </row>
    <row r="361" spans="1:73" x14ac:dyDescent="0.25">
      <c r="A361" s="28"/>
      <c r="B361" s="29"/>
      <c r="C361" s="29"/>
      <c r="D361" s="30"/>
      <c r="E361" s="29"/>
      <c r="F361" s="30"/>
      <c r="G361" s="29"/>
      <c r="H361" s="69"/>
      <c r="I361" s="64"/>
      <c r="J361" s="69"/>
      <c r="K361" s="64"/>
      <c r="L361" s="69"/>
      <c r="M361" s="65"/>
      <c r="N361" s="69"/>
      <c r="O361" s="64"/>
      <c r="P361" s="69"/>
      <c r="Q361" s="64"/>
      <c r="R361" s="69"/>
      <c r="S361" s="64"/>
      <c r="T361" s="69"/>
      <c r="U361" s="64"/>
      <c r="V361" s="69"/>
      <c r="W361" s="65"/>
      <c r="X361" s="69"/>
      <c r="Y361" s="64"/>
      <c r="Z361" s="69"/>
      <c r="AA361" s="64"/>
      <c r="AB361" s="69"/>
      <c r="AC361" s="64"/>
      <c r="AD361" s="69"/>
      <c r="AE361" s="65"/>
      <c r="AF361" s="69"/>
      <c r="AG361" s="65"/>
      <c r="AH361" s="69"/>
      <c r="AI361" s="64"/>
      <c r="AJ361" s="69"/>
      <c r="AK361" s="64"/>
      <c r="AL361" s="69"/>
      <c r="AM361" s="64"/>
      <c r="AN361" s="69"/>
      <c r="AO361" s="64"/>
      <c r="AP361" s="69"/>
      <c r="AQ361" s="64"/>
      <c r="AR361" s="69"/>
      <c r="AS361" s="64"/>
      <c r="AT361" s="69"/>
      <c r="AU361" s="64"/>
      <c r="AV361" s="69"/>
      <c r="AW361" s="64"/>
      <c r="AX361" s="69"/>
      <c r="AY361" s="64"/>
      <c r="AZ361" s="69"/>
      <c r="BA361" s="64"/>
      <c r="BB361" s="69"/>
      <c r="BC361" s="64"/>
      <c r="BD361" s="69"/>
      <c r="BE361" s="64"/>
      <c r="BF361" s="69"/>
      <c r="BG361" s="64"/>
      <c r="BH361" s="69"/>
      <c r="BI361" s="64"/>
      <c r="BJ361" s="69"/>
      <c r="BK361" s="64"/>
      <c r="BL361" s="69"/>
      <c r="BM361" s="64"/>
      <c r="BN361" s="69"/>
      <c r="BO361" s="64"/>
      <c r="BP361" s="69"/>
      <c r="BQ361" s="64"/>
      <c r="BR361" s="69"/>
      <c r="BS361" s="64"/>
      <c r="BT361" s="69"/>
      <c r="BU361" t="b">
        <f t="shared" si="6"/>
        <v>0</v>
      </c>
    </row>
    <row r="362" spans="1:73" x14ac:dyDescent="0.25">
      <c r="A362" s="28"/>
      <c r="B362" s="29"/>
      <c r="C362" s="29"/>
      <c r="D362" s="30"/>
      <c r="E362" s="29"/>
      <c r="F362" s="30"/>
      <c r="G362" s="29"/>
      <c r="H362" s="69"/>
      <c r="I362" s="64"/>
      <c r="J362" s="69"/>
      <c r="K362" s="64"/>
      <c r="L362" s="69"/>
      <c r="M362" s="65"/>
      <c r="N362" s="69"/>
      <c r="O362" s="64"/>
      <c r="P362" s="69"/>
      <c r="Q362" s="64"/>
      <c r="R362" s="69"/>
      <c r="S362" s="64"/>
      <c r="T362" s="69"/>
      <c r="U362" s="64"/>
      <c r="V362" s="69"/>
      <c r="W362" s="65"/>
      <c r="X362" s="69"/>
      <c r="Y362" s="64"/>
      <c r="Z362" s="69"/>
      <c r="AA362" s="64"/>
      <c r="AB362" s="69"/>
      <c r="AC362" s="64"/>
      <c r="AD362" s="69"/>
      <c r="AE362" s="65"/>
      <c r="AF362" s="69"/>
      <c r="AG362" s="65"/>
      <c r="AH362" s="69"/>
      <c r="AI362" s="64"/>
      <c r="AJ362" s="69"/>
      <c r="AK362" s="64"/>
      <c r="AL362" s="69"/>
      <c r="AM362" s="64"/>
      <c r="AN362" s="69"/>
      <c r="AO362" s="64"/>
      <c r="AP362" s="69"/>
      <c r="AQ362" s="64"/>
      <c r="AR362" s="69"/>
      <c r="AS362" s="64"/>
      <c r="AT362" s="69"/>
      <c r="AU362" s="64"/>
      <c r="AV362" s="69"/>
      <c r="AW362" s="64"/>
      <c r="AX362" s="69"/>
      <c r="AY362" s="64"/>
      <c r="AZ362" s="69"/>
      <c r="BA362" s="64"/>
      <c r="BB362" s="69"/>
      <c r="BC362" s="64"/>
      <c r="BD362" s="69"/>
      <c r="BE362" s="64"/>
      <c r="BF362" s="69"/>
      <c r="BG362" s="64"/>
      <c r="BH362" s="69"/>
      <c r="BI362" s="64"/>
      <c r="BJ362" s="69"/>
      <c r="BK362" s="64"/>
      <c r="BL362" s="69"/>
      <c r="BM362" s="64"/>
      <c r="BN362" s="69"/>
      <c r="BO362" s="64"/>
      <c r="BP362" s="69"/>
      <c r="BQ362" s="64"/>
      <c r="BR362" s="69"/>
      <c r="BS362" s="64"/>
      <c r="BT362" s="69"/>
      <c r="BU362" t="b">
        <f t="shared" si="6"/>
        <v>0</v>
      </c>
    </row>
    <row r="363" spans="1:73" x14ac:dyDescent="0.25">
      <c r="A363" s="28"/>
      <c r="B363" s="29"/>
      <c r="C363" s="29"/>
      <c r="D363" s="30"/>
      <c r="E363" s="29"/>
      <c r="F363" s="30"/>
      <c r="G363" s="29"/>
      <c r="H363" s="69"/>
      <c r="I363" s="64"/>
      <c r="J363" s="69"/>
      <c r="K363" s="64"/>
      <c r="L363" s="69"/>
      <c r="M363" s="65"/>
      <c r="N363" s="69"/>
      <c r="O363" s="64"/>
      <c r="P363" s="69"/>
      <c r="Q363" s="64"/>
      <c r="R363" s="69"/>
      <c r="S363" s="64"/>
      <c r="T363" s="69"/>
      <c r="U363" s="64"/>
      <c r="V363" s="69"/>
      <c r="W363" s="65"/>
      <c r="X363" s="69"/>
      <c r="Y363" s="64"/>
      <c r="Z363" s="69"/>
      <c r="AA363" s="64"/>
      <c r="AB363" s="69"/>
      <c r="AC363" s="64"/>
      <c r="AD363" s="69"/>
      <c r="AE363" s="65"/>
      <c r="AF363" s="69"/>
      <c r="AG363" s="65"/>
      <c r="AH363" s="69"/>
      <c r="AI363" s="64"/>
      <c r="AJ363" s="69"/>
      <c r="AK363" s="64"/>
      <c r="AL363" s="69"/>
      <c r="AM363" s="64"/>
      <c r="AN363" s="69"/>
      <c r="AO363" s="64"/>
      <c r="AP363" s="69"/>
      <c r="AQ363" s="64"/>
      <c r="AR363" s="69"/>
      <c r="AS363" s="64"/>
      <c r="AT363" s="69"/>
      <c r="AU363" s="64"/>
      <c r="AV363" s="69"/>
      <c r="AW363" s="64"/>
      <c r="AX363" s="69"/>
      <c r="AY363" s="64"/>
      <c r="AZ363" s="69"/>
      <c r="BA363" s="64"/>
      <c r="BB363" s="69"/>
      <c r="BC363" s="64"/>
      <c r="BD363" s="69"/>
      <c r="BE363" s="64"/>
      <c r="BF363" s="69"/>
      <c r="BG363" s="64"/>
      <c r="BH363" s="69"/>
      <c r="BI363" s="64"/>
      <c r="BJ363" s="69"/>
      <c r="BK363" s="64"/>
      <c r="BL363" s="69"/>
      <c r="BM363" s="64"/>
      <c r="BN363" s="69"/>
      <c r="BO363" s="64"/>
      <c r="BP363" s="69"/>
      <c r="BQ363" s="64"/>
      <c r="BR363" s="69"/>
      <c r="BS363" s="64"/>
      <c r="BT363" s="69"/>
      <c r="BU363" t="b">
        <f t="shared" si="6"/>
        <v>0</v>
      </c>
    </row>
    <row r="364" spans="1:73" x14ac:dyDescent="0.25">
      <c r="A364" s="28"/>
      <c r="B364" s="29"/>
      <c r="C364" s="29"/>
      <c r="D364" s="30"/>
      <c r="E364" s="29"/>
      <c r="F364" s="30"/>
      <c r="G364" s="29"/>
      <c r="H364" s="69"/>
      <c r="I364" s="64"/>
      <c r="J364" s="69"/>
      <c r="K364" s="64"/>
      <c r="L364" s="69"/>
      <c r="M364" s="65"/>
      <c r="N364" s="69"/>
      <c r="O364" s="64"/>
      <c r="P364" s="69"/>
      <c r="Q364" s="64"/>
      <c r="R364" s="69"/>
      <c r="S364" s="64"/>
      <c r="T364" s="69"/>
      <c r="U364" s="64"/>
      <c r="V364" s="69"/>
      <c r="W364" s="65"/>
      <c r="X364" s="69"/>
      <c r="Y364" s="64"/>
      <c r="Z364" s="69"/>
      <c r="AA364" s="64"/>
      <c r="AB364" s="69"/>
      <c r="AC364" s="64"/>
      <c r="AD364" s="69"/>
      <c r="AE364" s="65"/>
      <c r="AF364" s="69"/>
      <c r="AG364" s="65"/>
      <c r="AH364" s="69"/>
      <c r="AI364" s="64"/>
      <c r="AJ364" s="69"/>
      <c r="AK364" s="64"/>
      <c r="AL364" s="69"/>
      <c r="AM364" s="64"/>
      <c r="AN364" s="69"/>
      <c r="AO364" s="64"/>
      <c r="AP364" s="69"/>
      <c r="AQ364" s="64"/>
      <c r="AR364" s="69"/>
      <c r="AS364" s="64"/>
      <c r="AT364" s="69"/>
      <c r="AU364" s="64"/>
      <c r="AV364" s="69"/>
      <c r="AW364" s="64"/>
      <c r="AX364" s="69"/>
      <c r="AY364" s="64"/>
      <c r="AZ364" s="69"/>
      <c r="BA364" s="64"/>
      <c r="BB364" s="69"/>
      <c r="BC364" s="64"/>
      <c r="BD364" s="69"/>
      <c r="BE364" s="64"/>
      <c r="BF364" s="69"/>
      <c r="BG364" s="64"/>
      <c r="BH364" s="69"/>
      <c r="BI364" s="64"/>
      <c r="BJ364" s="69"/>
      <c r="BK364" s="64"/>
      <c r="BL364" s="69"/>
      <c r="BM364" s="64"/>
      <c r="BN364" s="69"/>
      <c r="BO364" s="64"/>
      <c r="BP364" s="69"/>
      <c r="BQ364" s="64"/>
      <c r="BR364" s="69"/>
      <c r="BS364" s="64"/>
      <c r="BT364" s="69"/>
      <c r="BU364" t="b">
        <f t="shared" si="6"/>
        <v>0</v>
      </c>
    </row>
    <row r="365" spans="1:73" x14ac:dyDescent="0.25">
      <c r="A365" s="28"/>
      <c r="B365" s="29"/>
      <c r="C365" s="29"/>
      <c r="D365" s="30"/>
      <c r="E365" s="29"/>
      <c r="F365" s="30"/>
      <c r="G365" s="29"/>
      <c r="H365" s="69"/>
      <c r="I365" s="64"/>
      <c r="J365" s="69"/>
      <c r="K365" s="64"/>
      <c r="L365" s="69"/>
      <c r="M365" s="65"/>
      <c r="N365" s="69"/>
      <c r="O365" s="64"/>
      <c r="P365" s="69"/>
      <c r="Q365" s="64"/>
      <c r="R365" s="69"/>
      <c r="S365" s="64"/>
      <c r="T365" s="69"/>
      <c r="U365" s="64"/>
      <c r="V365" s="69"/>
      <c r="W365" s="65"/>
      <c r="X365" s="69"/>
      <c r="Y365" s="64"/>
      <c r="Z365" s="69"/>
      <c r="AA365" s="64"/>
      <c r="AB365" s="69"/>
      <c r="AC365" s="64"/>
      <c r="AD365" s="69"/>
      <c r="AE365" s="65"/>
      <c r="AF365" s="69"/>
      <c r="AG365" s="65"/>
      <c r="AH365" s="69"/>
      <c r="AI365" s="64"/>
      <c r="AJ365" s="69"/>
      <c r="AK365" s="64"/>
      <c r="AL365" s="69"/>
      <c r="AM365" s="64"/>
      <c r="AN365" s="69"/>
      <c r="AO365" s="64"/>
      <c r="AP365" s="69"/>
      <c r="AQ365" s="64"/>
      <c r="AR365" s="69"/>
      <c r="AS365" s="64"/>
      <c r="AT365" s="69"/>
      <c r="AU365" s="64"/>
      <c r="AV365" s="69"/>
      <c r="AW365" s="64"/>
      <c r="AX365" s="69"/>
      <c r="AY365" s="64"/>
      <c r="AZ365" s="69"/>
      <c r="BA365" s="64"/>
      <c r="BB365" s="69"/>
      <c r="BC365" s="64"/>
      <c r="BD365" s="69"/>
      <c r="BE365" s="64"/>
      <c r="BF365" s="69"/>
      <c r="BG365" s="64"/>
      <c r="BH365" s="69"/>
      <c r="BI365" s="64"/>
      <c r="BJ365" s="69"/>
      <c r="BK365" s="64"/>
      <c r="BL365" s="69"/>
      <c r="BM365" s="64"/>
      <c r="BN365" s="69"/>
      <c r="BO365" s="64"/>
      <c r="BP365" s="69"/>
      <c r="BQ365" s="64"/>
      <c r="BR365" s="69"/>
      <c r="BS365" s="64"/>
      <c r="BT365" s="69"/>
      <c r="BU365" t="b">
        <f t="shared" si="6"/>
        <v>0</v>
      </c>
    </row>
    <row r="366" spans="1:73" x14ac:dyDescent="0.25">
      <c r="A366" s="28"/>
      <c r="B366" s="29"/>
      <c r="C366" s="29"/>
      <c r="D366" s="30"/>
      <c r="E366" s="29"/>
      <c r="F366" s="30"/>
      <c r="G366" s="29"/>
      <c r="H366" s="69"/>
      <c r="I366" s="64"/>
      <c r="J366" s="69"/>
      <c r="K366" s="64"/>
      <c r="L366" s="69"/>
      <c r="M366" s="65"/>
      <c r="N366" s="69"/>
      <c r="O366" s="64"/>
      <c r="P366" s="69"/>
      <c r="Q366" s="64"/>
      <c r="R366" s="69"/>
      <c r="S366" s="64"/>
      <c r="T366" s="69"/>
      <c r="U366" s="64"/>
      <c r="V366" s="69"/>
      <c r="W366" s="65"/>
      <c r="X366" s="69"/>
      <c r="Y366" s="64"/>
      <c r="Z366" s="69"/>
      <c r="AA366" s="64"/>
      <c r="AB366" s="69"/>
      <c r="AC366" s="64"/>
      <c r="AD366" s="69"/>
      <c r="AE366" s="65"/>
      <c r="AF366" s="69"/>
      <c r="AG366" s="65"/>
      <c r="AH366" s="69"/>
      <c r="AI366" s="64"/>
      <c r="AJ366" s="69"/>
      <c r="AK366" s="64"/>
      <c r="AL366" s="69"/>
      <c r="AM366" s="64"/>
      <c r="AN366" s="69"/>
      <c r="AO366" s="64"/>
      <c r="AP366" s="69"/>
      <c r="AQ366" s="64"/>
      <c r="AR366" s="69"/>
      <c r="AS366" s="64"/>
      <c r="AT366" s="69"/>
      <c r="AU366" s="64"/>
      <c r="AV366" s="69"/>
      <c r="AW366" s="64"/>
      <c r="AX366" s="69"/>
      <c r="AY366" s="64"/>
      <c r="AZ366" s="69"/>
      <c r="BA366" s="64"/>
      <c r="BB366" s="69"/>
      <c r="BC366" s="64"/>
      <c r="BD366" s="69"/>
      <c r="BE366" s="64"/>
      <c r="BF366" s="69"/>
      <c r="BG366" s="64"/>
      <c r="BH366" s="69"/>
      <c r="BI366" s="64"/>
      <c r="BJ366" s="69"/>
      <c r="BK366" s="64"/>
      <c r="BL366" s="69"/>
      <c r="BM366" s="64"/>
      <c r="BN366" s="69"/>
      <c r="BO366" s="64"/>
      <c r="BP366" s="69"/>
      <c r="BQ366" s="64"/>
      <c r="BR366" s="69"/>
      <c r="BS366" s="64"/>
      <c r="BT366" s="69"/>
      <c r="BU366" t="b">
        <f t="shared" si="6"/>
        <v>0</v>
      </c>
    </row>
    <row r="367" spans="1:73" x14ac:dyDescent="0.25">
      <c r="A367" s="28"/>
      <c r="B367" s="29"/>
      <c r="C367" s="29"/>
      <c r="D367" s="30"/>
      <c r="E367" s="29"/>
      <c r="F367" s="30"/>
      <c r="G367" s="29"/>
      <c r="H367" s="69"/>
      <c r="I367" s="64"/>
      <c r="J367" s="69"/>
      <c r="K367" s="64"/>
      <c r="L367" s="69"/>
      <c r="M367" s="65"/>
      <c r="N367" s="69"/>
      <c r="O367" s="64"/>
      <c r="P367" s="69"/>
      <c r="Q367" s="64"/>
      <c r="R367" s="69"/>
      <c r="S367" s="64"/>
      <c r="T367" s="69"/>
      <c r="U367" s="64"/>
      <c r="V367" s="69"/>
      <c r="W367" s="65"/>
      <c r="X367" s="69"/>
      <c r="Y367" s="64"/>
      <c r="Z367" s="69"/>
      <c r="AA367" s="64"/>
      <c r="AB367" s="69"/>
      <c r="AC367" s="64"/>
      <c r="AD367" s="69"/>
      <c r="AE367" s="65"/>
      <c r="AF367" s="69"/>
      <c r="AG367" s="65"/>
      <c r="AH367" s="69"/>
      <c r="AI367" s="64"/>
      <c r="AJ367" s="69"/>
      <c r="AK367" s="64"/>
      <c r="AL367" s="69"/>
      <c r="AM367" s="64"/>
      <c r="AN367" s="69"/>
      <c r="AO367" s="64"/>
      <c r="AP367" s="69"/>
      <c r="AQ367" s="64"/>
      <c r="AR367" s="69"/>
      <c r="AS367" s="64"/>
      <c r="AT367" s="69"/>
      <c r="AU367" s="64"/>
      <c r="AV367" s="69"/>
      <c r="AW367" s="64"/>
      <c r="AX367" s="69"/>
      <c r="AY367" s="64"/>
      <c r="AZ367" s="69"/>
      <c r="BA367" s="64"/>
      <c r="BB367" s="69"/>
      <c r="BC367" s="64"/>
      <c r="BD367" s="69"/>
      <c r="BE367" s="64"/>
      <c r="BF367" s="69"/>
      <c r="BG367" s="64"/>
      <c r="BH367" s="69"/>
      <c r="BI367" s="64"/>
      <c r="BJ367" s="69"/>
      <c r="BK367" s="64"/>
      <c r="BL367" s="69"/>
      <c r="BM367" s="64"/>
      <c r="BN367" s="69"/>
      <c r="BO367" s="64"/>
      <c r="BP367" s="69"/>
      <c r="BQ367" s="64"/>
      <c r="BR367" s="69"/>
      <c r="BS367" s="64"/>
      <c r="BT367" s="69"/>
      <c r="BU367" t="b">
        <f t="shared" si="6"/>
        <v>0</v>
      </c>
    </row>
    <row r="368" spans="1:73" x14ac:dyDescent="0.25">
      <c r="A368" s="28"/>
      <c r="B368" s="29"/>
      <c r="C368" s="29"/>
      <c r="D368" s="30"/>
      <c r="E368" s="29"/>
      <c r="F368" s="30"/>
      <c r="G368" s="29"/>
      <c r="H368" s="69"/>
      <c r="I368" s="64"/>
      <c r="J368" s="69"/>
      <c r="K368" s="64"/>
      <c r="L368" s="69"/>
      <c r="M368" s="65"/>
      <c r="N368" s="69"/>
      <c r="O368" s="64"/>
      <c r="P368" s="69"/>
      <c r="Q368" s="64"/>
      <c r="R368" s="69"/>
      <c r="S368" s="64"/>
      <c r="T368" s="69"/>
      <c r="U368" s="64"/>
      <c r="V368" s="69"/>
      <c r="W368" s="65"/>
      <c r="X368" s="69"/>
      <c r="Y368" s="64"/>
      <c r="Z368" s="69"/>
      <c r="AA368" s="64"/>
      <c r="AB368" s="69"/>
      <c r="AC368" s="64"/>
      <c r="AD368" s="69"/>
      <c r="AE368" s="65"/>
      <c r="AF368" s="69"/>
      <c r="AG368" s="65"/>
      <c r="AH368" s="69"/>
      <c r="AI368" s="64"/>
      <c r="AJ368" s="69"/>
      <c r="AK368" s="64"/>
      <c r="AL368" s="69"/>
      <c r="AM368" s="64"/>
      <c r="AN368" s="69"/>
      <c r="AO368" s="64"/>
      <c r="AP368" s="69"/>
      <c r="AQ368" s="64"/>
      <c r="AR368" s="69"/>
      <c r="AS368" s="64"/>
      <c r="AT368" s="69"/>
      <c r="AU368" s="64"/>
      <c r="AV368" s="69"/>
      <c r="AW368" s="64"/>
      <c r="AX368" s="69"/>
      <c r="AY368" s="64"/>
      <c r="AZ368" s="69"/>
      <c r="BA368" s="64"/>
      <c r="BB368" s="69"/>
      <c r="BC368" s="64"/>
      <c r="BD368" s="69"/>
      <c r="BE368" s="64"/>
      <c r="BF368" s="69"/>
      <c r="BG368" s="64"/>
      <c r="BH368" s="69"/>
      <c r="BI368" s="64"/>
      <c r="BJ368" s="69"/>
      <c r="BK368" s="64"/>
      <c r="BL368" s="69"/>
      <c r="BM368" s="64"/>
      <c r="BN368" s="69"/>
      <c r="BO368" s="64"/>
      <c r="BP368" s="69"/>
      <c r="BQ368" s="64"/>
      <c r="BR368" s="69"/>
      <c r="BS368" s="64"/>
      <c r="BT368" s="69"/>
      <c r="BU368" t="b">
        <f t="shared" si="6"/>
        <v>0</v>
      </c>
    </row>
    <row r="369" spans="1:73" x14ac:dyDescent="0.25">
      <c r="A369" s="28"/>
      <c r="B369" s="29"/>
      <c r="C369" s="29"/>
      <c r="D369" s="30"/>
      <c r="E369" s="29"/>
      <c r="F369" s="30"/>
      <c r="G369" s="29"/>
      <c r="H369" s="69"/>
      <c r="I369" s="64"/>
      <c r="J369" s="69"/>
      <c r="K369" s="64"/>
      <c r="L369" s="69"/>
      <c r="M369" s="65"/>
      <c r="N369" s="69"/>
      <c r="O369" s="64"/>
      <c r="P369" s="69"/>
      <c r="Q369" s="64"/>
      <c r="R369" s="69"/>
      <c r="S369" s="64"/>
      <c r="T369" s="69"/>
      <c r="U369" s="64"/>
      <c r="V369" s="69"/>
      <c r="W369" s="65"/>
      <c r="X369" s="69"/>
      <c r="Y369" s="64"/>
      <c r="Z369" s="69"/>
      <c r="AA369" s="64"/>
      <c r="AB369" s="69"/>
      <c r="AC369" s="64"/>
      <c r="AD369" s="69"/>
      <c r="AE369" s="65"/>
      <c r="AF369" s="69"/>
      <c r="AG369" s="65"/>
      <c r="AH369" s="69"/>
      <c r="AI369" s="64"/>
      <c r="AJ369" s="69"/>
      <c r="AK369" s="64"/>
      <c r="AL369" s="69"/>
      <c r="AM369" s="64"/>
      <c r="AN369" s="69"/>
      <c r="AO369" s="64"/>
      <c r="AP369" s="69"/>
      <c r="AQ369" s="64"/>
      <c r="AR369" s="69"/>
      <c r="AS369" s="64"/>
      <c r="AT369" s="69"/>
      <c r="AU369" s="64"/>
      <c r="AV369" s="69"/>
      <c r="AW369" s="64"/>
      <c r="AX369" s="69"/>
      <c r="AY369" s="64"/>
      <c r="AZ369" s="69"/>
      <c r="BA369" s="64"/>
      <c r="BB369" s="69"/>
      <c r="BC369" s="64"/>
      <c r="BD369" s="69"/>
      <c r="BE369" s="64"/>
      <c r="BF369" s="69"/>
      <c r="BG369" s="64"/>
      <c r="BH369" s="69"/>
      <c r="BI369" s="64"/>
      <c r="BJ369" s="69"/>
      <c r="BK369" s="64"/>
      <c r="BL369" s="69"/>
      <c r="BM369" s="64"/>
      <c r="BN369" s="69"/>
      <c r="BO369" s="64"/>
      <c r="BP369" s="69"/>
      <c r="BQ369" s="64"/>
      <c r="BR369" s="69"/>
      <c r="BS369" s="64"/>
      <c r="BT369" s="69"/>
      <c r="BU369" t="b">
        <f t="shared" si="6"/>
        <v>0</v>
      </c>
    </row>
    <row r="370" spans="1:73" x14ac:dyDescent="0.25">
      <c r="A370" s="28"/>
      <c r="B370" s="29"/>
      <c r="C370" s="29"/>
      <c r="D370" s="30"/>
      <c r="E370" s="29"/>
      <c r="F370" s="30"/>
      <c r="G370" s="29"/>
      <c r="H370" s="69"/>
      <c r="I370" s="64"/>
      <c r="J370" s="69"/>
      <c r="K370" s="64"/>
      <c r="L370" s="69"/>
      <c r="M370" s="65"/>
      <c r="N370" s="69"/>
      <c r="O370" s="64"/>
      <c r="P370" s="69"/>
      <c r="Q370" s="64"/>
      <c r="R370" s="69"/>
      <c r="S370" s="64"/>
      <c r="T370" s="69"/>
      <c r="U370" s="64"/>
      <c r="V370" s="69"/>
      <c r="W370" s="65"/>
      <c r="X370" s="69"/>
      <c r="Y370" s="64"/>
      <c r="Z370" s="69"/>
      <c r="AA370" s="64"/>
      <c r="AB370" s="69"/>
      <c r="AC370" s="64"/>
      <c r="AD370" s="69"/>
      <c r="AE370" s="65"/>
      <c r="AF370" s="69"/>
      <c r="AG370" s="65"/>
      <c r="AH370" s="69"/>
      <c r="AI370" s="64"/>
      <c r="AJ370" s="69"/>
      <c r="AK370" s="64"/>
      <c r="AL370" s="69"/>
      <c r="AM370" s="64"/>
      <c r="AN370" s="69"/>
      <c r="AO370" s="64"/>
      <c r="AP370" s="69"/>
      <c r="AQ370" s="64"/>
      <c r="AR370" s="69"/>
      <c r="AS370" s="64"/>
      <c r="AT370" s="69"/>
      <c r="AU370" s="64"/>
      <c r="AV370" s="69"/>
      <c r="AW370" s="64"/>
      <c r="AX370" s="69"/>
      <c r="AY370" s="64"/>
      <c r="AZ370" s="69"/>
      <c r="BA370" s="64"/>
      <c r="BB370" s="69"/>
      <c r="BC370" s="64"/>
      <c r="BD370" s="69"/>
      <c r="BE370" s="64"/>
      <c r="BF370" s="69"/>
      <c r="BG370" s="64"/>
      <c r="BH370" s="69"/>
      <c r="BI370" s="64"/>
      <c r="BJ370" s="69"/>
      <c r="BK370" s="64"/>
      <c r="BL370" s="69"/>
      <c r="BM370" s="64"/>
      <c r="BN370" s="69"/>
      <c r="BO370" s="64"/>
      <c r="BP370" s="69"/>
      <c r="BQ370" s="64"/>
      <c r="BR370" s="69"/>
      <c r="BS370" s="64"/>
      <c r="BT370" s="69"/>
      <c r="BU370" t="b">
        <f t="shared" si="6"/>
        <v>0</v>
      </c>
    </row>
    <row r="371" spans="1:73" x14ac:dyDescent="0.25">
      <c r="A371" s="28"/>
      <c r="B371" s="29"/>
      <c r="C371" s="29"/>
      <c r="D371" s="30"/>
      <c r="E371" s="29"/>
      <c r="F371" s="30"/>
      <c r="G371" s="29"/>
      <c r="H371" s="69"/>
      <c r="I371" s="64"/>
      <c r="J371" s="69"/>
      <c r="K371" s="64"/>
      <c r="L371" s="69"/>
      <c r="M371" s="65"/>
      <c r="N371" s="69"/>
      <c r="O371" s="64"/>
      <c r="P371" s="69"/>
      <c r="Q371" s="64"/>
      <c r="R371" s="69"/>
      <c r="S371" s="64"/>
      <c r="T371" s="69"/>
      <c r="U371" s="64"/>
      <c r="V371" s="69"/>
      <c r="W371" s="65"/>
      <c r="X371" s="69"/>
      <c r="Y371" s="64"/>
      <c r="Z371" s="69"/>
      <c r="AA371" s="64"/>
      <c r="AB371" s="69"/>
      <c r="AC371" s="64"/>
      <c r="AD371" s="69"/>
      <c r="AE371" s="65"/>
      <c r="AF371" s="69"/>
      <c r="AG371" s="65"/>
      <c r="AH371" s="69"/>
      <c r="AI371" s="64"/>
      <c r="AJ371" s="69"/>
      <c r="AK371" s="64"/>
      <c r="AL371" s="69"/>
      <c r="AM371" s="64"/>
      <c r="AN371" s="69"/>
      <c r="AO371" s="64"/>
      <c r="AP371" s="69"/>
      <c r="AQ371" s="64"/>
      <c r="AR371" s="69"/>
      <c r="AS371" s="64"/>
      <c r="AT371" s="69"/>
      <c r="AU371" s="64"/>
      <c r="AV371" s="69"/>
      <c r="AW371" s="64"/>
      <c r="AX371" s="69"/>
      <c r="AY371" s="64"/>
      <c r="AZ371" s="69"/>
      <c r="BA371" s="64"/>
      <c r="BB371" s="69"/>
      <c r="BC371" s="64"/>
      <c r="BD371" s="69"/>
      <c r="BE371" s="64"/>
      <c r="BF371" s="69"/>
      <c r="BG371" s="64"/>
      <c r="BH371" s="69"/>
      <c r="BI371" s="64"/>
      <c r="BJ371" s="69"/>
      <c r="BK371" s="64"/>
      <c r="BL371" s="69"/>
      <c r="BM371" s="64"/>
      <c r="BN371" s="69"/>
      <c r="BO371" s="64"/>
      <c r="BP371" s="69"/>
      <c r="BQ371" s="64"/>
      <c r="BR371" s="69"/>
      <c r="BS371" s="64"/>
      <c r="BT371" s="69"/>
      <c r="BU371" t="b">
        <f t="shared" si="6"/>
        <v>0</v>
      </c>
    </row>
    <row r="372" spans="1:73" x14ac:dyDescent="0.25">
      <c r="A372" s="28"/>
      <c r="B372" s="29"/>
      <c r="C372" s="29"/>
      <c r="D372" s="30"/>
      <c r="E372" s="29"/>
      <c r="F372" s="30"/>
      <c r="G372" s="29"/>
      <c r="H372" s="69"/>
      <c r="I372" s="64"/>
      <c r="J372" s="69"/>
      <c r="K372" s="64"/>
      <c r="L372" s="69"/>
      <c r="M372" s="65"/>
      <c r="N372" s="69"/>
      <c r="O372" s="64"/>
      <c r="P372" s="69"/>
      <c r="Q372" s="64"/>
      <c r="R372" s="69"/>
      <c r="S372" s="64"/>
      <c r="T372" s="69"/>
      <c r="U372" s="64"/>
      <c r="V372" s="69"/>
      <c r="W372" s="65"/>
      <c r="X372" s="69"/>
      <c r="Y372" s="64"/>
      <c r="Z372" s="69"/>
      <c r="AA372" s="64"/>
      <c r="AB372" s="69"/>
      <c r="AC372" s="64"/>
      <c r="AD372" s="69"/>
      <c r="AE372" s="65"/>
      <c r="AF372" s="69"/>
      <c r="AG372" s="65"/>
      <c r="AH372" s="69"/>
      <c r="AI372" s="64"/>
      <c r="AJ372" s="69"/>
      <c r="AK372" s="64"/>
      <c r="AL372" s="69"/>
      <c r="AM372" s="64"/>
      <c r="AN372" s="69"/>
      <c r="AO372" s="64"/>
      <c r="AP372" s="69"/>
      <c r="AQ372" s="64"/>
      <c r="AR372" s="69"/>
      <c r="AS372" s="64"/>
      <c r="AT372" s="69"/>
      <c r="AU372" s="64"/>
      <c r="AV372" s="69"/>
      <c r="AW372" s="64"/>
      <c r="AX372" s="69"/>
      <c r="AY372" s="64"/>
      <c r="AZ372" s="69"/>
      <c r="BA372" s="64"/>
      <c r="BB372" s="69"/>
      <c r="BC372" s="64"/>
      <c r="BD372" s="69"/>
      <c r="BE372" s="64"/>
      <c r="BF372" s="69"/>
      <c r="BG372" s="64"/>
      <c r="BH372" s="69"/>
      <c r="BI372" s="64"/>
      <c r="BJ372" s="69"/>
      <c r="BK372" s="64"/>
      <c r="BL372" s="69"/>
      <c r="BM372" s="64"/>
      <c r="BN372" s="69"/>
      <c r="BO372" s="64"/>
      <c r="BP372" s="69"/>
      <c r="BQ372" s="64"/>
      <c r="BR372" s="69"/>
      <c r="BS372" s="64"/>
      <c r="BT372" s="69"/>
      <c r="BU372" t="b">
        <f t="shared" si="6"/>
        <v>0</v>
      </c>
    </row>
    <row r="373" spans="1:73" x14ac:dyDescent="0.25">
      <c r="A373" s="28"/>
      <c r="B373" s="29"/>
      <c r="C373" s="29"/>
      <c r="D373" s="30"/>
      <c r="E373" s="29"/>
      <c r="F373" s="30"/>
      <c r="G373" s="29"/>
      <c r="H373" s="69"/>
      <c r="I373" s="64"/>
      <c r="J373" s="69"/>
      <c r="K373" s="64"/>
      <c r="L373" s="69"/>
      <c r="M373" s="65"/>
      <c r="N373" s="69"/>
      <c r="O373" s="64"/>
      <c r="P373" s="69"/>
      <c r="Q373" s="64"/>
      <c r="R373" s="69"/>
      <c r="S373" s="64"/>
      <c r="T373" s="69"/>
      <c r="U373" s="64"/>
      <c r="V373" s="69"/>
      <c r="W373" s="65"/>
      <c r="X373" s="69"/>
      <c r="Y373" s="64"/>
      <c r="Z373" s="69"/>
      <c r="AA373" s="64"/>
      <c r="AB373" s="69"/>
      <c r="AC373" s="64"/>
      <c r="AD373" s="69"/>
      <c r="AE373" s="65"/>
      <c r="AF373" s="69"/>
      <c r="AG373" s="65"/>
      <c r="AH373" s="69"/>
      <c r="AI373" s="64"/>
      <c r="AJ373" s="69"/>
      <c r="AK373" s="64"/>
      <c r="AL373" s="69"/>
      <c r="AM373" s="64"/>
      <c r="AN373" s="69"/>
      <c r="AO373" s="64"/>
      <c r="AP373" s="69"/>
      <c r="AQ373" s="64"/>
      <c r="AR373" s="69"/>
      <c r="AS373" s="64"/>
      <c r="AT373" s="69"/>
      <c r="AU373" s="64"/>
      <c r="AV373" s="69"/>
      <c r="AW373" s="64"/>
      <c r="AX373" s="69"/>
      <c r="AY373" s="64"/>
      <c r="AZ373" s="69"/>
      <c r="BA373" s="64"/>
      <c r="BB373" s="69"/>
      <c r="BC373" s="64"/>
      <c r="BD373" s="69"/>
      <c r="BE373" s="64"/>
      <c r="BF373" s="69"/>
      <c r="BG373" s="64"/>
      <c r="BH373" s="69"/>
      <c r="BI373" s="64"/>
      <c r="BJ373" s="69"/>
      <c r="BK373" s="64"/>
      <c r="BL373" s="69"/>
      <c r="BM373" s="64"/>
      <c r="BN373" s="69"/>
      <c r="BO373" s="64"/>
      <c r="BP373" s="69"/>
      <c r="BQ373" s="64"/>
      <c r="BR373" s="69"/>
      <c r="BS373" s="64"/>
      <c r="BT373" s="69"/>
      <c r="BU373" t="b">
        <f t="shared" si="6"/>
        <v>0</v>
      </c>
    </row>
    <row r="374" spans="1:73" x14ac:dyDescent="0.25">
      <c r="A374" s="28"/>
      <c r="B374" s="29"/>
      <c r="C374" s="29"/>
      <c r="D374" s="30"/>
      <c r="E374" s="29"/>
      <c r="F374" s="30"/>
      <c r="G374" s="29"/>
      <c r="H374" s="69"/>
      <c r="I374" s="64"/>
      <c r="J374" s="69"/>
      <c r="K374" s="64"/>
      <c r="L374" s="69"/>
      <c r="M374" s="65"/>
      <c r="N374" s="69"/>
      <c r="O374" s="64"/>
      <c r="P374" s="69"/>
      <c r="Q374" s="64"/>
      <c r="R374" s="69"/>
      <c r="S374" s="64"/>
      <c r="T374" s="69"/>
      <c r="U374" s="64"/>
      <c r="V374" s="69"/>
      <c r="W374" s="65"/>
      <c r="X374" s="69"/>
      <c r="Y374" s="64"/>
      <c r="Z374" s="69"/>
      <c r="AA374" s="64"/>
      <c r="AB374" s="69"/>
      <c r="AC374" s="64"/>
      <c r="AD374" s="69"/>
      <c r="AE374" s="65"/>
      <c r="AF374" s="69"/>
      <c r="AG374" s="65"/>
      <c r="AH374" s="69"/>
      <c r="AI374" s="64"/>
      <c r="AJ374" s="69"/>
      <c r="AK374" s="64"/>
      <c r="AL374" s="69"/>
      <c r="AM374" s="64"/>
      <c r="AN374" s="69"/>
      <c r="AO374" s="64"/>
      <c r="AP374" s="69"/>
      <c r="AQ374" s="64"/>
      <c r="AR374" s="69"/>
      <c r="AS374" s="64"/>
      <c r="AT374" s="69"/>
      <c r="AU374" s="64"/>
      <c r="AV374" s="69"/>
      <c r="AW374" s="64"/>
      <c r="AX374" s="69"/>
      <c r="AY374" s="64"/>
      <c r="AZ374" s="69"/>
      <c r="BA374" s="64"/>
      <c r="BB374" s="69"/>
      <c r="BC374" s="64"/>
      <c r="BD374" s="69"/>
      <c r="BE374" s="64"/>
      <c r="BF374" s="69"/>
      <c r="BG374" s="64"/>
      <c r="BH374" s="69"/>
      <c r="BI374" s="64"/>
      <c r="BJ374" s="69"/>
      <c r="BK374" s="64"/>
      <c r="BL374" s="69"/>
      <c r="BM374" s="64"/>
      <c r="BN374" s="69"/>
      <c r="BO374" s="64"/>
      <c r="BP374" s="69"/>
      <c r="BQ374" s="64"/>
      <c r="BR374" s="69"/>
      <c r="BS374" s="64"/>
      <c r="BT374" s="69"/>
      <c r="BU374" t="b">
        <f t="shared" si="6"/>
        <v>0</v>
      </c>
    </row>
    <row r="375" spans="1:73" x14ac:dyDescent="0.25">
      <c r="A375" s="28"/>
      <c r="B375" s="29"/>
      <c r="C375" s="29"/>
      <c r="D375" s="30"/>
      <c r="E375" s="29"/>
      <c r="F375" s="30"/>
      <c r="G375" s="29"/>
      <c r="H375" s="69"/>
      <c r="I375" s="64"/>
      <c r="J375" s="69"/>
      <c r="K375" s="64"/>
      <c r="L375" s="69"/>
      <c r="M375" s="65"/>
      <c r="N375" s="69"/>
      <c r="O375" s="64"/>
      <c r="P375" s="69"/>
      <c r="Q375" s="64"/>
      <c r="R375" s="69"/>
      <c r="S375" s="64"/>
      <c r="T375" s="69"/>
      <c r="U375" s="64"/>
      <c r="V375" s="69"/>
      <c r="W375" s="65"/>
      <c r="X375" s="69"/>
      <c r="Y375" s="64"/>
      <c r="Z375" s="69"/>
      <c r="AA375" s="64"/>
      <c r="AB375" s="69"/>
      <c r="AC375" s="64"/>
      <c r="AD375" s="69"/>
      <c r="AE375" s="65"/>
      <c r="AF375" s="69"/>
      <c r="AG375" s="65"/>
      <c r="AH375" s="69"/>
      <c r="AI375" s="64"/>
      <c r="AJ375" s="69"/>
      <c r="AK375" s="64"/>
      <c r="AL375" s="69"/>
      <c r="AM375" s="64"/>
      <c r="AN375" s="69"/>
      <c r="AO375" s="64"/>
      <c r="AP375" s="69"/>
      <c r="AQ375" s="64"/>
      <c r="AR375" s="69"/>
      <c r="AS375" s="64"/>
      <c r="AT375" s="69"/>
      <c r="AU375" s="64"/>
      <c r="AV375" s="69"/>
      <c r="AW375" s="64"/>
      <c r="AX375" s="69"/>
      <c r="AY375" s="64"/>
      <c r="AZ375" s="69"/>
      <c r="BA375" s="64"/>
      <c r="BB375" s="69"/>
      <c r="BC375" s="64"/>
      <c r="BD375" s="69"/>
      <c r="BE375" s="64"/>
      <c r="BF375" s="69"/>
      <c r="BG375" s="64"/>
      <c r="BH375" s="69"/>
      <c r="BI375" s="64"/>
      <c r="BJ375" s="69"/>
      <c r="BK375" s="64"/>
      <c r="BL375" s="69"/>
      <c r="BM375" s="64"/>
      <c r="BN375" s="69"/>
      <c r="BO375" s="64"/>
      <c r="BP375" s="69"/>
      <c r="BQ375" s="64"/>
      <c r="BR375" s="69"/>
      <c r="BS375" s="64"/>
      <c r="BT375" s="69"/>
      <c r="BU375" t="b">
        <f t="shared" si="6"/>
        <v>0</v>
      </c>
    </row>
    <row r="376" spans="1:73" x14ac:dyDescent="0.25">
      <c r="A376" s="28"/>
      <c r="B376" s="29"/>
      <c r="C376" s="29"/>
      <c r="D376" s="30"/>
      <c r="E376" s="29"/>
      <c r="F376" s="30"/>
      <c r="G376" s="29"/>
      <c r="H376" s="69"/>
      <c r="I376" s="64"/>
      <c r="J376" s="69"/>
      <c r="K376" s="64"/>
      <c r="L376" s="69"/>
      <c r="M376" s="65"/>
      <c r="N376" s="69"/>
      <c r="O376" s="64"/>
      <c r="P376" s="69"/>
      <c r="Q376" s="64"/>
      <c r="R376" s="69"/>
      <c r="S376" s="64"/>
      <c r="T376" s="69"/>
      <c r="U376" s="64"/>
      <c r="V376" s="69"/>
      <c r="W376" s="65"/>
      <c r="X376" s="69"/>
      <c r="Y376" s="64"/>
      <c r="Z376" s="69"/>
      <c r="AA376" s="64"/>
      <c r="AB376" s="69"/>
      <c r="AC376" s="64"/>
      <c r="AD376" s="69"/>
      <c r="AE376" s="65"/>
      <c r="AF376" s="69"/>
      <c r="AG376" s="65"/>
      <c r="AH376" s="69"/>
      <c r="AI376" s="64"/>
      <c r="AJ376" s="69"/>
      <c r="AK376" s="64"/>
      <c r="AL376" s="69"/>
      <c r="AM376" s="64"/>
      <c r="AN376" s="69"/>
      <c r="AO376" s="64"/>
      <c r="AP376" s="69"/>
      <c r="AQ376" s="64"/>
      <c r="AR376" s="69"/>
      <c r="AS376" s="64"/>
      <c r="AT376" s="69"/>
      <c r="AU376" s="64"/>
      <c r="AV376" s="69"/>
      <c r="AW376" s="64"/>
      <c r="AX376" s="69"/>
      <c r="AY376" s="64"/>
      <c r="AZ376" s="69"/>
      <c r="BA376" s="64"/>
      <c r="BB376" s="69"/>
      <c r="BC376" s="64"/>
      <c r="BD376" s="69"/>
      <c r="BE376" s="64"/>
      <c r="BF376" s="69"/>
      <c r="BG376" s="64"/>
      <c r="BH376" s="69"/>
      <c r="BI376" s="64"/>
      <c r="BJ376" s="69"/>
      <c r="BK376" s="64"/>
      <c r="BL376" s="69"/>
      <c r="BM376" s="64"/>
      <c r="BN376" s="69"/>
      <c r="BO376" s="64"/>
      <c r="BP376" s="69"/>
      <c r="BQ376" s="64"/>
      <c r="BR376" s="69"/>
      <c r="BS376" s="64"/>
      <c r="BT376" s="69"/>
      <c r="BU376" t="b">
        <f t="shared" si="6"/>
        <v>0</v>
      </c>
    </row>
    <row r="377" spans="1:73" x14ac:dyDescent="0.25">
      <c r="A377" s="28"/>
      <c r="B377" s="29"/>
      <c r="C377" s="29"/>
      <c r="D377" s="30"/>
      <c r="E377" s="29"/>
      <c r="F377" s="30"/>
      <c r="G377" s="29"/>
      <c r="H377" s="69"/>
      <c r="I377" s="64"/>
      <c r="J377" s="69"/>
      <c r="K377" s="64"/>
      <c r="L377" s="69"/>
      <c r="M377" s="65"/>
      <c r="N377" s="69"/>
      <c r="O377" s="64"/>
      <c r="P377" s="69"/>
      <c r="Q377" s="64"/>
      <c r="R377" s="69"/>
      <c r="S377" s="64"/>
      <c r="T377" s="69"/>
      <c r="U377" s="64"/>
      <c r="V377" s="69"/>
      <c r="W377" s="65"/>
      <c r="X377" s="69"/>
      <c r="Y377" s="64"/>
      <c r="Z377" s="69"/>
      <c r="AA377" s="64"/>
      <c r="AB377" s="69"/>
      <c r="AC377" s="64"/>
      <c r="AD377" s="69"/>
      <c r="AE377" s="65"/>
      <c r="AF377" s="69"/>
      <c r="AG377" s="65"/>
      <c r="AH377" s="69"/>
      <c r="AI377" s="64"/>
      <c r="AJ377" s="69"/>
      <c r="AK377" s="64"/>
      <c r="AL377" s="69"/>
      <c r="AM377" s="64"/>
      <c r="AN377" s="69"/>
      <c r="AO377" s="64"/>
      <c r="AP377" s="69"/>
      <c r="AQ377" s="64"/>
      <c r="AR377" s="69"/>
      <c r="AS377" s="64"/>
      <c r="AT377" s="69"/>
      <c r="AU377" s="64"/>
      <c r="AV377" s="69"/>
      <c r="AW377" s="64"/>
      <c r="AX377" s="69"/>
      <c r="AY377" s="64"/>
      <c r="AZ377" s="69"/>
      <c r="BA377" s="64"/>
      <c r="BB377" s="69"/>
      <c r="BC377" s="64"/>
      <c r="BD377" s="69"/>
      <c r="BE377" s="64"/>
      <c r="BF377" s="69"/>
      <c r="BG377" s="64"/>
      <c r="BH377" s="69"/>
      <c r="BI377" s="64"/>
      <c r="BJ377" s="69"/>
      <c r="BK377" s="64"/>
      <c r="BL377" s="69"/>
      <c r="BM377" s="64"/>
      <c r="BN377" s="69"/>
      <c r="BO377" s="64"/>
      <c r="BP377" s="69"/>
      <c r="BQ377" s="64"/>
      <c r="BR377" s="69"/>
      <c r="BS377" s="64"/>
      <c r="BT377" s="69"/>
      <c r="BU377" t="b">
        <f t="shared" si="6"/>
        <v>0</v>
      </c>
    </row>
    <row r="378" spans="1:73" x14ac:dyDescent="0.25">
      <c r="A378" s="28"/>
      <c r="B378" s="29"/>
      <c r="C378" s="29"/>
      <c r="D378" s="30"/>
      <c r="E378" s="29"/>
      <c r="F378" s="30"/>
      <c r="G378" s="29"/>
      <c r="H378" s="69"/>
      <c r="I378" s="64"/>
      <c r="J378" s="69"/>
      <c r="K378" s="64"/>
      <c r="L378" s="69"/>
      <c r="M378" s="65"/>
      <c r="N378" s="69"/>
      <c r="O378" s="64"/>
      <c r="P378" s="69"/>
      <c r="Q378" s="64"/>
      <c r="R378" s="69"/>
      <c r="S378" s="64"/>
      <c r="T378" s="69"/>
      <c r="U378" s="64"/>
      <c r="V378" s="69"/>
      <c r="W378" s="65"/>
      <c r="X378" s="69"/>
      <c r="Y378" s="64"/>
      <c r="Z378" s="69"/>
      <c r="AA378" s="64"/>
      <c r="AB378" s="69"/>
      <c r="AC378" s="64"/>
      <c r="AD378" s="69"/>
      <c r="AE378" s="65"/>
      <c r="AF378" s="69"/>
      <c r="AG378" s="65"/>
      <c r="AH378" s="69"/>
      <c r="AI378" s="64"/>
      <c r="AJ378" s="69"/>
      <c r="AK378" s="64"/>
      <c r="AL378" s="69"/>
      <c r="AM378" s="64"/>
      <c r="AN378" s="69"/>
      <c r="AO378" s="64"/>
      <c r="AP378" s="69"/>
      <c r="AQ378" s="64"/>
      <c r="AR378" s="69"/>
      <c r="AS378" s="64"/>
      <c r="AT378" s="69"/>
      <c r="AU378" s="64"/>
      <c r="AV378" s="69"/>
      <c r="AW378" s="64"/>
      <c r="AX378" s="69"/>
      <c r="AY378" s="64"/>
      <c r="AZ378" s="69"/>
      <c r="BA378" s="64"/>
      <c r="BB378" s="69"/>
      <c r="BC378" s="64"/>
      <c r="BD378" s="69"/>
      <c r="BE378" s="64"/>
      <c r="BF378" s="69"/>
      <c r="BG378" s="64"/>
      <c r="BH378" s="69"/>
      <c r="BI378" s="64"/>
      <c r="BJ378" s="69"/>
      <c r="BK378" s="64"/>
      <c r="BL378" s="69"/>
      <c r="BM378" s="64"/>
      <c r="BN378" s="69"/>
      <c r="BO378" s="64"/>
      <c r="BP378" s="69"/>
      <c r="BQ378" s="64"/>
      <c r="BR378" s="69"/>
      <c r="BS378" s="64"/>
      <c r="BT378" s="69"/>
      <c r="BU378" t="b">
        <f t="shared" si="6"/>
        <v>0</v>
      </c>
    </row>
    <row r="379" spans="1:73" x14ac:dyDescent="0.25">
      <c r="A379" s="28"/>
      <c r="B379" s="29"/>
      <c r="C379" s="29"/>
      <c r="D379" s="30"/>
      <c r="E379" s="29"/>
      <c r="F379" s="30"/>
      <c r="G379" s="29"/>
      <c r="H379" s="69"/>
      <c r="I379" s="64"/>
      <c r="J379" s="69"/>
      <c r="K379" s="64"/>
      <c r="L379" s="69"/>
      <c r="M379" s="65"/>
      <c r="N379" s="69"/>
      <c r="O379" s="64"/>
      <c r="P379" s="69"/>
      <c r="Q379" s="64"/>
      <c r="R379" s="69"/>
      <c r="S379" s="64"/>
      <c r="T379" s="69"/>
      <c r="U379" s="64"/>
      <c r="V379" s="69"/>
      <c r="W379" s="65"/>
      <c r="X379" s="69"/>
      <c r="Y379" s="64"/>
      <c r="Z379" s="69"/>
      <c r="AA379" s="64"/>
      <c r="AB379" s="69"/>
      <c r="AC379" s="64"/>
      <c r="AD379" s="69"/>
      <c r="AE379" s="65"/>
      <c r="AF379" s="69"/>
      <c r="AG379" s="65"/>
      <c r="AH379" s="69"/>
      <c r="AI379" s="64"/>
      <c r="AJ379" s="69"/>
      <c r="AK379" s="64"/>
      <c r="AL379" s="69"/>
      <c r="AM379" s="64"/>
      <c r="AN379" s="69"/>
      <c r="AO379" s="64"/>
      <c r="AP379" s="69"/>
      <c r="AQ379" s="64"/>
      <c r="AR379" s="69"/>
      <c r="AS379" s="64"/>
      <c r="AT379" s="69"/>
      <c r="AU379" s="64"/>
      <c r="AV379" s="69"/>
      <c r="AW379" s="64"/>
      <c r="AX379" s="69"/>
      <c r="AY379" s="64"/>
      <c r="AZ379" s="69"/>
      <c r="BA379" s="64"/>
      <c r="BB379" s="69"/>
      <c r="BC379" s="64"/>
      <c r="BD379" s="69"/>
      <c r="BE379" s="64"/>
      <c r="BF379" s="69"/>
      <c r="BG379" s="64"/>
      <c r="BH379" s="69"/>
      <c r="BI379" s="64"/>
      <c r="BJ379" s="69"/>
      <c r="BK379" s="64"/>
      <c r="BL379" s="69"/>
      <c r="BM379" s="64"/>
      <c r="BN379" s="69"/>
      <c r="BO379" s="64"/>
      <c r="BP379" s="69"/>
      <c r="BQ379" s="64"/>
      <c r="BR379" s="69"/>
      <c r="BS379" s="64"/>
      <c r="BT379" s="69"/>
      <c r="BU379" t="b">
        <f t="shared" si="6"/>
        <v>0</v>
      </c>
    </row>
    <row r="380" spans="1:73" x14ac:dyDescent="0.25">
      <c r="A380" s="28"/>
      <c r="B380" s="29"/>
      <c r="C380" s="29"/>
      <c r="D380" s="30"/>
      <c r="E380" s="29"/>
      <c r="F380" s="30"/>
      <c r="G380" s="29"/>
      <c r="H380" s="69"/>
      <c r="I380" s="64"/>
      <c r="J380" s="69"/>
      <c r="K380" s="64"/>
      <c r="L380" s="69"/>
      <c r="M380" s="65"/>
      <c r="N380" s="69"/>
      <c r="O380" s="64"/>
      <c r="P380" s="69"/>
      <c r="Q380" s="64"/>
      <c r="R380" s="69"/>
      <c r="S380" s="64"/>
      <c r="T380" s="69"/>
      <c r="U380" s="64"/>
      <c r="V380" s="69"/>
      <c r="W380" s="65"/>
      <c r="X380" s="69"/>
      <c r="Y380" s="64"/>
      <c r="Z380" s="69"/>
      <c r="AA380" s="64"/>
      <c r="AB380" s="69"/>
      <c r="AC380" s="64"/>
      <c r="AD380" s="69"/>
      <c r="AE380" s="65"/>
      <c r="AF380" s="69"/>
      <c r="AG380" s="65"/>
      <c r="AH380" s="69"/>
      <c r="AI380" s="64"/>
      <c r="AJ380" s="69"/>
      <c r="AK380" s="64"/>
      <c r="AL380" s="69"/>
      <c r="AM380" s="64"/>
      <c r="AN380" s="69"/>
      <c r="AO380" s="64"/>
      <c r="AP380" s="69"/>
      <c r="AQ380" s="64"/>
      <c r="AR380" s="69"/>
      <c r="AS380" s="64"/>
      <c r="AT380" s="69"/>
      <c r="AU380" s="64"/>
      <c r="AV380" s="69"/>
      <c r="AW380" s="64"/>
      <c r="AX380" s="69"/>
      <c r="AY380" s="64"/>
      <c r="AZ380" s="69"/>
      <c r="BA380" s="64"/>
      <c r="BB380" s="69"/>
      <c r="BC380" s="64"/>
      <c r="BD380" s="69"/>
      <c r="BE380" s="64"/>
      <c r="BF380" s="69"/>
      <c r="BG380" s="64"/>
      <c r="BH380" s="69"/>
      <c r="BI380" s="64"/>
      <c r="BJ380" s="69"/>
      <c r="BK380" s="64"/>
      <c r="BL380" s="69"/>
      <c r="BM380" s="64"/>
      <c r="BN380" s="69"/>
      <c r="BO380" s="64"/>
      <c r="BP380" s="69"/>
      <c r="BQ380" s="64"/>
      <c r="BR380" s="69"/>
      <c r="BS380" s="64"/>
      <c r="BT380" s="69"/>
      <c r="BU380" t="b">
        <f t="shared" si="6"/>
        <v>0</v>
      </c>
    </row>
    <row r="381" spans="1:73" x14ac:dyDescent="0.25">
      <c r="A381" s="28"/>
      <c r="B381" s="29"/>
      <c r="C381" s="29"/>
      <c r="D381" s="30"/>
      <c r="E381" s="29"/>
      <c r="F381" s="30"/>
      <c r="G381" s="29"/>
      <c r="H381" s="69"/>
      <c r="I381" s="64"/>
      <c r="J381" s="69"/>
      <c r="K381" s="64"/>
      <c r="L381" s="69"/>
      <c r="M381" s="65"/>
      <c r="N381" s="69"/>
      <c r="O381" s="64"/>
      <c r="P381" s="69"/>
      <c r="Q381" s="64"/>
      <c r="R381" s="69"/>
      <c r="S381" s="64"/>
      <c r="T381" s="69"/>
      <c r="U381" s="64"/>
      <c r="V381" s="69"/>
      <c r="W381" s="65"/>
      <c r="X381" s="69"/>
      <c r="Y381" s="64"/>
      <c r="Z381" s="69"/>
      <c r="AA381" s="64"/>
      <c r="AB381" s="69"/>
      <c r="AC381" s="64"/>
      <c r="AD381" s="69"/>
      <c r="AE381" s="65"/>
      <c r="AF381" s="69"/>
      <c r="AG381" s="65"/>
      <c r="AH381" s="69"/>
      <c r="AI381" s="64"/>
      <c r="AJ381" s="69"/>
      <c r="AK381" s="64"/>
      <c r="AL381" s="69"/>
      <c r="AM381" s="64"/>
      <c r="AN381" s="69"/>
      <c r="AO381" s="64"/>
      <c r="AP381" s="69"/>
      <c r="AQ381" s="64"/>
      <c r="AR381" s="69"/>
      <c r="AS381" s="64"/>
      <c r="AT381" s="69"/>
      <c r="AU381" s="64"/>
      <c r="AV381" s="69"/>
      <c r="AW381" s="64"/>
      <c r="AX381" s="69"/>
      <c r="AY381" s="64"/>
      <c r="AZ381" s="69"/>
      <c r="BA381" s="64"/>
      <c r="BB381" s="69"/>
      <c r="BC381" s="64"/>
      <c r="BD381" s="69"/>
      <c r="BE381" s="64"/>
      <c r="BF381" s="69"/>
      <c r="BG381" s="64"/>
      <c r="BH381" s="69"/>
      <c r="BI381" s="64"/>
      <c r="BJ381" s="69"/>
      <c r="BK381" s="64"/>
      <c r="BL381" s="69"/>
      <c r="BM381" s="64"/>
      <c r="BN381" s="69"/>
      <c r="BO381" s="64"/>
      <c r="BP381" s="69"/>
      <c r="BQ381" s="64"/>
      <c r="BR381" s="69"/>
      <c r="BS381" s="64"/>
      <c r="BT381" s="69"/>
      <c r="BU381" t="b">
        <f t="shared" si="6"/>
        <v>0</v>
      </c>
    </row>
    <row r="382" spans="1:73" x14ac:dyDescent="0.25">
      <c r="A382" s="28"/>
      <c r="B382" s="29"/>
      <c r="C382" s="29"/>
      <c r="D382" s="30"/>
      <c r="E382" s="29"/>
      <c r="F382" s="30"/>
      <c r="G382" s="29"/>
      <c r="H382" s="69"/>
      <c r="I382" s="64"/>
      <c r="J382" s="69"/>
      <c r="K382" s="64"/>
      <c r="L382" s="69"/>
      <c r="M382" s="65"/>
      <c r="N382" s="69"/>
      <c r="O382" s="64"/>
      <c r="P382" s="69"/>
      <c r="Q382" s="64"/>
      <c r="R382" s="69"/>
      <c r="S382" s="64"/>
      <c r="T382" s="69"/>
      <c r="U382" s="64"/>
      <c r="V382" s="69"/>
      <c r="W382" s="65"/>
      <c r="X382" s="69"/>
      <c r="Y382" s="64"/>
      <c r="Z382" s="69"/>
      <c r="AA382" s="64"/>
      <c r="AB382" s="69"/>
      <c r="AC382" s="64"/>
      <c r="AD382" s="69"/>
      <c r="AE382" s="65"/>
      <c r="AF382" s="69"/>
      <c r="AG382" s="65"/>
      <c r="AH382" s="69"/>
      <c r="AI382" s="64"/>
      <c r="AJ382" s="69"/>
      <c r="AK382" s="64"/>
      <c r="AL382" s="69"/>
      <c r="AM382" s="64"/>
      <c r="AN382" s="69"/>
      <c r="AO382" s="64"/>
      <c r="AP382" s="69"/>
      <c r="AQ382" s="64"/>
      <c r="AR382" s="69"/>
      <c r="AS382" s="64"/>
      <c r="AT382" s="69"/>
      <c r="AU382" s="64"/>
      <c r="AV382" s="69"/>
      <c r="AW382" s="64"/>
      <c r="AX382" s="69"/>
      <c r="AY382" s="64"/>
      <c r="AZ382" s="69"/>
      <c r="BA382" s="64"/>
      <c r="BB382" s="69"/>
      <c r="BC382" s="64"/>
      <c r="BD382" s="69"/>
      <c r="BE382" s="64"/>
      <c r="BF382" s="69"/>
      <c r="BG382" s="64"/>
      <c r="BH382" s="69"/>
      <c r="BI382" s="64"/>
      <c r="BJ382" s="69"/>
      <c r="BK382" s="64"/>
      <c r="BL382" s="69"/>
      <c r="BM382" s="64"/>
      <c r="BN382" s="69"/>
      <c r="BO382" s="64"/>
      <c r="BP382" s="69"/>
      <c r="BQ382" s="64"/>
      <c r="BR382" s="69"/>
      <c r="BS382" s="64"/>
      <c r="BT382" s="69"/>
      <c r="BU382" t="b">
        <f t="shared" si="6"/>
        <v>0</v>
      </c>
    </row>
    <row r="383" spans="1:73" x14ac:dyDescent="0.25">
      <c r="A383" s="28"/>
      <c r="B383" s="29"/>
      <c r="C383" s="29"/>
      <c r="D383" s="30"/>
      <c r="E383" s="29"/>
      <c r="F383" s="30"/>
      <c r="G383" s="29"/>
      <c r="H383" s="69"/>
      <c r="I383" s="64"/>
      <c r="J383" s="69"/>
      <c r="K383" s="64"/>
      <c r="L383" s="69"/>
      <c r="M383" s="65"/>
      <c r="N383" s="69"/>
      <c r="O383" s="64"/>
      <c r="P383" s="69"/>
      <c r="Q383" s="64"/>
      <c r="R383" s="69"/>
      <c r="S383" s="64"/>
      <c r="T383" s="69"/>
      <c r="U383" s="64"/>
      <c r="V383" s="69"/>
      <c r="W383" s="65"/>
      <c r="X383" s="69"/>
      <c r="Y383" s="64"/>
      <c r="Z383" s="69"/>
      <c r="AA383" s="64"/>
      <c r="AB383" s="69"/>
      <c r="AC383" s="64"/>
      <c r="AD383" s="69"/>
      <c r="AE383" s="65"/>
      <c r="AF383" s="69"/>
      <c r="AG383" s="65"/>
      <c r="AH383" s="69"/>
      <c r="AI383" s="64"/>
      <c r="AJ383" s="69"/>
      <c r="AK383" s="64"/>
      <c r="AL383" s="69"/>
      <c r="AM383" s="64"/>
      <c r="AN383" s="69"/>
      <c r="AO383" s="64"/>
      <c r="AP383" s="69"/>
      <c r="AQ383" s="64"/>
      <c r="AR383" s="69"/>
      <c r="AS383" s="64"/>
      <c r="AT383" s="69"/>
      <c r="AU383" s="64"/>
      <c r="AV383" s="69"/>
      <c r="AW383" s="64"/>
      <c r="AX383" s="69"/>
      <c r="AY383" s="64"/>
      <c r="AZ383" s="69"/>
      <c r="BA383" s="64"/>
      <c r="BB383" s="69"/>
      <c r="BC383" s="64"/>
      <c r="BD383" s="69"/>
      <c r="BE383" s="64"/>
      <c r="BF383" s="69"/>
      <c r="BG383" s="64"/>
      <c r="BH383" s="69"/>
      <c r="BI383" s="64"/>
      <c r="BJ383" s="69"/>
      <c r="BK383" s="64"/>
      <c r="BL383" s="69"/>
      <c r="BM383" s="64"/>
      <c r="BN383" s="69"/>
      <c r="BO383" s="64"/>
      <c r="BP383" s="69"/>
      <c r="BQ383" s="64"/>
      <c r="BR383" s="69"/>
      <c r="BS383" s="64"/>
      <c r="BT383" s="69"/>
      <c r="BU383" t="b">
        <f t="shared" si="6"/>
        <v>0</v>
      </c>
    </row>
    <row r="384" spans="1:73" x14ac:dyDescent="0.25">
      <c r="A384" s="28"/>
      <c r="B384" s="29"/>
      <c r="C384" s="29"/>
      <c r="D384" s="30"/>
      <c r="E384" s="29"/>
      <c r="F384" s="30"/>
      <c r="G384" s="29"/>
      <c r="H384" s="69"/>
      <c r="I384" s="64"/>
      <c r="J384" s="69"/>
      <c r="K384" s="64"/>
      <c r="L384" s="69"/>
      <c r="M384" s="65"/>
      <c r="N384" s="69"/>
      <c r="O384" s="64"/>
      <c r="P384" s="69"/>
      <c r="Q384" s="64"/>
      <c r="R384" s="69"/>
      <c r="S384" s="64"/>
      <c r="T384" s="69"/>
      <c r="U384" s="64"/>
      <c r="V384" s="69"/>
      <c r="W384" s="65"/>
      <c r="X384" s="69"/>
      <c r="Y384" s="64"/>
      <c r="Z384" s="69"/>
      <c r="AA384" s="64"/>
      <c r="AB384" s="69"/>
      <c r="AC384" s="64"/>
      <c r="AD384" s="69"/>
      <c r="AE384" s="65"/>
      <c r="AF384" s="69"/>
      <c r="AG384" s="65"/>
      <c r="AH384" s="69"/>
      <c r="AI384" s="64"/>
      <c r="AJ384" s="69"/>
      <c r="AK384" s="64"/>
      <c r="AL384" s="69"/>
      <c r="AM384" s="64"/>
      <c r="AN384" s="69"/>
      <c r="AO384" s="64"/>
      <c r="AP384" s="69"/>
      <c r="AQ384" s="64"/>
      <c r="AR384" s="69"/>
      <c r="AS384" s="64"/>
      <c r="AT384" s="69"/>
      <c r="AU384" s="64"/>
      <c r="AV384" s="69"/>
      <c r="AW384" s="64"/>
      <c r="AX384" s="69"/>
      <c r="AY384" s="64"/>
      <c r="AZ384" s="69"/>
      <c r="BA384" s="64"/>
      <c r="BB384" s="69"/>
      <c r="BC384" s="64"/>
      <c r="BD384" s="69"/>
      <c r="BE384" s="64"/>
      <c r="BF384" s="69"/>
      <c r="BG384" s="64"/>
      <c r="BH384" s="69"/>
      <c r="BI384" s="64"/>
      <c r="BJ384" s="69"/>
      <c r="BK384" s="64"/>
      <c r="BL384" s="69"/>
      <c r="BM384" s="64"/>
      <c r="BN384" s="69"/>
      <c r="BO384" s="64"/>
      <c r="BP384" s="69"/>
      <c r="BQ384" s="64"/>
      <c r="BR384" s="69"/>
      <c r="BS384" s="64"/>
      <c r="BT384" s="69"/>
      <c r="BU384" t="b">
        <f t="shared" si="6"/>
        <v>0</v>
      </c>
    </row>
    <row r="385" spans="1:73" x14ac:dyDescent="0.25">
      <c r="A385" s="28"/>
      <c r="B385" s="29"/>
      <c r="C385" s="29"/>
      <c r="D385" s="30"/>
      <c r="E385" s="29"/>
      <c r="F385" s="30"/>
      <c r="G385" s="29"/>
      <c r="H385" s="69"/>
      <c r="I385" s="64"/>
      <c r="J385" s="69"/>
      <c r="K385" s="64"/>
      <c r="L385" s="69"/>
      <c r="M385" s="65"/>
      <c r="N385" s="69"/>
      <c r="O385" s="64"/>
      <c r="P385" s="69"/>
      <c r="Q385" s="64"/>
      <c r="R385" s="69"/>
      <c r="S385" s="64"/>
      <c r="T385" s="69"/>
      <c r="U385" s="64"/>
      <c r="V385" s="69"/>
      <c r="W385" s="65"/>
      <c r="X385" s="69"/>
      <c r="Y385" s="64"/>
      <c r="Z385" s="69"/>
      <c r="AA385" s="64"/>
      <c r="AB385" s="69"/>
      <c r="AC385" s="64"/>
      <c r="AD385" s="69"/>
      <c r="AE385" s="65"/>
      <c r="AF385" s="69"/>
      <c r="AG385" s="65"/>
      <c r="AH385" s="69"/>
      <c r="AI385" s="64"/>
      <c r="AJ385" s="69"/>
      <c r="AK385" s="64"/>
      <c r="AL385" s="69"/>
      <c r="AM385" s="64"/>
      <c r="AN385" s="69"/>
      <c r="AO385" s="64"/>
      <c r="AP385" s="69"/>
      <c r="AQ385" s="64"/>
      <c r="AR385" s="69"/>
      <c r="AS385" s="64"/>
      <c r="AT385" s="69"/>
      <c r="AU385" s="64"/>
      <c r="AV385" s="69"/>
      <c r="AW385" s="64"/>
      <c r="AX385" s="69"/>
      <c r="AY385" s="64"/>
      <c r="AZ385" s="69"/>
      <c r="BA385" s="64"/>
      <c r="BB385" s="69"/>
      <c r="BC385" s="64"/>
      <c r="BD385" s="69"/>
      <c r="BE385" s="64"/>
      <c r="BF385" s="69"/>
      <c r="BG385" s="64"/>
      <c r="BH385" s="69"/>
      <c r="BI385" s="64"/>
      <c r="BJ385" s="69"/>
      <c r="BK385" s="64"/>
      <c r="BL385" s="69"/>
      <c r="BM385" s="64"/>
      <c r="BN385" s="69"/>
      <c r="BO385" s="64"/>
      <c r="BP385" s="69"/>
      <c r="BQ385" s="64"/>
      <c r="BR385" s="69"/>
      <c r="BS385" s="64"/>
      <c r="BT385" s="69"/>
      <c r="BU385" t="b">
        <f t="shared" si="6"/>
        <v>0</v>
      </c>
    </row>
    <row r="386" spans="1:73" x14ac:dyDescent="0.25">
      <c r="A386" s="28"/>
      <c r="B386" s="29"/>
      <c r="C386" s="29"/>
      <c r="D386" s="30"/>
      <c r="E386" s="29"/>
      <c r="F386" s="30"/>
      <c r="G386" s="29"/>
      <c r="H386" s="69"/>
      <c r="I386" s="64"/>
      <c r="J386" s="69"/>
      <c r="K386" s="64"/>
      <c r="L386" s="69"/>
      <c r="M386" s="65"/>
      <c r="N386" s="69"/>
      <c r="O386" s="64"/>
      <c r="P386" s="69"/>
      <c r="Q386" s="64"/>
      <c r="R386" s="69"/>
      <c r="S386" s="64"/>
      <c r="T386" s="69"/>
      <c r="U386" s="64"/>
      <c r="V386" s="69"/>
      <c r="W386" s="65"/>
      <c r="X386" s="69"/>
      <c r="Y386" s="64"/>
      <c r="Z386" s="69"/>
      <c r="AA386" s="64"/>
      <c r="AB386" s="69"/>
      <c r="AC386" s="64"/>
      <c r="AD386" s="69"/>
      <c r="AE386" s="65"/>
      <c r="AF386" s="69"/>
      <c r="AG386" s="65"/>
      <c r="AH386" s="69"/>
      <c r="AI386" s="64"/>
      <c r="AJ386" s="69"/>
      <c r="AK386" s="64"/>
      <c r="AL386" s="69"/>
      <c r="AM386" s="64"/>
      <c r="AN386" s="69"/>
      <c r="AO386" s="64"/>
      <c r="AP386" s="69"/>
      <c r="AQ386" s="64"/>
      <c r="AR386" s="69"/>
      <c r="AS386" s="64"/>
      <c r="AT386" s="69"/>
      <c r="AU386" s="64"/>
      <c r="AV386" s="69"/>
      <c r="AW386" s="64"/>
      <c r="AX386" s="69"/>
      <c r="AY386" s="64"/>
      <c r="AZ386" s="69"/>
      <c r="BA386" s="64"/>
      <c r="BB386" s="69"/>
      <c r="BC386" s="64"/>
      <c r="BD386" s="69"/>
      <c r="BE386" s="64"/>
      <c r="BF386" s="69"/>
      <c r="BG386" s="64"/>
      <c r="BH386" s="69"/>
      <c r="BI386" s="64"/>
      <c r="BJ386" s="69"/>
      <c r="BK386" s="64"/>
      <c r="BL386" s="69"/>
      <c r="BM386" s="64"/>
      <c r="BN386" s="69"/>
      <c r="BO386" s="64"/>
      <c r="BP386" s="69"/>
      <c r="BQ386" s="64"/>
      <c r="BR386" s="69"/>
      <c r="BS386" s="64"/>
      <c r="BT386" s="69"/>
      <c r="BU386" t="b">
        <f t="shared" si="6"/>
        <v>0</v>
      </c>
    </row>
    <row r="387" spans="1:73" x14ac:dyDescent="0.25">
      <c r="A387" s="28"/>
      <c r="B387" s="29"/>
      <c r="C387" s="29"/>
      <c r="D387" s="30"/>
      <c r="E387" s="29"/>
      <c r="F387" s="30"/>
      <c r="G387" s="29"/>
      <c r="H387" s="69"/>
      <c r="I387" s="64"/>
      <c r="J387" s="69"/>
      <c r="K387" s="64"/>
      <c r="L387" s="69"/>
      <c r="M387" s="65"/>
      <c r="N387" s="69"/>
      <c r="O387" s="64"/>
      <c r="P387" s="69"/>
      <c r="Q387" s="64"/>
      <c r="R387" s="69"/>
      <c r="S387" s="64"/>
      <c r="T387" s="69"/>
      <c r="U387" s="64"/>
      <c r="V387" s="69"/>
      <c r="W387" s="65"/>
      <c r="X387" s="69"/>
      <c r="Y387" s="64"/>
      <c r="Z387" s="69"/>
      <c r="AA387" s="64"/>
      <c r="AB387" s="69"/>
      <c r="AC387" s="64"/>
      <c r="AD387" s="69"/>
      <c r="AE387" s="65"/>
      <c r="AF387" s="69"/>
      <c r="AG387" s="65"/>
      <c r="AH387" s="69"/>
      <c r="AI387" s="64"/>
      <c r="AJ387" s="69"/>
      <c r="AK387" s="64"/>
      <c r="AL387" s="69"/>
      <c r="AM387" s="64"/>
      <c r="AN387" s="69"/>
      <c r="AO387" s="64"/>
      <c r="AP387" s="69"/>
      <c r="AQ387" s="64"/>
      <c r="AR387" s="69"/>
      <c r="AS387" s="64"/>
      <c r="AT387" s="69"/>
      <c r="AU387" s="64"/>
      <c r="AV387" s="69"/>
      <c r="AW387" s="64"/>
      <c r="AX387" s="69"/>
      <c r="AY387" s="64"/>
      <c r="AZ387" s="69"/>
      <c r="BA387" s="64"/>
      <c r="BB387" s="69"/>
      <c r="BC387" s="64"/>
      <c r="BD387" s="69"/>
      <c r="BE387" s="64"/>
      <c r="BF387" s="69"/>
      <c r="BG387" s="64"/>
      <c r="BH387" s="69"/>
      <c r="BI387" s="64"/>
      <c r="BJ387" s="69"/>
      <c r="BK387" s="64"/>
      <c r="BL387" s="69"/>
      <c r="BM387" s="64"/>
      <c r="BN387" s="69"/>
      <c r="BO387" s="64"/>
      <c r="BP387" s="69"/>
      <c r="BQ387" s="64"/>
      <c r="BR387" s="69"/>
      <c r="BS387" s="64"/>
      <c r="BT387" s="69"/>
      <c r="BU387" t="b">
        <f t="shared" si="6"/>
        <v>0</v>
      </c>
    </row>
    <row r="388" spans="1:73" x14ac:dyDescent="0.25">
      <c r="A388" s="28"/>
      <c r="B388" s="29"/>
      <c r="C388" s="29"/>
      <c r="D388" s="30"/>
      <c r="E388" s="29"/>
      <c r="F388" s="30"/>
      <c r="G388" s="29"/>
      <c r="H388" s="69"/>
      <c r="I388" s="64"/>
      <c r="J388" s="69"/>
      <c r="K388" s="64"/>
      <c r="L388" s="69"/>
      <c r="M388" s="65"/>
      <c r="N388" s="69"/>
      <c r="O388" s="64"/>
      <c r="P388" s="69"/>
      <c r="Q388" s="64"/>
      <c r="R388" s="69"/>
      <c r="S388" s="64"/>
      <c r="T388" s="69"/>
      <c r="U388" s="64"/>
      <c r="V388" s="69"/>
      <c r="W388" s="65"/>
      <c r="X388" s="69"/>
      <c r="Y388" s="64"/>
      <c r="Z388" s="69"/>
      <c r="AA388" s="64"/>
      <c r="AB388" s="69"/>
      <c r="AC388" s="64"/>
      <c r="AD388" s="69"/>
      <c r="AE388" s="65"/>
      <c r="AF388" s="69"/>
      <c r="AG388" s="65"/>
      <c r="AH388" s="69"/>
      <c r="AI388" s="64"/>
      <c r="AJ388" s="69"/>
      <c r="AK388" s="64"/>
      <c r="AL388" s="69"/>
      <c r="AM388" s="64"/>
      <c r="AN388" s="69"/>
      <c r="AO388" s="64"/>
      <c r="AP388" s="69"/>
      <c r="AQ388" s="64"/>
      <c r="AR388" s="69"/>
      <c r="AS388" s="64"/>
      <c r="AT388" s="69"/>
      <c r="AU388" s="64"/>
      <c r="AV388" s="69"/>
      <c r="AW388" s="64"/>
      <c r="AX388" s="69"/>
      <c r="AY388" s="64"/>
      <c r="AZ388" s="69"/>
      <c r="BA388" s="64"/>
      <c r="BB388" s="69"/>
      <c r="BC388" s="64"/>
      <c r="BD388" s="69"/>
      <c r="BE388" s="64"/>
      <c r="BF388" s="69"/>
      <c r="BG388" s="64"/>
      <c r="BH388" s="69"/>
      <c r="BI388" s="64"/>
      <c r="BJ388" s="69"/>
      <c r="BK388" s="64"/>
      <c r="BL388" s="69"/>
      <c r="BM388" s="64"/>
      <c r="BN388" s="69"/>
      <c r="BO388" s="64"/>
      <c r="BP388" s="69"/>
      <c r="BQ388" s="64"/>
      <c r="BR388" s="69"/>
      <c r="BS388" s="64"/>
      <c r="BT388" s="69"/>
      <c r="BU388" t="b">
        <f t="shared" si="6"/>
        <v>0</v>
      </c>
    </row>
    <row r="389" spans="1:73" x14ac:dyDescent="0.25">
      <c r="A389" s="28"/>
      <c r="B389" s="29"/>
      <c r="C389" s="29"/>
      <c r="D389" s="30"/>
      <c r="E389" s="29"/>
      <c r="F389" s="30"/>
      <c r="G389" s="29"/>
      <c r="H389" s="69"/>
      <c r="I389" s="64"/>
      <c r="J389" s="69"/>
      <c r="K389" s="64"/>
      <c r="L389" s="69"/>
      <c r="M389" s="65"/>
      <c r="N389" s="69"/>
      <c r="O389" s="64"/>
      <c r="P389" s="69"/>
      <c r="Q389" s="64"/>
      <c r="R389" s="69"/>
      <c r="S389" s="64"/>
      <c r="T389" s="69"/>
      <c r="U389" s="64"/>
      <c r="V389" s="69"/>
      <c r="W389" s="65"/>
      <c r="X389" s="69"/>
      <c r="Y389" s="64"/>
      <c r="Z389" s="69"/>
      <c r="AA389" s="64"/>
      <c r="AB389" s="69"/>
      <c r="AC389" s="64"/>
      <c r="AD389" s="69"/>
      <c r="AE389" s="65"/>
      <c r="AF389" s="69"/>
      <c r="AG389" s="65"/>
      <c r="AH389" s="69"/>
      <c r="AI389" s="64"/>
      <c r="AJ389" s="69"/>
      <c r="AK389" s="64"/>
      <c r="AL389" s="69"/>
      <c r="AM389" s="64"/>
      <c r="AN389" s="69"/>
      <c r="AO389" s="64"/>
      <c r="AP389" s="69"/>
      <c r="AQ389" s="64"/>
      <c r="AR389" s="69"/>
      <c r="AS389" s="64"/>
      <c r="AT389" s="69"/>
      <c r="AU389" s="64"/>
      <c r="AV389" s="69"/>
      <c r="AW389" s="64"/>
      <c r="AX389" s="69"/>
      <c r="AY389" s="64"/>
      <c r="AZ389" s="69"/>
      <c r="BA389" s="64"/>
      <c r="BB389" s="69"/>
      <c r="BC389" s="64"/>
      <c r="BD389" s="69"/>
      <c r="BE389" s="64"/>
      <c r="BF389" s="69"/>
      <c r="BG389" s="64"/>
      <c r="BH389" s="69"/>
      <c r="BI389" s="64"/>
      <c r="BJ389" s="69"/>
      <c r="BK389" s="64"/>
      <c r="BL389" s="69"/>
      <c r="BM389" s="64"/>
      <c r="BN389" s="69"/>
      <c r="BO389" s="64"/>
      <c r="BP389" s="69"/>
      <c r="BQ389" s="64"/>
      <c r="BR389" s="69"/>
      <c r="BS389" s="64"/>
      <c r="BT389" s="69"/>
      <c r="BU389" t="b">
        <f t="shared" si="6"/>
        <v>0</v>
      </c>
    </row>
    <row r="390" spans="1:73" x14ac:dyDescent="0.25">
      <c r="A390" s="28"/>
      <c r="B390" s="29"/>
      <c r="C390" s="29"/>
      <c r="D390" s="30"/>
      <c r="E390" s="29"/>
      <c r="F390" s="30"/>
      <c r="G390" s="29"/>
      <c r="H390" s="69"/>
      <c r="I390" s="64"/>
      <c r="J390" s="69"/>
      <c r="K390" s="64"/>
      <c r="L390" s="69"/>
      <c r="M390" s="65"/>
      <c r="N390" s="69"/>
      <c r="O390" s="64"/>
      <c r="P390" s="69"/>
      <c r="Q390" s="64"/>
      <c r="R390" s="69"/>
      <c r="S390" s="64"/>
      <c r="T390" s="69"/>
      <c r="U390" s="64"/>
      <c r="V390" s="69"/>
      <c r="W390" s="65"/>
      <c r="X390" s="69"/>
      <c r="Y390" s="64"/>
      <c r="Z390" s="69"/>
      <c r="AA390" s="64"/>
      <c r="AB390" s="69"/>
      <c r="AC390" s="64"/>
      <c r="AD390" s="69"/>
      <c r="AE390" s="65"/>
      <c r="AF390" s="69"/>
      <c r="AG390" s="65"/>
      <c r="AH390" s="69"/>
      <c r="AI390" s="64"/>
      <c r="AJ390" s="69"/>
      <c r="AK390" s="64"/>
      <c r="AL390" s="69"/>
      <c r="AM390" s="64"/>
      <c r="AN390" s="69"/>
      <c r="AO390" s="64"/>
      <c r="AP390" s="69"/>
      <c r="AQ390" s="64"/>
      <c r="AR390" s="69"/>
      <c r="AS390" s="64"/>
      <c r="AT390" s="69"/>
      <c r="AU390" s="64"/>
      <c r="AV390" s="69"/>
      <c r="AW390" s="64"/>
      <c r="AX390" s="69"/>
      <c r="AY390" s="64"/>
      <c r="AZ390" s="69"/>
      <c r="BA390" s="64"/>
      <c r="BB390" s="69"/>
      <c r="BC390" s="64"/>
      <c r="BD390" s="69"/>
      <c r="BE390" s="64"/>
      <c r="BF390" s="69"/>
      <c r="BG390" s="64"/>
      <c r="BH390" s="69"/>
      <c r="BI390" s="64"/>
      <c r="BJ390" s="69"/>
      <c r="BK390" s="64"/>
      <c r="BL390" s="69"/>
      <c r="BM390" s="64"/>
      <c r="BN390" s="69"/>
      <c r="BO390" s="64"/>
      <c r="BP390" s="69"/>
      <c r="BQ390" s="64"/>
      <c r="BR390" s="69"/>
      <c r="BS390" s="64"/>
      <c r="BT390" s="69"/>
      <c r="BU390" t="b">
        <f t="shared" si="6"/>
        <v>0</v>
      </c>
    </row>
    <row r="391" spans="1:73" x14ac:dyDescent="0.25">
      <c r="A391" s="28"/>
      <c r="B391" s="29"/>
      <c r="C391" s="29"/>
      <c r="D391" s="30"/>
      <c r="E391" s="29"/>
      <c r="F391" s="30"/>
      <c r="G391" s="29"/>
      <c r="H391" s="69"/>
      <c r="I391" s="64"/>
      <c r="J391" s="69"/>
      <c r="K391" s="64"/>
      <c r="L391" s="69"/>
      <c r="M391" s="65"/>
      <c r="N391" s="69"/>
      <c r="O391" s="64"/>
      <c r="P391" s="69"/>
      <c r="Q391" s="64"/>
      <c r="R391" s="69"/>
      <c r="S391" s="64"/>
      <c r="T391" s="69"/>
      <c r="U391" s="64"/>
      <c r="V391" s="69"/>
      <c r="W391" s="65"/>
      <c r="X391" s="69"/>
      <c r="Y391" s="64"/>
      <c r="Z391" s="69"/>
      <c r="AA391" s="64"/>
      <c r="AB391" s="69"/>
      <c r="AC391" s="64"/>
      <c r="AD391" s="69"/>
      <c r="AE391" s="65"/>
      <c r="AF391" s="69"/>
      <c r="AG391" s="65"/>
      <c r="AH391" s="69"/>
      <c r="AI391" s="64"/>
      <c r="AJ391" s="69"/>
      <c r="AK391" s="64"/>
      <c r="AL391" s="69"/>
      <c r="AM391" s="64"/>
      <c r="AN391" s="69"/>
      <c r="AO391" s="64"/>
      <c r="AP391" s="69"/>
      <c r="AQ391" s="64"/>
      <c r="AR391" s="69"/>
      <c r="AS391" s="64"/>
      <c r="AT391" s="69"/>
      <c r="AU391" s="64"/>
      <c r="AV391" s="69"/>
      <c r="AW391" s="64"/>
      <c r="AX391" s="69"/>
      <c r="AY391" s="64"/>
      <c r="AZ391" s="69"/>
      <c r="BA391" s="64"/>
      <c r="BB391" s="69"/>
      <c r="BC391" s="64"/>
      <c r="BD391" s="69"/>
      <c r="BE391" s="64"/>
      <c r="BF391" s="69"/>
      <c r="BG391" s="64"/>
      <c r="BH391" s="69"/>
      <c r="BI391" s="64"/>
      <c r="BJ391" s="69"/>
      <c r="BK391" s="64"/>
      <c r="BL391" s="69"/>
      <c r="BM391" s="64"/>
      <c r="BN391" s="69"/>
      <c r="BO391" s="64"/>
      <c r="BP391" s="69"/>
      <c r="BQ391" s="64"/>
      <c r="BR391" s="69"/>
      <c r="BS391" s="64"/>
      <c r="BT391" s="69"/>
      <c r="BU391" t="b">
        <f t="shared" si="6"/>
        <v>0</v>
      </c>
    </row>
    <row r="392" spans="1:73" x14ac:dyDescent="0.25">
      <c r="A392" s="28"/>
      <c r="B392" s="29"/>
      <c r="C392" s="29"/>
      <c r="D392" s="30"/>
      <c r="E392" s="29"/>
      <c r="F392" s="30"/>
      <c r="G392" s="29"/>
      <c r="H392" s="69"/>
      <c r="I392" s="64"/>
      <c r="J392" s="69"/>
      <c r="K392" s="64"/>
      <c r="L392" s="69"/>
      <c r="M392" s="65"/>
      <c r="N392" s="69"/>
      <c r="O392" s="64"/>
      <c r="P392" s="69"/>
      <c r="Q392" s="64"/>
      <c r="R392" s="69"/>
      <c r="S392" s="64"/>
      <c r="T392" s="69"/>
      <c r="U392" s="64"/>
      <c r="V392" s="69"/>
      <c r="W392" s="65"/>
      <c r="X392" s="69"/>
      <c r="Y392" s="64"/>
      <c r="Z392" s="69"/>
      <c r="AA392" s="64"/>
      <c r="AB392" s="69"/>
      <c r="AC392" s="64"/>
      <c r="AD392" s="69"/>
      <c r="AE392" s="65"/>
      <c r="AF392" s="69"/>
      <c r="AG392" s="65"/>
      <c r="AH392" s="69"/>
      <c r="AI392" s="64"/>
      <c r="AJ392" s="69"/>
      <c r="AK392" s="64"/>
      <c r="AL392" s="69"/>
      <c r="AM392" s="64"/>
      <c r="AN392" s="69"/>
      <c r="AO392" s="64"/>
      <c r="AP392" s="69"/>
      <c r="AQ392" s="64"/>
      <c r="AR392" s="69"/>
      <c r="AS392" s="64"/>
      <c r="AT392" s="69"/>
      <c r="AU392" s="64"/>
      <c r="AV392" s="69"/>
      <c r="AW392" s="64"/>
      <c r="AX392" s="69"/>
      <c r="AY392" s="64"/>
      <c r="AZ392" s="69"/>
      <c r="BA392" s="64"/>
      <c r="BB392" s="69"/>
      <c r="BC392" s="64"/>
      <c r="BD392" s="69"/>
      <c r="BE392" s="64"/>
      <c r="BF392" s="69"/>
      <c r="BG392" s="64"/>
      <c r="BH392" s="69"/>
      <c r="BI392" s="64"/>
      <c r="BJ392" s="69"/>
      <c r="BK392" s="64"/>
      <c r="BL392" s="69"/>
      <c r="BM392" s="64"/>
      <c r="BN392" s="69"/>
      <c r="BO392" s="64"/>
      <c r="BP392" s="69"/>
      <c r="BQ392" s="64"/>
      <c r="BR392" s="69"/>
      <c r="BS392" s="64"/>
      <c r="BT392" s="69"/>
      <c r="BU392" t="b">
        <f t="shared" si="6"/>
        <v>0</v>
      </c>
    </row>
    <row r="393" spans="1:73" x14ac:dyDescent="0.25">
      <c r="A393" s="28"/>
      <c r="B393" s="29"/>
      <c r="C393" s="29"/>
      <c r="D393" s="30"/>
      <c r="E393" s="29"/>
      <c r="F393" s="30"/>
      <c r="G393" s="29"/>
      <c r="H393" s="69"/>
      <c r="I393" s="64"/>
      <c r="J393" s="69"/>
      <c r="K393" s="64"/>
      <c r="L393" s="69"/>
      <c r="M393" s="65"/>
      <c r="N393" s="69"/>
      <c r="O393" s="64"/>
      <c r="P393" s="69"/>
      <c r="Q393" s="64"/>
      <c r="R393" s="69"/>
      <c r="S393" s="64"/>
      <c r="T393" s="69"/>
      <c r="U393" s="64"/>
      <c r="V393" s="69"/>
      <c r="W393" s="65"/>
      <c r="X393" s="69"/>
      <c r="Y393" s="64"/>
      <c r="Z393" s="69"/>
      <c r="AA393" s="64"/>
      <c r="AB393" s="69"/>
      <c r="AC393" s="64"/>
      <c r="AD393" s="69"/>
      <c r="AE393" s="65"/>
      <c r="AF393" s="69"/>
      <c r="AG393" s="65"/>
      <c r="AH393" s="69"/>
      <c r="AI393" s="64"/>
      <c r="AJ393" s="69"/>
      <c r="AK393" s="64"/>
      <c r="AL393" s="69"/>
      <c r="AM393" s="64"/>
      <c r="AN393" s="69"/>
      <c r="AO393" s="64"/>
      <c r="AP393" s="69"/>
      <c r="AQ393" s="64"/>
      <c r="AR393" s="69"/>
      <c r="AS393" s="64"/>
      <c r="AT393" s="69"/>
      <c r="AU393" s="64"/>
      <c r="AV393" s="69"/>
      <c r="AW393" s="64"/>
      <c r="AX393" s="69"/>
      <c r="AY393" s="64"/>
      <c r="AZ393" s="69"/>
      <c r="BA393" s="64"/>
      <c r="BB393" s="69"/>
      <c r="BC393" s="64"/>
      <c r="BD393" s="69"/>
      <c r="BE393" s="64"/>
      <c r="BF393" s="69"/>
      <c r="BG393" s="64"/>
      <c r="BH393" s="69"/>
      <c r="BI393" s="64"/>
      <c r="BJ393" s="69"/>
      <c r="BK393" s="64"/>
      <c r="BL393" s="69"/>
      <c r="BM393" s="64"/>
      <c r="BN393" s="69"/>
      <c r="BO393" s="64"/>
      <c r="BP393" s="69"/>
      <c r="BQ393" s="64"/>
      <c r="BR393" s="69"/>
      <c r="BS393" s="64"/>
      <c r="BT393" s="69"/>
      <c r="BU393" t="b">
        <f t="shared" si="6"/>
        <v>0</v>
      </c>
    </row>
    <row r="394" spans="1:73" x14ac:dyDescent="0.25">
      <c r="A394" s="28"/>
      <c r="B394" s="29"/>
      <c r="C394" s="29"/>
      <c r="D394" s="30"/>
      <c r="E394" s="29"/>
      <c r="F394" s="30"/>
      <c r="G394" s="29"/>
      <c r="H394" s="69"/>
      <c r="I394" s="64"/>
      <c r="J394" s="69"/>
      <c r="K394" s="64"/>
      <c r="L394" s="69"/>
      <c r="M394" s="65"/>
      <c r="N394" s="69"/>
      <c r="O394" s="64"/>
      <c r="P394" s="69"/>
      <c r="Q394" s="64"/>
      <c r="R394" s="69"/>
      <c r="S394" s="64"/>
      <c r="T394" s="69"/>
      <c r="U394" s="64"/>
      <c r="V394" s="69"/>
      <c r="W394" s="65"/>
      <c r="X394" s="69"/>
      <c r="Y394" s="64"/>
      <c r="Z394" s="69"/>
      <c r="AA394" s="64"/>
      <c r="AB394" s="69"/>
      <c r="AC394" s="64"/>
      <c r="AD394" s="69"/>
      <c r="AE394" s="65"/>
      <c r="AF394" s="69"/>
      <c r="AG394" s="65"/>
      <c r="AH394" s="69"/>
      <c r="AI394" s="64"/>
      <c r="AJ394" s="69"/>
      <c r="AK394" s="64"/>
      <c r="AL394" s="69"/>
      <c r="AM394" s="64"/>
      <c r="AN394" s="69"/>
      <c r="AO394" s="64"/>
      <c r="AP394" s="69"/>
      <c r="AQ394" s="64"/>
      <c r="AR394" s="69"/>
      <c r="AS394" s="64"/>
      <c r="AT394" s="69"/>
      <c r="AU394" s="64"/>
      <c r="AV394" s="69"/>
      <c r="AW394" s="64"/>
      <c r="AX394" s="69"/>
      <c r="AY394" s="64"/>
      <c r="AZ394" s="69"/>
      <c r="BA394" s="64"/>
      <c r="BB394" s="69"/>
      <c r="BC394" s="64"/>
      <c r="BD394" s="69"/>
      <c r="BE394" s="64"/>
      <c r="BF394" s="69"/>
      <c r="BG394" s="64"/>
      <c r="BH394" s="69"/>
      <c r="BI394" s="64"/>
      <c r="BJ394" s="69"/>
      <c r="BK394" s="64"/>
      <c r="BL394" s="69"/>
      <c r="BM394" s="64"/>
      <c r="BN394" s="69"/>
      <c r="BO394" s="64"/>
      <c r="BP394" s="69"/>
      <c r="BQ394" s="64"/>
      <c r="BR394" s="69"/>
      <c r="BS394" s="64"/>
      <c r="BT394" s="69"/>
      <c r="BU394" t="b">
        <f t="shared" si="6"/>
        <v>0</v>
      </c>
    </row>
    <row r="395" spans="1:73" x14ac:dyDescent="0.25">
      <c r="A395" s="28"/>
      <c r="B395" s="29"/>
      <c r="C395" s="29"/>
      <c r="D395" s="30"/>
      <c r="E395" s="29"/>
      <c r="F395" s="30"/>
      <c r="G395" s="29"/>
      <c r="H395" s="69"/>
      <c r="I395" s="64"/>
      <c r="J395" s="69"/>
      <c r="K395" s="64"/>
      <c r="L395" s="69"/>
      <c r="M395" s="65"/>
      <c r="N395" s="69"/>
      <c r="O395" s="64"/>
      <c r="P395" s="69"/>
      <c r="Q395" s="64"/>
      <c r="R395" s="69"/>
      <c r="S395" s="64"/>
      <c r="T395" s="69"/>
      <c r="U395" s="64"/>
      <c r="V395" s="69"/>
      <c r="W395" s="65"/>
      <c r="X395" s="69"/>
      <c r="Y395" s="64"/>
      <c r="Z395" s="69"/>
      <c r="AA395" s="64"/>
      <c r="AB395" s="69"/>
      <c r="AC395" s="64"/>
      <c r="AD395" s="69"/>
      <c r="AE395" s="65"/>
      <c r="AF395" s="69"/>
      <c r="AG395" s="65"/>
      <c r="AH395" s="69"/>
      <c r="AI395" s="64"/>
      <c r="AJ395" s="69"/>
      <c r="AK395" s="64"/>
      <c r="AL395" s="69"/>
      <c r="AM395" s="64"/>
      <c r="AN395" s="69"/>
      <c r="AO395" s="64"/>
      <c r="AP395" s="69"/>
      <c r="AQ395" s="64"/>
      <c r="AR395" s="69"/>
      <c r="AS395" s="64"/>
      <c r="AT395" s="69"/>
      <c r="AU395" s="64"/>
      <c r="AV395" s="69"/>
      <c r="AW395" s="64"/>
      <c r="AX395" s="69"/>
      <c r="AY395" s="64"/>
      <c r="AZ395" s="69"/>
      <c r="BA395" s="64"/>
      <c r="BB395" s="69"/>
      <c r="BC395" s="64"/>
      <c r="BD395" s="69"/>
      <c r="BE395" s="64"/>
      <c r="BF395" s="69"/>
      <c r="BG395" s="64"/>
      <c r="BH395" s="69"/>
      <c r="BI395" s="64"/>
      <c r="BJ395" s="69"/>
      <c r="BK395" s="64"/>
      <c r="BL395" s="69"/>
      <c r="BM395" s="64"/>
      <c r="BN395" s="69"/>
      <c r="BO395" s="64"/>
      <c r="BP395" s="69"/>
      <c r="BQ395" s="64"/>
      <c r="BR395" s="69"/>
      <c r="BS395" s="64"/>
      <c r="BT395" s="69"/>
      <c r="BU395" t="b">
        <f t="shared" si="6"/>
        <v>0</v>
      </c>
    </row>
    <row r="396" spans="1:73" x14ac:dyDescent="0.25">
      <c r="A396" s="28"/>
      <c r="B396" s="29"/>
      <c r="C396" s="29"/>
      <c r="D396" s="30"/>
      <c r="E396" s="29"/>
      <c r="F396" s="30"/>
      <c r="G396" s="29"/>
      <c r="H396" s="69"/>
      <c r="I396" s="64"/>
      <c r="J396" s="69"/>
      <c r="K396" s="64"/>
      <c r="L396" s="69"/>
      <c r="M396" s="65"/>
      <c r="N396" s="69"/>
      <c r="O396" s="64"/>
      <c r="P396" s="69"/>
      <c r="Q396" s="64"/>
      <c r="R396" s="69"/>
      <c r="S396" s="64"/>
      <c r="T396" s="69"/>
      <c r="U396" s="64"/>
      <c r="V396" s="69"/>
      <c r="W396" s="65"/>
      <c r="X396" s="69"/>
      <c r="Y396" s="64"/>
      <c r="Z396" s="69"/>
      <c r="AA396" s="64"/>
      <c r="AB396" s="69"/>
      <c r="AC396" s="64"/>
      <c r="AD396" s="69"/>
      <c r="AE396" s="65"/>
      <c r="AF396" s="69"/>
      <c r="AG396" s="65"/>
      <c r="AH396" s="69"/>
      <c r="AI396" s="64"/>
      <c r="AJ396" s="69"/>
      <c r="AK396" s="64"/>
      <c r="AL396" s="69"/>
      <c r="AM396" s="64"/>
      <c r="AN396" s="69"/>
      <c r="AO396" s="64"/>
      <c r="AP396" s="69"/>
      <c r="AQ396" s="64"/>
      <c r="AR396" s="69"/>
      <c r="AS396" s="64"/>
      <c r="AT396" s="69"/>
      <c r="AU396" s="64"/>
      <c r="AV396" s="69"/>
      <c r="AW396" s="64"/>
      <c r="AX396" s="69"/>
      <c r="AY396" s="64"/>
      <c r="AZ396" s="69"/>
      <c r="BA396" s="64"/>
      <c r="BB396" s="69"/>
      <c r="BC396" s="64"/>
      <c r="BD396" s="69"/>
      <c r="BE396" s="64"/>
      <c r="BF396" s="69"/>
      <c r="BG396" s="64"/>
      <c r="BH396" s="69"/>
      <c r="BI396" s="64"/>
      <c r="BJ396" s="69"/>
      <c r="BK396" s="64"/>
      <c r="BL396" s="69"/>
      <c r="BM396" s="64"/>
      <c r="BN396" s="69"/>
      <c r="BO396" s="64"/>
      <c r="BP396" s="69"/>
      <c r="BQ396" s="64"/>
      <c r="BR396" s="69"/>
      <c r="BS396" s="64"/>
      <c r="BT396" s="69"/>
      <c r="BU396" t="b">
        <f t="shared" si="6"/>
        <v>0</v>
      </c>
    </row>
    <row r="397" spans="1:73" x14ac:dyDescent="0.25">
      <c r="A397" s="28"/>
      <c r="B397" s="29"/>
      <c r="C397" s="29"/>
      <c r="D397" s="30"/>
      <c r="E397" s="29"/>
      <c r="F397" s="30"/>
      <c r="G397" s="29"/>
      <c r="H397" s="69"/>
      <c r="I397" s="64"/>
      <c r="J397" s="69"/>
      <c r="K397" s="64"/>
      <c r="L397" s="69"/>
      <c r="M397" s="65"/>
      <c r="N397" s="69"/>
      <c r="O397" s="64"/>
      <c r="P397" s="69"/>
      <c r="Q397" s="64"/>
      <c r="R397" s="69"/>
      <c r="S397" s="64"/>
      <c r="T397" s="69"/>
      <c r="U397" s="64"/>
      <c r="V397" s="69"/>
      <c r="W397" s="65"/>
      <c r="X397" s="69"/>
      <c r="Y397" s="64"/>
      <c r="Z397" s="69"/>
      <c r="AA397" s="64"/>
      <c r="AB397" s="69"/>
      <c r="AC397" s="64"/>
      <c r="AD397" s="69"/>
      <c r="AE397" s="65"/>
      <c r="AF397" s="69"/>
      <c r="AG397" s="65"/>
      <c r="AH397" s="69"/>
      <c r="AI397" s="64"/>
      <c r="AJ397" s="69"/>
      <c r="AK397" s="64"/>
      <c r="AL397" s="69"/>
      <c r="AM397" s="64"/>
      <c r="AN397" s="69"/>
      <c r="AO397" s="64"/>
      <c r="AP397" s="69"/>
      <c r="AQ397" s="64"/>
      <c r="AR397" s="69"/>
      <c r="AS397" s="64"/>
      <c r="AT397" s="69"/>
      <c r="AU397" s="64"/>
      <c r="AV397" s="69"/>
      <c r="AW397" s="64"/>
      <c r="AX397" s="69"/>
      <c r="AY397" s="64"/>
      <c r="AZ397" s="69"/>
      <c r="BA397" s="64"/>
      <c r="BB397" s="69"/>
      <c r="BC397" s="64"/>
      <c r="BD397" s="69"/>
      <c r="BE397" s="64"/>
      <c r="BF397" s="69"/>
      <c r="BG397" s="64"/>
      <c r="BH397" s="69"/>
      <c r="BI397" s="64"/>
      <c r="BJ397" s="69"/>
      <c r="BK397" s="64"/>
      <c r="BL397" s="69"/>
      <c r="BM397" s="64"/>
      <c r="BN397" s="69"/>
      <c r="BO397" s="64"/>
      <c r="BP397" s="69"/>
      <c r="BQ397" s="64"/>
      <c r="BR397" s="69"/>
      <c r="BS397" s="64"/>
      <c r="BT397" s="69"/>
      <c r="BU397" t="b">
        <f t="shared" si="6"/>
        <v>0</v>
      </c>
    </row>
    <row r="398" spans="1:73" x14ac:dyDescent="0.25">
      <c r="A398" s="28"/>
      <c r="B398" s="29"/>
      <c r="C398" s="29"/>
      <c r="D398" s="30"/>
      <c r="E398" s="29"/>
      <c r="F398" s="30"/>
      <c r="G398" s="29"/>
      <c r="H398" s="69"/>
      <c r="I398" s="64"/>
      <c r="J398" s="69"/>
      <c r="K398" s="64"/>
      <c r="L398" s="69"/>
      <c r="M398" s="65"/>
      <c r="N398" s="69"/>
      <c r="O398" s="64"/>
      <c r="P398" s="69"/>
      <c r="Q398" s="64"/>
      <c r="R398" s="69"/>
      <c r="S398" s="64"/>
      <c r="T398" s="69"/>
      <c r="U398" s="64"/>
      <c r="V398" s="69"/>
      <c r="W398" s="65"/>
      <c r="X398" s="69"/>
      <c r="Y398" s="64"/>
      <c r="Z398" s="69"/>
      <c r="AA398" s="64"/>
      <c r="AB398" s="69"/>
      <c r="AC398" s="64"/>
      <c r="AD398" s="69"/>
      <c r="AE398" s="65"/>
      <c r="AF398" s="69"/>
      <c r="AG398" s="65"/>
      <c r="AH398" s="69"/>
      <c r="AI398" s="64"/>
      <c r="AJ398" s="69"/>
      <c r="AK398" s="64"/>
      <c r="AL398" s="69"/>
      <c r="AM398" s="64"/>
      <c r="AN398" s="69"/>
      <c r="AO398" s="64"/>
      <c r="AP398" s="69"/>
      <c r="AQ398" s="64"/>
      <c r="AR398" s="69"/>
      <c r="AS398" s="64"/>
      <c r="AT398" s="69"/>
      <c r="AU398" s="64"/>
      <c r="AV398" s="69"/>
      <c r="AW398" s="64"/>
      <c r="AX398" s="69"/>
      <c r="AY398" s="64"/>
      <c r="AZ398" s="69"/>
      <c r="BA398" s="64"/>
      <c r="BB398" s="69"/>
      <c r="BC398" s="64"/>
      <c r="BD398" s="69"/>
      <c r="BE398" s="64"/>
      <c r="BF398" s="69"/>
      <c r="BG398" s="64"/>
      <c r="BH398" s="69"/>
      <c r="BI398" s="64"/>
      <c r="BJ398" s="69"/>
      <c r="BK398" s="64"/>
      <c r="BL398" s="69"/>
      <c r="BM398" s="64"/>
      <c r="BN398" s="69"/>
      <c r="BO398" s="64"/>
      <c r="BP398" s="69"/>
      <c r="BQ398" s="64"/>
      <c r="BR398" s="69"/>
      <c r="BS398" s="64"/>
      <c r="BT398" s="69"/>
      <c r="BU398" t="b">
        <f t="shared" si="6"/>
        <v>0</v>
      </c>
    </row>
    <row r="399" spans="1:73" x14ac:dyDescent="0.25">
      <c r="A399" s="28"/>
      <c r="B399" s="29"/>
      <c r="C399" s="29"/>
      <c r="D399" s="30"/>
      <c r="E399" s="29"/>
      <c r="F399" s="30"/>
      <c r="G399" s="29"/>
      <c r="H399" s="69"/>
      <c r="I399" s="64"/>
      <c r="J399" s="69"/>
      <c r="K399" s="64"/>
      <c r="L399" s="69"/>
      <c r="M399" s="65"/>
      <c r="N399" s="69"/>
      <c r="O399" s="64"/>
      <c r="P399" s="69"/>
      <c r="Q399" s="64"/>
      <c r="R399" s="69"/>
      <c r="S399" s="64"/>
      <c r="T399" s="69"/>
      <c r="U399" s="64"/>
      <c r="V399" s="69"/>
      <c r="W399" s="65"/>
      <c r="X399" s="69"/>
      <c r="Y399" s="64"/>
      <c r="Z399" s="69"/>
      <c r="AA399" s="64"/>
      <c r="AB399" s="69"/>
      <c r="AC399" s="64"/>
      <c r="AD399" s="69"/>
      <c r="AE399" s="65"/>
      <c r="AF399" s="69"/>
      <c r="AG399" s="65"/>
      <c r="AH399" s="69"/>
      <c r="AI399" s="64"/>
      <c r="AJ399" s="69"/>
      <c r="AK399" s="64"/>
      <c r="AL399" s="69"/>
      <c r="AM399" s="64"/>
      <c r="AN399" s="69"/>
      <c r="AO399" s="64"/>
      <c r="AP399" s="69"/>
      <c r="AQ399" s="64"/>
      <c r="AR399" s="69"/>
      <c r="AS399" s="64"/>
      <c r="AT399" s="69"/>
      <c r="AU399" s="64"/>
      <c r="AV399" s="69"/>
      <c r="AW399" s="64"/>
      <c r="AX399" s="69"/>
      <c r="AY399" s="64"/>
      <c r="AZ399" s="69"/>
      <c r="BA399" s="64"/>
      <c r="BB399" s="69"/>
      <c r="BC399" s="64"/>
      <c r="BD399" s="69"/>
      <c r="BE399" s="64"/>
      <c r="BF399" s="69"/>
      <c r="BG399" s="64"/>
      <c r="BH399" s="69"/>
      <c r="BI399" s="64"/>
      <c r="BJ399" s="69"/>
      <c r="BK399" s="64"/>
      <c r="BL399" s="69"/>
      <c r="BM399" s="64"/>
      <c r="BN399" s="69"/>
      <c r="BO399" s="64"/>
      <c r="BP399" s="69"/>
      <c r="BQ399" s="64"/>
      <c r="BR399" s="69"/>
      <c r="BS399" s="64"/>
      <c r="BT399" s="69"/>
      <c r="BU399" t="b">
        <f t="shared" si="6"/>
        <v>0</v>
      </c>
    </row>
    <row r="400" spans="1:73" x14ac:dyDescent="0.25">
      <c r="A400" s="28"/>
      <c r="B400" s="29"/>
      <c r="C400" s="29"/>
      <c r="D400" s="30"/>
      <c r="E400" s="29"/>
      <c r="F400" s="30"/>
      <c r="G400" s="29"/>
      <c r="H400" s="69"/>
      <c r="I400" s="64"/>
      <c r="J400" s="69"/>
      <c r="K400" s="64"/>
      <c r="L400" s="69"/>
      <c r="M400" s="65"/>
      <c r="N400" s="69"/>
      <c r="O400" s="64"/>
      <c r="P400" s="69"/>
      <c r="Q400" s="64"/>
      <c r="R400" s="69"/>
      <c r="S400" s="64"/>
      <c r="T400" s="69"/>
      <c r="U400" s="64"/>
      <c r="V400" s="69"/>
      <c r="W400" s="65"/>
      <c r="X400" s="69"/>
      <c r="Y400" s="64"/>
      <c r="Z400" s="69"/>
      <c r="AA400" s="64"/>
      <c r="AB400" s="69"/>
      <c r="AC400" s="64"/>
      <c r="AD400" s="69"/>
      <c r="AE400" s="65"/>
      <c r="AF400" s="69"/>
      <c r="AG400" s="65"/>
      <c r="AH400" s="69"/>
      <c r="AI400" s="64"/>
      <c r="AJ400" s="69"/>
      <c r="AK400" s="64"/>
      <c r="AL400" s="69"/>
      <c r="AM400" s="64"/>
      <c r="AN400" s="69"/>
      <c r="AO400" s="64"/>
      <c r="AP400" s="69"/>
      <c r="AQ400" s="64"/>
      <c r="AR400" s="69"/>
      <c r="AS400" s="64"/>
      <c r="AT400" s="69"/>
      <c r="AU400" s="64"/>
      <c r="AV400" s="69"/>
      <c r="AW400" s="64"/>
      <c r="AX400" s="69"/>
      <c r="AY400" s="64"/>
      <c r="AZ400" s="69"/>
      <c r="BA400" s="64"/>
      <c r="BB400" s="69"/>
      <c r="BC400" s="64"/>
      <c r="BD400" s="69"/>
      <c r="BE400" s="64"/>
      <c r="BF400" s="69"/>
      <c r="BG400" s="64"/>
      <c r="BH400" s="69"/>
      <c r="BI400" s="64"/>
      <c r="BJ400" s="69"/>
      <c r="BK400" s="64"/>
      <c r="BL400" s="69"/>
      <c r="BM400" s="64"/>
      <c r="BN400" s="69"/>
      <c r="BO400" s="64"/>
      <c r="BP400" s="69"/>
      <c r="BQ400" s="64"/>
      <c r="BR400" s="69"/>
      <c r="BS400" s="64"/>
      <c r="BT400" s="69"/>
      <c r="BU400" t="b">
        <f t="shared" si="6"/>
        <v>0</v>
      </c>
    </row>
    <row r="401" spans="1:73" x14ac:dyDescent="0.25">
      <c r="A401" s="28"/>
      <c r="B401" s="29"/>
      <c r="C401" s="29"/>
      <c r="D401" s="30"/>
      <c r="E401" s="29"/>
      <c r="F401" s="30"/>
      <c r="G401" s="29"/>
      <c r="H401" s="69"/>
      <c r="I401" s="64"/>
      <c r="J401" s="69"/>
      <c r="K401" s="64"/>
      <c r="L401" s="69"/>
      <c r="M401" s="65"/>
      <c r="N401" s="69"/>
      <c r="O401" s="64"/>
      <c r="P401" s="69"/>
      <c r="Q401" s="64"/>
      <c r="R401" s="69"/>
      <c r="S401" s="64"/>
      <c r="T401" s="69"/>
      <c r="U401" s="64"/>
      <c r="V401" s="69"/>
      <c r="W401" s="65"/>
      <c r="X401" s="69"/>
      <c r="Y401" s="64"/>
      <c r="Z401" s="69"/>
      <c r="AA401" s="64"/>
      <c r="AB401" s="69"/>
      <c r="AC401" s="64"/>
      <c r="AD401" s="69"/>
      <c r="AE401" s="65"/>
      <c r="AF401" s="69"/>
      <c r="AG401" s="65"/>
      <c r="AH401" s="69"/>
      <c r="AI401" s="64"/>
      <c r="AJ401" s="69"/>
      <c r="AK401" s="64"/>
      <c r="AL401" s="69"/>
      <c r="AM401" s="64"/>
      <c r="AN401" s="69"/>
      <c r="AO401" s="64"/>
      <c r="AP401" s="69"/>
      <c r="AQ401" s="64"/>
      <c r="AR401" s="69"/>
      <c r="AS401" s="64"/>
      <c r="AT401" s="69"/>
      <c r="AU401" s="64"/>
      <c r="AV401" s="69"/>
      <c r="AW401" s="64"/>
      <c r="AX401" s="69"/>
      <c r="AY401" s="64"/>
      <c r="AZ401" s="69"/>
      <c r="BA401" s="64"/>
      <c r="BB401" s="69"/>
      <c r="BC401" s="64"/>
      <c r="BD401" s="69"/>
      <c r="BE401" s="64"/>
      <c r="BF401" s="69"/>
      <c r="BG401" s="64"/>
      <c r="BH401" s="69"/>
      <c r="BI401" s="64"/>
      <c r="BJ401" s="69"/>
      <c r="BK401" s="64"/>
      <c r="BL401" s="69"/>
      <c r="BM401" s="64"/>
      <c r="BN401" s="69"/>
      <c r="BO401" s="64"/>
      <c r="BP401" s="69"/>
      <c r="BQ401" s="64"/>
      <c r="BR401" s="69"/>
      <c r="BS401" s="64"/>
      <c r="BT401" s="69"/>
      <c r="BU401" t="b">
        <f t="shared" si="6"/>
        <v>0</v>
      </c>
    </row>
    <row r="402" spans="1:73" x14ac:dyDescent="0.25">
      <c r="A402" s="28"/>
      <c r="B402" s="29"/>
      <c r="C402" s="29"/>
      <c r="D402" s="30"/>
      <c r="E402" s="29"/>
      <c r="F402" s="30"/>
      <c r="G402" s="29"/>
      <c r="H402" s="69"/>
      <c r="I402" s="64"/>
      <c r="J402" s="69"/>
      <c r="K402" s="64"/>
      <c r="L402" s="69"/>
      <c r="M402" s="65"/>
      <c r="N402" s="69"/>
      <c r="O402" s="64"/>
      <c r="P402" s="69"/>
      <c r="Q402" s="64"/>
      <c r="R402" s="69"/>
      <c r="S402" s="64"/>
      <c r="T402" s="69"/>
      <c r="U402" s="64"/>
      <c r="V402" s="69"/>
      <c r="W402" s="65"/>
      <c r="X402" s="69"/>
      <c r="Y402" s="64"/>
      <c r="Z402" s="69"/>
      <c r="AA402" s="64"/>
      <c r="AB402" s="69"/>
      <c r="AC402" s="64"/>
      <c r="AD402" s="69"/>
      <c r="AE402" s="65"/>
      <c r="AF402" s="69"/>
      <c r="AG402" s="65"/>
      <c r="AH402" s="69"/>
      <c r="AI402" s="64"/>
      <c r="AJ402" s="69"/>
      <c r="AK402" s="64"/>
      <c r="AL402" s="69"/>
      <c r="AM402" s="64"/>
      <c r="AN402" s="69"/>
      <c r="AO402" s="64"/>
      <c r="AP402" s="69"/>
      <c r="AQ402" s="64"/>
      <c r="AR402" s="69"/>
      <c r="AS402" s="64"/>
      <c r="AT402" s="69"/>
      <c r="AU402" s="64"/>
      <c r="AV402" s="69"/>
      <c r="AW402" s="64"/>
      <c r="AX402" s="69"/>
      <c r="AY402" s="64"/>
      <c r="AZ402" s="69"/>
      <c r="BA402" s="64"/>
      <c r="BB402" s="69"/>
      <c r="BC402" s="64"/>
      <c r="BD402" s="69"/>
      <c r="BE402" s="64"/>
      <c r="BF402" s="69"/>
      <c r="BG402" s="64"/>
      <c r="BH402" s="69"/>
      <c r="BI402" s="64"/>
      <c r="BJ402" s="69"/>
      <c r="BK402" s="64"/>
      <c r="BL402" s="69"/>
      <c r="BM402" s="64"/>
      <c r="BN402" s="69"/>
      <c r="BO402" s="64"/>
      <c r="BP402" s="69"/>
      <c r="BQ402" s="64"/>
      <c r="BR402" s="69"/>
      <c r="BS402" s="64"/>
      <c r="BT402" s="69"/>
      <c r="BU402" t="b">
        <f t="shared" si="6"/>
        <v>0</v>
      </c>
    </row>
    <row r="403" spans="1:73" x14ac:dyDescent="0.25">
      <c r="A403" s="28"/>
      <c r="B403" s="29"/>
      <c r="C403" s="29"/>
      <c r="D403" s="30"/>
      <c r="E403" s="29"/>
      <c r="F403" s="30"/>
      <c r="G403" s="29"/>
      <c r="H403" s="69"/>
      <c r="I403" s="64"/>
      <c r="J403" s="69"/>
      <c r="K403" s="64"/>
      <c r="L403" s="69"/>
      <c r="M403" s="65"/>
      <c r="N403" s="69"/>
      <c r="O403" s="64"/>
      <c r="P403" s="69"/>
      <c r="Q403" s="64"/>
      <c r="R403" s="69"/>
      <c r="S403" s="64"/>
      <c r="T403" s="69"/>
      <c r="U403" s="64"/>
      <c r="V403" s="69"/>
      <c r="W403" s="65"/>
      <c r="X403" s="69"/>
      <c r="Y403" s="64"/>
      <c r="Z403" s="69"/>
      <c r="AA403" s="64"/>
      <c r="AB403" s="69"/>
      <c r="AC403" s="64"/>
      <c r="AD403" s="69"/>
      <c r="AE403" s="65"/>
      <c r="AF403" s="69"/>
      <c r="AG403" s="65"/>
      <c r="AH403" s="69"/>
      <c r="AI403" s="64"/>
      <c r="AJ403" s="69"/>
      <c r="AK403" s="64"/>
      <c r="AL403" s="69"/>
      <c r="AM403" s="64"/>
      <c r="AN403" s="69"/>
      <c r="AO403" s="64"/>
      <c r="AP403" s="69"/>
      <c r="AQ403" s="64"/>
      <c r="AR403" s="69"/>
      <c r="AS403" s="64"/>
      <c r="AT403" s="69"/>
      <c r="AU403" s="64"/>
      <c r="AV403" s="69"/>
      <c r="AW403" s="64"/>
      <c r="AX403" s="69"/>
      <c r="AY403" s="64"/>
      <c r="AZ403" s="69"/>
      <c r="BA403" s="64"/>
      <c r="BB403" s="69"/>
      <c r="BC403" s="64"/>
      <c r="BD403" s="69"/>
      <c r="BE403" s="64"/>
      <c r="BF403" s="69"/>
      <c r="BG403" s="64"/>
      <c r="BH403" s="69"/>
      <c r="BI403" s="64"/>
      <c r="BJ403" s="69"/>
      <c r="BK403" s="64"/>
      <c r="BL403" s="69"/>
      <c r="BM403" s="64"/>
      <c r="BN403" s="69"/>
      <c r="BO403" s="64"/>
      <c r="BP403" s="69"/>
      <c r="BQ403" s="64"/>
      <c r="BR403" s="69"/>
      <c r="BS403" s="64"/>
      <c r="BT403" s="69"/>
      <c r="BU403" t="b">
        <f t="shared" si="6"/>
        <v>0</v>
      </c>
    </row>
    <row r="404" spans="1:73" x14ac:dyDescent="0.25">
      <c r="A404" s="28"/>
      <c r="B404" s="29"/>
      <c r="C404" s="29"/>
      <c r="D404" s="30"/>
      <c r="E404" s="29"/>
      <c r="F404" s="30"/>
      <c r="G404" s="29"/>
      <c r="H404" s="69"/>
      <c r="I404" s="64"/>
      <c r="J404" s="69"/>
      <c r="K404" s="64"/>
      <c r="L404" s="69"/>
      <c r="M404" s="65"/>
      <c r="N404" s="69"/>
      <c r="O404" s="64"/>
      <c r="P404" s="69"/>
      <c r="Q404" s="64"/>
      <c r="R404" s="69"/>
      <c r="S404" s="64"/>
      <c r="T404" s="69"/>
      <c r="U404" s="64"/>
      <c r="V404" s="69"/>
      <c r="W404" s="65"/>
      <c r="X404" s="69"/>
      <c r="Y404" s="64"/>
      <c r="Z404" s="69"/>
      <c r="AA404" s="64"/>
      <c r="AB404" s="69"/>
      <c r="AC404" s="64"/>
      <c r="AD404" s="69"/>
      <c r="AE404" s="65"/>
      <c r="AF404" s="69"/>
      <c r="AG404" s="65"/>
      <c r="AH404" s="69"/>
      <c r="AI404" s="64"/>
      <c r="AJ404" s="69"/>
      <c r="AK404" s="64"/>
      <c r="AL404" s="69"/>
      <c r="AM404" s="64"/>
      <c r="AN404" s="69"/>
      <c r="AO404" s="64"/>
      <c r="AP404" s="69"/>
      <c r="AQ404" s="64"/>
      <c r="AR404" s="69"/>
      <c r="AS404" s="64"/>
      <c r="AT404" s="69"/>
      <c r="AU404" s="64"/>
      <c r="AV404" s="69"/>
      <c r="AW404" s="64"/>
      <c r="AX404" s="69"/>
      <c r="AY404" s="64"/>
      <c r="AZ404" s="69"/>
      <c r="BA404" s="64"/>
      <c r="BB404" s="69"/>
      <c r="BC404" s="64"/>
      <c r="BD404" s="69"/>
      <c r="BE404" s="64"/>
      <c r="BF404" s="69"/>
      <c r="BG404" s="64"/>
      <c r="BH404" s="69"/>
      <c r="BI404" s="64"/>
      <c r="BJ404" s="69"/>
      <c r="BK404" s="64"/>
      <c r="BL404" s="69"/>
      <c r="BM404" s="64"/>
      <c r="BN404" s="69"/>
      <c r="BO404" s="64"/>
      <c r="BP404" s="69"/>
      <c r="BQ404" s="64"/>
      <c r="BR404" s="69"/>
      <c r="BS404" s="64"/>
      <c r="BT404" s="69"/>
      <c r="BU404" t="b">
        <f t="shared" si="6"/>
        <v>0</v>
      </c>
    </row>
    <row r="405" spans="1:73" x14ac:dyDescent="0.25">
      <c r="A405" s="28"/>
      <c r="B405" s="29"/>
      <c r="C405" s="29"/>
      <c r="D405" s="30"/>
      <c r="E405" s="29"/>
      <c r="F405" s="30"/>
      <c r="G405" s="29"/>
      <c r="H405" s="69"/>
      <c r="I405" s="64"/>
      <c r="J405" s="69"/>
      <c r="K405" s="64"/>
      <c r="L405" s="69"/>
      <c r="M405" s="65"/>
      <c r="N405" s="69"/>
      <c r="O405" s="64"/>
      <c r="P405" s="69"/>
      <c r="Q405" s="64"/>
      <c r="R405" s="69"/>
      <c r="S405" s="64"/>
      <c r="T405" s="69"/>
      <c r="U405" s="64"/>
      <c r="V405" s="69"/>
      <c r="W405" s="65"/>
      <c r="X405" s="69"/>
      <c r="Y405" s="64"/>
      <c r="Z405" s="69"/>
      <c r="AA405" s="64"/>
      <c r="AB405" s="69"/>
      <c r="AC405" s="64"/>
      <c r="AD405" s="69"/>
      <c r="AE405" s="65"/>
      <c r="AF405" s="69"/>
      <c r="AG405" s="65"/>
      <c r="AH405" s="69"/>
      <c r="AI405" s="64"/>
      <c r="AJ405" s="69"/>
      <c r="AK405" s="64"/>
      <c r="AL405" s="69"/>
      <c r="AM405" s="64"/>
      <c r="AN405" s="69"/>
      <c r="AO405" s="64"/>
      <c r="AP405" s="69"/>
      <c r="AQ405" s="64"/>
      <c r="AR405" s="69"/>
      <c r="AS405" s="64"/>
      <c r="AT405" s="69"/>
      <c r="AU405" s="64"/>
      <c r="AV405" s="69"/>
      <c r="AW405" s="64"/>
      <c r="AX405" s="69"/>
      <c r="AY405" s="64"/>
      <c r="AZ405" s="69"/>
      <c r="BA405" s="64"/>
      <c r="BB405" s="69"/>
      <c r="BC405" s="64"/>
      <c r="BD405" s="69"/>
      <c r="BE405" s="64"/>
      <c r="BF405" s="69"/>
      <c r="BG405" s="64"/>
      <c r="BH405" s="69"/>
      <c r="BI405" s="64"/>
      <c r="BJ405" s="69"/>
      <c r="BK405" s="64"/>
      <c r="BL405" s="69"/>
      <c r="BM405" s="64"/>
      <c r="BN405" s="69"/>
      <c r="BO405" s="64"/>
      <c r="BP405" s="69"/>
      <c r="BQ405" s="64"/>
      <c r="BR405" s="69"/>
      <c r="BS405" s="64"/>
      <c r="BT405" s="69"/>
      <c r="BU405" t="b">
        <f t="shared" si="6"/>
        <v>0</v>
      </c>
    </row>
    <row r="406" spans="1:73" x14ac:dyDescent="0.25">
      <c r="A406" s="28"/>
      <c r="B406" s="29"/>
      <c r="C406" s="29"/>
      <c r="D406" s="30"/>
      <c r="E406" s="29"/>
      <c r="F406" s="30"/>
      <c r="G406" s="29"/>
      <c r="H406" s="69"/>
      <c r="I406" s="64"/>
      <c r="J406" s="69"/>
      <c r="K406" s="64"/>
      <c r="L406" s="69"/>
      <c r="M406" s="65"/>
      <c r="N406" s="69"/>
      <c r="O406" s="64"/>
      <c r="P406" s="69"/>
      <c r="Q406" s="64"/>
      <c r="R406" s="69"/>
      <c r="S406" s="64"/>
      <c r="T406" s="69"/>
      <c r="U406" s="64"/>
      <c r="V406" s="69"/>
      <c r="W406" s="65"/>
      <c r="X406" s="69"/>
      <c r="Y406" s="64"/>
      <c r="Z406" s="69"/>
      <c r="AA406" s="64"/>
      <c r="AB406" s="69"/>
      <c r="AC406" s="64"/>
      <c r="AD406" s="69"/>
      <c r="AE406" s="65"/>
      <c r="AF406" s="69"/>
      <c r="AG406" s="65"/>
      <c r="AH406" s="69"/>
      <c r="AI406" s="64"/>
      <c r="AJ406" s="69"/>
      <c r="AK406" s="64"/>
      <c r="AL406" s="69"/>
      <c r="AM406" s="64"/>
      <c r="AN406" s="69"/>
      <c r="AO406" s="64"/>
      <c r="AP406" s="69"/>
      <c r="AQ406" s="64"/>
      <c r="AR406" s="69"/>
      <c r="AS406" s="64"/>
      <c r="AT406" s="69"/>
      <c r="AU406" s="64"/>
      <c r="AV406" s="69"/>
      <c r="AW406" s="64"/>
      <c r="AX406" s="69"/>
      <c r="AY406" s="64"/>
      <c r="AZ406" s="69"/>
      <c r="BA406" s="64"/>
      <c r="BB406" s="69"/>
      <c r="BC406" s="64"/>
      <c r="BD406" s="69"/>
      <c r="BE406" s="64"/>
      <c r="BF406" s="69"/>
      <c r="BG406" s="64"/>
      <c r="BH406" s="69"/>
      <c r="BI406" s="64"/>
      <c r="BJ406" s="69"/>
      <c r="BK406" s="64"/>
      <c r="BL406" s="69"/>
      <c r="BM406" s="64"/>
      <c r="BN406" s="69"/>
      <c r="BO406" s="64"/>
      <c r="BP406" s="69"/>
      <c r="BQ406" s="64"/>
      <c r="BR406" s="69"/>
      <c r="BS406" s="64"/>
      <c r="BT406" s="69"/>
      <c r="BU406" t="b">
        <f t="shared" si="6"/>
        <v>0</v>
      </c>
    </row>
    <row r="407" spans="1:73" x14ac:dyDescent="0.25">
      <c r="A407" s="28"/>
      <c r="B407" s="29"/>
      <c r="C407" s="29"/>
      <c r="D407" s="30"/>
      <c r="E407" s="29"/>
      <c r="F407" s="30"/>
      <c r="G407" s="29"/>
      <c r="H407" s="69"/>
      <c r="I407" s="64"/>
      <c r="J407" s="69"/>
      <c r="K407" s="64"/>
      <c r="L407" s="69"/>
      <c r="M407" s="65"/>
      <c r="N407" s="69"/>
      <c r="O407" s="64"/>
      <c r="P407" s="69"/>
      <c r="Q407" s="64"/>
      <c r="R407" s="69"/>
      <c r="S407" s="64"/>
      <c r="T407" s="69"/>
      <c r="U407" s="64"/>
      <c r="V407" s="69"/>
      <c r="W407" s="65"/>
      <c r="X407" s="69"/>
      <c r="Y407" s="64"/>
      <c r="Z407" s="69"/>
      <c r="AA407" s="64"/>
      <c r="AB407" s="69"/>
      <c r="AC407" s="64"/>
      <c r="AD407" s="69"/>
      <c r="AE407" s="65"/>
      <c r="AF407" s="69"/>
      <c r="AG407" s="65"/>
      <c r="AH407" s="69"/>
      <c r="AI407" s="64"/>
      <c r="AJ407" s="69"/>
      <c r="AK407" s="64"/>
      <c r="AL407" s="69"/>
      <c r="AM407" s="64"/>
      <c r="AN407" s="69"/>
      <c r="AO407" s="64"/>
      <c r="AP407" s="69"/>
      <c r="AQ407" s="64"/>
      <c r="AR407" s="69"/>
      <c r="AS407" s="64"/>
      <c r="AT407" s="69"/>
      <c r="AU407" s="64"/>
      <c r="AV407" s="69"/>
      <c r="AW407" s="64"/>
      <c r="AX407" s="69"/>
      <c r="AY407" s="64"/>
      <c r="AZ407" s="69"/>
      <c r="BA407" s="64"/>
      <c r="BB407" s="69"/>
      <c r="BC407" s="64"/>
      <c r="BD407" s="69"/>
      <c r="BE407" s="64"/>
      <c r="BF407" s="69"/>
      <c r="BG407" s="64"/>
      <c r="BH407" s="69"/>
      <c r="BI407" s="64"/>
      <c r="BJ407" s="69"/>
      <c r="BK407" s="64"/>
      <c r="BL407" s="69"/>
      <c r="BM407" s="64"/>
      <c r="BN407" s="69"/>
      <c r="BO407" s="64"/>
      <c r="BP407" s="69"/>
      <c r="BQ407" s="64"/>
      <c r="BR407" s="69"/>
      <c r="BS407" s="64"/>
      <c r="BT407" s="69"/>
      <c r="BU407" t="b">
        <f t="shared" si="6"/>
        <v>0</v>
      </c>
    </row>
    <row r="408" spans="1:73" x14ac:dyDescent="0.25">
      <c r="A408" s="28"/>
      <c r="B408" s="29"/>
      <c r="C408" s="29"/>
      <c r="D408" s="30"/>
      <c r="E408" s="29"/>
      <c r="F408" s="30"/>
      <c r="G408" s="29"/>
      <c r="H408" s="69"/>
      <c r="I408" s="64"/>
      <c r="J408" s="69"/>
      <c r="K408" s="64"/>
      <c r="L408" s="69"/>
      <c r="M408" s="65"/>
      <c r="N408" s="69"/>
      <c r="O408" s="64"/>
      <c r="P408" s="69"/>
      <c r="Q408" s="64"/>
      <c r="R408" s="69"/>
      <c r="S408" s="64"/>
      <c r="T408" s="69"/>
      <c r="U408" s="64"/>
      <c r="V408" s="69"/>
      <c r="W408" s="65"/>
      <c r="X408" s="69"/>
      <c r="Y408" s="64"/>
      <c r="Z408" s="69"/>
      <c r="AA408" s="64"/>
      <c r="AB408" s="69"/>
      <c r="AC408" s="64"/>
      <c r="AD408" s="69"/>
      <c r="AE408" s="65"/>
      <c r="AF408" s="69"/>
      <c r="AG408" s="65"/>
      <c r="AH408" s="69"/>
      <c r="AI408" s="64"/>
      <c r="AJ408" s="69"/>
      <c r="AK408" s="64"/>
      <c r="AL408" s="69"/>
      <c r="AM408" s="64"/>
      <c r="AN408" s="69"/>
      <c r="AO408" s="64"/>
      <c r="AP408" s="69"/>
      <c r="AQ408" s="64"/>
      <c r="AR408" s="69"/>
      <c r="AS408" s="64"/>
      <c r="AT408" s="69"/>
      <c r="AU408" s="64"/>
      <c r="AV408" s="69"/>
      <c r="AW408" s="64"/>
      <c r="AX408" s="69"/>
      <c r="AY408" s="64"/>
      <c r="AZ408" s="69"/>
      <c r="BA408" s="64"/>
      <c r="BB408" s="69"/>
      <c r="BC408" s="64"/>
      <c r="BD408" s="69"/>
      <c r="BE408" s="64"/>
      <c r="BF408" s="69"/>
      <c r="BG408" s="64"/>
      <c r="BH408" s="69"/>
      <c r="BI408" s="64"/>
      <c r="BJ408" s="69"/>
      <c r="BK408" s="64"/>
      <c r="BL408" s="69"/>
      <c r="BM408" s="64"/>
      <c r="BN408" s="69"/>
      <c r="BO408" s="64"/>
      <c r="BP408" s="69"/>
      <c r="BQ408" s="64"/>
      <c r="BR408" s="69"/>
      <c r="BS408" s="64"/>
      <c r="BT408" s="69"/>
      <c r="BU408" t="b">
        <f t="shared" si="6"/>
        <v>0</v>
      </c>
    </row>
    <row r="409" spans="1:73" x14ac:dyDescent="0.25">
      <c r="A409" s="28"/>
      <c r="B409" s="29"/>
      <c r="C409" s="29"/>
      <c r="D409" s="30"/>
      <c r="E409" s="29"/>
      <c r="F409" s="30"/>
      <c r="G409" s="29"/>
      <c r="H409" s="69"/>
      <c r="I409" s="64"/>
      <c r="J409" s="69"/>
      <c r="K409" s="64"/>
      <c r="L409" s="69"/>
      <c r="M409" s="65"/>
      <c r="N409" s="69"/>
      <c r="O409" s="64"/>
      <c r="P409" s="69"/>
      <c r="Q409" s="64"/>
      <c r="R409" s="69"/>
      <c r="S409" s="64"/>
      <c r="T409" s="69"/>
      <c r="U409" s="64"/>
      <c r="V409" s="69"/>
      <c r="W409" s="65"/>
      <c r="X409" s="69"/>
      <c r="Y409" s="64"/>
      <c r="Z409" s="69"/>
      <c r="AA409" s="64"/>
      <c r="AB409" s="69"/>
      <c r="AC409" s="64"/>
      <c r="AD409" s="69"/>
      <c r="AE409" s="65"/>
      <c r="AF409" s="69"/>
      <c r="AG409" s="65"/>
      <c r="AH409" s="69"/>
      <c r="AI409" s="64"/>
      <c r="AJ409" s="69"/>
      <c r="AK409" s="64"/>
      <c r="AL409" s="69"/>
      <c r="AM409" s="64"/>
      <c r="AN409" s="69"/>
      <c r="AO409" s="64"/>
      <c r="AP409" s="69"/>
      <c r="AQ409" s="64"/>
      <c r="AR409" s="69"/>
      <c r="AS409" s="64"/>
      <c r="AT409" s="69"/>
      <c r="AU409" s="64"/>
      <c r="AV409" s="69"/>
      <c r="AW409" s="64"/>
      <c r="AX409" s="69"/>
      <c r="AY409" s="64"/>
      <c r="AZ409" s="69"/>
      <c r="BA409" s="64"/>
      <c r="BB409" s="69"/>
      <c r="BC409" s="64"/>
      <c r="BD409" s="69"/>
      <c r="BE409" s="64"/>
      <c r="BF409" s="69"/>
      <c r="BG409" s="64"/>
      <c r="BH409" s="69"/>
      <c r="BI409" s="64"/>
      <c r="BJ409" s="69"/>
      <c r="BK409" s="64"/>
      <c r="BL409" s="69"/>
      <c r="BM409" s="64"/>
      <c r="BN409" s="69"/>
      <c r="BO409" s="64"/>
      <c r="BP409" s="69"/>
      <c r="BQ409" s="64"/>
      <c r="BR409" s="69"/>
      <c r="BS409" s="64"/>
      <c r="BT409" s="69"/>
      <c r="BU409" t="b">
        <f t="shared" si="6"/>
        <v>0</v>
      </c>
    </row>
    <row r="410" spans="1:73" x14ac:dyDescent="0.25">
      <c r="A410" s="28"/>
      <c r="B410" s="29"/>
      <c r="C410" s="29"/>
      <c r="D410" s="30"/>
      <c r="E410" s="29"/>
      <c r="F410" s="30"/>
      <c r="G410" s="29"/>
      <c r="H410" s="69"/>
      <c r="I410" s="64"/>
      <c r="J410" s="69"/>
      <c r="K410" s="64"/>
      <c r="L410" s="69"/>
      <c r="M410" s="65"/>
      <c r="N410" s="69"/>
      <c r="O410" s="64"/>
      <c r="P410" s="69"/>
      <c r="Q410" s="64"/>
      <c r="R410" s="69"/>
      <c r="S410" s="64"/>
      <c r="T410" s="69"/>
      <c r="U410" s="64"/>
      <c r="V410" s="69"/>
      <c r="W410" s="65"/>
      <c r="X410" s="69"/>
      <c r="Y410" s="64"/>
      <c r="Z410" s="69"/>
      <c r="AA410" s="64"/>
      <c r="AB410" s="69"/>
      <c r="AC410" s="64"/>
      <c r="AD410" s="69"/>
      <c r="AE410" s="65"/>
      <c r="AF410" s="69"/>
      <c r="AG410" s="65"/>
      <c r="AH410" s="69"/>
      <c r="AI410" s="64"/>
      <c r="AJ410" s="69"/>
      <c r="AK410" s="64"/>
      <c r="AL410" s="69"/>
      <c r="AM410" s="64"/>
      <c r="AN410" s="69"/>
      <c r="AO410" s="64"/>
      <c r="AP410" s="69"/>
      <c r="AQ410" s="64"/>
      <c r="AR410" s="69"/>
      <c r="AS410" s="64"/>
      <c r="AT410" s="69"/>
      <c r="AU410" s="64"/>
      <c r="AV410" s="69"/>
      <c r="AW410" s="64"/>
      <c r="AX410" s="69"/>
      <c r="AY410" s="64"/>
      <c r="AZ410" s="69"/>
      <c r="BA410" s="64"/>
      <c r="BB410" s="69"/>
      <c r="BC410" s="64"/>
      <c r="BD410" s="69"/>
      <c r="BE410" s="64"/>
      <c r="BF410" s="69"/>
      <c r="BG410" s="64"/>
      <c r="BH410" s="69"/>
      <c r="BI410" s="64"/>
      <c r="BJ410" s="69"/>
      <c r="BK410" s="64"/>
      <c r="BL410" s="69"/>
      <c r="BM410" s="64"/>
      <c r="BN410" s="69"/>
      <c r="BO410" s="64"/>
      <c r="BP410" s="69"/>
      <c r="BQ410" s="64"/>
      <c r="BR410" s="69"/>
      <c r="BS410" s="64"/>
      <c r="BT410" s="69"/>
      <c r="BU410" t="b">
        <f t="shared" si="6"/>
        <v>0</v>
      </c>
    </row>
    <row r="411" spans="1:73" x14ac:dyDescent="0.25">
      <c r="A411" s="28"/>
      <c r="B411" s="29"/>
      <c r="C411" s="29"/>
      <c r="D411" s="30"/>
      <c r="E411" s="29"/>
      <c r="F411" s="30"/>
      <c r="G411" s="29"/>
      <c r="H411" s="69"/>
      <c r="I411" s="64"/>
      <c r="J411" s="69"/>
      <c r="K411" s="64"/>
      <c r="L411" s="69"/>
      <c r="M411" s="65"/>
      <c r="N411" s="69"/>
      <c r="O411" s="64"/>
      <c r="P411" s="69"/>
      <c r="Q411" s="64"/>
      <c r="R411" s="69"/>
      <c r="S411" s="64"/>
      <c r="T411" s="69"/>
      <c r="U411" s="64"/>
      <c r="V411" s="69"/>
      <c r="W411" s="65"/>
      <c r="X411" s="69"/>
      <c r="Y411" s="64"/>
      <c r="Z411" s="69"/>
      <c r="AA411" s="64"/>
      <c r="AB411" s="69"/>
      <c r="AC411" s="64"/>
      <c r="AD411" s="69"/>
      <c r="AE411" s="65"/>
      <c r="AF411" s="69"/>
      <c r="AG411" s="65"/>
      <c r="AH411" s="69"/>
      <c r="AI411" s="64"/>
      <c r="AJ411" s="69"/>
      <c r="AK411" s="64"/>
      <c r="AL411" s="69"/>
      <c r="AM411" s="64"/>
      <c r="AN411" s="69"/>
      <c r="AO411" s="64"/>
      <c r="AP411" s="69"/>
      <c r="AQ411" s="64"/>
      <c r="AR411" s="69"/>
      <c r="AS411" s="64"/>
      <c r="AT411" s="69"/>
      <c r="AU411" s="64"/>
      <c r="AV411" s="69"/>
      <c r="AW411" s="64"/>
      <c r="AX411" s="69"/>
      <c r="AY411" s="64"/>
      <c r="AZ411" s="69"/>
      <c r="BA411" s="64"/>
      <c r="BB411" s="69"/>
      <c r="BC411" s="64"/>
      <c r="BD411" s="69"/>
      <c r="BE411" s="64"/>
      <c r="BF411" s="69"/>
      <c r="BG411" s="64"/>
      <c r="BH411" s="69"/>
      <c r="BI411" s="64"/>
      <c r="BJ411" s="69"/>
      <c r="BK411" s="64"/>
      <c r="BL411" s="69"/>
      <c r="BM411" s="64"/>
      <c r="BN411" s="69"/>
      <c r="BO411" s="64"/>
      <c r="BP411" s="69"/>
      <c r="BQ411" s="64"/>
      <c r="BR411" s="69"/>
      <c r="BS411" s="64"/>
      <c r="BT411" s="69"/>
      <c r="BU411" t="b">
        <f t="shared" si="6"/>
        <v>0</v>
      </c>
    </row>
    <row r="412" spans="1:73" x14ac:dyDescent="0.25">
      <c r="A412" s="28"/>
      <c r="B412" s="29"/>
      <c r="C412" s="29"/>
      <c r="D412" s="30"/>
      <c r="E412" s="29"/>
      <c r="F412" s="30"/>
      <c r="G412" s="29"/>
      <c r="H412" s="69"/>
      <c r="I412" s="64"/>
      <c r="J412" s="69"/>
      <c r="K412" s="64"/>
      <c r="L412" s="69"/>
      <c r="M412" s="65"/>
      <c r="N412" s="69"/>
      <c r="O412" s="64"/>
      <c r="P412" s="69"/>
      <c r="Q412" s="64"/>
      <c r="R412" s="69"/>
      <c r="S412" s="64"/>
      <c r="T412" s="69"/>
      <c r="U412" s="64"/>
      <c r="V412" s="69"/>
      <c r="W412" s="65"/>
      <c r="X412" s="69"/>
      <c r="Y412" s="64"/>
      <c r="Z412" s="69"/>
      <c r="AA412" s="64"/>
      <c r="AB412" s="69"/>
      <c r="AC412" s="64"/>
      <c r="AD412" s="69"/>
      <c r="AE412" s="65"/>
      <c r="AF412" s="69"/>
      <c r="AG412" s="65"/>
      <c r="AH412" s="69"/>
      <c r="AI412" s="64"/>
      <c r="AJ412" s="69"/>
      <c r="AK412" s="64"/>
      <c r="AL412" s="69"/>
      <c r="AM412" s="64"/>
      <c r="AN412" s="69"/>
      <c r="AO412" s="64"/>
      <c r="AP412" s="69"/>
      <c r="AQ412" s="64"/>
      <c r="AR412" s="69"/>
      <c r="AS412" s="64"/>
      <c r="AT412" s="69"/>
      <c r="AU412" s="64"/>
      <c r="AV412" s="69"/>
      <c r="AW412" s="64"/>
      <c r="AX412" s="69"/>
      <c r="AY412" s="64"/>
      <c r="AZ412" s="69"/>
      <c r="BA412" s="64"/>
      <c r="BB412" s="69"/>
      <c r="BC412" s="64"/>
      <c r="BD412" s="69"/>
      <c r="BE412" s="64"/>
      <c r="BF412" s="69"/>
      <c r="BG412" s="64"/>
      <c r="BH412" s="69"/>
      <c r="BI412" s="64"/>
      <c r="BJ412" s="69"/>
      <c r="BK412" s="64"/>
      <c r="BL412" s="69"/>
      <c r="BM412" s="64"/>
      <c r="BN412" s="69"/>
      <c r="BO412" s="64"/>
      <c r="BP412" s="69"/>
      <c r="BQ412" s="64"/>
      <c r="BR412" s="69"/>
      <c r="BS412" s="64"/>
      <c r="BT412" s="69"/>
      <c r="BU412" t="b">
        <f t="shared" si="6"/>
        <v>0</v>
      </c>
    </row>
    <row r="413" spans="1:73" x14ac:dyDescent="0.25">
      <c r="A413" s="28"/>
      <c r="B413" s="29"/>
      <c r="C413" s="29"/>
      <c r="D413" s="30"/>
      <c r="E413" s="29"/>
      <c r="F413" s="30"/>
      <c r="G413" s="29"/>
      <c r="H413" s="69"/>
      <c r="I413" s="64"/>
      <c r="J413" s="69"/>
      <c r="K413" s="64"/>
      <c r="L413" s="69"/>
      <c r="M413" s="65"/>
      <c r="N413" s="69"/>
      <c r="O413" s="64"/>
      <c r="P413" s="69"/>
      <c r="Q413" s="64"/>
      <c r="R413" s="69"/>
      <c r="S413" s="64"/>
      <c r="T413" s="69"/>
      <c r="U413" s="64"/>
      <c r="V413" s="69"/>
      <c r="W413" s="65"/>
      <c r="X413" s="69"/>
      <c r="Y413" s="64"/>
      <c r="Z413" s="69"/>
      <c r="AA413" s="64"/>
      <c r="AB413" s="69"/>
      <c r="AC413" s="64"/>
      <c r="AD413" s="69"/>
      <c r="AE413" s="65"/>
      <c r="AF413" s="69"/>
      <c r="AG413" s="65"/>
      <c r="AH413" s="69"/>
      <c r="AI413" s="64"/>
      <c r="AJ413" s="69"/>
      <c r="AK413" s="64"/>
      <c r="AL413" s="69"/>
      <c r="AM413" s="64"/>
      <c r="AN413" s="69"/>
      <c r="AO413" s="64"/>
      <c r="AP413" s="69"/>
      <c r="AQ413" s="64"/>
      <c r="AR413" s="69"/>
      <c r="AS413" s="64"/>
      <c r="AT413" s="69"/>
      <c r="AU413" s="64"/>
      <c r="AV413" s="69"/>
      <c r="AW413" s="64"/>
      <c r="AX413" s="69"/>
      <c r="AY413" s="64"/>
      <c r="AZ413" s="69"/>
      <c r="BA413" s="64"/>
      <c r="BB413" s="69"/>
      <c r="BC413" s="64"/>
      <c r="BD413" s="69"/>
      <c r="BE413" s="64"/>
      <c r="BF413" s="69"/>
      <c r="BG413" s="64"/>
      <c r="BH413" s="69"/>
      <c r="BI413" s="64"/>
      <c r="BJ413" s="69"/>
      <c r="BK413" s="64"/>
      <c r="BL413" s="69"/>
      <c r="BM413" s="64"/>
      <c r="BN413" s="69"/>
      <c r="BO413" s="64"/>
      <c r="BP413" s="69"/>
      <c r="BQ413" s="64"/>
      <c r="BR413" s="69"/>
      <c r="BS413" s="64"/>
      <c r="BT413" s="69"/>
      <c r="BU413" t="b">
        <f t="shared" si="6"/>
        <v>0</v>
      </c>
    </row>
    <row r="414" spans="1:73" x14ac:dyDescent="0.25">
      <c r="A414" s="28"/>
      <c r="B414" s="29"/>
      <c r="C414" s="29"/>
      <c r="D414" s="30"/>
      <c r="E414" s="29"/>
      <c r="F414" s="30"/>
      <c r="G414" s="29"/>
      <c r="H414" s="69"/>
      <c r="I414" s="64"/>
      <c r="J414" s="69"/>
      <c r="K414" s="64"/>
      <c r="L414" s="69"/>
      <c r="M414" s="65"/>
      <c r="N414" s="69"/>
      <c r="O414" s="64"/>
      <c r="P414" s="69"/>
      <c r="Q414" s="64"/>
      <c r="R414" s="69"/>
      <c r="S414" s="64"/>
      <c r="T414" s="69"/>
      <c r="U414" s="64"/>
      <c r="V414" s="69"/>
      <c r="W414" s="65"/>
      <c r="X414" s="69"/>
      <c r="Y414" s="64"/>
      <c r="Z414" s="69"/>
      <c r="AA414" s="64"/>
      <c r="AB414" s="69"/>
      <c r="AC414" s="64"/>
      <c r="AD414" s="69"/>
      <c r="AE414" s="65"/>
      <c r="AF414" s="69"/>
      <c r="AG414" s="65"/>
      <c r="AH414" s="69"/>
      <c r="AI414" s="64"/>
      <c r="AJ414" s="69"/>
      <c r="AK414" s="64"/>
      <c r="AL414" s="69"/>
      <c r="AM414" s="64"/>
      <c r="AN414" s="69"/>
      <c r="AO414" s="64"/>
      <c r="AP414" s="69"/>
      <c r="AQ414" s="64"/>
      <c r="AR414" s="69"/>
      <c r="AS414" s="64"/>
      <c r="AT414" s="69"/>
      <c r="AU414" s="64"/>
      <c r="AV414" s="69"/>
      <c r="AW414" s="64"/>
      <c r="AX414" s="69"/>
      <c r="AY414" s="64"/>
      <c r="AZ414" s="69"/>
      <c r="BA414" s="64"/>
      <c r="BB414" s="69"/>
      <c r="BC414" s="64"/>
      <c r="BD414" s="69"/>
      <c r="BE414" s="64"/>
      <c r="BF414" s="69"/>
      <c r="BG414" s="64"/>
      <c r="BH414" s="69"/>
      <c r="BI414" s="64"/>
      <c r="BJ414" s="69"/>
      <c r="BK414" s="64"/>
      <c r="BL414" s="69"/>
      <c r="BM414" s="64"/>
      <c r="BN414" s="69"/>
      <c r="BO414" s="64"/>
      <c r="BP414" s="69"/>
      <c r="BQ414" s="64"/>
      <c r="BR414" s="69"/>
      <c r="BS414" s="64"/>
      <c r="BT414" s="69"/>
      <c r="BU414" t="b">
        <f t="shared" si="6"/>
        <v>0</v>
      </c>
    </row>
    <row r="415" spans="1:73" x14ac:dyDescent="0.25">
      <c r="A415" s="28"/>
      <c r="B415" s="29"/>
      <c r="C415" s="29"/>
      <c r="D415" s="30"/>
      <c r="E415" s="29"/>
      <c r="F415" s="30"/>
      <c r="G415" s="29"/>
      <c r="H415" s="69"/>
      <c r="I415" s="64"/>
      <c r="J415" s="69"/>
      <c r="K415" s="64"/>
      <c r="L415" s="69"/>
      <c r="M415" s="65"/>
      <c r="N415" s="69"/>
      <c r="O415" s="64"/>
      <c r="P415" s="69"/>
      <c r="Q415" s="64"/>
      <c r="R415" s="69"/>
      <c r="S415" s="64"/>
      <c r="T415" s="69"/>
      <c r="U415" s="64"/>
      <c r="V415" s="69"/>
      <c r="W415" s="65"/>
      <c r="X415" s="69"/>
      <c r="Y415" s="64"/>
      <c r="Z415" s="69"/>
      <c r="AA415" s="64"/>
      <c r="AB415" s="69"/>
      <c r="AC415" s="64"/>
      <c r="AD415" s="69"/>
      <c r="AE415" s="65"/>
      <c r="AF415" s="69"/>
      <c r="AG415" s="65"/>
      <c r="AH415" s="69"/>
      <c r="AI415" s="64"/>
      <c r="AJ415" s="69"/>
      <c r="AK415" s="64"/>
      <c r="AL415" s="69"/>
      <c r="AM415" s="64"/>
      <c r="AN415" s="69"/>
      <c r="AO415" s="64"/>
      <c r="AP415" s="69"/>
      <c r="AQ415" s="64"/>
      <c r="AR415" s="69"/>
      <c r="AS415" s="64"/>
      <c r="AT415" s="69"/>
      <c r="AU415" s="64"/>
      <c r="AV415" s="69"/>
      <c r="AW415" s="64"/>
      <c r="AX415" s="69"/>
      <c r="AY415" s="64"/>
      <c r="AZ415" s="69"/>
      <c r="BA415" s="64"/>
      <c r="BB415" s="69"/>
      <c r="BC415" s="64"/>
      <c r="BD415" s="69"/>
      <c r="BE415" s="64"/>
      <c r="BF415" s="69"/>
      <c r="BG415" s="64"/>
      <c r="BH415" s="69"/>
      <c r="BI415" s="64"/>
      <c r="BJ415" s="69"/>
      <c r="BK415" s="64"/>
      <c r="BL415" s="69"/>
      <c r="BM415" s="64"/>
      <c r="BN415" s="69"/>
      <c r="BO415" s="64"/>
      <c r="BP415" s="69"/>
      <c r="BQ415" s="64"/>
      <c r="BR415" s="69"/>
      <c r="BS415" s="64"/>
      <c r="BT415" s="69"/>
      <c r="BU415" t="b">
        <f t="shared" si="6"/>
        <v>0</v>
      </c>
    </row>
    <row r="416" spans="1:73" x14ac:dyDescent="0.25">
      <c r="A416" s="28"/>
      <c r="B416" s="29"/>
      <c r="C416" s="29"/>
      <c r="D416" s="30"/>
      <c r="E416" s="29"/>
      <c r="F416" s="30"/>
      <c r="G416" s="29"/>
      <c r="H416" s="69"/>
      <c r="I416" s="64"/>
      <c r="J416" s="69"/>
      <c r="K416" s="64"/>
      <c r="L416" s="69"/>
      <c r="M416" s="65"/>
      <c r="N416" s="69"/>
      <c r="O416" s="64"/>
      <c r="P416" s="69"/>
      <c r="Q416" s="64"/>
      <c r="R416" s="69"/>
      <c r="S416" s="64"/>
      <c r="T416" s="69"/>
      <c r="U416" s="64"/>
      <c r="V416" s="69"/>
      <c r="W416" s="65"/>
      <c r="X416" s="69"/>
      <c r="Y416" s="64"/>
      <c r="Z416" s="69"/>
      <c r="AA416" s="64"/>
      <c r="AB416" s="69"/>
      <c r="AC416" s="64"/>
      <c r="AD416" s="69"/>
      <c r="AE416" s="65"/>
      <c r="AF416" s="69"/>
      <c r="AG416" s="65"/>
      <c r="AH416" s="69"/>
      <c r="AI416" s="64"/>
      <c r="AJ416" s="69"/>
      <c r="AK416" s="64"/>
      <c r="AL416" s="69"/>
      <c r="AM416" s="64"/>
      <c r="AN416" s="69"/>
      <c r="AO416" s="64"/>
      <c r="AP416" s="69"/>
      <c r="AQ416" s="64"/>
      <c r="AR416" s="69"/>
      <c r="AS416" s="64"/>
      <c r="AT416" s="69"/>
      <c r="AU416" s="64"/>
      <c r="AV416" s="69"/>
      <c r="AW416" s="64"/>
      <c r="AX416" s="69"/>
      <c r="AY416" s="64"/>
      <c r="AZ416" s="69"/>
      <c r="BA416" s="64"/>
      <c r="BB416" s="69"/>
      <c r="BC416" s="64"/>
      <c r="BD416" s="69"/>
      <c r="BE416" s="64"/>
      <c r="BF416" s="69"/>
      <c r="BG416" s="64"/>
      <c r="BH416" s="69"/>
      <c r="BI416" s="64"/>
      <c r="BJ416" s="69"/>
      <c r="BK416" s="64"/>
      <c r="BL416" s="69"/>
      <c r="BM416" s="64"/>
      <c r="BN416" s="69"/>
      <c r="BO416" s="64"/>
      <c r="BP416" s="69"/>
      <c r="BQ416" s="64"/>
      <c r="BR416" s="69"/>
      <c r="BS416" s="64"/>
      <c r="BT416" s="69"/>
      <c r="BU416" t="b">
        <f t="shared" si="6"/>
        <v>0</v>
      </c>
    </row>
    <row r="417" spans="1:73" x14ac:dyDescent="0.25">
      <c r="A417" s="28"/>
      <c r="B417" s="29"/>
      <c r="C417" s="29"/>
      <c r="D417" s="30"/>
      <c r="E417" s="29"/>
      <c r="F417" s="30"/>
      <c r="G417" s="29"/>
      <c r="H417" s="69"/>
      <c r="I417" s="64"/>
      <c r="J417" s="69"/>
      <c r="K417" s="64"/>
      <c r="L417" s="69"/>
      <c r="M417" s="65"/>
      <c r="N417" s="69"/>
      <c r="O417" s="64"/>
      <c r="P417" s="69"/>
      <c r="Q417" s="64"/>
      <c r="R417" s="69"/>
      <c r="S417" s="64"/>
      <c r="T417" s="69"/>
      <c r="U417" s="64"/>
      <c r="V417" s="69"/>
      <c r="W417" s="65"/>
      <c r="X417" s="69"/>
      <c r="Y417" s="64"/>
      <c r="Z417" s="69"/>
      <c r="AA417" s="64"/>
      <c r="AB417" s="69"/>
      <c r="AC417" s="64"/>
      <c r="AD417" s="69"/>
      <c r="AE417" s="65"/>
      <c r="AF417" s="69"/>
      <c r="AG417" s="65"/>
      <c r="AH417" s="69"/>
      <c r="AI417" s="64"/>
      <c r="AJ417" s="69"/>
      <c r="AK417" s="64"/>
      <c r="AL417" s="69"/>
      <c r="AM417" s="64"/>
      <c r="AN417" s="69"/>
      <c r="AO417" s="64"/>
      <c r="AP417" s="69"/>
      <c r="AQ417" s="64"/>
      <c r="AR417" s="69"/>
      <c r="AS417" s="64"/>
      <c r="AT417" s="69"/>
      <c r="AU417" s="64"/>
      <c r="AV417" s="69"/>
      <c r="AW417" s="64"/>
      <c r="AX417" s="69"/>
      <c r="AY417" s="64"/>
      <c r="AZ417" s="69"/>
      <c r="BA417" s="64"/>
      <c r="BB417" s="69"/>
      <c r="BC417" s="64"/>
      <c r="BD417" s="69"/>
      <c r="BE417" s="64"/>
      <c r="BF417" s="69"/>
      <c r="BG417" s="64"/>
      <c r="BH417" s="69"/>
      <c r="BI417" s="64"/>
      <c r="BJ417" s="69"/>
      <c r="BK417" s="64"/>
      <c r="BL417" s="69"/>
      <c r="BM417" s="64"/>
      <c r="BN417" s="69"/>
      <c r="BO417" s="64"/>
      <c r="BP417" s="69"/>
      <c r="BQ417" s="64"/>
      <c r="BR417" s="69"/>
      <c r="BS417" s="64"/>
      <c r="BT417" s="69"/>
      <c r="BU417" t="b">
        <f t="shared" si="6"/>
        <v>0</v>
      </c>
    </row>
    <row r="418" spans="1:73" x14ac:dyDescent="0.25">
      <c r="A418" s="28"/>
      <c r="B418" s="29"/>
      <c r="C418" s="29"/>
      <c r="D418" s="30"/>
      <c r="E418" s="29"/>
      <c r="F418" s="30"/>
      <c r="G418" s="29"/>
      <c r="H418" s="69"/>
      <c r="I418" s="64"/>
      <c r="J418" s="69"/>
      <c r="K418" s="64"/>
      <c r="L418" s="69"/>
      <c r="M418" s="65"/>
      <c r="N418" s="69"/>
      <c r="O418" s="64"/>
      <c r="P418" s="69"/>
      <c r="Q418" s="64"/>
      <c r="R418" s="69"/>
      <c r="S418" s="64"/>
      <c r="T418" s="69"/>
      <c r="U418" s="64"/>
      <c r="V418" s="69"/>
      <c r="W418" s="65"/>
      <c r="X418" s="69"/>
      <c r="Y418" s="64"/>
      <c r="Z418" s="69"/>
      <c r="AA418" s="64"/>
      <c r="AB418" s="69"/>
      <c r="AC418" s="64"/>
      <c r="AD418" s="69"/>
      <c r="AE418" s="65"/>
      <c r="AF418" s="69"/>
      <c r="AG418" s="65"/>
      <c r="AH418" s="69"/>
      <c r="AI418" s="64"/>
      <c r="AJ418" s="69"/>
      <c r="AK418" s="64"/>
      <c r="AL418" s="69"/>
      <c r="AM418" s="64"/>
      <c r="AN418" s="69"/>
      <c r="AO418" s="64"/>
      <c r="AP418" s="69"/>
      <c r="AQ418" s="64"/>
      <c r="AR418" s="69"/>
      <c r="AS418" s="64"/>
      <c r="AT418" s="69"/>
      <c r="AU418" s="64"/>
      <c r="AV418" s="69"/>
      <c r="AW418" s="64"/>
      <c r="AX418" s="69"/>
      <c r="AY418" s="64"/>
      <c r="AZ418" s="69"/>
      <c r="BA418" s="64"/>
      <c r="BB418" s="69"/>
      <c r="BC418" s="64"/>
      <c r="BD418" s="69"/>
      <c r="BE418" s="64"/>
      <c r="BF418" s="69"/>
      <c r="BG418" s="64"/>
      <c r="BH418" s="69"/>
      <c r="BI418" s="64"/>
      <c r="BJ418" s="69"/>
      <c r="BK418" s="64"/>
      <c r="BL418" s="69"/>
      <c r="BM418" s="64"/>
      <c r="BN418" s="69"/>
      <c r="BO418" s="64"/>
      <c r="BP418" s="69"/>
      <c r="BQ418" s="64"/>
      <c r="BR418" s="69"/>
      <c r="BS418" s="64"/>
      <c r="BT418" s="69"/>
      <c r="BU418" t="b">
        <f t="shared" si="6"/>
        <v>0</v>
      </c>
    </row>
    <row r="419" spans="1:73" x14ac:dyDescent="0.25">
      <c r="A419" s="28"/>
      <c r="B419" s="29"/>
      <c r="C419" s="29"/>
      <c r="D419" s="30"/>
      <c r="E419" s="29"/>
      <c r="F419" s="30"/>
      <c r="G419" s="29"/>
      <c r="H419" s="69"/>
      <c r="I419" s="64"/>
      <c r="J419" s="69"/>
      <c r="K419" s="64"/>
      <c r="L419" s="69"/>
      <c r="M419" s="65"/>
      <c r="N419" s="69"/>
      <c r="O419" s="64"/>
      <c r="P419" s="69"/>
      <c r="Q419" s="64"/>
      <c r="R419" s="69"/>
      <c r="S419" s="64"/>
      <c r="T419" s="69"/>
      <c r="U419" s="64"/>
      <c r="V419" s="69"/>
      <c r="W419" s="65"/>
      <c r="X419" s="69"/>
      <c r="Y419" s="64"/>
      <c r="Z419" s="69"/>
      <c r="AA419" s="64"/>
      <c r="AB419" s="69"/>
      <c r="AC419" s="64"/>
      <c r="AD419" s="69"/>
      <c r="AE419" s="65"/>
      <c r="AF419" s="69"/>
      <c r="AG419" s="65"/>
      <c r="AH419" s="69"/>
      <c r="AI419" s="64"/>
      <c r="AJ419" s="69"/>
      <c r="AK419" s="64"/>
      <c r="AL419" s="69"/>
      <c r="AM419" s="64"/>
      <c r="AN419" s="69"/>
      <c r="AO419" s="64"/>
      <c r="AP419" s="69"/>
      <c r="AQ419" s="64"/>
      <c r="AR419" s="69"/>
      <c r="AS419" s="64"/>
      <c r="AT419" s="69"/>
      <c r="AU419" s="64"/>
      <c r="AV419" s="69"/>
      <c r="AW419" s="64"/>
      <c r="AX419" s="69"/>
      <c r="AY419" s="64"/>
      <c r="AZ419" s="69"/>
      <c r="BA419" s="64"/>
      <c r="BB419" s="69"/>
      <c r="BC419" s="64"/>
      <c r="BD419" s="69"/>
      <c r="BE419" s="64"/>
      <c r="BF419" s="69"/>
      <c r="BG419" s="64"/>
      <c r="BH419" s="69"/>
      <c r="BI419" s="64"/>
      <c r="BJ419" s="69"/>
      <c r="BK419" s="64"/>
      <c r="BL419" s="69"/>
      <c r="BM419" s="64"/>
      <c r="BN419" s="69"/>
      <c r="BO419" s="64"/>
      <c r="BP419" s="69"/>
      <c r="BQ419" s="64"/>
      <c r="BR419" s="69"/>
      <c r="BS419" s="64"/>
      <c r="BT419" s="69"/>
      <c r="BU419" t="b">
        <f t="shared" si="6"/>
        <v>0</v>
      </c>
    </row>
    <row r="420" spans="1:73" x14ac:dyDescent="0.25">
      <c r="A420" s="28"/>
      <c r="B420" s="29"/>
      <c r="C420" s="29"/>
      <c r="D420" s="30"/>
      <c r="E420" s="29"/>
      <c r="F420" s="30"/>
      <c r="G420" s="29"/>
      <c r="H420" s="69"/>
      <c r="I420" s="64"/>
      <c r="J420" s="69"/>
      <c r="K420" s="64"/>
      <c r="L420" s="69"/>
      <c r="M420" s="65"/>
      <c r="N420" s="69"/>
      <c r="O420" s="64"/>
      <c r="P420" s="69"/>
      <c r="Q420" s="64"/>
      <c r="R420" s="69"/>
      <c r="S420" s="64"/>
      <c r="T420" s="69"/>
      <c r="U420" s="64"/>
      <c r="V420" s="69"/>
      <c r="W420" s="65"/>
      <c r="X420" s="69"/>
      <c r="Y420" s="64"/>
      <c r="Z420" s="69"/>
      <c r="AA420" s="64"/>
      <c r="AB420" s="69"/>
      <c r="AC420" s="64"/>
      <c r="AD420" s="69"/>
      <c r="AE420" s="65"/>
      <c r="AF420" s="69"/>
      <c r="AG420" s="65"/>
      <c r="AH420" s="69"/>
      <c r="AI420" s="64"/>
      <c r="AJ420" s="69"/>
      <c r="AK420" s="64"/>
      <c r="AL420" s="69"/>
      <c r="AM420" s="64"/>
      <c r="AN420" s="69"/>
      <c r="AO420" s="64"/>
      <c r="AP420" s="69"/>
      <c r="AQ420" s="64"/>
      <c r="AR420" s="69"/>
      <c r="AS420" s="64"/>
      <c r="AT420" s="69"/>
      <c r="AU420" s="64"/>
      <c r="AV420" s="69"/>
      <c r="AW420" s="64"/>
      <c r="AX420" s="69"/>
      <c r="AY420" s="64"/>
      <c r="AZ420" s="69"/>
      <c r="BA420" s="64"/>
      <c r="BB420" s="69"/>
      <c r="BC420" s="64"/>
      <c r="BD420" s="69"/>
      <c r="BE420" s="64"/>
      <c r="BF420" s="69"/>
      <c r="BG420" s="64"/>
      <c r="BH420" s="69"/>
      <c r="BI420" s="64"/>
      <c r="BJ420" s="69"/>
      <c r="BK420" s="64"/>
      <c r="BL420" s="69"/>
      <c r="BM420" s="64"/>
      <c r="BN420" s="69"/>
      <c r="BO420" s="64"/>
      <c r="BP420" s="69"/>
      <c r="BQ420" s="64"/>
      <c r="BR420" s="69"/>
      <c r="BS420" s="64"/>
      <c r="BT420" s="69"/>
      <c r="BU420" t="b">
        <f t="shared" si="6"/>
        <v>0</v>
      </c>
    </row>
    <row r="421" spans="1:73" x14ac:dyDescent="0.25">
      <c r="A421" s="28"/>
      <c r="B421" s="29"/>
      <c r="C421" s="29"/>
      <c r="D421" s="30"/>
      <c r="E421" s="29"/>
      <c r="F421" s="30"/>
      <c r="G421" s="29"/>
      <c r="H421" s="69"/>
      <c r="I421" s="64"/>
      <c r="J421" s="69"/>
      <c r="K421" s="64"/>
      <c r="L421" s="69"/>
      <c r="M421" s="65"/>
      <c r="N421" s="69"/>
      <c r="O421" s="64"/>
      <c r="P421" s="69"/>
      <c r="Q421" s="64"/>
      <c r="R421" s="69"/>
      <c r="S421" s="64"/>
      <c r="T421" s="69"/>
      <c r="U421" s="64"/>
      <c r="V421" s="69"/>
      <c r="W421" s="65"/>
      <c r="X421" s="69"/>
      <c r="Y421" s="64"/>
      <c r="Z421" s="69"/>
      <c r="AA421" s="64"/>
      <c r="AB421" s="69"/>
      <c r="AC421" s="64"/>
      <c r="AD421" s="69"/>
      <c r="AE421" s="65"/>
      <c r="AF421" s="69"/>
      <c r="AG421" s="65"/>
      <c r="AH421" s="69"/>
      <c r="AI421" s="64"/>
      <c r="AJ421" s="69"/>
      <c r="AK421" s="64"/>
      <c r="AL421" s="69"/>
      <c r="AM421" s="64"/>
      <c r="AN421" s="69"/>
      <c r="AO421" s="64"/>
      <c r="AP421" s="69"/>
      <c r="AQ421" s="64"/>
      <c r="AR421" s="69"/>
      <c r="AS421" s="64"/>
      <c r="AT421" s="69"/>
      <c r="AU421" s="64"/>
      <c r="AV421" s="69"/>
      <c r="AW421" s="64"/>
      <c r="AX421" s="69"/>
      <c r="AY421" s="64"/>
      <c r="AZ421" s="69"/>
      <c r="BA421" s="64"/>
      <c r="BB421" s="69"/>
      <c r="BC421" s="64"/>
      <c r="BD421" s="69"/>
      <c r="BE421" s="64"/>
      <c r="BF421" s="69"/>
      <c r="BG421" s="64"/>
      <c r="BH421" s="69"/>
      <c r="BI421" s="64"/>
      <c r="BJ421" s="69"/>
      <c r="BK421" s="64"/>
      <c r="BL421" s="69"/>
      <c r="BM421" s="64"/>
      <c r="BN421" s="69"/>
      <c r="BO421" s="64"/>
      <c r="BP421" s="69"/>
      <c r="BQ421" s="64"/>
      <c r="BR421" s="69"/>
      <c r="BS421" s="64"/>
      <c r="BT421" s="69"/>
      <c r="BU421" t="b">
        <f t="shared" ref="BU421:BU484" si="7">NOT(AND(BR421="",BP421="",BN421="",BL421="",BJ421="",BH421="",BF421="",BD421="",BB421="",AZ421="",AX421="",AV421="",AT421="",AR421="",AP421="",AN421="",AL421="",AJ421="",AH421="",AF421="",AD421="",AB421="",Z421="",X421="",V421="",T421="",R421="",P421="",N421="", L421="",J421=""))</f>
        <v>0</v>
      </c>
    </row>
    <row r="422" spans="1:73" x14ac:dyDescent="0.25">
      <c r="A422" s="28"/>
      <c r="B422" s="29"/>
      <c r="C422" s="29"/>
      <c r="D422" s="30"/>
      <c r="E422" s="29"/>
      <c r="F422" s="30"/>
      <c r="G422" s="29"/>
      <c r="H422" s="69"/>
      <c r="I422" s="64"/>
      <c r="J422" s="69"/>
      <c r="K422" s="64"/>
      <c r="L422" s="69"/>
      <c r="M422" s="65"/>
      <c r="N422" s="69"/>
      <c r="O422" s="64"/>
      <c r="P422" s="69"/>
      <c r="Q422" s="64"/>
      <c r="R422" s="69"/>
      <c r="S422" s="64"/>
      <c r="T422" s="69"/>
      <c r="U422" s="64"/>
      <c r="V422" s="69"/>
      <c r="W422" s="65"/>
      <c r="X422" s="69"/>
      <c r="Y422" s="64"/>
      <c r="Z422" s="69"/>
      <c r="AA422" s="64"/>
      <c r="AB422" s="69"/>
      <c r="AC422" s="64"/>
      <c r="AD422" s="69"/>
      <c r="AE422" s="65"/>
      <c r="AF422" s="69"/>
      <c r="AG422" s="65"/>
      <c r="AH422" s="69"/>
      <c r="AI422" s="64"/>
      <c r="AJ422" s="69"/>
      <c r="AK422" s="64"/>
      <c r="AL422" s="69"/>
      <c r="AM422" s="64"/>
      <c r="AN422" s="69"/>
      <c r="AO422" s="64"/>
      <c r="AP422" s="69"/>
      <c r="AQ422" s="64"/>
      <c r="AR422" s="69"/>
      <c r="AS422" s="64"/>
      <c r="AT422" s="69"/>
      <c r="AU422" s="64"/>
      <c r="AV422" s="69"/>
      <c r="AW422" s="64"/>
      <c r="AX422" s="69"/>
      <c r="AY422" s="64"/>
      <c r="AZ422" s="69"/>
      <c r="BA422" s="64"/>
      <c r="BB422" s="69"/>
      <c r="BC422" s="64"/>
      <c r="BD422" s="69"/>
      <c r="BE422" s="64"/>
      <c r="BF422" s="69"/>
      <c r="BG422" s="64"/>
      <c r="BH422" s="69"/>
      <c r="BI422" s="64"/>
      <c r="BJ422" s="69"/>
      <c r="BK422" s="64"/>
      <c r="BL422" s="69"/>
      <c r="BM422" s="64"/>
      <c r="BN422" s="69"/>
      <c r="BO422" s="64"/>
      <c r="BP422" s="69"/>
      <c r="BQ422" s="64"/>
      <c r="BR422" s="69"/>
      <c r="BS422" s="64"/>
      <c r="BT422" s="69"/>
      <c r="BU422" t="b">
        <f t="shared" si="7"/>
        <v>0</v>
      </c>
    </row>
    <row r="423" spans="1:73" x14ac:dyDescent="0.25">
      <c r="A423" s="28"/>
      <c r="B423" s="29"/>
      <c r="C423" s="29"/>
      <c r="D423" s="30"/>
      <c r="E423" s="29"/>
      <c r="F423" s="30"/>
      <c r="G423" s="29"/>
      <c r="H423" s="69"/>
      <c r="I423" s="64"/>
      <c r="J423" s="69"/>
      <c r="K423" s="64"/>
      <c r="L423" s="69"/>
      <c r="M423" s="65"/>
      <c r="N423" s="69"/>
      <c r="O423" s="64"/>
      <c r="P423" s="69"/>
      <c r="Q423" s="64"/>
      <c r="R423" s="69"/>
      <c r="S423" s="64"/>
      <c r="T423" s="69"/>
      <c r="U423" s="64"/>
      <c r="V423" s="69"/>
      <c r="W423" s="65"/>
      <c r="X423" s="69"/>
      <c r="Y423" s="64"/>
      <c r="Z423" s="69"/>
      <c r="AA423" s="64"/>
      <c r="AB423" s="69"/>
      <c r="AC423" s="64"/>
      <c r="AD423" s="69"/>
      <c r="AE423" s="65"/>
      <c r="AF423" s="69"/>
      <c r="AG423" s="65"/>
      <c r="AH423" s="69"/>
      <c r="AI423" s="64"/>
      <c r="AJ423" s="69"/>
      <c r="AK423" s="64"/>
      <c r="AL423" s="69"/>
      <c r="AM423" s="64"/>
      <c r="AN423" s="69"/>
      <c r="AO423" s="64"/>
      <c r="AP423" s="69"/>
      <c r="AQ423" s="64"/>
      <c r="AR423" s="69"/>
      <c r="AS423" s="64"/>
      <c r="AT423" s="69"/>
      <c r="AU423" s="64"/>
      <c r="AV423" s="69"/>
      <c r="AW423" s="64"/>
      <c r="AX423" s="69"/>
      <c r="AY423" s="64"/>
      <c r="AZ423" s="69"/>
      <c r="BA423" s="64"/>
      <c r="BB423" s="69"/>
      <c r="BC423" s="64"/>
      <c r="BD423" s="69"/>
      <c r="BE423" s="64"/>
      <c r="BF423" s="69"/>
      <c r="BG423" s="64"/>
      <c r="BH423" s="69"/>
      <c r="BI423" s="64"/>
      <c r="BJ423" s="69"/>
      <c r="BK423" s="64"/>
      <c r="BL423" s="69"/>
      <c r="BM423" s="64"/>
      <c r="BN423" s="69"/>
      <c r="BO423" s="64"/>
      <c r="BP423" s="69"/>
      <c r="BQ423" s="64"/>
      <c r="BR423" s="69"/>
      <c r="BS423" s="64"/>
      <c r="BT423" s="69"/>
      <c r="BU423" t="b">
        <f t="shared" si="7"/>
        <v>0</v>
      </c>
    </row>
    <row r="424" spans="1:73" x14ac:dyDescent="0.25">
      <c r="A424" s="28"/>
      <c r="B424" s="29"/>
      <c r="C424" s="29"/>
      <c r="D424" s="30"/>
      <c r="E424" s="29"/>
      <c r="F424" s="30"/>
      <c r="G424" s="29"/>
      <c r="H424" s="69"/>
      <c r="I424" s="64"/>
      <c r="J424" s="69"/>
      <c r="K424" s="64"/>
      <c r="L424" s="69"/>
      <c r="M424" s="65"/>
      <c r="N424" s="69"/>
      <c r="O424" s="64"/>
      <c r="P424" s="69"/>
      <c r="Q424" s="64"/>
      <c r="R424" s="69"/>
      <c r="S424" s="64"/>
      <c r="T424" s="69"/>
      <c r="U424" s="64"/>
      <c r="V424" s="69"/>
      <c r="W424" s="65"/>
      <c r="X424" s="69"/>
      <c r="Y424" s="64"/>
      <c r="Z424" s="69"/>
      <c r="AA424" s="64"/>
      <c r="AB424" s="69"/>
      <c r="AC424" s="64"/>
      <c r="AD424" s="69"/>
      <c r="AE424" s="65"/>
      <c r="AF424" s="69"/>
      <c r="AG424" s="65"/>
      <c r="AH424" s="69"/>
      <c r="AI424" s="64"/>
      <c r="AJ424" s="69"/>
      <c r="AK424" s="64"/>
      <c r="AL424" s="69"/>
      <c r="AM424" s="64"/>
      <c r="AN424" s="69"/>
      <c r="AO424" s="64"/>
      <c r="AP424" s="69"/>
      <c r="AQ424" s="64"/>
      <c r="AR424" s="69"/>
      <c r="AS424" s="64"/>
      <c r="AT424" s="69"/>
      <c r="AU424" s="64"/>
      <c r="AV424" s="69"/>
      <c r="AW424" s="64"/>
      <c r="AX424" s="69"/>
      <c r="AY424" s="64"/>
      <c r="AZ424" s="69"/>
      <c r="BA424" s="64"/>
      <c r="BB424" s="69"/>
      <c r="BC424" s="64"/>
      <c r="BD424" s="69"/>
      <c r="BE424" s="64"/>
      <c r="BF424" s="69"/>
      <c r="BG424" s="64"/>
      <c r="BH424" s="69"/>
      <c r="BI424" s="64"/>
      <c r="BJ424" s="69"/>
      <c r="BK424" s="64"/>
      <c r="BL424" s="69"/>
      <c r="BM424" s="64"/>
      <c r="BN424" s="69"/>
      <c r="BO424" s="64"/>
      <c r="BP424" s="69"/>
      <c r="BQ424" s="64"/>
      <c r="BR424" s="69"/>
      <c r="BS424" s="64"/>
      <c r="BT424" s="69"/>
      <c r="BU424" t="b">
        <f t="shared" si="7"/>
        <v>0</v>
      </c>
    </row>
    <row r="425" spans="1:73" x14ac:dyDescent="0.25">
      <c r="A425" s="28"/>
      <c r="B425" s="29"/>
      <c r="C425" s="29"/>
      <c r="D425" s="30"/>
      <c r="E425" s="29"/>
      <c r="F425" s="30"/>
      <c r="G425" s="29"/>
      <c r="H425" s="69"/>
      <c r="I425" s="64"/>
      <c r="J425" s="69"/>
      <c r="K425" s="64"/>
      <c r="L425" s="69"/>
      <c r="M425" s="65"/>
      <c r="N425" s="69"/>
      <c r="O425" s="64"/>
      <c r="P425" s="69"/>
      <c r="Q425" s="64"/>
      <c r="R425" s="69"/>
      <c r="S425" s="64"/>
      <c r="T425" s="69"/>
      <c r="U425" s="64"/>
      <c r="V425" s="69"/>
      <c r="W425" s="65"/>
      <c r="X425" s="69"/>
      <c r="Y425" s="64"/>
      <c r="Z425" s="69"/>
      <c r="AA425" s="64"/>
      <c r="AB425" s="69"/>
      <c r="AC425" s="64"/>
      <c r="AD425" s="69"/>
      <c r="AE425" s="65"/>
      <c r="AF425" s="69"/>
      <c r="AG425" s="65"/>
      <c r="AH425" s="69"/>
      <c r="AI425" s="64"/>
      <c r="AJ425" s="69"/>
      <c r="AK425" s="64"/>
      <c r="AL425" s="69"/>
      <c r="AM425" s="64"/>
      <c r="AN425" s="69"/>
      <c r="AO425" s="64"/>
      <c r="AP425" s="69"/>
      <c r="AQ425" s="64"/>
      <c r="AR425" s="69"/>
      <c r="AS425" s="64"/>
      <c r="AT425" s="69"/>
      <c r="AU425" s="64"/>
      <c r="AV425" s="69"/>
      <c r="AW425" s="64"/>
      <c r="AX425" s="69"/>
      <c r="AY425" s="64"/>
      <c r="AZ425" s="69"/>
      <c r="BA425" s="64"/>
      <c r="BB425" s="69"/>
      <c r="BC425" s="64"/>
      <c r="BD425" s="69"/>
      <c r="BE425" s="64"/>
      <c r="BF425" s="69"/>
      <c r="BG425" s="64"/>
      <c r="BH425" s="69"/>
      <c r="BI425" s="64"/>
      <c r="BJ425" s="69"/>
      <c r="BK425" s="64"/>
      <c r="BL425" s="69"/>
      <c r="BM425" s="64"/>
      <c r="BN425" s="69"/>
      <c r="BO425" s="64"/>
      <c r="BP425" s="69"/>
      <c r="BQ425" s="64"/>
      <c r="BR425" s="69"/>
      <c r="BS425" s="64"/>
      <c r="BT425" s="69"/>
      <c r="BU425" t="b">
        <f t="shared" si="7"/>
        <v>0</v>
      </c>
    </row>
    <row r="426" spans="1:73" x14ac:dyDescent="0.25">
      <c r="A426" s="28"/>
      <c r="B426" s="29"/>
      <c r="C426" s="29"/>
      <c r="D426" s="30"/>
      <c r="E426" s="29"/>
      <c r="F426" s="30"/>
      <c r="G426" s="29"/>
      <c r="H426" s="69"/>
      <c r="I426" s="64"/>
      <c r="J426" s="69"/>
      <c r="K426" s="64"/>
      <c r="L426" s="69"/>
      <c r="M426" s="65"/>
      <c r="N426" s="69"/>
      <c r="O426" s="64"/>
      <c r="P426" s="69"/>
      <c r="Q426" s="64"/>
      <c r="R426" s="69"/>
      <c r="S426" s="64"/>
      <c r="T426" s="69"/>
      <c r="U426" s="64"/>
      <c r="V426" s="69"/>
      <c r="W426" s="65"/>
      <c r="X426" s="69"/>
      <c r="Y426" s="64"/>
      <c r="Z426" s="69"/>
      <c r="AA426" s="64"/>
      <c r="AB426" s="69"/>
      <c r="AC426" s="64"/>
      <c r="AD426" s="69"/>
      <c r="AE426" s="65"/>
      <c r="AF426" s="69"/>
      <c r="AG426" s="65"/>
      <c r="AH426" s="69"/>
      <c r="AI426" s="64"/>
      <c r="AJ426" s="69"/>
      <c r="AK426" s="64"/>
      <c r="AL426" s="69"/>
      <c r="AM426" s="64"/>
      <c r="AN426" s="69"/>
      <c r="AO426" s="64"/>
      <c r="AP426" s="69"/>
      <c r="AQ426" s="64"/>
      <c r="AR426" s="69"/>
      <c r="AS426" s="64"/>
      <c r="AT426" s="69"/>
      <c r="AU426" s="64"/>
      <c r="AV426" s="69"/>
      <c r="AW426" s="64"/>
      <c r="AX426" s="69"/>
      <c r="AY426" s="64"/>
      <c r="AZ426" s="69"/>
      <c r="BA426" s="64"/>
      <c r="BB426" s="69"/>
      <c r="BC426" s="64"/>
      <c r="BD426" s="69"/>
      <c r="BE426" s="64"/>
      <c r="BF426" s="69"/>
      <c r="BG426" s="64"/>
      <c r="BH426" s="69"/>
      <c r="BI426" s="64"/>
      <c r="BJ426" s="69"/>
      <c r="BK426" s="64"/>
      <c r="BL426" s="69"/>
      <c r="BM426" s="64"/>
      <c r="BN426" s="69"/>
      <c r="BO426" s="64"/>
      <c r="BP426" s="69"/>
      <c r="BQ426" s="64"/>
      <c r="BR426" s="69"/>
      <c r="BS426" s="64"/>
      <c r="BT426" s="69"/>
      <c r="BU426" t="b">
        <f t="shared" si="7"/>
        <v>0</v>
      </c>
    </row>
    <row r="427" spans="1:73" x14ac:dyDescent="0.25">
      <c r="A427" s="28"/>
      <c r="B427" s="29"/>
      <c r="C427" s="29"/>
      <c r="D427" s="30"/>
      <c r="E427" s="29"/>
      <c r="F427" s="30"/>
      <c r="G427" s="29"/>
      <c r="H427" s="69"/>
      <c r="I427" s="64"/>
      <c r="J427" s="69"/>
      <c r="K427" s="64"/>
      <c r="L427" s="69"/>
      <c r="M427" s="65"/>
      <c r="N427" s="69"/>
      <c r="O427" s="64"/>
      <c r="P427" s="69"/>
      <c r="Q427" s="64"/>
      <c r="R427" s="69"/>
      <c r="S427" s="64"/>
      <c r="T427" s="69"/>
      <c r="U427" s="64"/>
      <c r="V427" s="69"/>
      <c r="W427" s="65"/>
      <c r="X427" s="69"/>
      <c r="Y427" s="64"/>
      <c r="Z427" s="69"/>
      <c r="AA427" s="64"/>
      <c r="AB427" s="69"/>
      <c r="AC427" s="64"/>
      <c r="AD427" s="69"/>
      <c r="AE427" s="65"/>
      <c r="AF427" s="69"/>
      <c r="AG427" s="65"/>
      <c r="AH427" s="69"/>
      <c r="AI427" s="64"/>
      <c r="AJ427" s="69"/>
      <c r="AK427" s="64"/>
      <c r="AL427" s="69"/>
      <c r="AM427" s="64"/>
      <c r="AN427" s="69"/>
      <c r="AO427" s="64"/>
      <c r="AP427" s="69"/>
      <c r="AQ427" s="64"/>
      <c r="AR427" s="69"/>
      <c r="AS427" s="64"/>
      <c r="AT427" s="69"/>
      <c r="AU427" s="64"/>
      <c r="AV427" s="69"/>
      <c r="AW427" s="64"/>
      <c r="AX427" s="69"/>
      <c r="AY427" s="64"/>
      <c r="AZ427" s="69"/>
      <c r="BA427" s="64"/>
      <c r="BB427" s="69"/>
      <c r="BC427" s="64"/>
      <c r="BD427" s="69"/>
      <c r="BE427" s="64"/>
      <c r="BF427" s="69"/>
      <c r="BG427" s="64"/>
      <c r="BH427" s="69"/>
      <c r="BI427" s="64"/>
      <c r="BJ427" s="69"/>
      <c r="BK427" s="64"/>
      <c r="BL427" s="69"/>
      <c r="BM427" s="64"/>
      <c r="BN427" s="69"/>
      <c r="BO427" s="64"/>
      <c r="BP427" s="69"/>
      <c r="BQ427" s="64"/>
      <c r="BR427" s="69"/>
      <c r="BS427" s="64"/>
      <c r="BT427" s="69"/>
      <c r="BU427" t="b">
        <f t="shared" si="7"/>
        <v>0</v>
      </c>
    </row>
    <row r="428" spans="1:73" x14ac:dyDescent="0.25">
      <c r="A428" s="28"/>
      <c r="B428" s="29"/>
      <c r="C428" s="29"/>
      <c r="D428" s="30"/>
      <c r="E428" s="29"/>
      <c r="F428" s="30"/>
      <c r="G428" s="29"/>
      <c r="H428" s="69"/>
      <c r="I428" s="64"/>
      <c r="J428" s="69"/>
      <c r="K428" s="64"/>
      <c r="L428" s="69"/>
      <c r="M428" s="65"/>
      <c r="N428" s="69"/>
      <c r="O428" s="64"/>
      <c r="P428" s="69"/>
      <c r="Q428" s="64"/>
      <c r="R428" s="69"/>
      <c r="S428" s="64"/>
      <c r="T428" s="69"/>
      <c r="U428" s="64"/>
      <c r="V428" s="69"/>
      <c r="W428" s="65"/>
      <c r="X428" s="69"/>
      <c r="Y428" s="64"/>
      <c r="Z428" s="69"/>
      <c r="AA428" s="64"/>
      <c r="AB428" s="69"/>
      <c r="AC428" s="64"/>
      <c r="AD428" s="69"/>
      <c r="AE428" s="65"/>
      <c r="AF428" s="69"/>
      <c r="AG428" s="65"/>
      <c r="AH428" s="69"/>
      <c r="AI428" s="64"/>
      <c r="AJ428" s="69"/>
      <c r="AK428" s="64"/>
      <c r="AL428" s="69"/>
      <c r="AM428" s="64"/>
      <c r="AN428" s="69"/>
      <c r="AO428" s="64"/>
      <c r="AP428" s="69"/>
      <c r="AQ428" s="64"/>
      <c r="AR428" s="69"/>
      <c r="AS428" s="64"/>
      <c r="AT428" s="69"/>
      <c r="AU428" s="64"/>
      <c r="AV428" s="69"/>
      <c r="AW428" s="64"/>
      <c r="AX428" s="69"/>
      <c r="AY428" s="64"/>
      <c r="AZ428" s="69"/>
      <c r="BA428" s="64"/>
      <c r="BB428" s="69"/>
      <c r="BC428" s="64"/>
      <c r="BD428" s="69"/>
      <c r="BE428" s="64"/>
      <c r="BF428" s="69"/>
      <c r="BG428" s="64"/>
      <c r="BH428" s="69"/>
      <c r="BI428" s="64"/>
      <c r="BJ428" s="69"/>
      <c r="BK428" s="64"/>
      <c r="BL428" s="69"/>
      <c r="BM428" s="64"/>
      <c r="BN428" s="69"/>
      <c r="BO428" s="64"/>
      <c r="BP428" s="69"/>
      <c r="BQ428" s="64"/>
      <c r="BR428" s="69"/>
      <c r="BS428" s="64"/>
      <c r="BT428" s="69"/>
      <c r="BU428" t="b">
        <f t="shared" si="7"/>
        <v>0</v>
      </c>
    </row>
    <row r="429" spans="1:73" x14ac:dyDescent="0.25">
      <c r="A429" s="28"/>
      <c r="B429" s="29"/>
      <c r="C429" s="29"/>
      <c r="D429" s="30"/>
      <c r="E429" s="29"/>
      <c r="F429" s="30"/>
      <c r="G429" s="29"/>
      <c r="H429" s="69"/>
      <c r="I429" s="64"/>
      <c r="J429" s="69"/>
      <c r="K429" s="64"/>
      <c r="L429" s="69"/>
      <c r="M429" s="65"/>
      <c r="N429" s="69"/>
      <c r="O429" s="64"/>
      <c r="P429" s="69"/>
      <c r="Q429" s="64"/>
      <c r="R429" s="69"/>
      <c r="S429" s="64"/>
      <c r="T429" s="69"/>
      <c r="U429" s="64"/>
      <c r="V429" s="69"/>
      <c r="W429" s="65"/>
      <c r="X429" s="69"/>
      <c r="Y429" s="64"/>
      <c r="Z429" s="69"/>
      <c r="AA429" s="64"/>
      <c r="AB429" s="69"/>
      <c r="AC429" s="64"/>
      <c r="AD429" s="69"/>
      <c r="AE429" s="65"/>
      <c r="AF429" s="69"/>
      <c r="AG429" s="65"/>
      <c r="AH429" s="69"/>
      <c r="AI429" s="64"/>
      <c r="AJ429" s="69"/>
      <c r="AK429" s="64"/>
      <c r="AL429" s="69"/>
      <c r="AM429" s="64"/>
      <c r="AN429" s="69"/>
      <c r="AO429" s="64"/>
      <c r="AP429" s="69"/>
      <c r="AQ429" s="64"/>
      <c r="AR429" s="69"/>
      <c r="AS429" s="64"/>
      <c r="AT429" s="69"/>
      <c r="AU429" s="64"/>
      <c r="AV429" s="69"/>
      <c r="AW429" s="64"/>
      <c r="AX429" s="69"/>
      <c r="AY429" s="64"/>
      <c r="AZ429" s="69"/>
      <c r="BA429" s="64"/>
      <c r="BB429" s="69"/>
      <c r="BC429" s="64"/>
      <c r="BD429" s="69"/>
      <c r="BE429" s="64"/>
      <c r="BF429" s="69"/>
      <c r="BG429" s="64"/>
      <c r="BH429" s="69"/>
      <c r="BI429" s="64"/>
      <c r="BJ429" s="69"/>
      <c r="BK429" s="64"/>
      <c r="BL429" s="69"/>
      <c r="BM429" s="64"/>
      <c r="BN429" s="69"/>
      <c r="BO429" s="64"/>
      <c r="BP429" s="69"/>
      <c r="BQ429" s="64"/>
      <c r="BR429" s="69"/>
      <c r="BS429" s="64"/>
      <c r="BT429" s="69"/>
      <c r="BU429" t="b">
        <f t="shared" si="7"/>
        <v>0</v>
      </c>
    </row>
    <row r="430" spans="1:73" x14ac:dyDescent="0.25">
      <c r="A430" s="28"/>
      <c r="B430" s="29"/>
      <c r="C430" s="29"/>
      <c r="D430" s="30"/>
      <c r="E430" s="29"/>
      <c r="F430" s="30"/>
      <c r="G430" s="29"/>
      <c r="H430" s="69"/>
      <c r="I430" s="64"/>
      <c r="J430" s="69"/>
      <c r="K430" s="64"/>
      <c r="L430" s="69"/>
      <c r="M430" s="65"/>
      <c r="N430" s="69"/>
      <c r="O430" s="64"/>
      <c r="P430" s="69"/>
      <c r="Q430" s="64"/>
      <c r="R430" s="69"/>
      <c r="S430" s="64"/>
      <c r="T430" s="69"/>
      <c r="U430" s="64"/>
      <c r="V430" s="69"/>
      <c r="W430" s="65"/>
      <c r="X430" s="69"/>
      <c r="Y430" s="64"/>
      <c r="Z430" s="69"/>
      <c r="AA430" s="64"/>
      <c r="AB430" s="69"/>
      <c r="AC430" s="64"/>
      <c r="AD430" s="69"/>
      <c r="AE430" s="65"/>
      <c r="AF430" s="69"/>
      <c r="AG430" s="65"/>
      <c r="AH430" s="69"/>
      <c r="AI430" s="64"/>
      <c r="AJ430" s="69"/>
      <c r="AK430" s="64"/>
      <c r="AL430" s="69"/>
      <c r="AM430" s="64"/>
      <c r="AN430" s="69"/>
      <c r="AO430" s="64"/>
      <c r="AP430" s="69"/>
      <c r="AQ430" s="64"/>
      <c r="AR430" s="69"/>
      <c r="AS430" s="64"/>
      <c r="AT430" s="69"/>
      <c r="AU430" s="64"/>
      <c r="AV430" s="69"/>
      <c r="AW430" s="64"/>
      <c r="AX430" s="69"/>
      <c r="AY430" s="64"/>
      <c r="AZ430" s="69"/>
      <c r="BA430" s="64"/>
      <c r="BB430" s="69"/>
      <c r="BC430" s="64"/>
      <c r="BD430" s="69"/>
      <c r="BE430" s="64"/>
      <c r="BF430" s="69"/>
      <c r="BG430" s="64"/>
      <c r="BH430" s="69"/>
      <c r="BI430" s="64"/>
      <c r="BJ430" s="69"/>
      <c r="BK430" s="64"/>
      <c r="BL430" s="69"/>
      <c r="BM430" s="64"/>
      <c r="BN430" s="69"/>
      <c r="BO430" s="64"/>
      <c r="BP430" s="69"/>
      <c r="BQ430" s="64"/>
      <c r="BR430" s="69"/>
      <c r="BS430" s="64"/>
      <c r="BT430" s="69"/>
      <c r="BU430" t="b">
        <f t="shared" si="7"/>
        <v>0</v>
      </c>
    </row>
    <row r="431" spans="1:73" x14ac:dyDescent="0.25">
      <c r="A431" s="28"/>
      <c r="B431" s="29"/>
      <c r="C431" s="29"/>
      <c r="D431" s="30"/>
      <c r="E431" s="29"/>
      <c r="F431" s="30"/>
      <c r="G431" s="29"/>
      <c r="H431" s="69"/>
      <c r="I431" s="64"/>
      <c r="J431" s="69"/>
      <c r="K431" s="64"/>
      <c r="L431" s="69"/>
      <c r="M431" s="65"/>
      <c r="N431" s="69"/>
      <c r="O431" s="64"/>
      <c r="P431" s="69"/>
      <c r="Q431" s="64"/>
      <c r="R431" s="69"/>
      <c r="S431" s="64"/>
      <c r="T431" s="69"/>
      <c r="U431" s="64"/>
      <c r="V431" s="69"/>
      <c r="W431" s="65"/>
      <c r="X431" s="69"/>
      <c r="Y431" s="64"/>
      <c r="Z431" s="69"/>
      <c r="AA431" s="64"/>
      <c r="AB431" s="69"/>
      <c r="AC431" s="64"/>
      <c r="AD431" s="69"/>
      <c r="AE431" s="65"/>
      <c r="AF431" s="69"/>
      <c r="AG431" s="65"/>
      <c r="AH431" s="69"/>
      <c r="AI431" s="64"/>
      <c r="AJ431" s="69"/>
      <c r="AK431" s="64"/>
      <c r="AL431" s="69"/>
      <c r="AM431" s="64"/>
      <c r="AN431" s="69"/>
      <c r="AO431" s="64"/>
      <c r="AP431" s="69"/>
      <c r="AQ431" s="64"/>
      <c r="AR431" s="69"/>
      <c r="AS431" s="64"/>
      <c r="AT431" s="69"/>
      <c r="AU431" s="64"/>
      <c r="AV431" s="69"/>
      <c r="AW431" s="64"/>
      <c r="AX431" s="69"/>
      <c r="AY431" s="64"/>
      <c r="AZ431" s="69"/>
      <c r="BA431" s="64"/>
      <c r="BB431" s="69"/>
      <c r="BC431" s="64"/>
      <c r="BD431" s="69"/>
      <c r="BE431" s="64"/>
      <c r="BF431" s="69"/>
      <c r="BG431" s="64"/>
      <c r="BH431" s="69"/>
      <c r="BI431" s="64"/>
      <c r="BJ431" s="69"/>
      <c r="BK431" s="64"/>
      <c r="BL431" s="69"/>
      <c r="BM431" s="64"/>
      <c r="BN431" s="69"/>
      <c r="BO431" s="64"/>
      <c r="BP431" s="69"/>
      <c r="BQ431" s="64"/>
      <c r="BR431" s="69"/>
      <c r="BS431" s="64"/>
      <c r="BT431" s="69"/>
      <c r="BU431" t="b">
        <f t="shared" si="7"/>
        <v>0</v>
      </c>
    </row>
    <row r="432" spans="1:73" x14ac:dyDescent="0.25">
      <c r="A432" s="28"/>
      <c r="B432" s="29"/>
      <c r="C432" s="29"/>
      <c r="D432" s="30"/>
      <c r="E432" s="29"/>
      <c r="F432" s="30"/>
      <c r="G432" s="29"/>
      <c r="H432" s="69"/>
      <c r="I432" s="64"/>
      <c r="J432" s="69"/>
      <c r="K432" s="64"/>
      <c r="L432" s="69"/>
      <c r="M432" s="65"/>
      <c r="N432" s="69"/>
      <c r="O432" s="64"/>
      <c r="P432" s="69"/>
      <c r="Q432" s="64"/>
      <c r="R432" s="69"/>
      <c r="S432" s="64"/>
      <c r="T432" s="69"/>
      <c r="U432" s="64"/>
      <c r="V432" s="69"/>
      <c r="W432" s="65"/>
      <c r="X432" s="69"/>
      <c r="Y432" s="64"/>
      <c r="Z432" s="69"/>
      <c r="AA432" s="64"/>
      <c r="AB432" s="69"/>
      <c r="AC432" s="64"/>
      <c r="AD432" s="69"/>
      <c r="AE432" s="65"/>
      <c r="AF432" s="69"/>
      <c r="AG432" s="65"/>
      <c r="AH432" s="69"/>
      <c r="AI432" s="64"/>
      <c r="AJ432" s="69"/>
      <c r="AK432" s="64"/>
      <c r="AL432" s="69"/>
      <c r="AM432" s="64"/>
      <c r="AN432" s="69"/>
      <c r="AO432" s="64"/>
      <c r="AP432" s="69"/>
      <c r="AQ432" s="64"/>
      <c r="AR432" s="69"/>
      <c r="AS432" s="64"/>
      <c r="AT432" s="69"/>
      <c r="AU432" s="64"/>
      <c r="AV432" s="69"/>
      <c r="AW432" s="64"/>
      <c r="AX432" s="69"/>
      <c r="AY432" s="64"/>
      <c r="AZ432" s="69"/>
      <c r="BA432" s="64"/>
      <c r="BB432" s="69"/>
      <c r="BC432" s="64"/>
      <c r="BD432" s="69"/>
      <c r="BE432" s="64"/>
      <c r="BF432" s="69"/>
      <c r="BG432" s="64"/>
      <c r="BH432" s="69"/>
      <c r="BI432" s="64"/>
      <c r="BJ432" s="69"/>
      <c r="BK432" s="64"/>
      <c r="BL432" s="69"/>
      <c r="BM432" s="64"/>
      <c r="BN432" s="69"/>
      <c r="BO432" s="64"/>
      <c r="BP432" s="69"/>
      <c r="BQ432" s="64"/>
      <c r="BR432" s="69"/>
      <c r="BS432" s="64"/>
      <c r="BT432" s="69"/>
      <c r="BU432" t="b">
        <f t="shared" si="7"/>
        <v>0</v>
      </c>
    </row>
    <row r="433" spans="1:73" x14ac:dyDescent="0.25">
      <c r="A433" s="28"/>
      <c r="B433" s="29"/>
      <c r="C433" s="29"/>
      <c r="D433" s="30"/>
      <c r="E433" s="29"/>
      <c r="F433" s="30"/>
      <c r="G433" s="29"/>
      <c r="H433" s="69"/>
      <c r="I433" s="64"/>
      <c r="J433" s="69"/>
      <c r="K433" s="64"/>
      <c r="L433" s="69"/>
      <c r="M433" s="65"/>
      <c r="N433" s="69"/>
      <c r="O433" s="64"/>
      <c r="P433" s="69"/>
      <c r="Q433" s="64"/>
      <c r="R433" s="69"/>
      <c r="S433" s="64"/>
      <c r="T433" s="69"/>
      <c r="U433" s="64"/>
      <c r="V433" s="69"/>
      <c r="W433" s="65"/>
      <c r="X433" s="69"/>
      <c r="Y433" s="64"/>
      <c r="Z433" s="69"/>
      <c r="AA433" s="64"/>
      <c r="AB433" s="69"/>
      <c r="AC433" s="64"/>
      <c r="AD433" s="69"/>
      <c r="AE433" s="65"/>
      <c r="AF433" s="69"/>
      <c r="AG433" s="65"/>
      <c r="AH433" s="69"/>
      <c r="AI433" s="64"/>
      <c r="AJ433" s="69"/>
      <c r="AK433" s="64"/>
      <c r="AL433" s="69"/>
      <c r="AM433" s="64"/>
      <c r="AN433" s="69"/>
      <c r="AO433" s="64"/>
      <c r="AP433" s="69"/>
      <c r="AQ433" s="64"/>
      <c r="AR433" s="69"/>
      <c r="AS433" s="64"/>
      <c r="AT433" s="69"/>
      <c r="AU433" s="64"/>
      <c r="AV433" s="69"/>
      <c r="AW433" s="64"/>
      <c r="AX433" s="69"/>
      <c r="AY433" s="64"/>
      <c r="AZ433" s="69"/>
      <c r="BA433" s="64"/>
      <c r="BB433" s="69"/>
      <c r="BC433" s="64"/>
      <c r="BD433" s="69"/>
      <c r="BE433" s="64"/>
      <c r="BF433" s="69"/>
      <c r="BG433" s="64"/>
      <c r="BH433" s="69"/>
      <c r="BI433" s="64"/>
      <c r="BJ433" s="69"/>
      <c r="BK433" s="64"/>
      <c r="BL433" s="69"/>
      <c r="BM433" s="64"/>
      <c r="BN433" s="69"/>
      <c r="BO433" s="64"/>
      <c r="BP433" s="69"/>
      <c r="BQ433" s="64"/>
      <c r="BR433" s="69"/>
      <c r="BS433" s="64"/>
      <c r="BT433" s="69"/>
      <c r="BU433" t="b">
        <f t="shared" si="7"/>
        <v>0</v>
      </c>
    </row>
    <row r="434" spans="1:73" x14ac:dyDescent="0.25">
      <c r="A434" s="28"/>
      <c r="B434" s="29"/>
      <c r="C434" s="29"/>
      <c r="D434" s="30"/>
      <c r="E434" s="29"/>
      <c r="F434" s="30"/>
      <c r="G434" s="29"/>
      <c r="H434" s="69"/>
      <c r="I434" s="64"/>
      <c r="J434" s="69"/>
      <c r="K434" s="64"/>
      <c r="L434" s="69"/>
      <c r="M434" s="65"/>
      <c r="N434" s="69"/>
      <c r="O434" s="64"/>
      <c r="P434" s="69"/>
      <c r="Q434" s="64"/>
      <c r="R434" s="69"/>
      <c r="S434" s="64"/>
      <c r="T434" s="69"/>
      <c r="U434" s="64"/>
      <c r="V434" s="69"/>
      <c r="W434" s="65"/>
      <c r="X434" s="69"/>
      <c r="Y434" s="64"/>
      <c r="Z434" s="69"/>
      <c r="AA434" s="64"/>
      <c r="AB434" s="69"/>
      <c r="AC434" s="64"/>
      <c r="AD434" s="69"/>
      <c r="AE434" s="65"/>
      <c r="AF434" s="69"/>
      <c r="AG434" s="65"/>
      <c r="AH434" s="69"/>
      <c r="AI434" s="64"/>
      <c r="AJ434" s="69"/>
      <c r="AK434" s="64"/>
      <c r="AL434" s="69"/>
      <c r="AM434" s="64"/>
      <c r="AN434" s="69"/>
      <c r="AO434" s="64"/>
      <c r="AP434" s="69"/>
      <c r="AQ434" s="64"/>
      <c r="AR434" s="69"/>
      <c r="AS434" s="64"/>
      <c r="AT434" s="69"/>
      <c r="AU434" s="64"/>
      <c r="AV434" s="69"/>
      <c r="AW434" s="64"/>
      <c r="AX434" s="69"/>
      <c r="AY434" s="64"/>
      <c r="AZ434" s="69"/>
      <c r="BA434" s="64"/>
      <c r="BB434" s="69"/>
      <c r="BC434" s="64"/>
      <c r="BD434" s="69"/>
      <c r="BE434" s="64"/>
      <c r="BF434" s="69"/>
      <c r="BG434" s="64"/>
      <c r="BH434" s="69"/>
      <c r="BI434" s="64"/>
      <c r="BJ434" s="69"/>
      <c r="BK434" s="64"/>
      <c r="BL434" s="69"/>
      <c r="BM434" s="64"/>
      <c r="BN434" s="69"/>
      <c r="BO434" s="64"/>
      <c r="BP434" s="69"/>
      <c r="BQ434" s="64"/>
      <c r="BR434" s="69"/>
      <c r="BS434" s="64"/>
      <c r="BT434" s="69"/>
      <c r="BU434" t="b">
        <f t="shared" si="7"/>
        <v>0</v>
      </c>
    </row>
    <row r="435" spans="1:73" x14ac:dyDescent="0.25">
      <c r="A435" s="28"/>
      <c r="B435" s="29"/>
      <c r="C435" s="29"/>
      <c r="D435" s="30"/>
      <c r="E435" s="29"/>
      <c r="F435" s="30"/>
      <c r="G435" s="29"/>
      <c r="H435" s="69"/>
      <c r="I435" s="64"/>
      <c r="J435" s="69"/>
      <c r="K435" s="64"/>
      <c r="L435" s="69"/>
      <c r="M435" s="65"/>
      <c r="N435" s="69"/>
      <c r="O435" s="64"/>
      <c r="P435" s="69"/>
      <c r="Q435" s="64"/>
      <c r="R435" s="69"/>
      <c r="S435" s="64"/>
      <c r="T435" s="69"/>
      <c r="U435" s="64"/>
      <c r="V435" s="69"/>
      <c r="W435" s="65"/>
      <c r="X435" s="69"/>
      <c r="Y435" s="64"/>
      <c r="Z435" s="69"/>
      <c r="AA435" s="64"/>
      <c r="AB435" s="69"/>
      <c r="AC435" s="64"/>
      <c r="AD435" s="69"/>
      <c r="AE435" s="65"/>
      <c r="AF435" s="69"/>
      <c r="AG435" s="65"/>
      <c r="AH435" s="69"/>
      <c r="AI435" s="64"/>
      <c r="AJ435" s="69"/>
      <c r="AK435" s="64"/>
      <c r="AL435" s="69"/>
      <c r="AM435" s="64"/>
      <c r="AN435" s="69"/>
      <c r="AO435" s="64"/>
      <c r="AP435" s="69"/>
      <c r="AQ435" s="64"/>
      <c r="AR435" s="69"/>
      <c r="AS435" s="64"/>
      <c r="AT435" s="69"/>
      <c r="AU435" s="64"/>
      <c r="AV435" s="69"/>
      <c r="AW435" s="64"/>
      <c r="AX435" s="69"/>
      <c r="AY435" s="64"/>
      <c r="AZ435" s="69"/>
      <c r="BA435" s="64"/>
      <c r="BB435" s="69"/>
      <c r="BC435" s="64"/>
      <c r="BD435" s="69"/>
      <c r="BE435" s="64"/>
      <c r="BF435" s="69"/>
      <c r="BG435" s="64"/>
      <c r="BH435" s="69"/>
      <c r="BI435" s="64"/>
      <c r="BJ435" s="69"/>
      <c r="BK435" s="64"/>
      <c r="BL435" s="69"/>
      <c r="BM435" s="64"/>
      <c r="BN435" s="69"/>
      <c r="BO435" s="64"/>
      <c r="BP435" s="69"/>
      <c r="BQ435" s="64"/>
      <c r="BR435" s="69"/>
      <c r="BS435" s="64"/>
      <c r="BT435" s="69"/>
      <c r="BU435" t="b">
        <f t="shared" si="7"/>
        <v>0</v>
      </c>
    </row>
    <row r="436" spans="1:73" x14ac:dyDescent="0.25">
      <c r="A436" s="28"/>
      <c r="B436" s="29"/>
      <c r="C436" s="29"/>
      <c r="D436" s="30"/>
      <c r="E436" s="29"/>
      <c r="F436" s="30"/>
      <c r="G436" s="29"/>
      <c r="H436" s="69"/>
      <c r="I436" s="64"/>
      <c r="J436" s="69"/>
      <c r="K436" s="64"/>
      <c r="L436" s="69"/>
      <c r="M436" s="65"/>
      <c r="N436" s="69"/>
      <c r="O436" s="64"/>
      <c r="P436" s="69"/>
      <c r="Q436" s="64"/>
      <c r="R436" s="69"/>
      <c r="S436" s="64"/>
      <c r="T436" s="69"/>
      <c r="U436" s="64"/>
      <c r="V436" s="69"/>
      <c r="W436" s="65"/>
      <c r="X436" s="69"/>
      <c r="Y436" s="64"/>
      <c r="Z436" s="69"/>
      <c r="AA436" s="64"/>
      <c r="AB436" s="69"/>
      <c r="AC436" s="64"/>
      <c r="AD436" s="69"/>
      <c r="AE436" s="65"/>
      <c r="AF436" s="69"/>
      <c r="AG436" s="65"/>
      <c r="AH436" s="69"/>
      <c r="AI436" s="64"/>
      <c r="AJ436" s="69"/>
      <c r="AK436" s="64"/>
      <c r="AL436" s="69"/>
      <c r="AM436" s="64"/>
      <c r="AN436" s="69"/>
      <c r="AO436" s="64"/>
      <c r="AP436" s="69"/>
      <c r="AQ436" s="64"/>
      <c r="AR436" s="69"/>
      <c r="AS436" s="64"/>
      <c r="AT436" s="69"/>
      <c r="AU436" s="64"/>
      <c r="AV436" s="69"/>
      <c r="AW436" s="64"/>
      <c r="AX436" s="69"/>
      <c r="AY436" s="64"/>
      <c r="AZ436" s="69"/>
      <c r="BA436" s="64"/>
      <c r="BB436" s="69"/>
      <c r="BC436" s="64"/>
      <c r="BD436" s="69"/>
      <c r="BE436" s="64"/>
      <c r="BF436" s="69"/>
      <c r="BG436" s="64"/>
      <c r="BH436" s="69"/>
      <c r="BI436" s="64"/>
      <c r="BJ436" s="69"/>
      <c r="BK436" s="64"/>
      <c r="BL436" s="69"/>
      <c r="BM436" s="64"/>
      <c r="BN436" s="69"/>
      <c r="BO436" s="64"/>
      <c r="BP436" s="69"/>
      <c r="BQ436" s="64"/>
      <c r="BR436" s="69"/>
      <c r="BS436" s="64"/>
      <c r="BT436" s="69"/>
      <c r="BU436" t="b">
        <f t="shared" si="7"/>
        <v>0</v>
      </c>
    </row>
    <row r="437" spans="1:73" x14ac:dyDescent="0.25">
      <c r="A437" s="28"/>
      <c r="B437" s="29"/>
      <c r="C437" s="29"/>
      <c r="D437" s="30"/>
      <c r="E437" s="29"/>
      <c r="F437" s="30"/>
      <c r="G437" s="29"/>
      <c r="H437" s="69"/>
      <c r="I437" s="64"/>
      <c r="J437" s="69"/>
      <c r="K437" s="64"/>
      <c r="L437" s="69"/>
      <c r="M437" s="65"/>
      <c r="N437" s="69"/>
      <c r="O437" s="64"/>
      <c r="P437" s="69"/>
      <c r="Q437" s="64"/>
      <c r="R437" s="69"/>
      <c r="S437" s="64"/>
      <c r="T437" s="69"/>
      <c r="U437" s="64"/>
      <c r="V437" s="69"/>
      <c r="W437" s="65"/>
      <c r="X437" s="69"/>
      <c r="Y437" s="64"/>
      <c r="Z437" s="69"/>
      <c r="AA437" s="64"/>
      <c r="AB437" s="69"/>
      <c r="AC437" s="64"/>
      <c r="AD437" s="69"/>
      <c r="AE437" s="65"/>
      <c r="AF437" s="69"/>
      <c r="AG437" s="65"/>
      <c r="AH437" s="69"/>
      <c r="AI437" s="64"/>
      <c r="AJ437" s="69"/>
      <c r="AK437" s="64"/>
      <c r="AL437" s="69"/>
      <c r="AM437" s="64"/>
      <c r="AN437" s="69"/>
      <c r="AO437" s="64"/>
      <c r="AP437" s="69"/>
      <c r="AQ437" s="64"/>
      <c r="AR437" s="69"/>
      <c r="AS437" s="64"/>
      <c r="AT437" s="69"/>
      <c r="AU437" s="64"/>
      <c r="AV437" s="69"/>
      <c r="AW437" s="64"/>
      <c r="AX437" s="69"/>
      <c r="AY437" s="64"/>
      <c r="AZ437" s="69"/>
      <c r="BA437" s="64"/>
      <c r="BB437" s="69"/>
      <c r="BC437" s="64"/>
      <c r="BD437" s="69"/>
      <c r="BE437" s="64"/>
      <c r="BF437" s="69"/>
      <c r="BG437" s="64"/>
      <c r="BH437" s="69"/>
      <c r="BI437" s="64"/>
      <c r="BJ437" s="69"/>
      <c r="BK437" s="64"/>
      <c r="BL437" s="69"/>
      <c r="BM437" s="64"/>
      <c r="BN437" s="69"/>
      <c r="BO437" s="64"/>
      <c r="BP437" s="69"/>
      <c r="BQ437" s="64"/>
      <c r="BR437" s="69"/>
      <c r="BS437" s="64"/>
      <c r="BT437" s="69"/>
      <c r="BU437" t="b">
        <f t="shared" si="7"/>
        <v>0</v>
      </c>
    </row>
    <row r="438" spans="1:73" x14ac:dyDescent="0.25">
      <c r="A438" s="28"/>
      <c r="B438" s="29"/>
      <c r="C438" s="29"/>
      <c r="D438" s="30"/>
      <c r="E438" s="29"/>
      <c r="F438" s="30"/>
      <c r="G438" s="29"/>
      <c r="H438" s="69"/>
      <c r="I438" s="64"/>
      <c r="J438" s="69"/>
      <c r="K438" s="64"/>
      <c r="L438" s="69"/>
      <c r="M438" s="65"/>
      <c r="N438" s="69"/>
      <c r="O438" s="64"/>
      <c r="P438" s="69"/>
      <c r="Q438" s="64"/>
      <c r="R438" s="69"/>
      <c r="S438" s="64"/>
      <c r="T438" s="69"/>
      <c r="U438" s="64"/>
      <c r="V438" s="69"/>
      <c r="W438" s="65"/>
      <c r="X438" s="69"/>
      <c r="Y438" s="64"/>
      <c r="Z438" s="69"/>
      <c r="AA438" s="64"/>
      <c r="AB438" s="69"/>
      <c r="AC438" s="64"/>
      <c r="AD438" s="69"/>
      <c r="AE438" s="65"/>
      <c r="AF438" s="69"/>
      <c r="AG438" s="65"/>
      <c r="AH438" s="69"/>
      <c r="AI438" s="64"/>
      <c r="AJ438" s="69"/>
      <c r="AK438" s="64"/>
      <c r="AL438" s="69"/>
      <c r="AM438" s="64"/>
      <c r="AN438" s="69"/>
      <c r="AO438" s="64"/>
      <c r="AP438" s="69"/>
      <c r="AQ438" s="64"/>
      <c r="AR438" s="69"/>
      <c r="AS438" s="64"/>
      <c r="AT438" s="69"/>
      <c r="AU438" s="64"/>
      <c r="AV438" s="69"/>
      <c r="AW438" s="64"/>
      <c r="AX438" s="69"/>
      <c r="AY438" s="64"/>
      <c r="AZ438" s="69"/>
      <c r="BA438" s="64"/>
      <c r="BB438" s="69"/>
      <c r="BC438" s="64"/>
      <c r="BD438" s="69"/>
      <c r="BE438" s="64"/>
      <c r="BF438" s="69"/>
      <c r="BG438" s="64"/>
      <c r="BH438" s="69"/>
      <c r="BI438" s="64"/>
      <c r="BJ438" s="69"/>
      <c r="BK438" s="64"/>
      <c r="BL438" s="69"/>
      <c r="BM438" s="64"/>
      <c r="BN438" s="69"/>
      <c r="BO438" s="64"/>
      <c r="BP438" s="69"/>
      <c r="BQ438" s="64"/>
      <c r="BR438" s="69"/>
      <c r="BS438" s="64"/>
      <c r="BT438" s="69"/>
      <c r="BU438" t="b">
        <f t="shared" si="7"/>
        <v>0</v>
      </c>
    </row>
    <row r="439" spans="1:73" x14ac:dyDescent="0.25">
      <c r="A439" s="28"/>
      <c r="B439" s="29"/>
      <c r="C439" s="29"/>
      <c r="D439" s="30"/>
      <c r="E439" s="29"/>
      <c r="F439" s="30"/>
      <c r="G439" s="29"/>
      <c r="H439" s="69"/>
      <c r="I439" s="64"/>
      <c r="J439" s="69"/>
      <c r="K439" s="64"/>
      <c r="L439" s="69"/>
      <c r="M439" s="65"/>
      <c r="N439" s="69"/>
      <c r="O439" s="64"/>
      <c r="P439" s="69"/>
      <c r="Q439" s="64"/>
      <c r="R439" s="69"/>
      <c r="S439" s="64"/>
      <c r="T439" s="69"/>
      <c r="U439" s="64"/>
      <c r="V439" s="69"/>
      <c r="W439" s="65"/>
      <c r="X439" s="69"/>
      <c r="Y439" s="64"/>
      <c r="Z439" s="69"/>
      <c r="AA439" s="64"/>
      <c r="AB439" s="69"/>
      <c r="AC439" s="64"/>
      <c r="AD439" s="69"/>
      <c r="AE439" s="65"/>
      <c r="AF439" s="69"/>
      <c r="AG439" s="65"/>
      <c r="AH439" s="69"/>
      <c r="AI439" s="64"/>
      <c r="AJ439" s="69"/>
      <c r="AK439" s="64"/>
      <c r="AL439" s="69"/>
      <c r="AM439" s="64"/>
      <c r="AN439" s="69"/>
      <c r="AO439" s="64"/>
      <c r="AP439" s="69"/>
      <c r="AQ439" s="64"/>
      <c r="AR439" s="69"/>
      <c r="AS439" s="64"/>
      <c r="AT439" s="69"/>
      <c r="AU439" s="64"/>
      <c r="AV439" s="69"/>
      <c r="AW439" s="64"/>
      <c r="AX439" s="69"/>
      <c r="AY439" s="64"/>
      <c r="AZ439" s="69"/>
      <c r="BA439" s="64"/>
      <c r="BB439" s="69"/>
      <c r="BC439" s="64"/>
      <c r="BD439" s="69"/>
      <c r="BE439" s="64"/>
      <c r="BF439" s="69"/>
      <c r="BG439" s="64"/>
      <c r="BH439" s="69"/>
      <c r="BI439" s="64"/>
      <c r="BJ439" s="69"/>
      <c r="BK439" s="64"/>
      <c r="BL439" s="69"/>
      <c r="BM439" s="64"/>
      <c r="BN439" s="69"/>
      <c r="BO439" s="64"/>
      <c r="BP439" s="69"/>
      <c r="BQ439" s="64"/>
      <c r="BR439" s="69"/>
      <c r="BS439" s="64"/>
      <c r="BT439" s="69"/>
      <c r="BU439" t="b">
        <f t="shared" si="7"/>
        <v>0</v>
      </c>
    </row>
    <row r="440" spans="1:73" x14ac:dyDescent="0.25">
      <c r="A440" s="28"/>
      <c r="B440" s="29"/>
      <c r="C440" s="29"/>
      <c r="D440" s="30"/>
      <c r="E440" s="29"/>
      <c r="F440" s="30"/>
      <c r="G440" s="29"/>
      <c r="H440" s="69"/>
      <c r="I440" s="64"/>
      <c r="J440" s="69"/>
      <c r="K440" s="64"/>
      <c r="L440" s="69"/>
      <c r="M440" s="65"/>
      <c r="N440" s="69"/>
      <c r="O440" s="64"/>
      <c r="P440" s="69"/>
      <c r="Q440" s="64"/>
      <c r="R440" s="69"/>
      <c r="S440" s="64"/>
      <c r="T440" s="69"/>
      <c r="U440" s="64"/>
      <c r="V440" s="69"/>
      <c r="W440" s="65"/>
      <c r="X440" s="69"/>
      <c r="Y440" s="64"/>
      <c r="Z440" s="69"/>
      <c r="AA440" s="64"/>
      <c r="AB440" s="69"/>
      <c r="AC440" s="64"/>
      <c r="AD440" s="69"/>
      <c r="AE440" s="65"/>
      <c r="AF440" s="69"/>
      <c r="AG440" s="65"/>
      <c r="AH440" s="69"/>
      <c r="AI440" s="64"/>
      <c r="AJ440" s="69"/>
      <c r="AK440" s="64"/>
      <c r="AL440" s="69"/>
      <c r="AM440" s="64"/>
      <c r="AN440" s="69"/>
      <c r="AO440" s="64"/>
      <c r="AP440" s="69"/>
      <c r="AQ440" s="64"/>
      <c r="AR440" s="69"/>
      <c r="AS440" s="64"/>
      <c r="AT440" s="69"/>
      <c r="AU440" s="64"/>
      <c r="AV440" s="69"/>
      <c r="AW440" s="64"/>
      <c r="AX440" s="69"/>
      <c r="AY440" s="64"/>
      <c r="AZ440" s="69"/>
      <c r="BA440" s="64"/>
      <c r="BB440" s="69"/>
      <c r="BC440" s="64"/>
      <c r="BD440" s="69"/>
      <c r="BE440" s="64"/>
      <c r="BF440" s="69"/>
      <c r="BG440" s="64"/>
      <c r="BH440" s="69"/>
      <c r="BI440" s="64"/>
      <c r="BJ440" s="69"/>
      <c r="BK440" s="64"/>
      <c r="BL440" s="69"/>
      <c r="BM440" s="64"/>
      <c r="BN440" s="69"/>
      <c r="BO440" s="64"/>
      <c r="BP440" s="69"/>
      <c r="BQ440" s="64"/>
      <c r="BR440" s="69"/>
      <c r="BS440" s="64"/>
      <c r="BT440" s="69"/>
      <c r="BU440" t="b">
        <f t="shared" si="7"/>
        <v>0</v>
      </c>
    </row>
    <row r="441" spans="1:73" x14ac:dyDescent="0.25">
      <c r="A441" s="28"/>
      <c r="B441" s="29"/>
      <c r="C441" s="29"/>
      <c r="D441" s="30"/>
      <c r="E441" s="29"/>
      <c r="F441" s="30"/>
      <c r="G441" s="29"/>
      <c r="H441" s="69"/>
      <c r="I441" s="64"/>
      <c r="J441" s="69"/>
      <c r="K441" s="64"/>
      <c r="L441" s="69"/>
      <c r="M441" s="65"/>
      <c r="N441" s="69"/>
      <c r="O441" s="64"/>
      <c r="P441" s="69"/>
      <c r="Q441" s="64"/>
      <c r="R441" s="69"/>
      <c r="S441" s="64"/>
      <c r="T441" s="69"/>
      <c r="U441" s="64"/>
      <c r="V441" s="69"/>
      <c r="W441" s="65"/>
      <c r="X441" s="69"/>
      <c r="Y441" s="64"/>
      <c r="Z441" s="69"/>
      <c r="AA441" s="64"/>
      <c r="AB441" s="69"/>
      <c r="AC441" s="64"/>
      <c r="AD441" s="69"/>
      <c r="AE441" s="65"/>
      <c r="AF441" s="69"/>
      <c r="AG441" s="65"/>
      <c r="AH441" s="69"/>
      <c r="AI441" s="64"/>
      <c r="AJ441" s="69"/>
      <c r="AK441" s="64"/>
      <c r="AL441" s="69"/>
      <c r="AM441" s="64"/>
      <c r="AN441" s="69"/>
      <c r="AO441" s="64"/>
      <c r="AP441" s="69"/>
      <c r="AQ441" s="64"/>
      <c r="AR441" s="69"/>
      <c r="AS441" s="64"/>
      <c r="AT441" s="69"/>
      <c r="AU441" s="64"/>
      <c r="AV441" s="69"/>
      <c r="AW441" s="64"/>
      <c r="AX441" s="69"/>
      <c r="AY441" s="64"/>
      <c r="AZ441" s="69"/>
      <c r="BA441" s="64"/>
      <c r="BB441" s="69"/>
      <c r="BC441" s="64"/>
      <c r="BD441" s="69"/>
      <c r="BE441" s="64"/>
      <c r="BF441" s="69"/>
      <c r="BG441" s="64"/>
      <c r="BH441" s="69"/>
      <c r="BI441" s="64"/>
      <c r="BJ441" s="69"/>
      <c r="BK441" s="64"/>
      <c r="BL441" s="69"/>
      <c r="BM441" s="64"/>
      <c r="BN441" s="69"/>
      <c r="BO441" s="64"/>
      <c r="BP441" s="69"/>
      <c r="BQ441" s="64"/>
      <c r="BR441" s="69"/>
      <c r="BS441" s="64"/>
      <c r="BT441" s="69"/>
      <c r="BU441" t="b">
        <f t="shared" si="7"/>
        <v>0</v>
      </c>
    </row>
    <row r="442" spans="1:73" x14ac:dyDescent="0.25">
      <c r="A442" s="28"/>
      <c r="B442" s="29"/>
      <c r="C442" s="29"/>
      <c r="D442" s="30"/>
      <c r="E442" s="29"/>
      <c r="F442" s="30"/>
      <c r="G442" s="29"/>
      <c r="H442" s="69"/>
      <c r="I442" s="64"/>
      <c r="J442" s="69"/>
      <c r="K442" s="64"/>
      <c r="L442" s="69"/>
      <c r="M442" s="65"/>
      <c r="N442" s="69"/>
      <c r="O442" s="64"/>
      <c r="P442" s="69"/>
      <c r="Q442" s="64"/>
      <c r="R442" s="69"/>
      <c r="S442" s="64"/>
      <c r="T442" s="69"/>
      <c r="U442" s="64"/>
      <c r="V442" s="69"/>
      <c r="W442" s="65"/>
      <c r="X442" s="69"/>
      <c r="Y442" s="64"/>
      <c r="Z442" s="69"/>
      <c r="AA442" s="64"/>
      <c r="AB442" s="69"/>
      <c r="AC442" s="64"/>
      <c r="AD442" s="69"/>
      <c r="AE442" s="65"/>
      <c r="AF442" s="69"/>
      <c r="AG442" s="65"/>
      <c r="AH442" s="69"/>
      <c r="AI442" s="64"/>
      <c r="AJ442" s="69"/>
      <c r="AK442" s="64"/>
      <c r="AL442" s="69"/>
      <c r="AM442" s="64"/>
      <c r="AN442" s="69"/>
      <c r="AO442" s="64"/>
      <c r="AP442" s="69"/>
      <c r="AQ442" s="64"/>
      <c r="AR442" s="69"/>
      <c r="AS442" s="64"/>
      <c r="AT442" s="69"/>
      <c r="AU442" s="64"/>
      <c r="AV442" s="69"/>
      <c r="AW442" s="64"/>
      <c r="AX442" s="69"/>
      <c r="AY442" s="64"/>
      <c r="AZ442" s="69"/>
      <c r="BA442" s="64"/>
      <c r="BB442" s="69"/>
      <c r="BC442" s="64"/>
      <c r="BD442" s="69"/>
      <c r="BE442" s="64"/>
      <c r="BF442" s="69"/>
      <c r="BG442" s="64"/>
      <c r="BH442" s="69"/>
      <c r="BI442" s="64"/>
      <c r="BJ442" s="69"/>
      <c r="BK442" s="64"/>
      <c r="BL442" s="69"/>
      <c r="BM442" s="64"/>
      <c r="BN442" s="69"/>
      <c r="BO442" s="64"/>
      <c r="BP442" s="69"/>
      <c r="BQ442" s="64"/>
      <c r="BR442" s="69"/>
      <c r="BS442" s="64"/>
      <c r="BT442" s="69"/>
      <c r="BU442" t="b">
        <f t="shared" si="7"/>
        <v>0</v>
      </c>
    </row>
    <row r="443" spans="1:73" x14ac:dyDescent="0.25">
      <c r="A443" s="28"/>
      <c r="B443" s="29"/>
      <c r="C443" s="29"/>
      <c r="D443" s="30"/>
      <c r="E443" s="29"/>
      <c r="F443" s="30"/>
      <c r="G443" s="29"/>
      <c r="H443" s="69"/>
      <c r="I443" s="64"/>
      <c r="J443" s="69"/>
      <c r="K443" s="64"/>
      <c r="L443" s="69"/>
      <c r="M443" s="65"/>
      <c r="N443" s="69"/>
      <c r="O443" s="64"/>
      <c r="P443" s="69"/>
      <c r="Q443" s="64"/>
      <c r="R443" s="69"/>
      <c r="S443" s="64"/>
      <c r="T443" s="69"/>
      <c r="U443" s="64"/>
      <c r="V443" s="69"/>
      <c r="W443" s="65"/>
      <c r="X443" s="69"/>
      <c r="Y443" s="64"/>
      <c r="Z443" s="69"/>
      <c r="AA443" s="64"/>
      <c r="AB443" s="69"/>
      <c r="AC443" s="64"/>
      <c r="AD443" s="69"/>
      <c r="AE443" s="65"/>
      <c r="AF443" s="69"/>
      <c r="AG443" s="65"/>
      <c r="AH443" s="69"/>
      <c r="AI443" s="64"/>
      <c r="AJ443" s="69"/>
      <c r="AK443" s="64"/>
      <c r="AL443" s="69"/>
      <c r="AM443" s="64"/>
      <c r="AN443" s="69"/>
      <c r="AO443" s="64"/>
      <c r="AP443" s="69"/>
      <c r="AQ443" s="64"/>
      <c r="AR443" s="69"/>
      <c r="AS443" s="64"/>
      <c r="AT443" s="69"/>
      <c r="AU443" s="64"/>
      <c r="AV443" s="69"/>
      <c r="AW443" s="64"/>
      <c r="AX443" s="69"/>
      <c r="AY443" s="64"/>
      <c r="AZ443" s="69"/>
      <c r="BA443" s="64"/>
      <c r="BB443" s="69"/>
      <c r="BC443" s="64"/>
      <c r="BD443" s="69"/>
      <c r="BE443" s="64"/>
      <c r="BF443" s="69"/>
      <c r="BG443" s="64"/>
      <c r="BH443" s="69"/>
      <c r="BI443" s="64"/>
      <c r="BJ443" s="69"/>
      <c r="BK443" s="64"/>
      <c r="BL443" s="69"/>
      <c r="BM443" s="64"/>
      <c r="BN443" s="69"/>
      <c r="BO443" s="64"/>
      <c r="BP443" s="69"/>
      <c r="BQ443" s="64"/>
      <c r="BR443" s="69"/>
      <c r="BS443" s="64"/>
      <c r="BT443" s="69"/>
      <c r="BU443" t="b">
        <f t="shared" si="7"/>
        <v>0</v>
      </c>
    </row>
    <row r="444" spans="1:73" x14ac:dyDescent="0.25">
      <c r="A444" s="28"/>
      <c r="B444" s="29"/>
      <c r="C444" s="29"/>
      <c r="D444" s="30"/>
      <c r="E444" s="29"/>
      <c r="F444" s="30"/>
      <c r="G444" s="29"/>
      <c r="H444" s="69"/>
      <c r="I444" s="64"/>
      <c r="J444" s="69"/>
      <c r="K444" s="64"/>
      <c r="L444" s="69"/>
      <c r="M444" s="65"/>
      <c r="N444" s="69"/>
      <c r="O444" s="64"/>
      <c r="P444" s="69"/>
      <c r="Q444" s="64"/>
      <c r="R444" s="69"/>
      <c r="S444" s="64"/>
      <c r="T444" s="69"/>
      <c r="U444" s="64"/>
      <c r="V444" s="69"/>
      <c r="W444" s="65"/>
      <c r="X444" s="69"/>
      <c r="Y444" s="64"/>
      <c r="Z444" s="69"/>
      <c r="AA444" s="64"/>
      <c r="AB444" s="69"/>
      <c r="AC444" s="64"/>
      <c r="AD444" s="69"/>
      <c r="AE444" s="65"/>
      <c r="AF444" s="69"/>
      <c r="AG444" s="65"/>
      <c r="AH444" s="69"/>
      <c r="AI444" s="64"/>
      <c r="AJ444" s="69"/>
      <c r="AK444" s="64"/>
      <c r="AL444" s="69"/>
      <c r="AM444" s="64"/>
      <c r="AN444" s="69"/>
      <c r="AO444" s="64"/>
      <c r="AP444" s="69"/>
      <c r="AQ444" s="64"/>
      <c r="AR444" s="69"/>
      <c r="AS444" s="64"/>
      <c r="AT444" s="69"/>
      <c r="AU444" s="64"/>
      <c r="AV444" s="69"/>
      <c r="AW444" s="64"/>
      <c r="AX444" s="69"/>
      <c r="AY444" s="64"/>
      <c r="AZ444" s="69"/>
      <c r="BA444" s="64"/>
      <c r="BB444" s="69"/>
      <c r="BC444" s="64"/>
      <c r="BD444" s="69"/>
      <c r="BE444" s="64"/>
      <c r="BF444" s="69"/>
      <c r="BG444" s="64"/>
      <c r="BH444" s="69"/>
      <c r="BI444" s="64"/>
      <c r="BJ444" s="69"/>
      <c r="BK444" s="64"/>
      <c r="BL444" s="69"/>
      <c r="BM444" s="64"/>
      <c r="BN444" s="69"/>
      <c r="BO444" s="64"/>
      <c r="BP444" s="69"/>
      <c r="BQ444" s="64"/>
      <c r="BR444" s="69"/>
      <c r="BS444" s="64"/>
      <c r="BT444" s="69"/>
      <c r="BU444" t="b">
        <f t="shared" si="7"/>
        <v>0</v>
      </c>
    </row>
    <row r="445" spans="1:73" x14ac:dyDescent="0.25">
      <c r="A445" s="28"/>
      <c r="B445" s="29"/>
      <c r="C445" s="29"/>
      <c r="D445" s="30"/>
      <c r="E445" s="29"/>
      <c r="F445" s="30"/>
      <c r="G445" s="29"/>
      <c r="H445" s="69"/>
      <c r="I445" s="64"/>
      <c r="J445" s="69"/>
      <c r="K445" s="64"/>
      <c r="L445" s="69"/>
      <c r="M445" s="65"/>
      <c r="N445" s="69"/>
      <c r="O445" s="64"/>
      <c r="P445" s="69"/>
      <c r="Q445" s="64"/>
      <c r="R445" s="69"/>
      <c r="S445" s="64"/>
      <c r="T445" s="69"/>
      <c r="U445" s="64"/>
      <c r="V445" s="69"/>
      <c r="W445" s="65"/>
      <c r="X445" s="69"/>
      <c r="Y445" s="64"/>
      <c r="Z445" s="69"/>
      <c r="AA445" s="64"/>
      <c r="AB445" s="69"/>
      <c r="AC445" s="64"/>
      <c r="AD445" s="69"/>
      <c r="AE445" s="65"/>
      <c r="AF445" s="69"/>
      <c r="AG445" s="65"/>
      <c r="AH445" s="69"/>
      <c r="AI445" s="64"/>
      <c r="AJ445" s="69"/>
      <c r="AK445" s="64"/>
      <c r="AL445" s="69"/>
      <c r="AM445" s="64"/>
      <c r="AN445" s="69"/>
      <c r="AO445" s="64"/>
      <c r="AP445" s="69"/>
      <c r="AQ445" s="64"/>
      <c r="AR445" s="69"/>
      <c r="AS445" s="64"/>
      <c r="AT445" s="69"/>
      <c r="AU445" s="64"/>
      <c r="AV445" s="69"/>
      <c r="AW445" s="64"/>
      <c r="AX445" s="69"/>
      <c r="AY445" s="64"/>
      <c r="AZ445" s="69"/>
      <c r="BA445" s="64"/>
      <c r="BB445" s="69"/>
      <c r="BC445" s="64"/>
      <c r="BD445" s="69"/>
      <c r="BE445" s="64"/>
      <c r="BF445" s="69"/>
      <c r="BG445" s="64"/>
      <c r="BH445" s="69"/>
      <c r="BI445" s="64"/>
      <c r="BJ445" s="69"/>
      <c r="BK445" s="64"/>
      <c r="BL445" s="69"/>
      <c r="BM445" s="64"/>
      <c r="BN445" s="69"/>
      <c r="BO445" s="64"/>
      <c r="BP445" s="69"/>
      <c r="BQ445" s="64"/>
      <c r="BR445" s="69"/>
      <c r="BS445" s="64"/>
      <c r="BT445" s="69"/>
      <c r="BU445" t="b">
        <f t="shared" si="7"/>
        <v>0</v>
      </c>
    </row>
    <row r="446" spans="1:73" x14ac:dyDescent="0.25">
      <c r="A446" s="28"/>
      <c r="B446" s="29"/>
      <c r="C446" s="29"/>
      <c r="D446" s="30"/>
      <c r="E446" s="29"/>
      <c r="F446" s="30"/>
      <c r="G446" s="29"/>
      <c r="H446" s="69"/>
      <c r="I446" s="64"/>
      <c r="J446" s="69"/>
      <c r="K446" s="64"/>
      <c r="L446" s="69"/>
      <c r="M446" s="65"/>
      <c r="N446" s="69"/>
      <c r="O446" s="64"/>
      <c r="P446" s="69"/>
      <c r="Q446" s="64"/>
      <c r="R446" s="69"/>
      <c r="S446" s="64"/>
      <c r="T446" s="69"/>
      <c r="U446" s="64"/>
      <c r="V446" s="69"/>
      <c r="W446" s="65"/>
      <c r="X446" s="69"/>
      <c r="Y446" s="64"/>
      <c r="Z446" s="69"/>
      <c r="AA446" s="64"/>
      <c r="AB446" s="69"/>
      <c r="AC446" s="64"/>
      <c r="AD446" s="69"/>
      <c r="AE446" s="65"/>
      <c r="AF446" s="69"/>
      <c r="AG446" s="65"/>
      <c r="AH446" s="69"/>
      <c r="AI446" s="64"/>
      <c r="AJ446" s="69"/>
      <c r="AK446" s="64"/>
      <c r="AL446" s="69"/>
      <c r="AM446" s="64"/>
      <c r="AN446" s="69"/>
      <c r="AO446" s="64"/>
      <c r="AP446" s="69"/>
      <c r="AQ446" s="64"/>
      <c r="AR446" s="69"/>
      <c r="AS446" s="64"/>
      <c r="AT446" s="69"/>
      <c r="AU446" s="64"/>
      <c r="AV446" s="69"/>
      <c r="AW446" s="64"/>
      <c r="AX446" s="69"/>
      <c r="AY446" s="64"/>
      <c r="AZ446" s="69"/>
      <c r="BA446" s="64"/>
      <c r="BB446" s="69"/>
      <c r="BC446" s="64"/>
      <c r="BD446" s="69"/>
      <c r="BE446" s="64"/>
      <c r="BF446" s="69"/>
      <c r="BG446" s="64"/>
      <c r="BH446" s="69"/>
      <c r="BI446" s="64"/>
      <c r="BJ446" s="69"/>
      <c r="BK446" s="64"/>
      <c r="BL446" s="69"/>
      <c r="BM446" s="64"/>
      <c r="BN446" s="69"/>
      <c r="BO446" s="64"/>
      <c r="BP446" s="69"/>
      <c r="BQ446" s="64"/>
      <c r="BR446" s="69"/>
      <c r="BS446" s="64"/>
      <c r="BT446" s="69"/>
      <c r="BU446" t="b">
        <f t="shared" si="7"/>
        <v>0</v>
      </c>
    </row>
    <row r="447" spans="1:73" x14ac:dyDescent="0.25">
      <c r="A447" s="28"/>
      <c r="B447" s="29"/>
      <c r="C447" s="29"/>
      <c r="D447" s="30"/>
      <c r="E447" s="29"/>
      <c r="F447" s="30"/>
      <c r="G447" s="29"/>
      <c r="H447" s="69"/>
      <c r="I447" s="64"/>
      <c r="J447" s="69"/>
      <c r="K447" s="64"/>
      <c r="L447" s="69"/>
      <c r="M447" s="65"/>
      <c r="N447" s="69"/>
      <c r="O447" s="64"/>
      <c r="P447" s="69"/>
      <c r="Q447" s="64"/>
      <c r="R447" s="69"/>
      <c r="S447" s="64"/>
      <c r="T447" s="69"/>
      <c r="U447" s="64"/>
      <c r="V447" s="69"/>
      <c r="W447" s="65"/>
      <c r="X447" s="69"/>
      <c r="Y447" s="64"/>
      <c r="Z447" s="69"/>
      <c r="AA447" s="64"/>
      <c r="AB447" s="69"/>
      <c r="AC447" s="64"/>
      <c r="AD447" s="69"/>
      <c r="AE447" s="65"/>
      <c r="AF447" s="69"/>
      <c r="AG447" s="65"/>
      <c r="AH447" s="69"/>
      <c r="AI447" s="64"/>
      <c r="AJ447" s="69"/>
      <c r="AK447" s="64"/>
      <c r="AL447" s="69"/>
      <c r="AM447" s="64"/>
      <c r="AN447" s="69"/>
      <c r="AO447" s="64"/>
      <c r="AP447" s="69"/>
      <c r="AQ447" s="64"/>
      <c r="AR447" s="69"/>
      <c r="AS447" s="64"/>
      <c r="AT447" s="69"/>
      <c r="AU447" s="64"/>
      <c r="AV447" s="69"/>
      <c r="AW447" s="64"/>
      <c r="AX447" s="69"/>
      <c r="AY447" s="64"/>
      <c r="AZ447" s="69"/>
      <c r="BA447" s="64"/>
      <c r="BB447" s="69"/>
      <c r="BC447" s="64"/>
      <c r="BD447" s="69"/>
      <c r="BE447" s="64"/>
      <c r="BF447" s="69"/>
      <c r="BG447" s="64"/>
      <c r="BH447" s="69"/>
      <c r="BI447" s="64"/>
      <c r="BJ447" s="69"/>
      <c r="BK447" s="64"/>
      <c r="BL447" s="69"/>
      <c r="BM447" s="64"/>
      <c r="BN447" s="69"/>
      <c r="BO447" s="64"/>
      <c r="BP447" s="69"/>
      <c r="BQ447" s="64"/>
      <c r="BR447" s="69"/>
      <c r="BS447" s="64"/>
      <c r="BT447" s="69"/>
      <c r="BU447" t="b">
        <f t="shared" si="7"/>
        <v>0</v>
      </c>
    </row>
    <row r="448" spans="1:73" x14ac:dyDescent="0.25">
      <c r="A448" s="28"/>
      <c r="B448" s="29"/>
      <c r="C448" s="29"/>
      <c r="D448" s="30"/>
      <c r="E448" s="29"/>
      <c r="F448" s="30"/>
      <c r="G448" s="29"/>
      <c r="H448" s="69"/>
      <c r="I448" s="64"/>
      <c r="J448" s="69"/>
      <c r="K448" s="64"/>
      <c r="L448" s="69"/>
      <c r="M448" s="65"/>
      <c r="N448" s="69"/>
      <c r="O448" s="64"/>
      <c r="P448" s="69"/>
      <c r="Q448" s="64"/>
      <c r="R448" s="69"/>
      <c r="S448" s="64"/>
      <c r="T448" s="69"/>
      <c r="U448" s="64"/>
      <c r="V448" s="69"/>
      <c r="W448" s="65"/>
      <c r="X448" s="69"/>
      <c r="Y448" s="64"/>
      <c r="Z448" s="69"/>
      <c r="AA448" s="64"/>
      <c r="AB448" s="69"/>
      <c r="AC448" s="64"/>
      <c r="AD448" s="69"/>
      <c r="AE448" s="65"/>
      <c r="AF448" s="69"/>
      <c r="AG448" s="65"/>
      <c r="AH448" s="69"/>
      <c r="AI448" s="64"/>
      <c r="AJ448" s="69"/>
      <c r="AK448" s="64"/>
      <c r="AL448" s="69"/>
      <c r="AM448" s="64"/>
      <c r="AN448" s="69"/>
      <c r="AO448" s="64"/>
      <c r="AP448" s="69"/>
      <c r="AQ448" s="64"/>
      <c r="AR448" s="69"/>
      <c r="AS448" s="64"/>
      <c r="AT448" s="69"/>
      <c r="AU448" s="64"/>
      <c r="AV448" s="69"/>
      <c r="AW448" s="64"/>
      <c r="AX448" s="69"/>
      <c r="AY448" s="64"/>
      <c r="AZ448" s="69"/>
      <c r="BA448" s="64"/>
      <c r="BB448" s="69"/>
      <c r="BC448" s="64"/>
      <c r="BD448" s="69"/>
      <c r="BE448" s="64"/>
      <c r="BF448" s="69"/>
      <c r="BG448" s="64"/>
      <c r="BH448" s="69"/>
      <c r="BI448" s="64"/>
      <c r="BJ448" s="69"/>
      <c r="BK448" s="64"/>
      <c r="BL448" s="69"/>
      <c r="BM448" s="64"/>
      <c r="BN448" s="69"/>
      <c r="BO448" s="64"/>
      <c r="BP448" s="69"/>
      <c r="BQ448" s="64"/>
      <c r="BR448" s="69"/>
      <c r="BS448" s="64"/>
      <c r="BT448" s="69"/>
      <c r="BU448" t="b">
        <f t="shared" si="7"/>
        <v>0</v>
      </c>
    </row>
    <row r="449" spans="1:73" x14ac:dyDescent="0.25">
      <c r="A449" s="28"/>
      <c r="B449" s="29"/>
      <c r="C449" s="29"/>
      <c r="D449" s="30"/>
      <c r="E449" s="29"/>
      <c r="F449" s="30"/>
      <c r="G449" s="29"/>
      <c r="H449" s="69"/>
      <c r="I449" s="64"/>
      <c r="J449" s="69"/>
      <c r="K449" s="64"/>
      <c r="L449" s="69"/>
      <c r="M449" s="65"/>
      <c r="N449" s="69"/>
      <c r="O449" s="64"/>
      <c r="P449" s="69"/>
      <c r="Q449" s="64"/>
      <c r="R449" s="69"/>
      <c r="S449" s="64"/>
      <c r="T449" s="69"/>
      <c r="U449" s="64"/>
      <c r="V449" s="69"/>
      <c r="W449" s="65"/>
      <c r="X449" s="69"/>
      <c r="Y449" s="64"/>
      <c r="Z449" s="69"/>
      <c r="AA449" s="64"/>
      <c r="AB449" s="69"/>
      <c r="AC449" s="64"/>
      <c r="AD449" s="69"/>
      <c r="AE449" s="65"/>
      <c r="AF449" s="69"/>
      <c r="AG449" s="65"/>
      <c r="AH449" s="69"/>
      <c r="AI449" s="64"/>
      <c r="AJ449" s="69"/>
      <c r="AK449" s="64"/>
      <c r="AL449" s="69"/>
      <c r="AM449" s="64"/>
      <c r="AN449" s="69"/>
      <c r="AO449" s="64"/>
      <c r="AP449" s="69"/>
      <c r="AQ449" s="64"/>
      <c r="AR449" s="69"/>
      <c r="AS449" s="64"/>
      <c r="AT449" s="69"/>
      <c r="AU449" s="64"/>
      <c r="AV449" s="69"/>
      <c r="AW449" s="64"/>
      <c r="AX449" s="69"/>
      <c r="AY449" s="64"/>
      <c r="AZ449" s="69"/>
      <c r="BA449" s="64"/>
      <c r="BB449" s="69"/>
      <c r="BC449" s="64"/>
      <c r="BD449" s="69"/>
      <c r="BE449" s="64"/>
      <c r="BF449" s="69"/>
      <c r="BG449" s="64"/>
      <c r="BH449" s="69"/>
      <c r="BI449" s="64"/>
      <c r="BJ449" s="69"/>
      <c r="BK449" s="64"/>
      <c r="BL449" s="69"/>
      <c r="BM449" s="64"/>
      <c r="BN449" s="69"/>
      <c r="BO449" s="64"/>
      <c r="BP449" s="69"/>
      <c r="BQ449" s="64"/>
      <c r="BR449" s="69"/>
      <c r="BS449" s="64"/>
      <c r="BT449" s="69"/>
      <c r="BU449" t="b">
        <f t="shared" si="7"/>
        <v>0</v>
      </c>
    </row>
    <row r="450" spans="1:73" x14ac:dyDescent="0.25">
      <c r="A450" s="28"/>
      <c r="B450" s="29"/>
      <c r="C450" s="29"/>
      <c r="D450" s="30"/>
      <c r="E450" s="29"/>
      <c r="F450" s="30"/>
      <c r="G450" s="29"/>
      <c r="H450" s="69"/>
      <c r="I450" s="64"/>
      <c r="J450" s="69"/>
      <c r="K450" s="64"/>
      <c r="L450" s="69"/>
      <c r="M450" s="65"/>
      <c r="N450" s="69"/>
      <c r="O450" s="64"/>
      <c r="P450" s="69"/>
      <c r="Q450" s="64"/>
      <c r="R450" s="69"/>
      <c r="S450" s="64"/>
      <c r="T450" s="69"/>
      <c r="U450" s="64"/>
      <c r="V450" s="69"/>
      <c r="W450" s="65"/>
      <c r="X450" s="69"/>
      <c r="Y450" s="64"/>
      <c r="Z450" s="69"/>
      <c r="AA450" s="64"/>
      <c r="AB450" s="69"/>
      <c r="AC450" s="64"/>
      <c r="AD450" s="69"/>
      <c r="AE450" s="65"/>
      <c r="AF450" s="69"/>
      <c r="AG450" s="65"/>
      <c r="AH450" s="69"/>
      <c r="AI450" s="64"/>
      <c r="AJ450" s="69"/>
      <c r="AK450" s="64"/>
      <c r="AL450" s="69"/>
      <c r="AM450" s="64"/>
      <c r="AN450" s="69"/>
      <c r="AO450" s="64"/>
      <c r="AP450" s="69"/>
      <c r="AQ450" s="64"/>
      <c r="AR450" s="69"/>
      <c r="AS450" s="64"/>
      <c r="AT450" s="69"/>
      <c r="AU450" s="64"/>
      <c r="AV450" s="69"/>
      <c r="AW450" s="64"/>
      <c r="AX450" s="69"/>
      <c r="AY450" s="64"/>
      <c r="AZ450" s="69"/>
      <c r="BA450" s="64"/>
      <c r="BB450" s="69"/>
      <c r="BC450" s="64"/>
      <c r="BD450" s="69"/>
      <c r="BE450" s="64"/>
      <c r="BF450" s="69"/>
      <c r="BG450" s="64"/>
      <c r="BH450" s="69"/>
      <c r="BI450" s="64"/>
      <c r="BJ450" s="69"/>
      <c r="BK450" s="64"/>
      <c r="BL450" s="69"/>
      <c r="BM450" s="64"/>
      <c r="BN450" s="69"/>
      <c r="BO450" s="64"/>
      <c r="BP450" s="69"/>
      <c r="BQ450" s="64"/>
      <c r="BR450" s="69"/>
      <c r="BS450" s="64"/>
      <c r="BT450" s="69"/>
      <c r="BU450" t="b">
        <f t="shared" si="7"/>
        <v>0</v>
      </c>
    </row>
    <row r="451" spans="1:73" x14ac:dyDescent="0.25">
      <c r="A451" s="28"/>
      <c r="B451" s="29"/>
      <c r="C451" s="29"/>
      <c r="D451" s="30"/>
      <c r="E451" s="29"/>
      <c r="F451" s="30"/>
      <c r="G451" s="29"/>
      <c r="H451" s="69"/>
      <c r="I451" s="64"/>
      <c r="J451" s="69"/>
      <c r="K451" s="64"/>
      <c r="L451" s="69"/>
      <c r="M451" s="65"/>
      <c r="N451" s="69"/>
      <c r="O451" s="64"/>
      <c r="P451" s="69"/>
      <c r="Q451" s="64"/>
      <c r="R451" s="69"/>
      <c r="S451" s="64"/>
      <c r="T451" s="69"/>
      <c r="U451" s="64"/>
      <c r="V451" s="69"/>
      <c r="W451" s="65"/>
      <c r="X451" s="69"/>
      <c r="Y451" s="64"/>
      <c r="Z451" s="69"/>
      <c r="AA451" s="64"/>
      <c r="AB451" s="69"/>
      <c r="AC451" s="64"/>
      <c r="AD451" s="69"/>
      <c r="AE451" s="65"/>
      <c r="AF451" s="69"/>
      <c r="AG451" s="65"/>
      <c r="AH451" s="69"/>
      <c r="AI451" s="64"/>
      <c r="AJ451" s="69"/>
      <c r="AK451" s="64"/>
      <c r="AL451" s="69"/>
      <c r="AM451" s="64"/>
      <c r="AN451" s="69"/>
      <c r="AO451" s="64"/>
      <c r="AP451" s="69"/>
      <c r="AQ451" s="64"/>
      <c r="AR451" s="69"/>
      <c r="AS451" s="64"/>
      <c r="AT451" s="69"/>
      <c r="AU451" s="64"/>
      <c r="AV451" s="69"/>
      <c r="AW451" s="64"/>
      <c r="AX451" s="69"/>
      <c r="AY451" s="64"/>
      <c r="AZ451" s="69"/>
      <c r="BA451" s="64"/>
      <c r="BB451" s="69"/>
      <c r="BC451" s="64"/>
      <c r="BD451" s="69"/>
      <c r="BE451" s="64"/>
      <c r="BF451" s="69"/>
      <c r="BG451" s="64"/>
      <c r="BH451" s="69"/>
      <c r="BI451" s="64"/>
      <c r="BJ451" s="69"/>
      <c r="BK451" s="64"/>
      <c r="BL451" s="69"/>
      <c r="BM451" s="64"/>
      <c r="BN451" s="69"/>
      <c r="BO451" s="64"/>
      <c r="BP451" s="69"/>
      <c r="BQ451" s="64"/>
      <c r="BR451" s="69"/>
      <c r="BS451" s="64"/>
      <c r="BT451" s="69"/>
      <c r="BU451" t="b">
        <f t="shared" si="7"/>
        <v>0</v>
      </c>
    </row>
    <row r="452" spans="1:73" x14ac:dyDescent="0.25">
      <c r="A452" s="28"/>
      <c r="B452" s="29"/>
      <c r="C452" s="29"/>
      <c r="D452" s="30"/>
      <c r="E452" s="29"/>
      <c r="F452" s="30"/>
      <c r="G452" s="29"/>
      <c r="H452" s="69"/>
      <c r="I452" s="64"/>
      <c r="J452" s="69"/>
      <c r="K452" s="64"/>
      <c r="L452" s="69"/>
      <c r="M452" s="65"/>
      <c r="N452" s="69"/>
      <c r="O452" s="64"/>
      <c r="P452" s="69"/>
      <c r="Q452" s="64"/>
      <c r="R452" s="69"/>
      <c r="S452" s="64"/>
      <c r="T452" s="69"/>
      <c r="U452" s="64"/>
      <c r="V452" s="69"/>
      <c r="W452" s="65"/>
      <c r="X452" s="69"/>
      <c r="Y452" s="64"/>
      <c r="Z452" s="69"/>
      <c r="AA452" s="64"/>
      <c r="AB452" s="69"/>
      <c r="AC452" s="64"/>
      <c r="AD452" s="69"/>
      <c r="AE452" s="65"/>
      <c r="AF452" s="69"/>
      <c r="AG452" s="65"/>
      <c r="AH452" s="69"/>
      <c r="AI452" s="64"/>
      <c r="AJ452" s="69"/>
      <c r="AK452" s="64"/>
      <c r="AL452" s="69"/>
      <c r="AM452" s="64"/>
      <c r="AN452" s="69"/>
      <c r="AO452" s="64"/>
      <c r="AP452" s="69"/>
      <c r="AQ452" s="64"/>
      <c r="AR452" s="69"/>
      <c r="AS452" s="64"/>
      <c r="AT452" s="69"/>
      <c r="AU452" s="64"/>
      <c r="AV452" s="69"/>
      <c r="AW452" s="64"/>
      <c r="AX452" s="69"/>
      <c r="AY452" s="64"/>
      <c r="AZ452" s="69"/>
      <c r="BA452" s="64"/>
      <c r="BB452" s="69"/>
      <c r="BC452" s="64"/>
      <c r="BD452" s="69"/>
      <c r="BE452" s="64"/>
      <c r="BF452" s="69"/>
      <c r="BG452" s="64"/>
      <c r="BH452" s="69"/>
      <c r="BI452" s="64"/>
      <c r="BJ452" s="69"/>
      <c r="BK452" s="64"/>
      <c r="BL452" s="69"/>
      <c r="BM452" s="64"/>
      <c r="BN452" s="69"/>
      <c r="BO452" s="64"/>
      <c r="BP452" s="69"/>
      <c r="BQ452" s="64"/>
      <c r="BR452" s="69"/>
      <c r="BS452" s="64"/>
      <c r="BT452" s="69"/>
      <c r="BU452" t="b">
        <f t="shared" si="7"/>
        <v>0</v>
      </c>
    </row>
    <row r="453" spans="1:73" x14ac:dyDescent="0.25">
      <c r="A453" s="28"/>
      <c r="B453" s="29"/>
      <c r="C453" s="29"/>
      <c r="D453" s="30"/>
      <c r="E453" s="29"/>
      <c r="F453" s="30"/>
      <c r="G453" s="29"/>
      <c r="H453" s="69"/>
      <c r="I453" s="64"/>
      <c r="J453" s="69"/>
      <c r="K453" s="64"/>
      <c r="L453" s="69"/>
      <c r="M453" s="65"/>
      <c r="N453" s="69"/>
      <c r="O453" s="64"/>
      <c r="P453" s="69"/>
      <c r="Q453" s="64"/>
      <c r="R453" s="69"/>
      <c r="S453" s="64"/>
      <c r="T453" s="69"/>
      <c r="U453" s="64"/>
      <c r="V453" s="69"/>
      <c r="W453" s="65"/>
      <c r="X453" s="69"/>
      <c r="Y453" s="64"/>
      <c r="Z453" s="69"/>
      <c r="AA453" s="64"/>
      <c r="AB453" s="69"/>
      <c r="AC453" s="64"/>
      <c r="AD453" s="69"/>
      <c r="AE453" s="65"/>
      <c r="AF453" s="69"/>
      <c r="AG453" s="65"/>
      <c r="AH453" s="69"/>
      <c r="AI453" s="64"/>
      <c r="AJ453" s="69"/>
      <c r="AK453" s="64"/>
      <c r="AL453" s="69"/>
      <c r="AM453" s="64"/>
      <c r="AN453" s="69"/>
      <c r="AO453" s="64"/>
      <c r="AP453" s="69"/>
      <c r="AQ453" s="64"/>
      <c r="AR453" s="69"/>
      <c r="AS453" s="64"/>
      <c r="AT453" s="69"/>
      <c r="AU453" s="64"/>
      <c r="AV453" s="69"/>
      <c r="AW453" s="64"/>
      <c r="AX453" s="69"/>
      <c r="AY453" s="64"/>
      <c r="AZ453" s="69"/>
      <c r="BA453" s="64"/>
      <c r="BB453" s="69"/>
      <c r="BC453" s="64"/>
      <c r="BD453" s="69"/>
      <c r="BE453" s="64"/>
      <c r="BF453" s="69"/>
      <c r="BG453" s="64"/>
      <c r="BH453" s="69"/>
      <c r="BI453" s="64"/>
      <c r="BJ453" s="69"/>
      <c r="BK453" s="64"/>
      <c r="BL453" s="69"/>
      <c r="BM453" s="64"/>
      <c r="BN453" s="69"/>
      <c r="BO453" s="64"/>
      <c r="BP453" s="69"/>
      <c r="BQ453" s="64"/>
      <c r="BR453" s="69"/>
      <c r="BS453" s="64"/>
      <c r="BT453" s="69"/>
      <c r="BU453" t="b">
        <f t="shared" si="7"/>
        <v>0</v>
      </c>
    </row>
    <row r="454" spans="1:73" x14ac:dyDescent="0.25">
      <c r="A454" s="28"/>
      <c r="B454" s="29"/>
      <c r="C454" s="29"/>
      <c r="D454" s="30"/>
      <c r="E454" s="29"/>
      <c r="F454" s="30"/>
      <c r="G454" s="29"/>
      <c r="H454" s="69"/>
      <c r="I454" s="64"/>
      <c r="J454" s="69"/>
      <c r="K454" s="64"/>
      <c r="L454" s="69"/>
      <c r="M454" s="65"/>
      <c r="N454" s="69"/>
      <c r="O454" s="64"/>
      <c r="P454" s="69"/>
      <c r="Q454" s="64"/>
      <c r="R454" s="69"/>
      <c r="S454" s="64"/>
      <c r="T454" s="69"/>
      <c r="U454" s="64"/>
      <c r="V454" s="69"/>
      <c r="W454" s="65"/>
      <c r="X454" s="69"/>
      <c r="Y454" s="64"/>
      <c r="Z454" s="69"/>
      <c r="AA454" s="64"/>
      <c r="AB454" s="69"/>
      <c r="AC454" s="64"/>
      <c r="AD454" s="69"/>
      <c r="AE454" s="65"/>
      <c r="AF454" s="69"/>
      <c r="AG454" s="65"/>
      <c r="AH454" s="69"/>
      <c r="AI454" s="64"/>
      <c r="AJ454" s="69"/>
      <c r="AK454" s="64"/>
      <c r="AL454" s="69"/>
      <c r="AM454" s="64"/>
      <c r="AN454" s="69"/>
      <c r="AO454" s="64"/>
      <c r="AP454" s="69"/>
      <c r="AQ454" s="64"/>
      <c r="AR454" s="69"/>
      <c r="AS454" s="64"/>
      <c r="AT454" s="69"/>
      <c r="AU454" s="64"/>
      <c r="AV454" s="69"/>
      <c r="AW454" s="64"/>
      <c r="AX454" s="69"/>
      <c r="AY454" s="64"/>
      <c r="AZ454" s="69"/>
      <c r="BA454" s="64"/>
      <c r="BB454" s="69"/>
      <c r="BC454" s="64"/>
      <c r="BD454" s="69"/>
      <c r="BE454" s="64"/>
      <c r="BF454" s="69"/>
      <c r="BG454" s="64"/>
      <c r="BH454" s="69"/>
      <c r="BI454" s="64"/>
      <c r="BJ454" s="69"/>
      <c r="BK454" s="64"/>
      <c r="BL454" s="69"/>
      <c r="BM454" s="64"/>
      <c r="BN454" s="69"/>
      <c r="BO454" s="64"/>
      <c r="BP454" s="69"/>
      <c r="BQ454" s="64"/>
      <c r="BR454" s="69"/>
      <c r="BS454" s="64"/>
      <c r="BT454" s="69"/>
      <c r="BU454" t="b">
        <f t="shared" si="7"/>
        <v>0</v>
      </c>
    </row>
    <row r="455" spans="1:73" x14ac:dyDescent="0.25">
      <c r="A455" s="28"/>
      <c r="B455" s="29"/>
      <c r="C455" s="29"/>
      <c r="D455" s="30"/>
      <c r="E455" s="29"/>
      <c r="F455" s="30"/>
      <c r="G455" s="29"/>
      <c r="H455" s="69"/>
      <c r="I455" s="64"/>
      <c r="J455" s="69"/>
      <c r="K455" s="64"/>
      <c r="L455" s="69"/>
      <c r="M455" s="65"/>
      <c r="N455" s="69"/>
      <c r="O455" s="64"/>
      <c r="P455" s="69"/>
      <c r="Q455" s="64"/>
      <c r="R455" s="69"/>
      <c r="S455" s="64"/>
      <c r="T455" s="69"/>
      <c r="U455" s="64"/>
      <c r="V455" s="69"/>
      <c r="W455" s="65"/>
      <c r="X455" s="69"/>
      <c r="Y455" s="64"/>
      <c r="Z455" s="69"/>
      <c r="AA455" s="64"/>
      <c r="AB455" s="69"/>
      <c r="AC455" s="64"/>
      <c r="AD455" s="69"/>
      <c r="AE455" s="65"/>
      <c r="AF455" s="69"/>
      <c r="AG455" s="65"/>
      <c r="AH455" s="69"/>
      <c r="AI455" s="64"/>
      <c r="AJ455" s="69"/>
      <c r="AK455" s="64"/>
      <c r="AL455" s="69"/>
      <c r="AM455" s="64"/>
      <c r="AN455" s="69"/>
      <c r="AO455" s="64"/>
      <c r="AP455" s="69"/>
      <c r="AQ455" s="64"/>
      <c r="AR455" s="69"/>
      <c r="AS455" s="64"/>
      <c r="AT455" s="69"/>
      <c r="AU455" s="64"/>
      <c r="AV455" s="69"/>
      <c r="AW455" s="64"/>
      <c r="AX455" s="69"/>
      <c r="AY455" s="64"/>
      <c r="AZ455" s="69"/>
      <c r="BA455" s="64"/>
      <c r="BB455" s="69"/>
      <c r="BC455" s="64"/>
      <c r="BD455" s="69"/>
      <c r="BE455" s="64"/>
      <c r="BF455" s="69"/>
      <c r="BG455" s="64"/>
      <c r="BH455" s="69"/>
      <c r="BI455" s="64"/>
      <c r="BJ455" s="69"/>
      <c r="BK455" s="64"/>
      <c r="BL455" s="69"/>
      <c r="BM455" s="64"/>
      <c r="BN455" s="69"/>
      <c r="BO455" s="64"/>
      <c r="BP455" s="69"/>
      <c r="BQ455" s="64"/>
      <c r="BR455" s="69"/>
      <c r="BS455" s="64"/>
      <c r="BT455" s="69"/>
      <c r="BU455" t="b">
        <f t="shared" si="7"/>
        <v>0</v>
      </c>
    </row>
    <row r="456" spans="1:73" x14ac:dyDescent="0.25">
      <c r="A456" s="28"/>
      <c r="B456" s="29"/>
      <c r="C456" s="29"/>
      <c r="D456" s="30"/>
      <c r="E456" s="29"/>
      <c r="F456" s="30"/>
      <c r="G456" s="29"/>
      <c r="H456" s="69"/>
      <c r="I456" s="64"/>
      <c r="J456" s="69"/>
      <c r="K456" s="64"/>
      <c r="L456" s="69"/>
      <c r="M456" s="65"/>
      <c r="N456" s="69"/>
      <c r="O456" s="64"/>
      <c r="P456" s="69"/>
      <c r="Q456" s="64"/>
      <c r="R456" s="69"/>
      <c r="S456" s="64"/>
      <c r="T456" s="69"/>
      <c r="U456" s="64"/>
      <c r="V456" s="69"/>
      <c r="W456" s="65"/>
      <c r="X456" s="69"/>
      <c r="Y456" s="64"/>
      <c r="Z456" s="69"/>
      <c r="AA456" s="64"/>
      <c r="AB456" s="69"/>
      <c r="AC456" s="64"/>
      <c r="AD456" s="69"/>
      <c r="AE456" s="65"/>
      <c r="AF456" s="69"/>
      <c r="AG456" s="65"/>
      <c r="AH456" s="69"/>
      <c r="AI456" s="64"/>
      <c r="AJ456" s="69"/>
      <c r="AK456" s="64"/>
      <c r="AL456" s="69"/>
      <c r="AM456" s="64"/>
      <c r="AN456" s="69"/>
      <c r="AO456" s="64"/>
      <c r="AP456" s="69"/>
      <c r="AQ456" s="64"/>
      <c r="AR456" s="69"/>
      <c r="AS456" s="64"/>
      <c r="AT456" s="69"/>
      <c r="AU456" s="64"/>
      <c r="AV456" s="69"/>
      <c r="AW456" s="64"/>
      <c r="AX456" s="69"/>
      <c r="AY456" s="64"/>
      <c r="AZ456" s="69"/>
      <c r="BA456" s="64"/>
      <c r="BB456" s="69"/>
      <c r="BC456" s="64"/>
      <c r="BD456" s="69"/>
      <c r="BE456" s="64"/>
      <c r="BF456" s="69"/>
      <c r="BG456" s="64"/>
      <c r="BH456" s="69"/>
      <c r="BI456" s="64"/>
      <c r="BJ456" s="69"/>
      <c r="BK456" s="64"/>
      <c r="BL456" s="69"/>
      <c r="BM456" s="64"/>
      <c r="BN456" s="69"/>
      <c r="BO456" s="64"/>
      <c r="BP456" s="69"/>
      <c r="BQ456" s="64"/>
      <c r="BR456" s="69"/>
      <c r="BS456" s="64"/>
      <c r="BT456" s="69"/>
      <c r="BU456" t="b">
        <f t="shared" si="7"/>
        <v>0</v>
      </c>
    </row>
    <row r="457" spans="1:73" x14ac:dyDescent="0.25">
      <c r="A457" s="28"/>
      <c r="B457" s="29"/>
      <c r="C457" s="29"/>
      <c r="D457" s="30"/>
      <c r="E457" s="29"/>
      <c r="F457" s="30"/>
      <c r="G457" s="29"/>
      <c r="H457" s="69"/>
      <c r="I457" s="64"/>
      <c r="J457" s="69"/>
      <c r="K457" s="64"/>
      <c r="L457" s="69"/>
      <c r="M457" s="65"/>
      <c r="N457" s="69"/>
      <c r="O457" s="64"/>
      <c r="P457" s="69"/>
      <c r="Q457" s="64"/>
      <c r="R457" s="69"/>
      <c r="S457" s="64"/>
      <c r="T457" s="69"/>
      <c r="U457" s="64"/>
      <c r="V457" s="69"/>
      <c r="W457" s="65"/>
      <c r="X457" s="69"/>
      <c r="Y457" s="64"/>
      <c r="Z457" s="69"/>
      <c r="AA457" s="64"/>
      <c r="AB457" s="69"/>
      <c r="AC457" s="64"/>
      <c r="AD457" s="69"/>
      <c r="AE457" s="65"/>
      <c r="AF457" s="69"/>
      <c r="AG457" s="65"/>
      <c r="AH457" s="69"/>
      <c r="AI457" s="64"/>
      <c r="AJ457" s="69"/>
      <c r="AK457" s="64"/>
      <c r="AL457" s="69"/>
      <c r="AM457" s="64"/>
      <c r="AN457" s="69"/>
      <c r="AO457" s="64"/>
      <c r="AP457" s="69"/>
      <c r="AQ457" s="64"/>
      <c r="AR457" s="69"/>
      <c r="AS457" s="64"/>
      <c r="AT457" s="69"/>
      <c r="AU457" s="64"/>
      <c r="AV457" s="69"/>
      <c r="AW457" s="64"/>
      <c r="AX457" s="69"/>
      <c r="AY457" s="64"/>
      <c r="AZ457" s="69"/>
      <c r="BA457" s="64"/>
      <c r="BB457" s="69"/>
      <c r="BC457" s="64"/>
      <c r="BD457" s="69"/>
      <c r="BE457" s="64"/>
      <c r="BF457" s="69"/>
      <c r="BG457" s="64"/>
      <c r="BH457" s="69"/>
      <c r="BI457" s="64"/>
      <c r="BJ457" s="69"/>
      <c r="BK457" s="64"/>
      <c r="BL457" s="69"/>
      <c r="BM457" s="64"/>
      <c r="BN457" s="69"/>
      <c r="BO457" s="64"/>
      <c r="BP457" s="69"/>
      <c r="BQ457" s="64"/>
      <c r="BR457" s="69"/>
      <c r="BS457" s="64"/>
      <c r="BT457" s="69"/>
      <c r="BU457" t="b">
        <f t="shared" si="7"/>
        <v>0</v>
      </c>
    </row>
    <row r="458" spans="1:73" x14ac:dyDescent="0.25">
      <c r="A458" s="28"/>
      <c r="B458" s="29"/>
      <c r="C458" s="29"/>
      <c r="D458" s="30"/>
      <c r="E458" s="29"/>
      <c r="F458" s="30"/>
      <c r="G458" s="29"/>
      <c r="H458" s="69"/>
      <c r="I458" s="64"/>
      <c r="J458" s="69"/>
      <c r="K458" s="64"/>
      <c r="L458" s="69"/>
      <c r="M458" s="65"/>
      <c r="N458" s="69"/>
      <c r="O458" s="64"/>
      <c r="P458" s="69"/>
      <c r="Q458" s="64"/>
      <c r="R458" s="69"/>
      <c r="S458" s="64"/>
      <c r="T458" s="69"/>
      <c r="U458" s="64"/>
      <c r="V458" s="69"/>
      <c r="W458" s="65"/>
      <c r="X458" s="69"/>
      <c r="Y458" s="64"/>
      <c r="Z458" s="69"/>
      <c r="AA458" s="64"/>
      <c r="AB458" s="69"/>
      <c r="AC458" s="64"/>
      <c r="AD458" s="69"/>
      <c r="AE458" s="65"/>
      <c r="AF458" s="69"/>
      <c r="AG458" s="65"/>
      <c r="AH458" s="69"/>
      <c r="AI458" s="64"/>
      <c r="AJ458" s="69"/>
      <c r="AK458" s="64"/>
      <c r="AL458" s="69"/>
      <c r="AM458" s="64"/>
      <c r="AN458" s="69"/>
      <c r="AO458" s="64"/>
      <c r="AP458" s="69"/>
      <c r="AQ458" s="64"/>
      <c r="AR458" s="69"/>
      <c r="AS458" s="64"/>
      <c r="AT458" s="69"/>
      <c r="AU458" s="64"/>
      <c r="AV458" s="69"/>
      <c r="AW458" s="64"/>
      <c r="AX458" s="69"/>
      <c r="AY458" s="64"/>
      <c r="AZ458" s="69"/>
      <c r="BA458" s="64"/>
      <c r="BB458" s="69"/>
      <c r="BC458" s="64"/>
      <c r="BD458" s="69"/>
      <c r="BE458" s="64"/>
      <c r="BF458" s="69"/>
      <c r="BG458" s="64"/>
      <c r="BH458" s="69"/>
      <c r="BI458" s="64"/>
      <c r="BJ458" s="69"/>
      <c r="BK458" s="64"/>
      <c r="BL458" s="69"/>
      <c r="BM458" s="64"/>
      <c r="BN458" s="69"/>
      <c r="BO458" s="64"/>
      <c r="BP458" s="69"/>
      <c r="BQ458" s="64"/>
      <c r="BR458" s="69"/>
      <c r="BS458" s="64"/>
      <c r="BT458" s="69"/>
      <c r="BU458" t="b">
        <f t="shared" si="7"/>
        <v>0</v>
      </c>
    </row>
    <row r="459" spans="1:73" x14ac:dyDescent="0.25">
      <c r="A459" s="28"/>
      <c r="B459" s="29"/>
      <c r="C459" s="29"/>
      <c r="D459" s="30"/>
      <c r="E459" s="29"/>
      <c r="F459" s="30"/>
      <c r="G459" s="29"/>
      <c r="H459" s="69"/>
      <c r="I459" s="64"/>
      <c r="J459" s="69"/>
      <c r="K459" s="64"/>
      <c r="L459" s="69"/>
      <c r="M459" s="65"/>
      <c r="N459" s="69"/>
      <c r="O459" s="64"/>
      <c r="P459" s="69"/>
      <c r="Q459" s="64"/>
      <c r="R459" s="69"/>
      <c r="S459" s="64"/>
      <c r="T459" s="69"/>
      <c r="U459" s="64"/>
      <c r="V459" s="69"/>
      <c r="W459" s="65"/>
      <c r="X459" s="69"/>
      <c r="Y459" s="64"/>
      <c r="Z459" s="69"/>
      <c r="AA459" s="64"/>
      <c r="AB459" s="69"/>
      <c r="AC459" s="64"/>
      <c r="AD459" s="69"/>
      <c r="AE459" s="65"/>
      <c r="AF459" s="69"/>
      <c r="AG459" s="65"/>
      <c r="AH459" s="69"/>
      <c r="AI459" s="64"/>
      <c r="AJ459" s="69"/>
      <c r="AK459" s="64"/>
      <c r="AL459" s="69"/>
      <c r="AM459" s="64"/>
      <c r="AN459" s="69"/>
      <c r="AO459" s="64"/>
      <c r="AP459" s="69"/>
      <c r="AQ459" s="64"/>
      <c r="AR459" s="69"/>
      <c r="AS459" s="64"/>
      <c r="AT459" s="69"/>
      <c r="AU459" s="64"/>
      <c r="AV459" s="69"/>
      <c r="AW459" s="64"/>
      <c r="AX459" s="69"/>
      <c r="AY459" s="64"/>
      <c r="AZ459" s="69"/>
      <c r="BA459" s="64"/>
      <c r="BB459" s="69"/>
      <c r="BC459" s="64"/>
      <c r="BD459" s="69"/>
      <c r="BE459" s="64"/>
      <c r="BF459" s="69"/>
      <c r="BG459" s="64"/>
      <c r="BH459" s="69"/>
      <c r="BI459" s="64"/>
      <c r="BJ459" s="69"/>
      <c r="BK459" s="64"/>
      <c r="BL459" s="69"/>
      <c r="BM459" s="64"/>
      <c r="BN459" s="69"/>
      <c r="BO459" s="64"/>
      <c r="BP459" s="69"/>
      <c r="BQ459" s="64"/>
      <c r="BR459" s="69"/>
      <c r="BS459" s="64"/>
      <c r="BT459" s="69"/>
      <c r="BU459" t="b">
        <f t="shared" si="7"/>
        <v>0</v>
      </c>
    </row>
    <row r="460" spans="1:73" x14ac:dyDescent="0.25">
      <c r="A460" s="28"/>
      <c r="B460" s="29"/>
      <c r="C460" s="29"/>
      <c r="D460" s="30"/>
      <c r="E460" s="29"/>
      <c r="F460" s="30"/>
      <c r="G460" s="29"/>
      <c r="H460" s="69"/>
      <c r="I460" s="64"/>
      <c r="J460" s="69"/>
      <c r="K460" s="64"/>
      <c r="L460" s="69"/>
      <c r="M460" s="65"/>
      <c r="N460" s="69"/>
      <c r="O460" s="64"/>
      <c r="P460" s="69"/>
      <c r="Q460" s="64"/>
      <c r="R460" s="69"/>
      <c r="S460" s="64"/>
      <c r="T460" s="69"/>
      <c r="U460" s="64"/>
      <c r="V460" s="69"/>
      <c r="W460" s="65"/>
      <c r="X460" s="69"/>
      <c r="Y460" s="64"/>
      <c r="Z460" s="69"/>
      <c r="AA460" s="64"/>
      <c r="AB460" s="69"/>
      <c r="AC460" s="64"/>
      <c r="AD460" s="69"/>
      <c r="AE460" s="65"/>
      <c r="AF460" s="69"/>
      <c r="AG460" s="65"/>
      <c r="AH460" s="69"/>
      <c r="AI460" s="64"/>
      <c r="AJ460" s="69"/>
      <c r="AK460" s="64"/>
      <c r="AL460" s="69"/>
      <c r="AM460" s="64"/>
      <c r="AN460" s="69"/>
      <c r="AO460" s="64"/>
      <c r="AP460" s="69"/>
      <c r="AQ460" s="64"/>
      <c r="AR460" s="69"/>
      <c r="AS460" s="64"/>
      <c r="AT460" s="69"/>
      <c r="AU460" s="64"/>
      <c r="AV460" s="69"/>
      <c r="AW460" s="64"/>
      <c r="AX460" s="69"/>
      <c r="AY460" s="64"/>
      <c r="AZ460" s="69"/>
      <c r="BA460" s="64"/>
      <c r="BB460" s="69"/>
      <c r="BC460" s="64"/>
      <c r="BD460" s="69"/>
      <c r="BE460" s="64"/>
      <c r="BF460" s="69"/>
      <c r="BG460" s="64"/>
      <c r="BH460" s="69"/>
      <c r="BI460" s="64"/>
      <c r="BJ460" s="69"/>
      <c r="BK460" s="64"/>
      <c r="BL460" s="69"/>
      <c r="BM460" s="64"/>
      <c r="BN460" s="69"/>
      <c r="BO460" s="64"/>
      <c r="BP460" s="69"/>
      <c r="BQ460" s="64"/>
      <c r="BR460" s="69"/>
      <c r="BS460" s="64"/>
      <c r="BT460" s="69"/>
      <c r="BU460" t="b">
        <f t="shared" si="7"/>
        <v>0</v>
      </c>
    </row>
    <row r="461" spans="1:73" x14ac:dyDescent="0.25">
      <c r="A461" s="28"/>
      <c r="B461" s="29"/>
      <c r="C461" s="29"/>
      <c r="D461" s="30"/>
      <c r="E461" s="29"/>
      <c r="F461" s="30"/>
      <c r="G461" s="29"/>
      <c r="H461" s="69"/>
      <c r="I461" s="64"/>
      <c r="J461" s="69"/>
      <c r="K461" s="64"/>
      <c r="L461" s="69"/>
      <c r="M461" s="65"/>
      <c r="N461" s="69"/>
      <c r="O461" s="64"/>
      <c r="P461" s="69"/>
      <c r="Q461" s="64"/>
      <c r="R461" s="69"/>
      <c r="S461" s="64"/>
      <c r="T461" s="69"/>
      <c r="U461" s="64"/>
      <c r="V461" s="69"/>
      <c r="W461" s="65"/>
      <c r="X461" s="69"/>
      <c r="Y461" s="64"/>
      <c r="Z461" s="69"/>
      <c r="AA461" s="64"/>
      <c r="AB461" s="69"/>
      <c r="AC461" s="64"/>
      <c r="AD461" s="69"/>
      <c r="AE461" s="65"/>
      <c r="AF461" s="69"/>
      <c r="AG461" s="65"/>
      <c r="AH461" s="69"/>
      <c r="AI461" s="64"/>
      <c r="AJ461" s="69"/>
      <c r="AK461" s="64"/>
      <c r="AL461" s="69"/>
      <c r="AM461" s="64"/>
      <c r="AN461" s="69"/>
      <c r="AO461" s="64"/>
      <c r="AP461" s="69"/>
      <c r="AQ461" s="64"/>
      <c r="AR461" s="69"/>
      <c r="AS461" s="64"/>
      <c r="AT461" s="69"/>
      <c r="AU461" s="64"/>
      <c r="AV461" s="69"/>
      <c r="AW461" s="64"/>
      <c r="AX461" s="69"/>
      <c r="AY461" s="64"/>
      <c r="AZ461" s="69"/>
      <c r="BA461" s="64"/>
      <c r="BB461" s="69"/>
      <c r="BC461" s="64"/>
      <c r="BD461" s="69"/>
      <c r="BE461" s="64"/>
      <c r="BF461" s="69"/>
      <c r="BG461" s="64"/>
      <c r="BH461" s="69"/>
      <c r="BI461" s="64"/>
      <c r="BJ461" s="69"/>
      <c r="BK461" s="64"/>
      <c r="BL461" s="69"/>
      <c r="BM461" s="64"/>
      <c r="BN461" s="69"/>
      <c r="BO461" s="64"/>
      <c r="BP461" s="69"/>
      <c r="BQ461" s="64"/>
      <c r="BR461" s="69"/>
      <c r="BS461" s="64"/>
      <c r="BT461" s="69"/>
      <c r="BU461" t="b">
        <f t="shared" si="7"/>
        <v>0</v>
      </c>
    </row>
    <row r="462" spans="1:73" x14ac:dyDescent="0.25">
      <c r="A462" s="28"/>
      <c r="B462" s="29"/>
      <c r="C462" s="29"/>
      <c r="D462" s="30"/>
      <c r="E462" s="29"/>
      <c r="F462" s="30"/>
      <c r="G462" s="29"/>
      <c r="H462" s="69"/>
      <c r="I462" s="64"/>
      <c r="J462" s="69"/>
      <c r="K462" s="64"/>
      <c r="L462" s="69"/>
      <c r="M462" s="65"/>
      <c r="N462" s="69"/>
      <c r="O462" s="64"/>
      <c r="P462" s="69"/>
      <c r="Q462" s="64"/>
      <c r="R462" s="69"/>
      <c r="S462" s="64"/>
      <c r="T462" s="69"/>
      <c r="U462" s="64"/>
      <c r="V462" s="69"/>
      <c r="W462" s="65"/>
      <c r="X462" s="69"/>
      <c r="Y462" s="64"/>
      <c r="Z462" s="69"/>
      <c r="AA462" s="64"/>
      <c r="AB462" s="69"/>
      <c r="AC462" s="64"/>
      <c r="AD462" s="69"/>
      <c r="AE462" s="65"/>
      <c r="AF462" s="69"/>
      <c r="AG462" s="65"/>
      <c r="AH462" s="69"/>
      <c r="AI462" s="64"/>
      <c r="AJ462" s="69"/>
      <c r="AK462" s="64"/>
      <c r="AL462" s="69"/>
      <c r="AM462" s="64"/>
      <c r="AN462" s="69"/>
      <c r="AO462" s="64"/>
      <c r="AP462" s="69"/>
      <c r="AQ462" s="64"/>
      <c r="AR462" s="69"/>
      <c r="AS462" s="64"/>
      <c r="AT462" s="69"/>
      <c r="AU462" s="64"/>
      <c r="AV462" s="69"/>
      <c r="AW462" s="64"/>
      <c r="AX462" s="69"/>
      <c r="AY462" s="64"/>
      <c r="AZ462" s="69"/>
      <c r="BA462" s="64"/>
      <c r="BB462" s="69"/>
      <c r="BC462" s="64"/>
      <c r="BD462" s="69"/>
      <c r="BE462" s="64"/>
      <c r="BF462" s="69"/>
      <c r="BG462" s="64"/>
      <c r="BH462" s="69"/>
      <c r="BI462" s="64"/>
      <c r="BJ462" s="69"/>
      <c r="BK462" s="64"/>
      <c r="BL462" s="69"/>
      <c r="BM462" s="64"/>
      <c r="BN462" s="69"/>
      <c r="BO462" s="64"/>
      <c r="BP462" s="69"/>
      <c r="BQ462" s="64"/>
      <c r="BR462" s="69"/>
      <c r="BS462" s="64"/>
      <c r="BT462" s="69"/>
      <c r="BU462" t="b">
        <f t="shared" si="7"/>
        <v>0</v>
      </c>
    </row>
    <row r="463" spans="1:73" x14ac:dyDescent="0.25">
      <c r="A463" s="28"/>
      <c r="B463" s="29"/>
      <c r="C463" s="29"/>
      <c r="D463" s="30"/>
      <c r="E463" s="29"/>
      <c r="F463" s="30"/>
      <c r="G463" s="29"/>
      <c r="H463" s="69"/>
      <c r="I463" s="64"/>
      <c r="J463" s="69"/>
      <c r="K463" s="64"/>
      <c r="L463" s="69"/>
      <c r="M463" s="65"/>
      <c r="N463" s="69"/>
      <c r="O463" s="64"/>
      <c r="P463" s="69"/>
      <c r="Q463" s="64"/>
      <c r="R463" s="69"/>
      <c r="S463" s="64"/>
      <c r="T463" s="69"/>
      <c r="U463" s="64"/>
      <c r="V463" s="69"/>
      <c r="W463" s="65"/>
      <c r="X463" s="69"/>
      <c r="Y463" s="64"/>
      <c r="Z463" s="69"/>
      <c r="AA463" s="64"/>
      <c r="AB463" s="69"/>
      <c r="AC463" s="64"/>
      <c r="AD463" s="69"/>
      <c r="AE463" s="65"/>
      <c r="AF463" s="69"/>
      <c r="AG463" s="65"/>
      <c r="AH463" s="69"/>
      <c r="AI463" s="64"/>
      <c r="AJ463" s="69"/>
      <c r="AK463" s="64"/>
      <c r="AL463" s="69"/>
      <c r="AM463" s="64"/>
      <c r="AN463" s="69"/>
      <c r="AO463" s="64"/>
      <c r="AP463" s="69"/>
      <c r="AQ463" s="64"/>
      <c r="AR463" s="69"/>
      <c r="AS463" s="64"/>
      <c r="AT463" s="69"/>
      <c r="AU463" s="64"/>
      <c r="AV463" s="69"/>
      <c r="AW463" s="64"/>
      <c r="AX463" s="69"/>
      <c r="AY463" s="64"/>
      <c r="AZ463" s="69"/>
      <c r="BA463" s="64"/>
      <c r="BB463" s="69"/>
      <c r="BC463" s="64"/>
      <c r="BD463" s="69"/>
      <c r="BE463" s="64"/>
      <c r="BF463" s="69"/>
      <c r="BG463" s="64"/>
      <c r="BH463" s="69"/>
      <c r="BI463" s="64"/>
      <c r="BJ463" s="69"/>
      <c r="BK463" s="64"/>
      <c r="BL463" s="69"/>
      <c r="BM463" s="64"/>
      <c r="BN463" s="69"/>
      <c r="BO463" s="64"/>
      <c r="BP463" s="69"/>
      <c r="BQ463" s="64"/>
      <c r="BR463" s="69"/>
      <c r="BS463" s="64"/>
      <c r="BT463" s="69"/>
      <c r="BU463" t="b">
        <f t="shared" si="7"/>
        <v>0</v>
      </c>
    </row>
    <row r="464" spans="1:73" x14ac:dyDescent="0.25">
      <c r="A464" s="28"/>
      <c r="B464" s="29"/>
      <c r="C464" s="29"/>
      <c r="D464" s="30"/>
      <c r="E464" s="29"/>
      <c r="F464" s="30"/>
      <c r="G464" s="29"/>
      <c r="H464" s="69"/>
      <c r="I464" s="64"/>
      <c r="J464" s="69"/>
      <c r="K464" s="64"/>
      <c r="L464" s="69"/>
      <c r="M464" s="65"/>
      <c r="N464" s="69"/>
      <c r="O464" s="64"/>
      <c r="P464" s="69"/>
      <c r="Q464" s="64"/>
      <c r="R464" s="69"/>
      <c r="S464" s="64"/>
      <c r="T464" s="69"/>
      <c r="U464" s="64"/>
      <c r="V464" s="69"/>
      <c r="W464" s="65"/>
      <c r="X464" s="69"/>
      <c r="Y464" s="64"/>
      <c r="Z464" s="69"/>
      <c r="AA464" s="64"/>
      <c r="AB464" s="69"/>
      <c r="AC464" s="64"/>
      <c r="AD464" s="69"/>
      <c r="AE464" s="65"/>
      <c r="AF464" s="69"/>
      <c r="AG464" s="65"/>
      <c r="AH464" s="69"/>
      <c r="AI464" s="64"/>
      <c r="AJ464" s="69"/>
      <c r="AK464" s="64"/>
      <c r="AL464" s="69"/>
      <c r="AM464" s="64"/>
      <c r="AN464" s="69"/>
      <c r="AO464" s="64"/>
      <c r="AP464" s="69"/>
      <c r="AQ464" s="64"/>
      <c r="AR464" s="69"/>
      <c r="AS464" s="64"/>
      <c r="AT464" s="69"/>
      <c r="AU464" s="64"/>
      <c r="AV464" s="69"/>
      <c r="AW464" s="64"/>
      <c r="AX464" s="69"/>
      <c r="AY464" s="64"/>
      <c r="AZ464" s="69"/>
      <c r="BA464" s="64"/>
      <c r="BB464" s="69"/>
      <c r="BC464" s="64"/>
      <c r="BD464" s="69"/>
      <c r="BE464" s="64"/>
      <c r="BF464" s="69"/>
      <c r="BG464" s="64"/>
      <c r="BH464" s="69"/>
      <c r="BI464" s="64"/>
      <c r="BJ464" s="69"/>
      <c r="BK464" s="64"/>
      <c r="BL464" s="69"/>
      <c r="BM464" s="64"/>
      <c r="BN464" s="69"/>
      <c r="BO464" s="64"/>
      <c r="BP464" s="69"/>
      <c r="BQ464" s="64"/>
      <c r="BR464" s="69"/>
      <c r="BS464" s="64"/>
      <c r="BT464" s="69"/>
      <c r="BU464" t="b">
        <f t="shared" si="7"/>
        <v>0</v>
      </c>
    </row>
    <row r="465" spans="1:73" x14ac:dyDescent="0.25">
      <c r="A465" s="28"/>
      <c r="B465" s="29"/>
      <c r="C465" s="29"/>
      <c r="D465" s="30"/>
      <c r="E465" s="29"/>
      <c r="F465" s="30"/>
      <c r="G465" s="29"/>
      <c r="H465" s="69"/>
      <c r="I465" s="64"/>
      <c r="J465" s="69"/>
      <c r="K465" s="64"/>
      <c r="L465" s="69"/>
      <c r="M465" s="65"/>
      <c r="N465" s="69"/>
      <c r="O465" s="64"/>
      <c r="P465" s="69"/>
      <c r="Q465" s="64"/>
      <c r="R465" s="69"/>
      <c r="S465" s="64"/>
      <c r="T465" s="69"/>
      <c r="U465" s="64"/>
      <c r="V465" s="69"/>
      <c r="W465" s="65"/>
      <c r="X465" s="69"/>
      <c r="Y465" s="64"/>
      <c r="Z465" s="69"/>
      <c r="AA465" s="64"/>
      <c r="AB465" s="69"/>
      <c r="AC465" s="64"/>
      <c r="AD465" s="69"/>
      <c r="AE465" s="65"/>
      <c r="AF465" s="69"/>
      <c r="AG465" s="65"/>
      <c r="AH465" s="69"/>
      <c r="AI465" s="64"/>
      <c r="AJ465" s="69"/>
      <c r="AK465" s="64"/>
      <c r="AL465" s="69"/>
      <c r="AM465" s="64"/>
      <c r="AN465" s="69"/>
      <c r="AO465" s="64"/>
      <c r="AP465" s="69"/>
      <c r="AQ465" s="64"/>
      <c r="AR465" s="69"/>
      <c r="AS465" s="64"/>
      <c r="AT465" s="69"/>
      <c r="AU465" s="64"/>
      <c r="AV465" s="69"/>
      <c r="AW465" s="64"/>
      <c r="AX465" s="69"/>
      <c r="AY465" s="64"/>
      <c r="AZ465" s="69"/>
      <c r="BA465" s="64"/>
      <c r="BB465" s="69"/>
      <c r="BC465" s="64"/>
      <c r="BD465" s="69"/>
      <c r="BE465" s="64"/>
      <c r="BF465" s="69"/>
      <c r="BG465" s="64"/>
      <c r="BH465" s="69"/>
      <c r="BI465" s="64"/>
      <c r="BJ465" s="69"/>
      <c r="BK465" s="64"/>
      <c r="BL465" s="69"/>
      <c r="BM465" s="64"/>
      <c r="BN465" s="69"/>
      <c r="BO465" s="64"/>
      <c r="BP465" s="69"/>
      <c r="BQ465" s="64"/>
      <c r="BR465" s="69"/>
      <c r="BS465" s="64"/>
      <c r="BT465" s="69"/>
      <c r="BU465" t="b">
        <f t="shared" si="7"/>
        <v>0</v>
      </c>
    </row>
    <row r="466" spans="1:73" x14ac:dyDescent="0.25">
      <c r="A466" s="28"/>
      <c r="B466" s="29"/>
      <c r="C466" s="29"/>
      <c r="D466" s="30"/>
      <c r="E466" s="29"/>
      <c r="F466" s="30"/>
      <c r="G466" s="29"/>
      <c r="H466" s="69"/>
      <c r="I466" s="64"/>
      <c r="J466" s="69"/>
      <c r="K466" s="64"/>
      <c r="L466" s="69"/>
      <c r="M466" s="65"/>
      <c r="N466" s="69"/>
      <c r="O466" s="64"/>
      <c r="P466" s="69"/>
      <c r="Q466" s="64"/>
      <c r="R466" s="69"/>
      <c r="S466" s="64"/>
      <c r="T466" s="69"/>
      <c r="U466" s="64"/>
      <c r="V466" s="69"/>
      <c r="W466" s="65"/>
      <c r="X466" s="69"/>
      <c r="Y466" s="64"/>
      <c r="Z466" s="69"/>
      <c r="AA466" s="64"/>
      <c r="AB466" s="69"/>
      <c r="AC466" s="64"/>
      <c r="AD466" s="69"/>
      <c r="AE466" s="65"/>
      <c r="AF466" s="69"/>
      <c r="AG466" s="65"/>
      <c r="AH466" s="69"/>
      <c r="AI466" s="64"/>
      <c r="AJ466" s="69"/>
      <c r="AK466" s="64"/>
      <c r="AL466" s="69"/>
      <c r="AM466" s="64"/>
      <c r="AN466" s="69"/>
      <c r="AO466" s="64"/>
      <c r="AP466" s="69"/>
      <c r="AQ466" s="64"/>
      <c r="AR466" s="69"/>
      <c r="AS466" s="64"/>
      <c r="AT466" s="69"/>
      <c r="AU466" s="64"/>
      <c r="AV466" s="69"/>
      <c r="AW466" s="64"/>
      <c r="AX466" s="69"/>
      <c r="AY466" s="64"/>
      <c r="AZ466" s="69"/>
      <c r="BA466" s="64"/>
      <c r="BB466" s="69"/>
      <c r="BC466" s="64"/>
      <c r="BD466" s="69"/>
      <c r="BE466" s="64"/>
      <c r="BF466" s="69"/>
      <c r="BG466" s="64"/>
      <c r="BH466" s="69"/>
      <c r="BI466" s="64"/>
      <c r="BJ466" s="69"/>
      <c r="BK466" s="64"/>
      <c r="BL466" s="69"/>
      <c r="BM466" s="64"/>
      <c r="BN466" s="69"/>
      <c r="BO466" s="64"/>
      <c r="BP466" s="69"/>
      <c r="BQ466" s="64"/>
      <c r="BR466" s="69"/>
      <c r="BS466" s="64"/>
      <c r="BT466" s="69"/>
      <c r="BU466" t="b">
        <f t="shared" si="7"/>
        <v>0</v>
      </c>
    </row>
    <row r="467" spans="1:73" x14ac:dyDescent="0.25">
      <c r="A467" s="28"/>
      <c r="B467" s="29"/>
      <c r="C467" s="29"/>
      <c r="D467" s="30"/>
      <c r="E467" s="29"/>
      <c r="F467" s="30"/>
      <c r="G467" s="29"/>
      <c r="H467" s="69"/>
      <c r="I467" s="64"/>
      <c r="J467" s="69"/>
      <c r="K467" s="64"/>
      <c r="L467" s="69"/>
      <c r="M467" s="65"/>
      <c r="N467" s="69"/>
      <c r="O467" s="64"/>
      <c r="P467" s="69"/>
      <c r="Q467" s="64"/>
      <c r="R467" s="69"/>
      <c r="S467" s="64"/>
      <c r="T467" s="69"/>
      <c r="U467" s="64"/>
      <c r="V467" s="69"/>
      <c r="W467" s="65"/>
      <c r="X467" s="69"/>
      <c r="Y467" s="64"/>
      <c r="Z467" s="69"/>
      <c r="AA467" s="64"/>
      <c r="AB467" s="69"/>
      <c r="AC467" s="64"/>
      <c r="AD467" s="69"/>
      <c r="AE467" s="65"/>
      <c r="AF467" s="69"/>
      <c r="AG467" s="65"/>
      <c r="AH467" s="69"/>
      <c r="AI467" s="64"/>
      <c r="AJ467" s="69"/>
      <c r="AK467" s="64"/>
      <c r="AL467" s="69"/>
      <c r="AM467" s="64"/>
      <c r="AN467" s="69"/>
      <c r="AO467" s="64"/>
      <c r="AP467" s="69"/>
      <c r="AQ467" s="64"/>
      <c r="AR467" s="69"/>
      <c r="AS467" s="64"/>
      <c r="AT467" s="69"/>
      <c r="AU467" s="64"/>
      <c r="AV467" s="69"/>
      <c r="AW467" s="64"/>
      <c r="AX467" s="69"/>
      <c r="AY467" s="64"/>
      <c r="AZ467" s="69"/>
      <c r="BA467" s="64"/>
      <c r="BB467" s="69"/>
      <c r="BC467" s="64"/>
      <c r="BD467" s="69"/>
      <c r="BE467" s="64"/>
      <c r="BF467" s="69"/>
      <c r="BG467" s="64"/>
      <c r="BH467" s="69"/>
      <c r="BI467" s="64"/>
      <c r="BJ467" s="69"/>
      <c r="BK467" s="64"/>
      <c r="BL467" s="69"/>
      <c r="BM467" s="64"/>
      <c r="BN467" s="69"/>
      <c r="BO467" s="64"/>
      <c r="BP467" s="69"/>
      <c r="BQ467" s="64"/>
      <c r="BR467" s="69"/>
      <c r="BS467" s="64"/>
      <c r="BT467" s="69"/>
      <c r="BU467" t="b">
        <f t="shared" si="7"/>
        <v>0</v>
      </c>
    </row>
    <row r="468" spans="1:73" x14ac:dyDescent="0.25">
      <c r="A468" s="28"/>
      <c r="B468" s="29"/>
      <c r="C468" s="29"/>
      <c r="D468" s="30"/>
      <c r="E468" s="29"/>
      <c r="F468" s="30"/>
      <c r="G468" s="29"/>
      <c r="H468" s="69"/>
      <c r="I468" s="64"/>
      <c r="J468" s="69"/>
      <c r="K468" s="64"/>
      <c r="L468" s="69"/>
      <c r="M468" s="65"/>
      <c r="N468" s="69"/>
      <c r="O468" s="64"/>
      <c r="P468" s="69"/>
      <c r="Q468" s="64"/>
      <c r="R468" s="69"/>
      <c r="S468" s="64"/>
      <c r="T468" s="69"/>
      <c r="U468" s="64"/>
      <c r="V468" s="69"/>
      <c r="W468" s="65"/>
      <c r="X468" s="69"/>
      <c r="Y468" s="64"/>
      <c r="Z468" s="69"/>
      <c r="AA468" s="64"/>
      <c r="AB468" s="69"/>
      <c r="AC468" s="64"/>
      <c r="AD468" s="69"/>
      <c r="AE468" s="65"/>
      <c r="AF468" s="69"/>
      <c r="AG468" s="65"/>
      <c r="AH468" s="69"/>
      <c r="AI468" s="64"/>
      <c r="AJ468" s="69"/>
      <c r="AK468" s="64"/>
      <c r="AL468" s="69"/>
      <c r="AM468" s="64"/>
      <c r="AN468" s="69"/>
      <c r="AO468" s="64"/>
      <c r="AP468" s="69"/>
      <c r="AQ468" s="64"/>
      <c r="AR468" s="69"/>
      <c r="AS468" s="64"/>
      <c r="AT468" s="69"/>
      <c r="AU468" s="64"/>
      <c r="AV468" s="69"/>
      <c r="AW468" s="64"/>
      <c r="AX468" s="69"/>
      <c r="AY468" s="64"/>
      <c r="AZ468" s="69"/>
      <c r="BA468" s="64"/>
      <c r="BB468" s="69"/>
      <c r="BC468" s="64"/>
      <c r="BD468" s="69"/>
      <c r="BE468" s="64"/>
      <c r="BF468" s="69"/>
      <c r="BG468" s="64"/>
      <c r="BH468" s="69"/>
      <c r="BI468" s="64"/>
      <c r="BJ468" s="69"/>
      <c r="BK468" s="64"/>
      <c r="BL468" s="69"/>
      <c r="BM468" s="64"/>
      <c r="BN468" s="69"/>
      <c r="BO468" s="64"/>
      <c r="BP468" s="69"/>
      <c r="BQ468" s="64"/>
      <c r="BR468" s="69"/>
      <c r="BS468" s="64"/>
      <c r="BT468" s="69"/>
      <c r="BU468" t="b">
        <f t="shared" si="7"/>
        <v>0</v>
      </c>
    </row>
    <row r="469" spans="1:73" x14ac:dyDescent="0.25">
      <c r="A469" s="28"/>
      <c r="B469" s="29"/>
      <c r="C469" s="29"/>
      <c r="D469" s="30"/>
      <c r="E469" s="29"/>
      <c r="F469" s="30"/>
      <c r="G469" s="29"/>
      <c r="H469" s="69"/>
      <c r="I469" s="64"/>
      <c r="J469" s="69"/>
      <c r="K469" s="64"/>
      <c r="L469" s="69"/>
      <c r="M469" s="65"/>
      <c r="N469" s="69"/>
      <c r="O469" s="64"/>
      <c r="P469" s="69"/>
      <c r="Q469" s="64"/>
      <c r="R469" s="69"/>
      <c r="S469" s="64"/>
      <c r="T469" s="69"/>
      <c r="U469" s="64"/>
      <c r="V469" s="69"/>
      <c r="W469" s="65"/>
      <c r="X469" s="69"/>
      <c r="Y469" s="64"/>
      <c r="Z469" s="69"/>
      <c r="AA469" s="64"/>
      <c r="AB469" s="69"/>
      <c r="AC469" s="64"/>
      <c r="AD469" s="69"/>
      <c r="AE469" s="65"/>
      <c r="AF469" s="69"/>
      <c r="AG469" s="65"/>
      <c r="AH469" s="69"/>
      <c r="AI469" s="64"/>
      <c r="AJ469" s="69"/>
      <c r="AK469" s="64"/>
      <c r="AL469" s="69"/>
      <c r="AM469" s="64"/>
      <c r="AN469" s="69"/>
      <c r="AO469" s="64"/>
      <c r="AP469" s="69"/>
      <c r="AQ469" s="64"/>
      <c r="AR469" s="69"/>
      <c r="AS469" s="64"/>
      <c r="AT469" s="69"/>
      <c r="AU469" s="64"/>
      <c r="AV469" s="69"/>
      <c r="AW469" s="64"/>
      <c r="AX469" s="69"/>
      <c r="AY469" s="64"/>
      <c r="AZ469" s="69"/>
      <c r="BA469" s="64"/>
      <c r="BB469" s="69"/>
      <c r="BC469" s="64"/>
      <c r="BD469" s="69"/>
      <c r="BE469" s="64"/>
      <c r="BF469" s="69"/>
      <c r="BG469" s="64"/>
      <c r="BH469" s="69"/>
      <c r="BI469" s="64"/>
      <c r="BJ469" s="69"/>
      <c r="BK469" s="64"/>
      <c r="BL469" s="69"/>
      <c r="BM469" s="64"/>
      <c r="BN469" s="69"/>
      <c r="BO469" s="64"/>
      <c r="BP469" s="69"/>
      <c r="BQ469" s="64"/>
      <c r="BR469" s="69"/>
      <c r="BS469" s="64"/>
      <c r="BT469" s="69"/>
      <c r="BU469" t="b">
        <f t="shared" si="7"/>
        <v>0</v>
      </c>
    </row>
    <row r="470" spans="1:73" x14ac:dyDescent="0.25">
      <c r="A470" s="28"/>
      <c r="B470" s="29"/>
      <c r="C470" s="29"/>
      <c r="D470" s="30"/>
      <c r="E470" s="29"/>
      <c r="F470" s="30"/>
      <c r="G470" s="29"/>
      <c r="H470" s="69"/>
      <c r="I470" s="64"/>
      <c r="J470" s="69"/>
      <c r="K470" s="64"/>
      <c r="L470" s="69"/>
      <c r="M470" s="65"/>
      <c r="N470" s="69"/>
      <c r="O470" s="64"/>
      <c r="P470" s="69"/>
      <c r="Q470" s="64"/>
      <c r="R470" s="69"/>
      <c r="S470" s="64"/>
      <c r="T470" s="69"/>
      <c r="U470" s="64"/>
      <c r="V470" s="69"/>
      <c r="W470" s="65"/>
      <c r="X470" s="69"/>
      <c r="Y470" s="64"/>
      <c r="Z470" s="69"/>
      <c r="AA470" s="64"/>
      <c r="AB470" s="69"/>
      <c r="AC470" s="64"/>
      <c r="AD470" s="69"/>
      <c r="AE470" s="65"/>
      <c r="AF470" s="69"/>
      <c r="AG470" s="65"/>
      <c r="AH470" s="69"/>
      <c r="AI470" s="64"/>
      <c r="AJ470" s="69"/>
      <c r="AK470" s="64"/>
      <c r="AL470" s="69"/>
      <c r="AM470" s="64"/>
      <c r="AN470" s="69"/>
      <c r="AO470" s="64"/>
      <c r="AP470" s="69"/>
      <c r="AQ470" s="64"/>
      <c r="AR470" s="69"/>
      <c r="AS470" s="64"/>
      <c r="AT470" s="69"/>
      <c r="AU470" s="64"/>
      <c r="AV470" s="69"/>
      <c r="AW470" s="64"/>
      <c r="AX470" s="69"/>
      <c r="AY470" s="64"/>
      <c r="AZ470" s="69"/>
      <c r="BA470" s="64"/>
      <c r="BB470" s="69"/>
      <c r="BC470" s="64"/>
      <c r="BD470" s="69"/>
      <c r="BE470" s="64"/>
      <c r="BF470" s="69"/>
      <c r="BG470" s="64"/>
      <c r="BH470" s="69"/>
      <c r="BI470" s="64"/>
      <c r="BJ470" s="69"/>
      <c r="BK470" s="64"/>
      <c r="BL470" s="69"/>
      <c r="BM470" s="64"/>
      <c r="BN470" s="69"/>
      <c r="BO470" s="64"/>
      <c r="BP470" s="69"/>
      <c r="BQ470" s="64"/>
      <c r="BR470" s="69"/>
      <c r="BS470" s="64"/>
      <c r="BT470" s="69"/>
      <c r="BU470" t="b">
        <f t="shared" si="7"/>
        <v>0</v>
      </c>
    </row>
    <row r="471" spans="1:73" x14ac:dyDescent="0.25">
      <c r="A471" s="28"/>
      <c r="B471" s="29"/>
      <c r="C471" s="29"/>
      <c r="D471" s="30"/>
      <c r="E471" s="29"/>
      <c r="F471" s="30"/>
      <c r="G471" s="29"/>
      <c r="H471" s="69"/>
      <c r="I471" s="64"/>
      <c r="J471" s="69"/>
      <c r="K471" s="64"/>
      <c r="L471" s="69"/>
      <c r="M471" s="65"/>
      <c r="N471" s="69"/>
      <c r="O471" s="64"/>
      <c r="P471" s="69"/>
      <c r="Q471" s="64"/>
      <c r="R471" s="69"/>
      <c r="S471" s="64"/>
      <c r="T471" s="69"/>
      <c r="U471" s="64"/>
      <c r="V471" s="69"/>
      <c r="W471" s="65"/>
      <c r="X471" s="69"/>
      <c r="Y471" s="64"/>
      <c r="Z471" s="69"/>
      <c r="AA471" s="64"/>
      <c r="AB471" s="69"/>
      <c r="AC471" s="64"/>
      <c r="AD471" s="69"/>
      <c r="AE471" s="65"/>
      <c r="AF471" s="69"/>
      <c r="AG471" s="65"/>
      <c r="AH471" s="69"/>
      <c r="AI471" s="64"/>
      <c r="AJ471" s="69"/>
      <c r="AK471" s="64"/>
      <c r="AL471" s="69"/>
      <c r="AM471" s="64"/>
      <c r="AN471" s="69"/>
      <c r="AO471" s="64"/>
      <c r="AP471" s="69"/>
      <c r="AQ471" s="64"/>
      <c r="AR471" s="69"/>
      <c r="AS471" s="64"/>
      <c r="AT471" s="69"/>
      <c r="AU471" s="64"/>
      <c r="AV471" s="69"/>
      <c r="AW471" s="64"/>
      <c r="AX471" s="69"/>
      <c r="AY471" s="64"/>
      <c r="AZ471" s="69"/>
      <c r="BA471" s="64"/>
      <c r="BB471" s="69"/>
      <c r="BC471" s="64"/>
      <c r="BD471" s="69"/>
      <c r="BE471" s="64"/>
      <c r="BF471" s="69"/>
      <c r="BG471" s="64"/>
      <c r="BH471" s="69"/>
      <c r="BI471" s="64"/>
      <c r="BJ471" s="69"/>
      <c r="BK471" s="64"/>
      <c r="BL471" s="69"/>
      <c r="BM471" s="64"/>
      <c r="BN471" s="69"/>
      <c r="BO471" s="64"/>
      <c r="BP471" s="69"/>
      <c r="BQ471" s="64"/>
      <c r="BR471" s="69"/>
      <c r="BS471" s="64"/>
      <c r="BT471" s="69"/>
      <c r="BU471" t="b">
        <f t="shared" si="7"/>
        <v>0</v>
      </c>
    </row>
    <row r="472" spans="1:73" x14ac:dyDescent="0.25">
      <c r="A472" s="28"/>
      <c r="B472" s="29"/>
      <c r="C472" s="29"/>
      <c r="D472" s="30"/>
      <c r="E472" s="29"/>
      <c r="F472" s="30"/>
      <c r="G472" s="29"/>
      <c r="H472" s="69"/>
      <c r="I472" s="64"/>
      <c r="J472" s="69"/>
      <c r="K472" s="64"/>
      <c r="L472" s="69"/>
      <c r="M472" s="65"/>
      <c r="N472" s="69"/>
      <c r="O472" s="64"/>
      <c r="P472" s="69"/>
      <c r="Q472" s="64"/>
      <c r="R472" s="69"/>
      <c r="S472" s="64"/>
      <c r="T472" s="69"/>
      <c r="U472" s="64"/>
      <c r="V472" s="69"/>
      <c r="W472" s="65"/>
      <c r="X472" s="69"/>
      <c r="Y472" s="64"/>
      <c r="Z472" s="69"/>
      <c r="AA472" s="64"/>
      <c r="AB472" s="69"/>
      <c r="AC472" s="64"/>
      <c r="AD472" s="69"/>
      <c r="AE472" s="65"/>
      <c r="AF472" s="69"/>
      <c r="AG472" s="65"/>
      <c r="AH472" s="69"/>
      <c r="AI472" s="64"/>
      <c r="AJ472" s="69"/>
      <c r="AK472" s="64"/>
      <c r="AL472" s="69"/>
      <c r="AM472" s="64"/>
      <c r="AN472" s="69"/>
      <c r="AO472" s="64"/>
      <c r="AP472" s="69"/>
      <c r="AQ472" s="64"/>
      <c r="AR472" s="69"/>
      <c r="AS472" s="64"/>
      <c r="AT472" s="69"/>
      <c r="AU472" s="64"/>
      <c r="AV472" s="69"/>
      <c r="AW472" s="64"/>
      <c r="AX472" s="69"/>
      <c r="AY472" s="64"/>
      <c r="AZ472" s="69"/>
      <c r="BA472" s="64"/>
      <c r="BB472" s="69"/>
      <c r="BC472" s="64"/>
      <c r="BD472" s="69"/>
      <c r="BE472" s="64"/>
      <c r="BF472" s="69"/>
      <c r="BG472" s="64"/>
      <c r="BH472" s="69"/>
      <c r="BI472" s="64"/>
      <c r="BJ472" s="69"/>
      <c r="BK472" s="64"/>
      <c r="BL472" s="69"/>
      <c r="BM472" s="64"/>
      <c r="BN472" s="69"/>
      <c r="BO472" s="64"/>
      <c r="BP472" s="69"/>
      <c r="BQ472" s="64"/>
      <c r="BR472" s="69"/>
      <c r="BS472" s="64"/>
      <c r="BT472" s="69"/>
      <c r="BU472" t="b">
        <f t="shared" si="7"/>
        <v>0</v>
      </c>
    </row>
    <row r="473" spans="1:73" x14ac:dyDescent="0.25">
      <c r="A473" s="28"/>
      <c r="B473" s="29"/>
      <c r="C473" s="29"/>
      <c r="D473" s="30"/>
      <c r="E473" s="29"/>
      <c r="F473" s="30"/>
      <c r="G473" s="29"/>
      <c r="H473" s="69"/>
      <c r="I473" s="64"/>
      <c r="J473" s="69"/>
      <c r="K473" s="64"/>
      <c r="L473" s="69"/>
      <c r="M473" s="65"/>
      <c r="N473" s="69"/>
      <c r="O473" s="64"/>
      <c r="P473" s="69"/>
      <c r="Q473" s="64"/>
      <c r="R473" s="69"/>
      <c r="S473" s="64"/>
      <c r="T473" s="69"/>
      <c r="U473" s="64"/>
      <c r="V473" s="69"/>
      <c r="W473" s="65"/>
      <c r="X473" s="69"/>
      <c r="Y473" s="64"/>
      <c r="Z473" s="69"/>
      <c r="AA473" s="64"/>
      <c r="AB473" s="69"/>
      <c r="AC473" s="64"/>
      <c r="AD473" s="69"/>
      <c r="AE473" s="65"/>
      <c r="AF473" s="69"/>
      <c r="AG473" s="65"/>
      <c r="AH473" s="69"/>
      <c r="AI473" s="64"/>
      <c r="AJ473" s="69"/>
      <c r="AK473" s="64"/>
      <c r="AL473" s="69"/>
      <c r="AM473" s="64"/>
      <c r="AN473" s="69"/>
      <c r="AO473" s="64"/>
      <c r="AP473" s="69"/>
      <c r="AQ473" s="64"/>
      <c r="AR473" s="69"/>
      <c r="AS473" s="64"/>
      <c r="AT473" s="69"/>
      <c r="AU473" s="64"/>
      <c r="AV473" s="69"/>
      <c r="AW473" s="64"/>
      <c r="AX473" s="69"/>
      <c r="AY473" s="64"/>
      <c r="AZ473" s="69"/>
      <c r="BA473" s="64"/>
      <c r="BB473" s="69"/>
      <c r="BC473" s="64"/>
      <c r="BD473" s="69"/>
      <c r="BE473" s="64"/>
      <c r="BF473" s="69"/>
      <c r="BG473" s="64"/>
      <c r="BH473" s="69"/>
      <c r="BI473" s="64"/>
      <c r="BJ473" s="69"/>
      <c r="BK473" s="64"/>
      <c r="BL473" s="69"/>
      <c r="BM473" s="64"/>
      <c r="BN473" s="69"/>
      <c r="BO473" s="64"/>
      <c r="BP473" s="69"/>
      <c r="BQ473" s="64"/>
      <c r="BR473" s="69"/>
      <c r="BS473" s="64"/>
      <c r="BT473" s="69"/>
      <c r="BU473" t="b">
        <f t="shared" si="7"/>
        <v>0</v>
      </c>
    </row>
    <row r="474" spans="1:73" x14ac:dyDescent="0.25">
      <c r="A474" s="28"/>
      <c r="B474" s="29"/>
      <c r="C474" s="29"/>
      <c r="D474" s="30"/>
      <c r="E474" s="29"/>
      <c r="F474" s="30"/>
      <c r="G474" s="29"/>
      <c r="H474" s="69"/>
      <c r="I474" s="64"/>
      <c r="J474" s="69"/>
      <c r="K474" s="64"/>
      <c r="L474" s="69"/>
      <c r="M474" s="65"/>
      <c r="N474" s="69"/>
      <c r="O474" s="64"/>
      <c r="P474" s="69"/>
      <c r="Q474" s="64"/>
      <c r="R474" s="69"/>
      <c r="S474" s="64"/>
      <c r="T474" s="69"/>
      <c r="U474" s="64"/>
      <c r="V474" s="69"/>
      <c r="W474" s="65"/>
      <c r="X474" s="69"/>
      <c r="Y474" s="64"/>
      <c r="Z474" s="69"/>
      <c r="AA474" s="64"/>
      <c r="AB474" s="69"/>
      <c r="AC474" s="64"/>
      <c r="AD474" s="69"/>
      <c r="AE474" s="65"/>
      <c r="AF474" s="69"/>
      <c r="AG474" s="65"/>
      <c r="AH474" s="69"/>
      <c r="AI474" s="64"/>
      <c r="AJ474" s="69"/>
      <c r="AK474" s="64"/>
      <c r="AL474" s="69"/>
      <c r="AM474" s="64"/>
      <c r="AN474" s="69"/>
      <c r="AO474" s="64"/>
      <c r="AP474" s="69"/>
      <c r="AQ474" s="64"/>
      <c r="AR474" s="69"/>
      <c r="AS474" s="64"/>
      <c r="AT474" s="69"/>
      <c r="AU474" s="64"/>
      <c r="AV474" s="69"/>
      <c r="AW474" s="64"/>
      <c r="AX474" s="69"/>
      <c r="AY474" s="64"/>
      <c r="AZ474" s="69"/>
      <c r="BA474" s="64"/>
      <c r="BB474" s="69"/>
      <c r="BC474" s="64"/>
      <c r="BD474" s="69"/>
      <c r="BE474" s="64"/>
      <c r="BF474" s="69"/>
      <c r="BG474" s="64"/>
      <c r="BH474" s="69"/>
      <c r="BI474" s="64"/>
      <c r="BJ474" s="69"/>
      <c r="BK474" s="64"/>
      <c r="BL474" s="69"/>
      <c r="BM474" s="64"/>
      <c r="BN474" s="69"/>
      <c r="BO474" s="64"/>
      <c r="BP474" s="69"/>
      <c r="BQ474" s="64"/>
      <c r="BR474" s="69"/>
      <c r="BS474" s="64"/>
      <c r="BT474" s="69"/>
      <c r="BU474" t="b">
        <f t="shared" si="7"/>
        <v>0</v>
      </c>
    </row>
    <row r="475" spans="1:73" x14ac:dyDescent="0.25">
      <c r="A475" s="28"/>
      <c r="B475" s="29"/>
      <c r="C475" s="29"/>
      <c r="D475" s="30"/>
      <c r="E475" s="29"/>
      <c r="F475" s="30"/>
      <c r="G475" s="29"/>
      <c r="H475" s="69"/>
      <c r="I475" s="64"/>
      <c r="J475" s="69"/>
      <c r="K475" s="64"/>
      <c r="L475" s="69"/>
      <c r="M475" s="65"/>
      <c r="N475" s="69"/>
      <c r="O475" s="64"/>
      <c r="P475" s="69"/>
      <c r="Q475" s="64"/>
      <c r="R475" s="69"/>
      <c r="S475" s="64"/>
      <c r="T475" s="69"/>
      <c r="U475" s="64"/>
      <c r="V475" s="69"/>
      <c r="W475" s="65"/>
      <c r="X475" s="69"/>
      <c r="Y475" s="64"/>
      <c r="Z475" s="69"/>
      <c r="AA475" s="64"/>
      <c r="AB475" s="69"/>
      <c r="AC475" s="64"/>
      <c r="AD475" s="69"/>
      <c r="AE475" s="65"/>
      <c r="AF475" s="69"/>
      <c r="AG475" s="65"/>
      <c r="AH475" s="69"/>
      <c r="AI475" s="64"/>
      <c r="AJ475" s="69"/>
      <c r="AK475" s="64"/>
      <c r="AL475" s="69"/>
      <c r="AM475" s="64"/>
      <c r="AN475" s="69"/>
      <c r="AO475" s="64"/>
      <c r="AP475" s="69"/>
      <c r="AQ475" s="64"/>
      <c r="AR475" s="69"/>
      <c r="AS475" s="64"/>
      <c r="AT475" s="69"/>
      <c r="AU475" s="64"/>
      <c r="AV475" s="69"/>
      <c r="AW475" s="64"/>
      <c r="AX475" s="69"/>
      <c r="AY475" s="64"/>
      <c r="AZ475" s="69"/>
      <c r="BA475" s="64"/>
      <c r="BB475" s="69"/>
      <c r="BC475" s="64"/>
      <c r="BD475" s="69"/>
      <c r="BE475" s="64"/>
      <c r="BF475" s="69"/>
      <c r="BG475" s="64"/>
      <c r="BH475" s="69"/>
      <c r="BI475" s="64"/>
      <c r="BJ475" s="69"/>
      <c r="BK475" s="64"/>
      <c r="BL475" s="69"/>
      <c r="BM475" s="64"/>
      <c r="BN475" s="69"/>
      <c r="BO475" s="64"/>
      <c r="BP475" s="69"/>
      <c r="BQ475" s="64"/>
      <c r="BR475" s="69"/>
      <c r="BS475" s="64"/>
      <c r="BT475" s="69"/>
      <c r="BU475" t="b">
        <f t="shared" si="7"/>
        <v>0</v>
      </c>
    </row>
    <row r="476" spans="1:73" x14ac:dyDescent="0.25">
      <c r="A476" s="28"/>
      <c r="B476" s="29"/>
      <c r="C476" s="29"/>
      <c r="D476" s="30"/>
      <c r="E476" s="29"/>
      <c r="F476" s="30"/>
      <c r="G476" s="29"/>
      <c r="H476" s="69"/>
      <c r="I476" s="64"/>
      <c r="J476" s="69"/>
      <c r="K476" s="64"/>
      <c r="L476" s="69"/>
      <c r="M476" s="65"/>
      <c r="N476" s="69"/>
      <c r="O476" s="64"/>
      <c r="P476" s="69"/>
      <c r="Q476" s="64"/>
      <c r="R476" s="69"/>
      <c r="S476" s="64"/>
      <c r="T476" s="69"/>
      <c r="U476" s="64"/>
      <c r="V476" s="69"/>
      <c r="W476" s="65"/>
      <c r="X476" s="69"/>
      <c r="Y476" s="64"/>
      <c r="Z476" s="69"/>
      <c r="AA476" s="64"/>
      <c r="AB476" s="69"/>
      <c r="AC476" s="64"/>
      <c r="AD476" s="69"/>
      <c r="AE476" s="65"/>
      <c r="AF476" s="69"/>
      <c r="AG476" s="65"/>
      <c r="AH476" s="69"/>
      <c r="AI476" s="64"/>
      <c r="AJ476" s="69"/>
      <c r="AK476" s="64"/>
      <c r="AL476" s="69"/>
      <c r="AM476" s="64"/>
      <c r="AN476" s="69"/>
      <c r="AO476" s="64"/>
      <c r="AP476" s="69"/>
      <c r="AQ476" s="64"/>
      <c r="AR476" s="69"/>
      <c r="AS476" s="64"/>
      <c r="AT476" s="69"/>
      <c r="AU476" s="64"/>
      <c r="AV476" s="69"/>
      <c r="AW476" s="64"/>
      <c r="AX476" s="69"/>
      <c r="AY476" s="64"/>
      <c r="AZ476" s="69"/>
      <c r="BA476" s="64"/>
      <c r="BB476" s="69"/>
      <c r="BC476" s="64"/>
      <c r="BD476" s="69"/>
      <c r="BE476" s="64"/>
      <c r="BF476" s="69"/>
      <c r="BG476" s="64"/>
      <c r="BH476" s="69"/>
      <c r="BI476" s="64"/>
      <c r="BJ476" s="69"/>
      <c r="BK476" s="64"/>
      <c r="BL476" s="69"/>
      <c r="BM476" s="64"/>
      <c r="BN476" s="69"/>
      <c r="BO476" s="64"/>
      <c r="BP476" s="69"/>
      <c r="BQ476" s="64"/>
      <c r="BR476" s="69"/>
      <c r="BS476" s="64"/>
      <c r="BT476" s="69"/>
      <c r="BU476" t="b">
        <f t="shared" si="7"/>
        <v>0</v>
      </c>
    </row>
    <row r="477" spans="1:73" x14ac:dyDescent="0.25">
      <c r="A477" s="28"/>
      <c r="B477" s="29"/>
      <c r="C477" s="29"/>
      <c r="D477" s="30"/>
      <c r="E477" s="29"/>
      <c r="F477" s="30"/>
      <c r="G477" s="29"/>
      <c r="H477" s="69"/>
      <c r="I477" s="64"/>
      <c r="J477" s="69"/>
      <c r="K477" s="64"/>
      <c r="L477" s="69"/>
      <c r="M477" s="65"/>
      <c r="N477" s="69"/>
      <c r="O477" s="64"/>
      <c r="P477" s="69"/>
      <c r="Q477" s="64"/>
      <c r="R477" s="69"/>
      <c r="S477" s="64"/>
      <c r="T477" s="69"/>
      <c r="U477" s="64"/>
      <c r="V477" s="69"/>
      <c r="W477" s="65"/>
      <c r="X477" s="69"/>
      <c r="Y477" s="64"/>
      <c r="Z477" s="69"/>
      <c r="AA477" s="64"/>
      <c r="AB477" s="69"/>
      <c r="AC477" s="64"/>
      <c r="AD477" s="69"/>
      <c r="AE477" s="65"/>
      <c r="AF477" s="69"/>
      <c r="AG477" s="65"/>
      <c r="AH477" s="69"/>
      <c r="AI477" s="64"/>
      <c r="AJ477" s="69"/>
      <c r="AK477" s="64"/>
      <c r="AL477" s="69"/>
      <c r="AM477" s="64"/>
      <c r="AN477" s="69"/>
      <c r="AO477" s="64"/>
      <c r="AP477" s="69"/>
      <c r="AQ477" s="64"/>
      <c r="AR477" s="69"/>
      <c r="AS477" s="64"/>
      <c r="AT477" s="69"/>
      <c r="AU477" s="64"/>
      <c r="AV477" s="69"/>
      <c r="AW477" s="64"/>
      <c r="AX477" s="69"/>
      <c r="AY477" s="64"/>
      <c r="AZ477" s="69"/>
      <c r="BA477" s="64"/>
      <c r="BB477" s="69"/>
      <c r="BC477" s="64"/>
      <c r="BD477" s="69"/>
      <c r="BE477" s="64"/>
      <c r="BF477" s="69"/>
      <c r="BG477" s="64"/>
      <c r="BH477" s="69"/>
      <c r="BI477" s="64"/>
      <c r="BJ477" s="69"/>
      <c r="BK477" s="64"/>
      <c r="BL477" s="69"/>
      <c r="BM477" s="64"/>
      <c r="BN477" s="69"/>
      <c r="BO477" s="64"/>
      <c r="BP477" s="69"/>
      <c r="BQ477" s="64"/>
      <c r="BR477" s="69"/>
      <c r="BS477" s="64"/>
      <c r="BT477" s="69"/>
      <c r="BU477" t="b">
        <f t="shared" si="7"/>
        <v>0</v>
      </c>
    </row>
    <row r="478" spans="1:73" x14ac:dyDescent="0.25">
      <c r="A478" s="28"/>
      <c r="B478" s="29"/>
      <c r="C478" s="29"/>
      <c r="D478" s="30"/>
      <c r="E478" s="29"/>
      <c r="F478" s="30"/>
      <c r="G478" s="29"/>
      <c r="H478" s="69"/>
      <c r="I478" s="64"/>
      <c r="J478" s="69"/>
      <c r="K478" s="64"/>
      <c r="L478" s="69"/>
      <c r="M478" s="65"/>
      <c r="N478" s="69"/>
      <c r="O478" s="64"/>
      <c r="P478" s="69"/>
      <c r="Q478" s="64"/>
      <c r="R478" s="69"/>
      <c r="S478" s="64"/>
      <c r="T478" s="69"/>
      <c r="U478" s="64"/>
      <c r="V478" s="69"/>
      <c r="W478" s="65"/>
      <c r="X478" s="69"/>
      <c r="Y478" s="64"/>
      <c r="Z478" s="69"/>
      <c r="AA478" s="64"/>
      <c r="AB478" s="69"/>
      <c r="AC478" s="64"/>
      <c r="AD478" s="69"/>
      <c r="AE478" s="65"/>
      <c r="AF478" s="69"/>
      <c r="AG478" s="65"/>
      <c r="AH478" s="69"/>
      <c r="AI478" s="64"/>
      <c r="AJ478" s="69"/>
      <c r="AK478" s="64"/>
      <c r="AL478" s="69"/>
      <c r="AM478" s="64"/>
      <c r="AN478" s="69"/>
      <c r="AO478" s="64"/>
      <c r="AP478" s="69"/>
      <c r="AQ478" s="64"/>
      <c r="AR478" s="69"/>
      <c r="AS478" s="64"/>
      <c r="AT478" s="69"/>
      <c r="AU478" s="64"/>
      <c r="AV478" s="69"/>
      <c r="AW478" s="64"/>
      <c r="AX478" s="69"/>
      <c r="AY478" s="64"/>
      <c r="AZ478" s="69"/>
      <c r="BA478" s="64"/>
      <c r="BB478" s="69"/>
      <c r="BC478" s="64"/>
      <c r="BD478" s="69"/>
      <c r="BE478" s="64"/>
      <c r="BF478" s="69"/>
      <c r="BG478" s="64"/>
      <c r="BH478" s="69"/>
      <c r="BI478" s="64"/>
      <c r="BJ478" s="69"/>
      <c r="BK478" s="64"/>
      <c r="BL478" s="69"/>
      <c r="BM478" s="64"/>
      <c r="BN478" s="69"/>
      <c r="BO478" s="64"/>
      <c r="BP478" s="69"/>
      <c r="BQ478" s="64"/>
      <c r="BR478" s="69"/>
      <c r="BS478" s="64"/>
      <c r="BT478" s="69"/>
      <c r="BU478" t="b">
        <f t="shared" si="7"/>
        <v>0</v>
      </c>
    </row>
    <row r="479" spans="1:73" x14ac:dyDescent="0.25">
      <c r="A479" s="28"/>
      <c r="B479" s="29"/>
      <c r="C479" s="29"/>
      <c r="D479" s="30"/>
      <c r="E479" s="29"/>
      <c r="F479" s="30"/>
      <c r="G479" s="29"/>
      <c r="H479" s="69"/>
      <c r="I479" s="64"/>
      <c r="J479" s="69"/>
      <c r="K479" s="64"/>
      <c r="L479" s="69"/>
      <c r="M479" s="65"/>
      <c r="N479" s="69"/>
      <c r="O479" s="64"/>
      <c r="P479" s="69"/>
      <c r="Q479" s="64"/>
      <c r="R479" s="69"/>
      <c r="S479" s="64"/>
      <c r="T479" s="69"/>
      <c r="U479" s="64"/>
      <c r="V479" s="69"/>
      <c r="W479" s="65"/>
      <c r="X479" s="69"/>
      <c r="Y479" s="64"/>
      <c r="Z479" s="69"/>
      <c r="AA479" s="64"/>
      <c r="AB479" s="69"/>
      <c r="AC479" s="64"/>
      <c r="AD479" s="69"/>
      <c r="AE479" s="65"/>
      <c r="AF479" s="69"/>
      <c r="AG479" s="65"/>
      <c r="AH479" s="69"/>
      <c r="AI479" s="64"/>
      <c r="AJ479" s="69"/>
      <c r="AK479" s="64"/>
      <c r="AL479" s="69"/>
      <c r="AM479" s="64"/>
      <c r="AN479" s="69"/>
      <c r="AO479" s="64"/>
      <c r="AP479" s="69"/>
      <c r="AQ479" s="64"/>
      <c r="AR479" s="69"/>
      <c r="AS479" s="64"/>
      <c r="AT479" s="69"/>
      <c r="AU479" s="64"/>
      <c r="AV479" s="69"/>
      <c r="AW479" s="64"/>
      <c r="AX479" s="69"/>
      <c r="AY479" s="64"/>
      <c r="AZ479" s="69"/>
      <c r="BA479" s="64"/>
      <c r="BB479" s="69"/>
      <c r="BC479" s="64"/>
      <c r="BD479" s="69"/>
      <c r="BE479" s="64"/>
      <c r="BF479" s="69"/>
      <c r="BG479" s="64"/>
      <c r="BH479" s="69"/>
      <c r="BI479" s="64"/>
      <c r="BJ479" s="69"/>
      <c r="BK479" s="64"/>
      <c r="BL479" s="69"/>
      <c r="BM479" s="64"/>
      <c r="BN479" s="69"/>
      <c r="BO479" s="64"/>
      <c r="BP479" s="69"/>
      <c r="BQ479" s="64"/>
      <c r="BR479" s="69"/>
      <c r="BS479" s="64"/>
      <c r="BT479" s="69"/>
      <c r="BU479" t="b">
        <f t="shared" si="7"/>
        <v>0</v>
      </c>
    </row>
    <row r="480" spans="1:73" x14ac:dyDescent="0.25">
      <c r="A480" s="28"/>
      <c r="B480" s="29"/>
      <c r="C480" s="29"/>
      <c r="D480" s="30"/>
      <c r="E480" s="29"/>
      <c r="F480" s="30"/>
      <c r="G480" s="29"/>
      <c r="H480" s="69"/>
      <c r="I480" s="64"/>
      <c r="J480" s="69"/>
      <c r="K480" s="64"/>
      <c r="L480" s="69"/>
      <c r="M480" s="65"/>
      <c r="N480" s="69"/>
      <c r="O480" s="64"/>
      <c r="P480" s="69"/>
      <c r="Q480" s="64"/>
      <c r="R480" s="69"/>
      <c r="S480" s="64"/>
      <c r="T480" s="69"/>
      <c r="U480" s="64"/>
      <c r="V480" s="69"/>
      <c r="W480" s="65"/>
      <c r="X480" s="69"/>
      <c r="Y480" s="64"/>
      <c r="Z480" s="69"/>
      <c r="AA480" s="64"/>
      <c r="AB480" s="69"/>
      <c r="AC480" s="64"/>
      <c r="AD480" s="69"/>
      <c r="AE480" s="65"/>
      <c r="AF480" s="69"/>
      <c r="AG480" s="65"/>
      <c r="AH480" s="69"/>
      <c r="AI480" s="64"/>
      <c r="AJ480" s="69"/>
      <c r="AK480" s="64"/>
      <c r="AL480" s="69"/>
      <c r="AM480" s="64"/>
      <c r="AN480" s="69"/>
      <c r="AO480" s="64"/>
      <c r="AP480" s="69"/>
      <c r="AQ480" s="64"/>
      <c r="AR480" s="69"/>
      <c r="AS480" s="64"/>
      <c r="AT480" s="69"/>
      <c r="AU480" s="64"/>
      <c r="AV480" s="69"/>
      <c r="AW480" s="64"/>
      <c r="AX480" s="69"/>
      <c r="AY480" s="64"/>
      <c r="AZ480" s="69"/>
      <c r="BA480" s="64"/>
      <c r="BB480" s="69"/>
      <c r="BC480" s="64"/>
      <c r="BD480" s="69"/>
      <c r="BE480" s="64"/>
      <c r="BF480" s="69"/>
      <c r="BG480" s="64"/>
      <c r="BH480" s="69"/>
      <c r="BI480" s="64"/>
      <c r="BJ480" s="69"/>
      <c r="BK480" s="64"/>
      <c r="BL480" s="69"/>
      <c r="BM480" s="64"/>
      <c r="BN480" s="69"/>
      <c r="BO480" s="64"/>
      <c r="BP480" s="69"/>
      <c r="BQ480" s="64"/>
      <c r="BR480" s="69"/>
      <c r="BS480" s="64"/>
      <c r="BT480" s="69"/>
      <c r="BU480" t="b">
        <f t="shared" si="7"/>
        <v>0</v>
      </c>
    </row>
    <row r="481" spans="1:73" x14ac:dyDescent="0.25">
      <c r="A481" s="28"/>
      <c r="B481" s="29"/>
      <c r="C481" s="29"/>
      <c r="D481" s="30"/>
      <c r="E481" s="29"/>
      <c r="F481" s="30"/>
      <c r="G481" s="29"/>
      <c r="H481" s="69"/>
      <c r="I481" s="64"/>
      <c r="J481" s="69"/>
      <c r="K481" s="64"/>
      <c r="L481" s="69"/>
      <c r="M481" s="65"/>
      <c r="N481" s="69"/>
      <c r="O481" s="64"/>
      <c r="P481" s="69"/>
      <c r="Q481" s="64"/>
      <c r="R481" s="69"/>
      <c r="S481" s="64"/>
      <c r="T481" s="69"/>
      <c r="U481" s="64"/>
      <c r="V481" s="69"/>
      <c r="W481" s="65"/>
      <c r="X481" s="69"/>
      <c r="Y481" s="64"/>
      <c r="Z481" s="69"/>
      <c r="AA481" s="64"/>
      <c r="AB481" s="69"/>
      <c r="AC481" s="64"/>
      <c r="AD481" s="69"/>
      <c r="AE481" s="65"/>
      <c r="AF481" s="69"/>
      <c r="AG481" s="65"/>
      <c r="AH481" s="69"/>
      <c r="AI481" s="64"/>
      <c r="AJ481" s="69"/>
      <c r="AK481" s="64"/>
      <c r="AL481" s="69"/>
      <c r="AM481" s="64"/>
      <c r="AN481" s="69"/>
      <c r="AO481" s="64"/>
      <c r="AP481" s="69"/>
      <c r="AQ481" s="64"/>
      <c r="AR481" s="69"/>
      <c r="AS481" s="64"/>
      <c r="AT481" s="69"/>
      <c r="AU481" s="64"/>
      <c r="AV481" s="69"/>
      <c r="AW481" s="64"/>
      <c r="AX481" s="69"/>
      <c r="AY481" s="64"/>
      <c r="AZ481" s="69"/>
      <c r="BA481" s="64"/>
      <c r="BB481" s="69"/>
      <c r="BC481" s="64"/>
      <c r="BD481" s="69"/>
      <c r="BE481" s="64"/>
      <c r="BF481" s="69"/>
      <c r="BG481" s="64"/>
      <c r="BH481" s="69"/>
      <c r="BI481" s="64"/>
      <c r="BJ481" s="69"/>
      <c r="BK481" s="64"/>
      <c r="BL481" s="69"/>
      <c r="BM481" s="64"/>
      <c r="BN481" s="69"/>
      <c r="BO481" s="64"/>
      <c r="BP481" s="69"/>
      <c r="BQ481" s="64"/>
      <c r="BR481" s="69"/>
      <c r="BS481" s="64"/>
      <c r="BT481" s="69"/>
      <c r="BU481" t="b">
        <f t="shared" si="7"/>
        <v>0</v>
      </c>
    </row>
    <row r="482" spans="1:73" x14ac:dyDescent="0.25">
      <c r="A482" s="28"/>
      <c r="B482" s="29"/>
      <c r="C482" s="29"/>
      <c r="D482" s="30"/>
      <c r="E482" s="29"/>
      <c r="F482" s="30"/>
      <c r="G482" s="29"/>
      <c r="H482" s="69"/>
      <c r="I482" s="64"/>
      <c r="J482" s="69"/>
      <c r="K482" s="64"/>
      <c r="L482" s="69"/>
      <c r="M482" s="65"/>
      <c r="N482" s="69"/>
      <c r="O482" s="64"/>
      <c r="P482" s="69"/>
      <c r="Q482" s="64"/>
      <c r="R482" s="69"/>
      <c r="S482" s="64"/>
      <c r="T482" s="69"/>
      <c r="U482" s="64"/>
      <c r="V482" s="69"/>
      <c r="W482" s="65"/>
      <c r="X482" s="69"/>
      <c r="Y482" s="64"/>
      <c r="Z482" s="69"/>
      <c r="AA482" s="64"/>
      <c r="AB482" s="69"/>
      <c r="AC482" s="64"/>
      <c r="AD482" s="69"/>
      <c r="AE482" s="65"/>
      <c r="AF482" s="69"/>
      <c r="AG482" s="65"/>
      <c r="AH482" s="69"/>
      <c r="AI482" s="64"/>
      <c r="AJ482" s="69"/>
      <c r="AK482" s="64"/>
      <c r="AL482" s="69"/>
      <c r="AM482" s="64"/>
      <c r="AN482" s="69"/>
      <c r="AO482" s="64"/>
      <c r="AP482" s="69"/>
      <c r="AQ482" s="64"/>
      <c r="AR482" s="69"/>
      <c r="AS482" s="64"/>
      <c r="AT482" s="69"/>
      <c r="AU482" s="64"/>
      <c r="AV482" s="69"/>
      <c r="AW482" s="64"/>
      <c r="AX482" s="69"/>
      <c r="AY482" s="64"/>
      <c r="AZ482" s="69"/>
      <c r="BA482" s="64"/>
      <c r="BB482" s="69"/>
      <c r="BC482" s="64"/>
      <c r="BD482" s="69"/>
      <c r="BE482" s="64"/>
      <c r="BF482" s="69"/>
      <c r="BG482" s="64"/>
      <c r="BH482" s="69"/>
      <c r="BI482" s="64"/>
      <c r="BJ482" s="69"/>
      <c r="BK482" s="64"/>
      <c r="BL482" s="69"/>
      <c r="BM482" s="64"/>
      <c r="BN482" s="69"/>
      <c r="BO482" s="64"/>
      <c r="BP482" s="69"/>
      <c r="BQ482" s="64"/>
      <c r="BR482" s="69"/>
      <c r="BS482" s="64"/>
      <c r="BT482" s="69"/>
      <c r="BU482" t="b">
        <f t="shared" si="7"/>
        <v>0</v>
      </c>
    </row>
    <row r="483" spans="1:73" x14ac:dyDescent="0.25">
      <c r="A483" s="28"/>
      <c r="B483" s="29"/>
      <c r="C483" s="29"/>
      <c r="D483" s="30"/>
      <c r="E483" s="29"/>
      <c r="F483" s="30"/>
      <c r="G483" s="29"/>
      <c r="H483" s="69"/>
      <c r="I483" s="64"/>
      <c r="J483" s="69"/>
      <c r="K483" s="64"/>
      <c r="L483" s="69"/>
      <c r="M483" s="65"/>
      <c r="N483" s="69"/>
      <c r="O483" s="64"/>
      <c r="P483" s="69"/>
      <c r="Q483" s="64"/>
      <c r="R483" s="69"/>
      <c r="S483" s="64"/>
      <c r="T483" s="69"/>
      <c r="U483" s="64"/>
      <c r="V483" s="69"/>
      <c r="W483" s="65"/>
      <c r="X483" s="69"/>
      <c r="Y483" s="64"/>
      <c r="Z483" s="69"/>
      <c r="AA483" s="64"/>
      <c r="AB483" s="69"/>
      <c r="AC483" s="64"/>
      <c r="AD483" s="69"/>
      <c r="AE483" s="65"/>
      <c r="AF483" s="69"/>
      <c r="AG483" s="65"/>
      <c r="AH483" s="69"/>
      <c r="AI483" s="64"/>
      <c r="AJ483" s="69"/>
      <c r="AK483" s="64"/>
      <c r="AL483" s="69"/>
      <c r="AM483" s="64"/>
      <c r="AN483" s="69"/>
      <c r="AO483" s="64"/>
      <c r="AP483" s="69"/>
      <c r="AQ483" s="64"/>
      <c r="AR483" s="69"/>
      <c r="AS483" s="64"/>
      <c r="AT483" s="69"/>
      <c r="AU483" s="64"/>
      <c r="AV483" s="69"/>
      <c r="AW483" s="64"/>
      <c r="AX483" s="69"/>
      <c r="AY483" s="64"/>
      <c r="AZ483" s="69"/>
      <c r="BA483" s="64"/>
      <c r="BB483" s="69"/>
      <c r="BC483" s="64"/>
      <c r="BD483" s="69"/>
      <c r="BE483" s="64"/>
      <c r="BF483" s="69"/>
      <c r="BG483" s="64"/>
      <c r="BH483" s="69"/>
      <c r="BI483" s="64"/>
      <c r="BJ483" s="69"/>
      <c r="BK483" s="64"/>
      <c r="BL483" s="69"/>
      <c r="BM483" s="64"/>
      <c r="BN483" s="69"/>
      <c r="BO483" s="64"/>
      <c r="BP483" s="69"/>
      <c r="BQ483" s="64"/>
      <c r="BR483" s="69"/>
      <c r="BS483" s="64"/>
      <c r="BT483" s="69"/>
      <c r="BU483" t="b">
        <f t="shared" si="7"/>
        <v>0</v>
      </c>
    </row>
    <row r="484" spans="1:73" x14ac:dyDescent="0.25">
      <c r="A484" s="28"/>
      <c r="B484" s="29"/>
      <c r="C484" s="29"/>
      <c r="D484" s="30"/>
      <c r="E484" s="29"/>
      <c r="F484" s="30"/>
      <c r="G484" s="29"/>
      <c r="H484" s="69"/>
      <c r="I484" s="64"/>
      <c r="J484" s="69"/>
      <c r="K484" s="64"/>
      <c r="L484" s="69"/>
      <c r="M484" s="65"/>
      <c r="N484" s="69"/>
      <c r="O484" s="64"/>
      <c r="P484" s="69"/>
      <c r="Q484" s="64"/>
      <c r="R484" s="69"/>
      <c r="S484" s="64"/>
      <c r="T484" s="69"/>
      <c r="U484" s="64"/>
      <c r="V484" s="69"/>
      <c r="W484" s="65"/>
      <c r="X484" s="69"/>
      <c r="Y484" s="64"/>
      <c r="Z484" s="69"/>
      <c r="AA484" s="64"/>
      <c r="AB484" s="69"/>
      <c r="AC484" s="64"/>
      <c r="AD484" s="69"/>
      <c r="AE484" s="65"/>
      <c r="AF484" s="69"/>
      <c r="AG484" s="65"/>
      <c r="AH484" s="69"/>
      <c r="AI484" s="64"/>
      <c r="AJ484" s="69"/>
      <c r="AK484" s="64"/>
      <c r="AL484" s="69"/>
      <c r="AM484" s="64"/>
      <c r="AN484" s="69"/>
      <c r="AO484" s="64"/>
      <c r="AP484" s="69"/>
      <c r="AQ484" s="64"/>
      <c r="AR484" s="69"/>
      <c r="AS484" s="64"/>
      <c r="AT484" s="69"/>
      <c r="AU484" s="64"/>
      <c r="AV484" s="69"/>
      <c r="AW484" s="64"/>
      <c r="AX484" s="69"/>
      <c r="AY484" s="64"/>
      <c r="AZ484" s="69"/>
      <c r="BA484" s="64"/>
      <c r="BB484" s="69"/>
      <c r="BC484" s="64"/>
      <c r="BD484" s="69"/>
      <c r="BE484" s="64"/>
      <c r="BF484" s="69"/>
      <c r="BG484" s="64"/>
      <c r="BH484" s="69"/>
      <c r="BI484" s="64"/>
      <c r="BJ484" s="69"/>
      <c r="BK484" s="64"/>
      <c r="BL484" s="69"/>
      <c r="BM484" s="64"/>
      <c r="BN484" s="69"/>
      <c r="BO484" s="64"/>
      <c r="BP484" s="69"/>
      <c r="BQ484" s="64"/>
      <c r="BR484" s="69"/>
      <c r="BS484" s="64"/>
      <c r="BT484" s="69"/>
      <c r="BU484" t="b">
        <f t="shared" si="7"/>
        <v>0</v>
      </c>
    </row>
    <row r="485" spans="1:73" x14ac:dyDescent="0.25">
      <c r="A485" s="28"/>
      <c r="B485" s="29"/>
      <c r="C485" s="29"/>
      <c r="D485" s="30"/>
      <c r="E485" s="29"/>
      <c r="F485" s="30"/>
      <c r="G485" s="29"/>
      <c r="H485" s="69"/>
      <c r="I485" s="64"/>
      <c r="J485" s="69"/>
      <c r="K485" s="64"/>
      <c r="L485" s="69"/>
      <c r="M485" s="65"/>
      <c r="N485" s="69"/>
      <c r="O485" s="64"/>
      <c r="P485" s="69"/>
      <c r="Q485" s="64"/>
      <c r="R485" s="69"/>
      <c r="S485" s="64"/>
      <c r="T485" s="69"/>
      <c r="U485" s="64"/>
      <c r="V485" s="69"/>
      <c r="W485" s="65"/>
      <c r="X485" s="69"/>
      <c r="Y485" s="64"/>
      <c r="Z485" s="69"/>
      <c r="AA485" s="64"/>
      <c r="AB485" s="69"/>
      <c r="AC485" s="64"/>
      <c r="AD485" s="69"/>
      <c r="AE485" s="65"/>
      <c r="AF485" s="69"/>
      <c r="AG485" s="65"/>
      <c r="AH485" s="69"/>
      <c r="AI485" s="64"/>
      <c r="AJ485" s="69"/>
      <c r="AK485" s="64"/>
      <c r="AL485" s="69"/>
      <c r="AM485" s="64"/>
      <c r="AN485" s="69"/>
      <c r="AO485" s="64"/>
      <c r="AP485" s="69"/>
      <c r="AQ485" s="64"/>
      <c r="AR485" s="69"/>
      <c r="AS485" s="64"/>
      <c r="AT485" s="69"/>
      <c r="AU485" s="64"/>
      <c r="AV485" s="69"/>
      <c r="AW485" s="64"/>
      <c r="AX485" s="69"/>
      <c r="AY485" s="64"/>
      <c r="AZ485" s="69"/>
      <c r="BA485" s="64"/>
      <c r="BB485" s="69"/>
      <c r="BC485" s="64"/>
      <c r="BD485" s="69"/>
      <c r="BE485" s="64"/>
      <c r="BF485" s="69"/>
      <c r="BG485" s="64"/>
      <c r="BH485" s="69"/>
      <c r="BI485" s="64"/>
      <c r="BJ485" s="69"/>
      <c r="BK485" s="64"/>
      <c r="BL485" s="69"/>
      <c r="BM485" s="64"/>
      <c r="BN485" s="69"/>
      <c r="BO485" s="64"/>
      <c r="BP485" s="69"/>
      <c r="BQ485" s="64"/>
      <c r="BR485" s="69"/>
      <c r="BS485" s="64"/>
      <c r="BT485" s="69"/>
      <c r="BU485" t="b">
        <f t="shared" ref="BU485:BU548" si="8">NOT(AND(BR485="",BP485="",BN485="",BL485="",BJ485="",BH485="",BF485="",BD485="",BB485="",AZ485="",AX485="",AV485="",AT485="",AR485="",AP485="",AN485="",AL485="",AJ485="",AH485="",AF485="",AD485="",AB485="",Z485="",X485="",V485="",T485="",R485="",P485="",N485="", L485="",J485=""))</f>
        <v>0</v>
      </c>
    </row>
    <row r="486" spans="1:73" x14ac:dyDescent="0.25">
      <c r="A486" s="28"/>
      <c r="B486" s="29"/>
      <c r="C486" s="29"/>
      <c r="D486" s="30"/>
      <c r="E486" s="29"/>
      <c r="F486" s="30"/>
      <c r="G486" s="29"/>
      <c r="H486" s="69"/>
      <c r="I486" s="64"/>
      <c r="J486" s="69"/>
      <c r="K486" s="64"/>
      <c r="L486" s="69"/>
      <c r="M486" s="65"/>
      <c r="N486" s="69"/>
      <c r="O486" s="64"/>
      <c r="P486" s="69"/>
      <c r="Q486" s="64"/>
      <c r="R486" s="69"/>
      <c r="S486" s="64"/>
      <c r="T486" s="69"/>
      <c r="U486" s="64"/>
      <c r="V486" s="69"/>
      <c r="W486" s="65"/>
      <c r="X486" s="69"/>
      <c r="Y486" s="64"/>
      <c r="Z486" s="69"/>
      <c r="AA486" s="64"/>
      <c r="AB486" s="69"/>
      <c r="AC486" s="64"/>
      <c r="AD486" s="69"/>
      <c r="AE486" s="65"/>
      <c r="AF486" s="69"/>
      <c r="AG486" s="65"/>
      <c r="AH486" s="69"/>
      <c r="AI486" s="64"/>
      <c r="AJ486" s="69"/>
      <c r="AK486" s="64"/>
      <c r="AL486" s="69"/>
      <c r="AM486" s="64"/>
      <c r="AN486" s="69"/>
      <c r="AO486" s="64"/>
      <c r="AP486" s="69"/>
      <c r="AQ486" s="64"/>
      <c r="AR486" s="69"/>
      <c r="AS486" s="64"/>
      <c r="AT486" s="69"/>
      <c r="AU486" s="64"/>
      <c r="AV486" s="69"/>
      <c r="AW486" s="64"/>
      <c r="AX486" s="69"/>
      <c r="AY486" s="64"/>
      <c r="AZ486" s="69"/>
      <c r="BA486" s="64"/>
      <c r="BB486" s="69"/>
      <c r="BC486" s="64"/>
      <c r="BD486" s="69"/>
      <c r="BE486" s="64"/>
      <c r="BF486" s="69"/>
      <c r="BG486" s="64"/>
      <c r="BH486" s="69"/>
      <c r="BI486" s="64"/>
      <c r="BJ486" s="69"/>
      <c r="BK486" s="64"/>
      <c r="BL486" s="69"/>
      <c r="BM486" s="64"/>
      <c r="BN486" s="69"/>
      <c r="BO486" s="64"/>
      <c r="BP486" s="69"/>
      <c r="BQ486" s="64"/>
      <c r="BR486" s="69"/>
      <c r="BS486" s="64"/>
      <c r="BT486" s="69"/>
      <c r="BU486" t="b">
        <f t="shared" si="8"/>
        <v>0</v>
      </c>
    </row>
    <row r="487" spans="1:73" x14ac:dyDescent="0.25">
      <c r="A487" s="28"/>
      <c r="B487" s="29"/>
      <c r="C487" s="29"/>
      <c r="D487" s="30"/>
      <c r="E487" s="29"/>
      <c r="F487" s="30"/>
      <c r="G487" s="29"/>
      <c r="H487" s="69"/>
      <c r="I487" s="64"/>
      <c r="J487" s="69"/>
      <c r="K487" s="64"/>
      <c r="L487" s="69"/>
      <c r="M487" s="65"/>
      <c r="N487" s="69"/>
      <c r="O487" s="64"/>
      <c r="P487" s="69"/>
      <c r="Q487" s="64"/>
      <c r="R487" s="69"/>
      <c r="S487" s="64"/>
      <c r="T487" s="69"/>
      <c r="U487" s="64"/>
      <c r="V487" s="69"/>
      <c r="W487" s="65"/>
      <c r="X487" s="69"/>
      <c r="Y487" s="64"/>
      <c r="Z487" s="69"/>
      <c r="AA487" s="64"/>
      <c r="AB487" s="69"/>
      <c r="AC487" s="64"/>
      <c r="AD487" s="69"/>
      <c r="AE487" s="65"/>
      <c r="AF487" s="69"/>
      <c r="AG487" s="65"/>
      <c r="AH487" s="69"/>
      <c r="AI487" s="64"/>
      <c r="AJ487" s="69"/>
      <c r="AK487" s="64"/>
      <c r="AL487" s="69"/>
      <c r="AM487" s="64"/>
      <c r="AN487" s="69"/>
      <c r="AO487" s="64"/>
      <c r="AP487" s="69"/>
      <c r="AQ487" s="64"/>
      <c r="AR487" s="69"/>
      <c r="AS487" s="64"/>
      <c r="AT487" s="69"/>
      <c r="AU487" s="64"/>
      <c r="AV487" s="69"/>
      <c r="AW487" s="64"/>
      <c r="AX487" s="69"/>
      <c r="AY487" s="64"/>
      <c r="AZ487" s="69"/>
      <c r="BA487" s="64"/>
      <c r="BB487" s="69"/>
      <c r="BC487" s="64"/>
      <c r="BD487" s="69"/>
      <c r="BE487" s="64"/>
      <c r="BF487" s="69"/>
      <c r="BG487" s="64"/>
      <c r="BH487" s="69"/>
      <c r="BI487" s="64"/>
      <c r="BJ487" s="69"/>
      <c r="BK487" s="64"/>
      <c r="BL487" s="69"/>
      <c r="BM487" s="64"/>
      <c r="BN487" s="69"/>
      <c r="BO487" s="64"/>
      <c r="BP487" s="69"/>
      <c r="BQ487" s="64"/>
      <c r="BR487" s="69"/>
      <c r="BS487" s="64"/>
      <c r="BT487" s="69"/>
      <c r="BU487" t="b">
        <f t="shared" si="8"/>
        <v>0</v>
      </c>
    </row>
    <row r="488" spans="1:73" x14ac:dyDescent="0.25">
      <c r="A488" s="28"/>
      <c r="B488" s="29"/>
      <c r="C488" s="29"/>
      <c r="D488" s="30"/>
      <c r="E488" s="29"/>
      <c r="F488" s="30"/>
      <c r="G488" s="29"/>
      <c r="H488" s="69"/>
      <c r="I488" s="64"/>
      <c r="J488" s="69"/>
      <c r="K488" s="64"/>
      <c r="L488" s="69"/>
      <c r="M488" s="65"/>
      <c r="N488" s="69"/>
      <c r="O488" s="64"/>
      <c r="P488" s="69"/>
      <c r="Q488" s="64"/>
      <c r="R488" s="69"/>
      <c r="S488" s="64"/>
      <c r="T488" s="69"/>
      <c r="U488" s="64"/>
      <c r="V488" s="69"/>
      <c r="W488" s="65"/>
      <c r="X488" s="69"/>
      <c r="Y488" s="64"/>
      <c r="Z488" s="69"/>
      <c r="AA488" s="64"/>
      <c r="AB488" s="69"/>
      <c r="AC488" s="64"/>
      <c r="AD488" s="69"/>
      <c r="AE488" s="65"/>
      <c r="AF488" s="69"/>
      <c r="AG488" s="65"/>
      <c r="AH488" s="69"/>
      <c r="AI488" s="64"/>
      <c r="AJ488" s="69"/>
      <c r="AK488" s="64"/>
      <c r="AL488" s="69"/>
      <c r="AM488" s="64"/>
      <c r="AN488" s="69"/>
      <c r="AO488" s="64"/>
      <c r="AP488" s="69"/>
      <c r="AQ488" s="64"/>
      <c r="AR488" s="69"/>
      <c r="AS488" s="64"/>
      <c r="AT488" s="69"/>
      <c r="AU488" s="64"/>
      <c r="AV488" s="69"/>
      <c r="AW488" s="64"/>
      <c r="AX488" s="69"/>
      <c r="AY488" s="64"/>
      <c r="AZ488" s="69"/>
      <c r="BA488" s="64"/>
      <c r="BB488" s="69"/>
      <c r="BC488" s="64"/>
      <c r="BD488" s="69"/>
      <c r="BE488" s="64"/>
      <c r="BF488" s="69"/>
      <c r="BG488" s="64"/>
      <c r="BH488" s="69"/>
      <c r="BI488" s="64"/>
      <c r="BJ488" s="69"/>
      <c r="BK488" s="64"/>
      <c r="BL488" s="69"/>
      <c r="BM488" s="64"/>
      <c r="BN488" s="69"/>
      <c r="BO488" s="64"/>
      <c r="BP488" s="69"/>
      <c r="BQ488" s="64"/>
      <c r="BR488" s="69"/>
      <c r="BS488" s="64"/>
      <c r="BT488" s="69"/>
      <c r="BU488" t="b">
        <f t="shared" si="8"/>
        <v>0</v>
      </c>
    </row>
    <row r="489" spans="1:73" x14ac:dyDescent="0.25">
      <c r="A489" s="28"/>
      <c r="B489" s="29"/>
      <c r="C489" s="29"/>
      <c r="D489" s="30"/>
      <c r="E489" s="29"/>
      <c r="F489" s="30"/>
      <c r="G489" s="29"/>
      <c r="H489" s="69"/>
      <c r="I489" s="64"/>
      <c r="J489" s="69"/>
      <c r="K489" s="64"/>
      <c r="L489" s="69"/>
      <c r="M489" s="65"/>
      <c r="N489" s="69"/>
      <c r="O489" s="64"/>
      <c r="P489" s="69"/>
      <c r="Q489" s="64"/>
      <c r="R489" s="69"/>
      <c r="S489" s="64"/>
      <c r="T489" s="69"/>
      <c r="U489" s="64"/>
      <c r="V489" s="69"/>
      <c r="W489" s="65"/>
      <c r="X489" s="69"/>
      <c r="Y489" s="64"/>
      <c r="Z489" s="69"/>
      <c r="AA489" s="64"/>
      <c r="AB489" s="69"/>
      <c r="AC489" s="64"/>
      <c r="AD489" s="69"/>
      <c r="AE489" s="65"/>
      <c r="AF489" s="69"/>
      <c r="AG489" s="65"/>
      <c r="AH489" s="69"/>
      <c r="AI489" s="64"/>
      <c r="AJ489" s="69"/>
      <c r="AK489" s="64"/>
      <c r="AL489" s="69"/>
      <c r="AM489" s="64"/>
      <c r="AN489" s="69"/>
      <c r="AO489" s="64"/>
      <c r="AP489" s="69"/>
      <c r="AQ489" s="64"/>
      <c r="AR489" s="69"/>
      <c r="AS489" s="64"/>
      <c r="AT489" s="69"/>
      <c r="AU489" s="64"/>
      <c r="AV489" s="69"/>
      <c r="AW489" s="64"/>
      <c r="AX489" s="69"/>
      <c r="AY489" s="64"/>
      <c r="AZ489" s="69"/>
      <c r="BA489" s="64"/>
      <c r="BB489" s="69"/>
      <c r="BC489" s="64"/>
      <c r="BD489" s="69"/>
      <c r="BE489" s="64"/>
      <c r="BF489" s="69"/>
      <c r="BG489" s="64"/>
      <c r="BH489" s="69"/>
      <c r="BI489" s="64"/>
      <c r="BJ489" s="69"/>
      <c r="BK489" s="64"/>
      <c r="BL489" s="69"/>
      <c r="BM489" s="64"/>
      <c r="BN489" s="69"/>
      <c r="BO489" s="64"/>
      <c r="BP489" s="69"/>
      <c r="BQ489" s="64"/>
      <c r="BR489" s="69"/>
      <c r="BS489" s="64"/>
      <c r="BT489" s="69"/>
      <c r="BU489" t="b">
        <f t="shared" si="8"/>
        <v>0</v>
      </c>
    </row>
    <row r="490" spans="1:73" x14ac:dyDescent="0.25">
      <c r="A490" s="28"/>
      <c r="B490" s="29"/>
      <c r="C490" s="29"/>
      <c r="D490" s="30"/>
      <c r="E490" s="29"/>
      <c r="F490" s="30"/>
      <c r="G490" s="29"/>
      <c r="H490" s="69"/>
      <c r="I490" s="64"/>
      <c r="J490" s="69"/>
      <c r="K490" s="64"/>
      <c r="L490" s="69"/>
      <c r="M490" s="65"/>
      <c r="N490" s="69"/>
      <c r="O490" s="64"/>
      <c r="P490" s="69"/>
      <c r="Q490" s="64"/>
      <c r="R490" s="69"/>
      <c r="S490" s="64"/>
      <c r="T490" s="69"/>
      <c r="U490" s="64"/>
      <c r="V490" s="69"/>
      <c r="W490" s="65"/>
      <c r="X490" s="69"/>
      <c r="Y490" s="64"/>
      <c r="Z490" s="69"/>
      <c r="AA490" s="64"/>
      <c r="AB490" s="69"/>
      <c r="AC490" s="64"/>
      <c r="AD490" s="69"/>
      <c r="AE490" s="65"/>
      <c r="AF490" s="69"/>
      <c r="AG490" s="65"/>
      <c r="AH490" s="69"/>
      <c r="AI490" s="64"/>
      <c r="AJ490" s="69"/>
      <c r="AK490" s="64"/>
      <c r="AL490" s="69"/>
      <c r="AM490" s="64"/>
      <c r="AN490" s="69"/>
      <c r="AO490" s="64"/>
      <c r="AP490" s="69"/>
      <c r="AQ490" s="64"/>
      <c r="AR490" s="69"/>
      <c r="AS490" s="64"/>
      <c r="AT490" s="69"/>
      <c r="AU490" s="64"/>
      <c r="AV490" s="69"/>
      <c r="AW490" s="64"/>
      <c r="AX490" s="69"/>
      <c r="AY490" s="64"/>
      <c r="AZ490" s="69"/>
      <c r="BA490" s="64"/>
      <c r="BB490" s="69"/>
      <c r="BC490" s="64"/>
      <c r="BD490" s="69"/>
      <c r="BE490" s="64"/>
      <c r="BF490" s="69"/>
      <c r="BG490" s="64"/>
      <c r="BH490" s="69"/>
      <c r="BI490" s="64"/>
      <c r="BJ490" s="69"/>
      <c r="BK490" s="64"/>
      <c r="BL490" s="69"/>
      <c r="BM490" s="64"/>
      <c r="BN490" s="69"/>
      <c r="BO490" s="64"/>
      <c r="BP490" s="69"/>
      <c r="BQ490" s="64"/>
      <c r="BR490" s="69"/>
      <c r="BS490" s="64"/>
      <c r="BT490" s="69"/>
      <c r="BU490" t="b">
        <f t="shared" si="8"/>
        <v>0</v>
      </c>
    </row>
    <row r="491" spans="1:73" x14ac:dyDescent="0.25">
      <c r="A491" s="28"/>
      <c r="B491" s="29"/>
      <c r="C491" s="29"/>
      <c r="D491" s="30"/>
      <c r="E491" s="29"/>
      <c r="F491" s="30"/>
      <c r="G491" s="29"/>
      <c r="H491" s="69"/>
      <c r="I491" s="64"/>
      <c r="J491" s="69"/>
      <c r="K491" s="64"/>
      <c r="L491" s="69"/>
      <c r="M491" s="65"/>
      <c r="N491" s="69"/>
      <c r="O491" s="64"/>
      <c r="P491" s="69"/>
      <c r="Q491" s="64"/>
      <c r="R491" s="69"/>
      <c r="S491" s="64"/>
      <c r="T491" s="69"/>
      <c r="U491" s="64"/>
      <c r="V491" s="69"/>
      <c r="W491" s="65"/>
      <c r="X491" s="69"/>
      <c r="Y491" s="64"/>
      <c r="Z491" s="69"/>
      <c r="AA491" s="64"/>
      <c r="AB491" s="69"/>
      <c r="AC491" s="64"/>
      <c r="AD491" s="69"/>
      <c r="AE491" s="65"/>
      <c r="AF491" s="69"/>
      <c r="AG491" s="65"/>
      <c r="AH491" s="69"/>
      <c r="AI491" s="64"/>
      <c r="AJ491" s="69"/>
      <c r="AK491" s="64"/>
      <c r="AL491" s="69"/>
      <c r="AM491" s="64"/>
      <c r="AN491" s="69"/>
      <c r="AO491" s="64"/>
      <c r="AP491" s="69"/>
      <c r="AQ491" s="64"/>
      <c r="AR491" s="69"/>
      <c r="AS491" s="64"/>
      <c r="AT491" s="69"/>
      <c r="AU491" s="64"/>
      <c r="AV491" s="69"/>
      <c r="AW491" s="64"/>
      <c r="AX491" s="69"/>
      <c r="AY491" s="64"/>
      <c r="AZ491" s="69"/>
      <c r="BA491" s="64"/>
      <c r="BB491" s="69"/>
      <c r="BC491" s="64"/>
      <c r="BD491" s="69"/>
      <c r="BE491" s="64"/>
      <c r="BF491" s="69"/>
      <c r="BG491" s="64"/>
      <c r="BH491" s="69"/>
      <c r="BI491" s="64"/>
      <c r="BJ491" s="69"/>
      <c r="BK491" s="64"/>
      <c r="BL491" s="69"/>
      <c r="BM491" s="64"/>
      <c r="BN491" s="69"/>
      <c r="BO491" s="64"/>
      <c r="BP491" s="69"/>
      <c r="BQ491" s="64"/>
      <c r="BR491" s="69"/>
      <c r="BS491" s="64"/>
      <c r="BT491" s="69"/>
      <c r="BU491" t="b">
        <f t="shared" si="8"/>
        <v>0</v>
      </c>
    </row>
    <row r="492" spans="1:73" x14ac:dyDescent="0.25">
      <c r="A492" s="28"/>
      <c r="B492" s="29"/>
      <c r="C492" s="29"/>
      <c r="D492" s="30"/>
      <c r="E492" s="29"/>
      <c r="F492" s="30"/>
      <c r="G492" s="29"/>
      <c r="H492" s="69"/>
      <c r="I492" s="64"/>
      <c r="J492" s="69"/>
      <c r="K492" s="64"/>
      <c r="L492" s="69"/>
      <c r="M492" s="65"/>
      <c r="N492" s="69"/>
      <c r="O492" s="64"/>
      <c r="P492" s="69"/>
      <c r="Q492" s="64"/>
      <c r="R492" s="69"/>
      <c r="S492" s="64"/>
      <c r="T492" s="69"/>
      <c r="U492" s="64"/>
      <c r="V492" s="69"/>
      <c r="W492" s="65"/>
      <c r="X492" s="69"/>
      <c r="Y492" s="64"/>
      <c r="Z492" s="69"/>
      <c r="AA492" s="64"/>
      <c r="AB492" s="69"/>
      <c r="AC492" s="64"/>
      <c r="AD492" s="69"/>
      <c r="AE492" s="65"/>
      <c r="AF492" s="69"/>
      <c r="AG492" s="65"/>
      <c r="AH492" s="69"/>
      <c r="AI492" s="64"/>
      <c r="AJ492" s="69"/>
      <c r="AK492" s="64"/>
      <c r="AL492" s="69"/>
      <c r="AM492" s="64"/>
      <c r="AN492" s="69"/>
      <c r="AO492" s="64"/>
      <c r="AP492" s="69"/>
      <c r="AQ492" s="64"/>
      <c r="AR492" s="69"/>
      <c r="AS492" s="64"/>
      <c r="AT492" s="69"/>
      <c r="AU492" s="64"/>
      <c r="AV492" s="69"/>
      <c r="AW492" s="64"/>
      <c r="AX492" s="69"/>
      <c r="AY492" s="64"/>
      <c r="AZ492" s="69"/>
      <c r="BA492" s="64"/>
      <c r="BB492" s="69"/>
      <c r="BC492" s="64"/>
      <c r="BD492" s="69"/>
      <c r="BE492" s="64"/>
      <c r="BF492" s="69"/>
      <c r="BG492" s="64"/>
      <c r="BH492" s="69"/>
      <c r="BI492" s="64"/>
      <c r="BJ492" s="69"/>
      <c r="BK492" s="64"/>
      <c r="BL492" s="69"/>
      <c r="BM492" s="64"/>
      <c r="BN492" s="69"/>
      <c r="BO492" s="64"/>
      <c r="BP492" s="69"/>
      <c r="BQ492" s="64"/>
      <c r="BR492" s="69"/>
      <c r="BS492" s="64"/>
      <c r="BT492" s="69"/>
      <c r="BU492" t="b">
        <f t="shared" si="8"/>
        <v>0</v>
      </c>
    </row>
    <row r="493" spans="1:73" x14ac:dyDescent="0.25">
      <c r="A493" s="28"/>
      <c r="B493" s="29"/>
      <c r="C493" s="29"/>
      <c r="D493" s="30"/>
      <c r="E493" s="29"/>
      <c r="F493" s="30"/>
      <c r="G493" s="29"/>
      <c r="H493" s="69"/>
      <c r="I493" s="64"/>
      <c r="J493" s="69"/>
      <c r="K493" s="64"/>
      <c r="L493" s="69"/>
      <c r="M493" s="65"/>
      <c r="N493" s="69"/>
      <c r="O493" s="64"/>
      <c r="P493" s="69"/>
      <c r="Q493" s="64"/>
      <c r="R493" s="69"/>
      <c r="S493" s="64"/>
      <c r="T493" s="69"/>
      <c r="U493" s="64"/>
      <c r="V493" s="69"/>
      <c r="W493" s="65"/>
      <c r="X493" s="69"/>
      <c r="Y493" s="64"/>
      <c r="Z493" s="69"/>
      <c r="AA493" s="64"/>
      <c r="AB493" s="69"/>
      <c r="AC493" s="64"/>
      <c r="AD493" s="69"/>
      <c r="AE493" s="65"/>
      <c r="AF493" s="69"/>
      <c r="AG493" s="65"/>
      <c r="AH493" s="69"/>
      <c r="AI493" s="64"/>
      <c r="AJ493" s="69"/>
      <c r="AK493" s="64"/>
      <c r="AL493" s="69"/>
      <c r="AM493" s="64"/>
      <c r="AN493" s="69"/>
      <c r="AO493" s="64"/>
      <c r="AP493" s="69"/>
      <c r="AQ493" s="64"/>
      <c r="AR493" s="69"/>
      <c r="AS493" s="64"/>
      <c r="AT493" s="69"/>
      <c r="AU493" s="64"/>
      <c r="AV493" s="69"/>
      <c r="AW493" s="64"/>
      <c r="AX493" s="69"/>
      <c r="AY493" s="64"/>
      <c r="AZ493" s="69"/>
      <c r="BA493" s="64"/>
      <c r="BB493" s="69"/>
      <c r="BC493" s="64"/>
      <c r="BD493" s="69"/>
      <c r="BE493" s="64"/>
      <c r="BF493" s="69"/>
      <c r="BG493" s="64"/>
      <c r="BH493" s="69"/>
      <c r="BI493" s="64"/>
      <c r="BJ493" s="69"/>
      <c r="BK493" s="64"/>
      <c r="BL493" s="69"/>
      <c r="BM493" s="64"/>
      <c r="BN493" s="69"/>
      <c r="BO493" s="64"/>
      <c r="BP493" s="69"/>
      <c r="BQ493" s="64"/>
      <c r="BR493" s="69"/>
      <c r="BS493" s="64"/>
      <c r="BT493" s="69"/>
      <c r="BU493" t="b">
        <f t="shared" si="8"/>
        <v>0</v>
      </c>
    </row>
    <row r="494" spans="1:73" x14ac:dyDescent="0.25">
      <c r="A494" s="28"/>
      <c r="B494" s="29"/>
      <c r="C494" s="29"/>
      <c r="D494" s="30"/>
      <c r="E494" s="29"/>
      <c r="F494" s="30"/>
      <c r="G494" s="29"/>
      <c r="H494" s="69"/>
      <c r="I494" s="64"/>
      <c r="J494" s="69"/>
      <c r="K494" s="64"/>
      <c r="L494" s="69"/>
      <c r="M494" s="65"/>
      <c r="N494" s="69"/>
      <c r="O494" s="64"/>
      <c r="P494" s="69"/>
      <c r="Q494" s="64"/>
      <c r="R494" s="69"/>
      <c r="S494" s="64"/>
      <c r="T494" s="69"/>
      <c r="U494" s="64"/>
      <c r="V494" s="69"/>
      <c r="W494" s="65"/>
      <c r="X494" s="69"/>
      <c r="Y494" s="64"/>
      <c r="Z494" s="69"/>
      <c r="AA494" s="64"/>
      <c r="AB494" s="69"/>
      <c r="AC494" s="64"/>
      <c r="AD494" s="69"/>
      <c r="AE494" s="65"/>
      <c r="AF494" s="69"/>
      <c r="AG494" s="65"/>
      <c r="AH494" s="69"/>
      <c r="AI494" s="64"/>
      <c r="AJ494" s="69"/>
      <c r="AK494" s="64"/>
      <c r="AL494" s="69"/>
      <c r="AM494" s="64"/>
      <c r="AN494" s="69"/>
      <c r="AO494" s="64"/>
      <c r="AP494" s="69"/>
      <c r="AQ494" s="64"/>
      <c r="AR494" s="69"/>
      <c r="AS494" s="64"/>
      <c r="AT494" s="69"/>
      <c r="AU494" s="64"/>
      <c r="AV494" s="69"/>
      <c r="AW494" s="64"/>
      <c r="AX494" s="69"/>
      <c r="AY494" s="64"/>
      <c r="AZ494" s="69"/>
      <c r="BA494" s="64"/>
      <c r="BB494" s="69"/>
      <c r="BC494" s="64"/>
      <c r="BD494" s="69"/>
      <c r="BE494" s="64"/>
      <c r="BF494" s="69"/>
      <c r="BG494" s="64"/>
      <c r="BH494" s="69"/>
      <c r="BI494" s="64"/>
      <c r="BJ494" s="69"/>
      <c r="BK494" s="64"/>
      <c r="BL494" s="69"/>
      <c r="BM494" s="64"/>
      <c r="BN494" s="69"/>
      <c r="BO494" s="64"/>
      <c r="BP494" s="69"/>
      <c r="BQ494" s="64"/>
      <c r="BR494" s="69"/>
      <c r="BS494" s="64"/>
      <c r="BT494" s="69"/>
      <c r="BU494" t="b">
        <f t="shared" si="8"/>
        <v>0</v>
      </c>
    </row>
    <row r="495" spans="1:73" x14ac:dyDescent="0.25">
      <c r="A495" s="28"/>
      <c r="B495" s="29"/>
      <c r="C495" s="29"/>
      <c r="D495" s="30"/>
      <c r="E495" s="29"/>
      <c r="F495" s="30"/>
      <c r="G495" s="29"/>
      <c r="H495" s="69"/>
      <c r="I495" s="64"/>
      <c r="J495" s="69"/>
      <c r="K495" s="64"/>
      <c r="L495" s="69"/>
      <c r="M495" s="65"/>
      <c r="N495" s="69"/>
      <c r="O495" s="64"/>
      <c r="P495" s="69"/>
      <c r="Q495" s="64"/>
      <c r="R495" s="69"/>
      <c r="S495" s="64"/>
      <c r="T495" s="69"/>
      <c r="U495" s="64"/>
      <c r="V495" s="69"/>
      <c r="W495" s="65"/>
      <c r="X495" s="69"/>
      <c r="Y495" s="64"/>
      <c r="Z495" s="69"/>
      <c r="AA495" s="64"/>
      <c r="AB495" s="69"/>
      <c r="AC495" s="64"/>
      <c r="AD495" s="69"/>
      <c r="AE495" s="65"/>
      <c r="AF495" s="69"/>
      <c r="AG495" s="65"/>
      <c r="AH495" s="69"/>
      <c r="AI495" s="64"/>
      <c r="AJ495" s="69"/>
      <c r="AK495" s="64"/>
      <c r="AL495" s="69"/>
      <c r="AM495" s="64"/>
      <c r="AN495" s="69"/>
      <c r="AO495" s="64"/>
      <c r="AP495" s="69"/>
      <c r="AQ495" s="64"/>
      <c r="AR495" s="69"/>
      <c r="AS495" s="64"/>
      <c r="AT495" s="69"/>
      <c r="AU495" s="64"/>
      <c r="AV495" s="69"/>
      <c r="AW495" s="64"/>
      <c r="AX495" s="69"/>
      <c r="AY495" s="64"/>
      <c r="AZ495" s="69"/>
      <c r="BA495" s="64"/>
      <c r="BB495" s="69"/>
      <c r="BC495" s="64"/>
      <c r="BD495" s="69"/>
      <c r="BE495" s="64"/>
      <c r="BF495" s="69"/>
      <c r="BG495" s="64"/>
      <c r="BH495" s="69"/>
      <c r="BI495" s="64"/>
      <c r="BJ495" s="69"/>
      <c r="BK495" s="64"/>
      <c r="BL495" s="69"/>
      <c r="BM495" s="64"/>
      <c r="BN495" s="69"/>
      <c r="BO495" s="64"/>
      <c r="BP495" s="69"/>
      <c r="BQ495" s="64"/>
      <c r="BR495" s="69"/>
      <c r="BS495" s="64"/>
      <c r="BT495" s="69"/>
      <c r="BU495" t="b">
        <f t="shared" si="8"/>
        <v>0</v>
      </c>
    </row>
    <row r="496" spans="1:73" x14ac:dyDescent="0.25">
      <c r="A496" s="28"/>
      <c r="B496" s="29"/>
      <c r="C496" s="29"/>
      <c r="D496" s="30"/>
      <c r="E496" s="29"/>
      <c r="F496" s="30"/>
      <c r="G496" s="29"/>
      <c r="H496" s="69"/>
      <c r="I496" s="64"/>
      <c r="J496" s="69"/>
      <c r="K496" s="64"/>
      <c r="L496" s="69"/>
      <c r="M496" s="65"/>
      <c r="N496" s="69"/>
      <c r="O496" s="64"/>
      <c r="P496" s="69"/>
      <c r="Q496" s="64"/>
      <c r="R496" s="69"/>
      <c r="S496" s="64"/>
      <c r="T496" s="69"/>
      <c r="U496" s="64"/>
      <c r="V496" s="69"/>
      <c r="W496" s="65"/>
      <c r="X496" s="69"/>
      <c r="Y496" s="64"/>
      <c r="Z496" s="69"/>
      <c r="AA496" s="64"/>
      <c r="AB496" s="69"/>
      <c r="AC496" s="64"/>
      <c r="AD496" s="69"/>
      <c r="AE496" s="65"/>
      <c r="AF496" s="69"/>
      <c r="AG496" s="65"/>
      <c r="AH496" s="69"/>
      <c r="AI496" s="64"/>
      <c r="AJ496" s="69"/>
      <c r="AK496" s="64"/>
      <c r="AL496" s="69"/>
      <c r="AM496" s="64"/>
      <c r="AN496" s="69"/>
      <c r="AO496" s="64"/>
      <c r="AP496" s="69"/>
      <c r="AQ496" s="64"/>
      <c r="AR496" s="69"/>
      <c r="AS496" s="64"/>
      <c r="AT496" s="69"/>
      <c r="AU496" s="64"/>
      <c r="AV496" s="69"/>
      <c r="AW496" s="64"/>
      <c r="AX496" s="69"/>
      <c r="AY496" s="64"/>
      <c r="AZ496" s="69"/>
      <c r="BA496" s="64"/>
      <c r="BB496" s="69"/>
      <c r="BC496" s="64"/>
      <c r="BD496" s="69"/>
      <c r="BE496" s="64"/>
      <c r="BF496" s="69"/>
      <c r="BG496" s="64"/>
      <c r="BH496" s="69"/>
      <c r="BI496" s="64"/>
      <c r="BJ496" s="69"/>
      <c r="BK496" s="64"/>
      <c r="BL496" s="69"/>
      <c r="BM496" s="64"/>
      <c r="BN496" s="69"/>
      <c r="BO496" s="64"/>
      <c r="BP496" s="69"/>
      <c r="BQ496" s="64"/>
      <c r="BR496" s="69"/>
      <c r="BS496" s="64"/>
      <c r="BT496" s="69"/>
      <c r="BU496" t="b">
        <f t="shared" si="8"/>
        <v>0</v>
      </c>
    </row>
    <row r="497" spans="1:73" x14ac:dyDescent="0.25">
      <c r="A497" s="28"/>
      <c r="B497" s="29"/>
      <c r="C497" s="29"/>
      <c r="D497" s="30"/>
      <c r="E497" s="29"/>
      <c r="F497" s="30"/>
      <c r="G497" s="29"/>
      <c r="H497" s="69"/>
      <c r="I497" s="64"/>
      <c r="J497" s="69"/>
      <c r="K497" s="64"/>
      <c r="L497" s="69"/>
      <c r="M497" s="65"/>
      <c r="N497" s="69"/>
      <c r="O497" s="64"/>
      <c r="P497" s="69"/>
      <c r="Q497" s="64"/>
      <c r="R497" s="69"/>
      <c r="S497" s="64"/>
      <c r="T497" s="69"/>
      <c r="U497" s="64"/>
      <c r="V497" s="69"/>
      <c r="W497" s="65"/>
      <c r="X497" s="69"/>
      <c r="Y497" s="64"/>
      <c r="Z497" s="69"/>
      <c r="AA497" s="64"/>
      <c r="AB497" s="69"/>
      <c r="AC497" s="64"/>
      <c r="AD497" s="69"/>
      <c r="AE497" s="65"/>
      <c r="AF497" s="69"/>
      <c r="AG497" s="65"/>
      <c r="AH497" s="69"/>
      <c r="AI497" s="64"/>
      <c r="AJ497" s="69"/>
      <c r="AK497" s="64"/>
      <c r="AL497" s="69"/>
      <c r="AM497" s="64"/>
      <c r="AN497" s="69"/>
      <c r="AO497" s="64"/>
      <c r="AP497" s="69"/>
      <c r="AQ497" s="64"/>
      <c r="AR497" s="69"/>
      <c r="AS497" s="64"/>
      <c r="AT497" s="69"/>
      <c r="AU497" s="64"/>
      <c r="AV497" s="69"/>
      <c r="AW497" s="64"/>
      <c r="AX497" s="69"/>
      <c r="AY497" s="64"/>
      <c r="AZ497" s="69"/>
      <c r="BA497" s="64"/>
      <c r="BB497" s="69"/>
      <c r="BC497" s="64"/>
      <c r="BD497" s="69"/>
      <c r="BE497" s="64"/>
      <c r="BF497" s="69"/>
      <c r="BG497" s="64"/>
      <c r="BH497" s="69"/>
      <c r="BI497" s="64"/>
      <c r="BJ497" s="69"/>
      <c r="BK497" s="64"/>
      <c r="BL497" s="69"/>
      <c r="BM497" s="64"/>
      <c r="BN497" s="69"/>
      <c r="BO497" s="64"/>
      <c r="BP497" s="69"/>
      <c r="BQ497" s="64"/>
      <c r="BR497" s="69"/>
      <c r="BS497" s="64"/>
      <c r="BT497" s="69"/>
      <c r="BU497" t="b">
        <f t="shared" si="8"/>
        <v>0</v>
      </c>
    </row>
    <row r="498" spans="1:73" x14ac:dyDescent="0.25">
      <c r="A498" s="28"/>
      <c r="B498" s="29"/>
      <c r="C498" s="29"/>
      <c r="D498" s="30"/>
      <c r="E498" s="29"/>
      <c r="F498" s="30"/>
      <c r="G498" s="29"/>
      <c r="H498" s="69"/>
      <c r="I498" s="64"/>
      <c r="J498" s="69"/>
      <c r="K498" s="64"/>
      <c r="L498" s="69"/>
      <c r="M498" s="65"/>
      <c r="N498" s="69"/>
      <c r="O498" s="64"/>
      <c r="P498" s="69"/>
      <c r="Q498" s="64"/>
      <c r="R498" s="69"/>
      <c r="S498" s="64"/>
      <c r="T498" s="69"/>
      <c r="U498" s="64"/>
      <c r="V498" s="69"/>
      <c r="W498" s="65"/>
      <c r="X498" s="69"/>
      <c r="Y498" s="64"/>
      <c r="Z498" s="69"/>
      <c r="AA498" s="64"/>
      <c r="AB498" s="69"/>
      <c r="AC498" s="64"/>
      <c r="AD498" s="69"/>
      <c r="AE498" s="65"/>
      <c r="AF498" s="69"/>
      <c r="AG498" s="65"/>
      <c r="AH498" s="69"/>
      <c r="AI498" s="64"/>
      <c r="AJ498" s="69"/>
      <c r="AK498" s="64"/>
      <c r="AL498" s="69"/>
      <c r="AM498" s="64"/>
      <c r="AN498" s="69"/>
      <c r="AO498" s="64"/>
      <c r="AP498" s="69"/>
      <c r="AQ498" s="64"/>
      <c r="AR498" s="69"/>
      <c r="AS498" s="64"/>
      <c r="AT498" s="69"/>
      <c r="AU498" s="64"/>
      <c r="AV498" s="69"/>
      <c r="AW498" s="64"/>
      <c r="AX498" s="69"/>
      <c r="AY498" s="64"/>
      <c r="AZ498" s="69"/>
      <c r="BA498" s="64"/>
      <c r="BB498" s="69"/>
      <c r="BC498" s="64"/>
      <c r="BD498" s="69"/>
      <c r="BE498" s="64"/>
      <c r="BF498" s="69"/>
      <c r="BG498" s="64"/>
      <c r="BH498" s="69"/>
      <c r="BI498" s="64"/>
      <c r="BJ498" s="69"/>
      <c r="BK498" s="64"/>
      <c r="BL498" s="69"/>
      <c r="BM498" s="64"/>
      <c r="BN498" s="69"/>
      <c r="BO498" s="64"/>
      <c r="BP498" s="69"/>
      <c r="BQ498" s="64"/>
      <c r="BR498" s="69"/>
      <c r="BS498" s="64"/>
      <c r="BT498" s="69"/>
      <c r="BU498" t="b">
        <f t="shared" si="8"/>
        <v>0</v>
      </c>
    </row>
    <row r="499" spans="1:73" x14ac:dyDescent="0.25">
      <c r="A499" s="28"/>
      <c r="B499" s="29"/>
      <c r="C499" s="29"/>
      <c r="D499" s="30"/>
      <c r="E499" s="29"/>
      <c r="F499" s="30"/>
      <c r="G499" s="29"/>
      <c r="H499" s="69"/>
      <c r="I499" s="64"/>
      <c r="J499" s="69"/>
      <c r="K499" s="64"/>
      <c r="L499" s="69"/>
      <c r="M499" s="65"/>
      <c r="N499" s="69"/>
      <c r="O499" s="64"/>
      <c r="P499" s="69"/>
      <c r="Q499" s="64"/>
      <c r="R499" s="69"/>
      <c r="S499" s="64"/>
      <c r="T499" s="69"/>
      <c r="U499" s="64"/>
      <c r="V499" s="69"/>
      <c r="W499" s="65"/>
      <c r="X499" s="69"/>
      <c r="Y499" s="64"/>
      <c r="Z499" s="69"/>
      <c r="AA499" s="64"/>
      <c r="AB499" s="69"/>
      <c r="AC499" s="64"/>
      <c r="AD499" s="69"/>
      <c r="AE499" s="65"/>
      <c r="AF499" s="69"/>
      <c r="AG499" s="65"/>
      <c r="AH499" s="69"/>
      <c r="AI499" s="64"/>
      <c r="AJ499" s="69"/>
      <c r="AK499" s="64"/>
      <c r="AL499" s="69"/>
      <c r="AM499" s="64"/>
      <c r="AN499" s="69"/>
      <c r="AO499" s="64"/>
      <c r="AP499" s="69"/>
      <c r="AQ499" s="64"/>
      <c r="AR499" s="69"/>
      <c r="AS499" s="64"/>
      <c r="AT499" s="69"/>
      <c r="AU499" s="64"/>
      <c r="AV499" s="69"/>
      <c r="AW499" s="64"/>
      <c r="AX499" s="69"/>
      <c r="AY499" s="64"/>
      <c r="AZ499" s="69"/>
      <c r="BA499" s="64"/>
      <c r="BB499" s="69"/>
      <c r="BC499" s="64"/>
      <c r="BD499" s="69"/>
      <c r="BE499" s="64"/>
      <c r="BF499" s="69"/>
      <c r="BG499" s="64"/>
      <c r="BH499" s="69"/>
      <c r="BI499" s="64"/>
      <c r="BJ499" s="69"/>
      <c r="BK499" s="64"/>
      <c r="BL499" s="69"/>
      <c r="BM499" s="64"/>
      <c r="BN499" s="69"/>
      <c r="BO499" s="64"/>
      <c r="BP499" s="69"/>
      <c r="BQ499" s="64"/>
      <c r="BR499" s="69"/>
      <c r="BS499" s="64"/>
      <c r="BT499" s="69"/>
      <c r="BU499" t="b">
        <f t="shared" si="8"/>
        <v>0</v>
      </c>
    </row>
    <row r="500" spans="1:73" x14ac:dyDescent="0.25">
      <c r="A500" s="28"/>
      <c r="B500" s="29"/>
      <c r="C500" s="29"/>
      <c r="D500" s="30"/>
      <c r="E500" s="29"/>
      <c r="F500" s="30"/>
      <c r="G500" s="29"/>
      <c r="H500" s="69"/>
      <c r="I500" s="64"/>
      <c r="J500" s="69"/>
      <c r="K500" s="64"/>
      <c r="L500" s="69"/>
      <c r="M500" s="65"/>
      <c r="N500" s="69"/>
      <c r="O500" s="64"/>
      <c r="P500" s="69"/>
      <c r="Q500" s="64"/>
      <c r="R500" s="69"/>
      <c r="S500" s="64"/>
      <c r="T500" s="69"/>
      <c r="U500" s="64"/>
      <c r="V500" s="69"/>
      <c r="W500" s="65"/>
      <c r="X500" s="69"/>
      <c r="Y500" s="64"/>
      <c r="Z500" s="69"/>
      <c r="AA500" s="64"/>
      <c r="AB500" s="69"/>
      <c r="AC500" s="64"/>
      <c r="AD500" s="69"/>
      <c r="AE500" s="65"/>
      <c r="AF500" s="69"/>
      <c r="AG500" s="65"/>
      <c r="AH500" s="69"/>
      <c r="AI500" s="64"/>
      <c r="AJ500" s="69"/>
      <c r="AK500" s="64"/>
      <c r="AL500" s="69"/>
      <c r="AM500" s="64"/>
      <c r="AN500" s="69"/>
      <c r="AO500" s="64"/>
      <c r="AP500" s="69"/>
      <c r="AQ500" s="64"/>
      <c r="AR500" s="69"/>
      <c r="AS500" s="64"/>
      <c r="AT500" s="69"/>
      <c r="AU500" s="64"/>
      <c r="AV500" s="69"/>
      <c r="AW500" s="64"/>
      <c r="AX500" s="69"/>
      <c r="AY500" s="64"/>
      <c r="AZ500" s="69"/>
      <c r="BA500" s="64"/>
      <c r="BB500" s="69"/>
      <c r="BC500" s="64"/>
      <c r="BD500" s="69"/>
      <c r="BE500" s="64"/>
      <c r="BF500" s="69"/>
      <c r="BG500" s="64"/>
      <c r="BH500" s="69"/>
      <c r="BI500" s="64"/>
      <c r="BJ500" s="69"/>
      <c r="BK500" s="64"/>
      <c r="BL500" s="69"/>
      <c r="BM500" s="64"/>
      <c r="BN500" s="69"/>
      <c r="BO500" s="64"/>
      <c r="BP500" s="69"/>
      <c r="BQ500" s="64"/>
      <c r="BR500" s="69"/>
      <c r="BS500" s="64"/>
      <c r="BT500" s="69"/>
      <c r="BU500" t="b">
        <f t="shared" si="8"/>
        <v>0</v>
      </c>
    </row>
    <row r="501" spans="1:73" x14ac:dyDescent="0.25">
      <c r="A501" s="28"/>
      <c r="B501" s="29"/>
      <c r="C501" s="29"/>
      <c r="D501" s="30"/>
      <c r="E501" s="29"/>
      <c r="F501" s="30"/>
      <c r="G501" s="29"/>
      <c r="H501" s="69"/>
      <c r="I501" s="64"/>
      <c r="J501" s="69"/>
      <c r="K501" s="64"/>
      <c r="L501" s="69"/>
      <c r="M501" s="65"/>
      <c r="N501" s="69"/>
      <c r="O501" s="64"/>
      <c r="P501" s="69"/>
      <c r="Q501" s="64"/>
      <c r="R501" s="69"/>
      <c r="S501" s="64"/>
      <c r="T501" s="69"/>
      <c r="U501" s="64"/>
      <c r="V501" s="69"/>
      <c r="W501" s="65"/>
      <c r="X501" s="69"/>
      <c r="Y501" s="64"/>
      <c r="Z501" s="69"/>
      <c r="AA501" s="64"/>
      <c r="AB501" s="69"/>
      <c r="AC501" s="64"/>
      <c r="AD501" s="69"/>
      <c r="AE501" s="65"/>
      <c r="AF501" s="69"/>
      <c r="AG501" s="65"/>
      <c r="AH501" s="69"/>
      <c r="AI501" s="64"/>
      <c r="AJ501" s="69"/>
      <c r="AK501" s="64"/>
      <c r="AL501" s="69"/>
      <c r="AM501" s="64"/>
      <c r="AN501" s="69"/>
      <c r="AO501" s="64"/>
      <c r="AP501" s="69"/>
      <c r="AQ501" s="64"/>
      <c r="AR501" s="69"/>
      <c r="AS501" s="64"/>
      <c r="AT501" s="69"/>
      <c r="AU501" s="64"/>
      <c r="AV501" s="69"/>
      <c r="AW501" s="64"/>
      <c r="AX501" s="69"/>
      <c r="AY501" s="64"/>
      <c r="AZ501" s="69"/>
      <c r="BA501" s="64"/>
      <c r="BB501" s="69"/>
      <c r="BC501" s="64"/>
      <c r="BD501" s="69"/>
      <c r="BE501" s="64"/>
      <c r="BF501" s="69"/>
      <c r="BG501" s="64"/>
      <c r="BH501" s="69"/>
      <c r="BI501" s="64"/>
      <c r="BJ501" s="69"/>
      <c r="BK501" s="64"/>
      <c r="BL501" s="69"/>
      <c r="BM501" s="64"/>
      <c r="BN501" s="69"/>
      <c r="BO501" s="64"/>
      <c r="BP501" s="69"/>
      <c r="BQ501" s="64"/>
      <c r="BR501" s="69"/>
      <c r="BS501" s="64"/>
      <c r="BT501" s="69"/>
      <c r="BU501" t="b">
        <f t="shared" si="8"/>
        <v>0</v>
      </c>
    </row>
    <row r="502" spans="1:73" x14ac:dyDescent="0.25">
      <c r="A502" s="28"/>
      <c r="B502" s="29"/>
      <c r="C502" s="29"/>
      <c r="D502" s="30"/>
      <c r="E502" s="29"/>
      <c r="F502" s="30"/>
      <c r="G502" s="29"/>
      <c r="H502" s="69"/>
      <c r="I502" s="64"/>
      <c r="J502" s="69"/>
      <c r="K502" s="64"/>
      <c r="L502" s="69"/>
      <c r="M502" s="65"/>
      <c r="N502" s="69"/>
      <c r="O502" s="64"/>
      <c r="P502" s="69"/>
      <c r="Q502" s="64"/>
      <c r="R502" s="69"/>
      <c r="S502" s="64"/>
      <c r="T502" s="69"/>
      <c r="U502" s="64"/>
      <c r="V502" s="69"/>
      <c r="W502" s="65"/>
      <c r="X502" s="69"/>
      <c r="Y502" s="64"/>
      <c r="Z502" s="69"/>
      <c r="AA502" s="64"/>
      <c r="AB502" s="69"/>
      <c r="AC502" s="64"/>
      <c r="AD502" s="69"/>
      <c r="AE502" s="65"/>
      <c r="AF502" s="69"/>
      <c r="AG502" s="65"/>
      <c r="AH502" s="69"/>
      <c r="AI502" s="64"/>
      <c r="AJ502" s="69"/>
      <c r="AK502" s="64"/>
      <c r="AL502" s="69"/>
      <c r="AM502" s="64"/>
      <c r="AN502" s="69"/>
      <c r="AO502" s="64"/>
      <c r="AP502" s="69"/>
      <c r="AQ502" s="64"/>
      <c r="AR502" s="69"/>
      <c r="AS502" s="64"/>
      <c r="AT502" s="69"/>
      <c r="AU502" s="64"/>
      <c r="AV502" s="69"/>
      <c r="AW502" s="64"/>
      <c r="AX502" s="69"/>
      <c r="AY502" s="64"/>
      <c r="AZ502" s="69"/>
      <c r="BA502" s="64"/>
      <c r="BB502" s="69"/>
      <c r="BC502" s="64"/>
      <c r="BD502" s="69"/>
      <c r="BE502" s="64"/>
      <c r="BF502" s="69"/>
      <c r="BG502" s="64"/>
      <c r="BH502" s="69"/>
      <c r="BI502" s="64"/>
      <c r="BJ502" s="69"/>
      <c r="BK502" s="64"/>
      <c r="BL502" s="69"/>
      <c r="BM502" s="64"/>
      <c r="BN502" s="69"/>
      <c r="BO502" s="64"/>
      <c r="BP502" s="69"/>
      <c r="BQ502" s="64"/>
      <c r="BR502" s="69"/>
      <c r="BS502" s="64"/>
      <c r="BT502" s="69"/>
      <c r="BU502" t="b">
        <f t="shared" si="8"/>
        <v>0</v>
      </c>
    </row>
    <row r="503" spans="1:73" x14ac:dyDescent="0.25">
      <c r="A503" s="28"/>
      <c r="B503" s="29"/>
      <c r="C503" s="29"/>
      <c r="D503" s="30"/>
      <c r="E503" s="29"/>
      <c r="F503" s="30"/>
      <c r="G503" s="29"/>
      <c r="H503" s="69"/>
      <c r="I503" s="64"/>
      <c r="J503" s="69"/>
      <c r="K503" s="64"/>
      <c r="L503" s="69"/>
      <c r="M503" s="65"/>
      <c r="N503" s="69"/>
      <c r="O503" s="64"/>
      <c r="P503" s="69"/>
      <c r="Q503" s="64"/>
      <c r="R503" s="69"/>
      <c r="S503" s="64"/>
      <c r="T503" s="69"/>
      <c r="U503" s="64"/>
      <c r="V503" s="69"/>
      <c r="W503" s="65"/>
      <c r="X503" s="69"/>
      <c r="Y503" s="64"/>
      <c r="Z503" s="69"/>
      <c r="AA503" s="64"/>
      <c r="AB503" s="69"/>
      <c r="AC503" s="64"/>
      <c r="AD503" s="69"/>
      <c r="AE503" s="65"/>
      <c r="AF503" s="69"/>
      <c r="AG503" s="65"/>
      <c r="AH503" s="69"/>
      <c r="AI503" s="64"/>
      <c r="AJ503" s="69"/>
      <c r="AK503" s="64"/>
      <c r="AL503" s="69"/>
      <c r="AM503" s="64"/>
      <c r="AN503" s="69"/>
      <c r="AO503" s="64"/>
      <c r="AP503" s="69"/>
      <c r="AQ503" s="64"/>
      <c r="AR503" s="69"/>
      <c r="AS503" s="64"/>
      <c r="AT503" s="69"/>
      <c r="AU503" s="64"/>
      <c r="AV503" s="69"/>
      <c r="AW503" s="64"/>
      <c r="AX503" s="69"/>
      <c r="AY503" s="64"/>
      <c r="AZ503" s="69"/>
      <c r="BA503" s="64"/>
      <c r="BB503" s="69"/>
      <c r="BC503" s="64"/>
      <c r="BD503" s="69"/>
      <c r="BE503" s="64"/>
      <c r="BF503" s="69"/>
      <c r="BG503" s="64"/>
      <c r="BH503" s="69"/>
      <c r="BI503" s="64"/>
      <c r="BJ503" s="69"/>
      <c r="BK503" s="64"/>
      <c r="BL503" s="69"/>
      <c r="BM503" s="64"/>
      <c r="BN503" s="69"/>
      <c r="BO503" s="64"/>
      <c r="BP503" s="69"/>
      <c r="BQ503" s="64"/>
      <c r="BR503" s="69"/>
      <c r="BS503" s="64"/>
      <c r="BT503" s="69"/>
      <c r="BU503" t="b">
        <f t="shared" si="8"/>
        <v>0</v>
      </c>
    </row>
    <row r="504" spans="1:73" x14ac:dyDescent="0.25">
      <c r="A504" s="28"/>
      <c r="B504" s="29"/>
      <c r="C504" s="29"/>
      <c r="D504" s="30"/>
      <c r="E504" s="29"/>
      <c r="F504" s="30"/>
      <c r="G504" s="29"/>
      <c r="H504" s="69"/>
      <c r="I504" s="64"/>
      <c r="J504" s="69"/>
      <c r="K504" s="64"/>
      <c r="L504" s="69"/>
      <c r="M504" s="65"/>
      <c r="N504" s="69"/>
      <c r="O504" s="64"/>
      <c r="P504" s="69"/>
      <c r="Q504" s="64"/>
      <c r="R504" s="69"/>
      <c r="S504" s="64"/>
      <c r="T504" s="69"/>
      <c r="U504" s="64"/>
      <c r="V504" s="69"/>
      <c r="W504" s="65"/>
      <c r="X504" s="69"/>
      <c r="Y504" s="64"/>
      <c r="Z504" s="69"/>
      <c r="AA504" s="64"/>
      <c r="AB504" s="69"/>
      <c r="AC504" s="64"/>
      <c r="AD504" s="69"/>
      <c r="AE504" s="65"/>
      <c r="AF504" s="69"/>
      <c r="AG504" s="65"/>
      <c r="AH504" s="69"/>
      <c r="AI504" s="64"/>
      <c r="AJ504" s="69"/>
      <c r="AK504" s="64"/>
      <c r="AL504" s="69"/>
      <c r="AM504" s="64"/>
      <c r="AN504" s="69"/>
      <c r="AO504" s="64"/>
      <c r="AP504" s="69"/>
      <c r="AQ504" s="64"/>
      <c r="AR504" s="69"/>
      <c r="AS504" s="64"/>
      <c r="AT504" s="69"/>
      <c r="AU504" s="64"/>
      <c r="AV504" s="69"/>
      <c r="AW504" s="64"/>
      <c r="AX504" s="69"/>
      <c r="AY504" s="64"/>
      <c r="AZ504" s="69"/>
      <c r="BA504" s="64"/>
      <c r="BB504" s="69"/>
      <c r="BC504" s="64"/>
      <c r="BD504" s="69"/>
      <c r="BE504" s="64"/>
      <c r="BF504" s="69"/>
      <c r="BG504" s="64"/>
      <c r="BH504" s="69"/>
      <c r="BI504" s="64"/>
      <c r="BJ504" s="69"/>
      <c r="BK504" s="64"/>
      <c r="BL504" s="69"/>
      <c r="BM504" s="64"/>
      <c r="BN504" s="69"/>
      <c r="BO504" s="64"/>
      <c r="BP504" s="69"/>
      <c r="BQ504" s="64"/>
      <c r="BR504" s="69"/>
      <c r="BS504" s="64"/>
      <c r="BT504" s="69"/>
      <c r="BU504" t="b">
        <f t="shared" si="8"/>
        <v>0</v>
      </c>
    </row>
    <row r="505" spans="1:73" x14ac:dyDescent="0.25">
      <c r="A505" s="28"/>
      <c r="B505" s="29"/>
      <c r="C505" s="29"/>
      <c r="D505" s="30"/>
      <c r="E505" s="29"/>
      <c r="F505" s="30"/>
      <c r="G505" s="29"/>
      <c r="H505" s="69"/>
      <c r="I505" s="64"/>
      <c r="J505" s="69"/>
      <c r="K505" s="64"/>
      <c r="L505" s="69"/>
      <c r="M505" s="65"/>
      <c r="N505" s="69"/>
      <c r="O505" s="64"/>
      <c r="P505" s="69"/>
      <c r="Q505" s="64"/>
      <c r="R505" s="69"/>
      <c r="S505" s="64"/>
      <c r="T505" s="69"/>
      <c r="U505" s="64"/>
      <c r="V505" s="69"/>
      <c r="W505" s="65"/>
      <c r="X505" s="69"/>
      <c r="Y505" s="64"/>
      <c r="Z505" s="69"/>
      <c r="AA505" s="64"/>
      <c r="AB505" s="69"/>
      <c r="AC505" s="64"/>
      <c r="AD505" s="69"/>
      <c r="AE505" s="65"/>
      <c r="AF505" s="69"/>
      <c r="AG505" s="65"/>
      <c r="AH505" s="69"/>
      <c r="AI505" s="64"/>
      <c r="AJ505" s="69"/>
      <c r="AK505" s="64"/>
      <c r="AL505" s="69"/>
      <c r="AM505" s="64"/>
      <c r="AN505" s="69"/>
      <c r="AO505" s="64"/>
      <c r="AP505" s="69"/>
      <c r="AQ505" s="64"/>
      <c r="AR505" s="69"/>
      <c r="AS505" s="64"/>
      <c r="AT505" s="69"/>
      <c r="AU505" s="64"/>
      <c r="AV505" s="69"/>
      <c r="AW505" s="64"/>
      <c r="AX505" s="69"/>
      <c r="AY505" s="64"/>
      <c r="AZ505" s="69"/>
      <c r="BA505" s="64"/>
      <c r="BB505" s="69"/>
      <c r="BC505" s="64"/>
      <c r="BD505" s="69"/>
      <c r="BE505" s="64"/>
      <c r="BF505" s="69"/>
      <c r="BG505" s="64"/>
      <c r="BH505" s="69"/>
      <c r="BI505" s="64"/>
      <c r="BJ505" s="69"/>
      <c r="BK505" s="64"/>
      <c r="BL505" s="69"/>
      <c r="BM505" s="64"/>
      <c r="BN505" s="69"/>
      <c r="BO505" s="64"/>
      <c r="BP505" s="69"/>
      <c r="BQ505" s="64"/>
      <c r="BR505" s="69"/>
      <c r="BS505" s="64"/>
      <c r="BT505" s="69"/>
      <c r="BU505" t="b">
        <f t="shared" si="8"/>
        <v>0</v>
      </c>
    </row>
    <row r="506" spans="1:73" x14ac:dyDescent="0.25">
      <c r="A506" s="28"/>
      <c r="B506" s="29"/>
      <c r="C506" s="29"/>
      <c r="D506" s="30"/>
      <c r="E506" s="29"/>
      <c r="F506" s="30"/>
      <c r="G506" s="29"/>
      <c r="H506" s="69"/>
      <c r="I506" s="64"/>
      <c r="J506" s="69"/>
      <c r="K506" s="64"/>
      <c r="L506" s="69"/>
      <c r="M506" s="65"/>
      <c r="N506" s="69"/>
      <c r="O506" s="64"/>
      <c r="P506" s="69"/>
      <c r="Q506" s="64"/>
      <c r="R506" s="69"/>
      <c r="S506" s="64"/>
      <c r="T506" s="69"/>
      <c r="U506" s="64"/>
      <c r="V506" s="69"/>
      <c r="W506" s="65"/>
      <c r="X506" s="69"/>
      <c r="Y506" s="64"/>
      <c r="Z506" s="69"/>
      <c r="AA506" s="64"/>
      <c r="AB506" s="69"/>
      <c r="AC506" s="64"/>
      <c r="AD506" s="69"/>
      <c r="AE506" s="65"/>
      <c r="AF506" s="69"/>
      <c r="AG506" s="65"/>
      <c r="AH506" s="69"/>
      <c r="AI506" s="64"/>
      <c r="AJ506" s="69"/>
      <c r="AK506" s="64"/>
      <c r="AL506" s="69"/>
      <c r="AM506" s="64"/>
      <c r="AN506" s="69"/>
      <c r="AO506" s="64"/>
      <c r="AP506" s="69"/>
      <c r="AQ506" s="64"/>
      <c r="AR506" s="69"/>
      <c r="AS506" s="64"/>
      <c r="AT506" s="69"/>
      <c r="AU506" s="64"/>
      <c r="AV506" s="69"/>
      <c r="AW506" s="64"/>
      <c r="AX506" s="69"/>
      <c r="AY506" s="64"/>
      <c r="AZ506" s="69"/>
      <c r="BA506" s="64"/>
      <c r="BB506" s="69"/>
      <c r="BC506" s="64"/>
      <c r="BD506" s="69"/>
      <c r="BE506" s="64"/>
      <c r="BF506" s="69"/>
      <c r="BG506" s="64"/>
      <c r="BH506" s="69"/>
      <c r="BI506" s="64"/>
      <c r="BJ506" s="69"/>
      <c r="BK506" s="64"/>
      <c r="BL506" s="69"/>
      <c r="BM506" s="64"/>
      <c r="BN506" s="69"/>
      <c r="BO506" s="64"/>
      <c r="BP506" s="69"/>
      <c r="BQ506" s="64"/>
      <c r="BR506" s="69"/>
      <c r="BS506" s="64"/>
      <c r="BT506" s="69"/>
      <c r="BU506" t="b">
        <f t="shared" si="8"/>
        <v>0</v>
      </c>
    </row>
    <row r="507" spans="1:73" x14ac:dyDescent="0.25">
      <c r="A507" s="28"/>
      <c r="B507" s="29"/>
      <c r="C507" s="29"/>
      <c r="D507" s="30"/>
      <c r="E507" s="29"/>
      <c r="F507" s="30"/>
      <c r="G507" s="29"/>
      <c r="H507" s="69"/>
      <c r="I507" s="64"/>
      <c r="J507" s="69"/>
      <c r="K507" s="64"/>
      <c r="L507" s="69"/>
      <c r="M507" s="65"/>
      <c r="N507" s="69"/>
      <c r="O507" s="64"/>
      <c r="P507" s="69"/>
      <c r="Q507" s="64"/>
      <c r="R507" s="69"/>
      <c r="S507" s="64"/>
      <c r="T507" s="69"/>
      <c r="U507" s="64"/>
      <c r="V507" s="69"/>
      <c r="W507" s="65"/>
      <c r="X507" s="69"/>
      <c r="Y507" s="64"/>
      <c r="Z507" s="69"/>
      <c r="AA507" s="64"/>
      <c r="AB507" s="69"/>
      <c r="AC507" s="64"/>
      <c r="AD507" s="69"/>
      <c r="AE507" s="65"/>
      <c r="AF507" s="69"/>
      <c r="AG507" s="65"/>
      <c r="AH507" s="69"/>
      <c r="AI507" s="64"/>
      <c r="AJ507" s="69"/>
      <c r="AK507" s="64"/>
      <c r="AL507" s="69"/>
      <c r="AM507" s="64"/>
      <c r="AN507" s="69"/>
      <c r="AO507" s="64"/>
      <c r="AP507" s="69"/>
      <c r="AQ507" s="64"/>
      <c r="AR507" s="69"/>
      <c r="AS507" s="64"/>
      <c r="AT507" s="69"/>
      <c r="AU507" s="64"/>
      <c r="AV507" s="69"/>
      <c r="AW507" s="64"/>
      <c r="AX507" s="69"/>
      <c r="AY507" s="64"/>
      <c r="AZ507" s="69"/>
      <c r="BA507" s="64"/>
      <c r="BB507" s="69"/>
      <c r="BC507" s="64"/>
      <c r="BD507" s="69"/>
      <c r="BE507" s="64"/>
      <c r="BF507" s="69"/>
      <c r="BG507" s="64"/>
      <c r="BH507" s="69"/>
      <c r="BI507" s="64"/>
      <c r="BJ507" s="69"/>
      <c r="BK507" s="64"/>
      <c r="BL507" s="69"/>
      <c r="BM507" s="64"/>
      <c r="BN507" s="69"/>
      <c r="BO507" s="64"/>
      <c r="BP507" s="69"/>
      <c r="BQ507" s="64"/>
      <c r="BR507" s="69"/>
      <c r="BS507" s="64"/>
      <c r="BT507" s="69"/>
      <c r="BU507" t="b">
        <f t="shared" si="8"/>
        <v>0</v>
      </c>
    </row>
    <row r="508" spans="1:73" x14ac:dyDescent="0.25">
      <c r="A508" s="28"/>
      <c r="B508" s="29"/>
      <c r="C508" s="29"/>
      <c r="D508" s="30"/>
      <c r="E508" s="29"/>
      <c r="F508" s="30"/>
      <c r="G508" s="29"/>
      <c r="H508" s="69"/>
      <c r="I508" s="64"/>
      <c r="J508" s="69"/>
      <c r="K508" s="64"/>
      <c r="L508" s="69"/>
      <c r="M508" s="65"/>
      <c r="N508" s="69"/>
      <c r="O508" s="64"/>
      <c r="P508" s="69"/>
      <c r="Q508" s="64"/>
      <c r="R508" s="69"/>
      <c r="S508" s="64"/>
      <c r="T508" s="69"/>
      <c r="U508" s="64"/>
      <c r="V508" s="69"/>
      <c r="W508" s="65"/>
      <c r="X508" s="69"/>
      <c r="Y508" s="64"/>
      <c r="Z508" s="69"/>
      <c r="AA508" s="64"/>
      <c r="AB508" s="69"/>
      <c r="AC508" s="64"/>
      <c r="AD508" s="69"/>
      <c r="AE508" s="65"/>
      <c r="AF508" s="69"/>
      <c r="AG508" s="65"/>
      <c r="AH508" s="69"/>
      <c r="AI508" s="64"/>
      <c r="AJ508" s="69"/>
      <c r="AK508" s="64"/>
      <c r="AL508" s="69"/>
      <c r="AM508" s="64"/>
      <c r="AN508" s="69"/>
      <c r="AO508" s="64"/>
      <c r="AP508" s="69"/>
      <c r="AQ508" s="64"/>
      <c r="AR508" s="69"/>
      <c r="AS508" s="64"/>
      <c r="AT508" s="69"/>
      <c r="AU508" s="64"/>
      <c r="AV508" s="69"/>
      <c r="AW508" s="64"/>
      <c r="AX508" s="69"/>
      <c r="AY508" s="64"/>
      <c r="AZ508" s="69"/>
      <c r="BA508" s="64"/>
      <c r="BB508" s="69"/>
      <c r="BC508" s="64"/>
      <c r="BD508" s="69"/>
      <c r="BE508" s="64"/>
      <c r="BF508" s="69"/>
      <c r="BG508" s="64"/>
      <c r="BH508" s="69"/>
      <c r="BI508" s="64"/>
      <c r="BJ508" s="69"/>
      <c r="BK508" s="64"/>
      <c r="BL508" s="69"/>
      <c r="BM508" s="64"/>
      <c r="BN508" s="69"/>
      <c r="BO508" s="64"/>
      <c r="BP508" s="69"/>
      <c r="BQ508" s="64"/>
      <c r="BR508" s="69"/>
      <c r="BS508" s="64"/>
      <c r="BT508" s="69"/>
      <c r="BU508" t="b">
        <f t="shared" si="8"/>
        <v>0</v>
      </c>
    </row>
    <row r="509" spans="1:73" x14ac:dyDescent="0.25">
      <c r="A509" s="28"/>
      <c r="B509" s="29"/>
      <c r="C509" s="29"/>
      <c r="D509" s="30"/>
      <c r="E509" s="29"/>
      <c r="F509" s="30"/>
      <c r="G509" s="29"/>
      <c r="H509" s="69"/>
      <c r="I509" s="64"/>
      <c r="J509" s="69"/>
      <c r="K509" s="64"/>
      <c r="L509" s="69"/>
      <c r="M509" s="65"/>
      <c r="N509" s="69"/>
      <c r="O509" s="64"/>
      <c r="P509" s="69"/>
      <c r="Q509" s="64"/>
      <c r="R509" s="69"/>
      <c r="S509" s="64"/>
      <c r="T509" s="69"/>
      <c r="U509" s="64"/>
      <c r="V509" s="69"/>
      <c r="W509" s="65"/>
      <c r="X509" s="69"/>
      <c r="Y509" s="64"/>
      <c r="Z509" s="69"/>
      <c r="AA509" s="64"/>
      <c r="AB509" s="69"/>
      <c r="AC509" s="64"/>
      <c r="AD509" s="69"/>
      <c r="AE509" s="65"/>
      <c r="AF509" s="69"/>
      <c r="AG509" s="65"/>
      <c r="AH509" s="69"/>
      <c r="AI509" s="64"/>
      <c r="AJ509" s="69"/>
      <c r="AK509" s="64"/>
      <c r="AL509" s="69"/>
      <c r="AM509" s="64"/>
      <c r="AN509" s="69"/>
      <c r="AO509" s="64"/>
      <c r="AP509" s="69"/>
      <c r="AQ509" s="64"/>
      <c r="AR509" s="69"/>
      <c r="AS509" s="64"/>
      <c r="AT509" s="69"/>
      <c r="AU509" s="64"/>
      <c r="AV509" s="69"/>
      <c r="AW509" s="64"/>
      <c r="AX509" s="69"/>
      <c r="AY509" s="64"/>
      <c r="AZ509" s="69"/>
      <c r="BA509" s="64"/>
      <c r="BB509" s="69"/>
      <c r="BC509" s="64"/>
      <c r="BD509" s="69"/>
      <c r="BE509" s="64"/>
      <c r="BF509" s="69"/>
      <c r="BG509" s="64"/>
      <c r="BH509" s="69"/>
      <c r="BI509" s="64"/>
      <c r="BJ509" s="69"/>
      <c r="BK509" s="64"/>
      <c r="BL509" s="69"/>
      <c r="BM509" s="64"/>
      <c r="BN509" s="69"/>
      <c r="BO509" s="64"/>
      <c r="BP509" s="69"/>
      <c r="BQ509" s="64"/>
      <c r="BR509" s="69"/>
      <c r="BS509" s="64"/>
      <c r="BT509" s="69"/>
      <c r="BU509" t="b">
        <f t="shared" si="8"/>
        <v>0</v>
      </c>
    </row>
    <row r="510" spans="1:73" x14ac:dyDescent="0.25">
      <c r="A510" s="28"/>
      <c r="B510" s="29"/>
      <c r="C510" s="29"/>
      <c r="D510" s="30"/>
      <c r="E510" s="29"/>
      <c r="F510" s="30"/>
      <c r="G510" s="29"/>
      <c r="H510" s="69"/>
      <c r="I510" s="64"/>
      <c r="J510" s="69"/>
      <c r="K510" s="64"/>
      <c r="L510" s="69"/>
      <c r="M510" s="65"/>
      <c r="N510" s="69"/>
      <c r="O510" s="64"/>
      <c r="P510" s="69"/>
      <c r="Q510" s="64"/>
      <c r="R510" s="69"/>
      <c r="S510" s="64"/>
      <c r="T510" s="69"/>
      <c r="U510" s="64"/>
      <c r="V510" s="69"/>
      <c r="W510" s="65"/>
      <c r="X510" s="69"/>
      <c r="Y510" s="64"/>
      <c r="Z510" s="69"/>
      <c r="AA510" s="64"/>
      <c r="AB510" s="69"/>
      <c r="AC510" s="64"/>
      <c r="AD510" s="69"/>
      <c r="AE510" s="65"/>
      <c r="AF510" s="69"/>
      <c r="AG510" s="65"/>
      <c r="AH510" s="69"/>
      <c r="AI510" s="64"/>
      <c r="AJ510" s="69"/>
      <c r="AK510" s="64"/>
      <c r="AL510" s="69"/>
      <c r="AM510" s="64"/>
      <c r="AN510" s="69"/>
      <c r="AO510" s="64"/>
      <c r="AP510" s="69"/>
      <c r="AQ510" s="64"/>
      <c r="AR510" s="69"/>
      <c r="AS510" s="64"/>
      <c r="AT510" s="69"/>
      <c r="AU510" s="64"/>
      <c r="AV510" s="69"/>
      <c r="AW510" s="64"/>
      <c r="AX510" s="69"/>
      <c r="AY510" s="64"/>
      <c r="AZ510" s="69"/>
      <c r="BA510" s="64"/>
      <c r="BB510" s="69"/>
      <c r="BC510" s="64"/>
      <c r="BD510" s="69"/>
      <c r="BE510" s="64"/>
      <c r="BF510" s="69"/>
      <c r="BG510" s="64"/>
      <c r="BH510" s="69"/>
      <c r="BI510" s="64"/>
      <c r="BJ510" s="69"/>
      <c r="BK510" s="64"/>
      <c r="BL510" s="69"/>
      <c r="BM510" s="64"/>
      <c r="BN510" s="69"/>
      <c r="BO510" s="64"/>
      <c r="BP510" s="69"/>
      <c r="BQ510" s="64"/>
      <c r="BR510" s="69"/>
      <c r="BS510" s="64"/>
      <c r="BT510" s="69"/>
      <c r="BU510" t="b">
        <f t="shared" si="8"/>
        <v>0</v>
      </c>
    </row>
    <row r="511" spans="1:73" x14ac:dyDescent="0.25">
      <c r="A511" s="28"/>
      <c r="B511" s="29"/>
      <c r="C511" s="29"/>
      <c r="D511" s="30"/>
      <c r="E511" s="29"/>
      <c r="F511" s="30"/>
      <c r="G511" s="29"/>
      <c r="H511" s="69"/>
      <c r="I511" s="64"/>
      <c r="J511" s="69"/>
      <c r="K511" s="64"/>
      <c r="L511" s="69"/>
      <c r="M511" s="65"/>
      <c r="N511" s="69"/>
      <c r="O511" s="64"/>
      <c r="P511" s="69"/>
      <c r="Q511" s="64"/>
      <c r="R511" s="69"/>
      <c r="S511" s="64"/>
      <c r="T511" s="69"/>
      <c r="U511" s="64"/>
      <c r="V511" s="69"/>
      <c r="W511" s="65"/>
      <c r="X511" s="69"/>
      <c r="Y511" s="64"/>
      <c r="Z511" s="69"/>
      <c r="AA511" s="64"/>
      <c r="AB511" s="69"/>
      <c r="AC511" s="64"/>
      <c r="AD511" s="69"/>
      <c r="AE511" s="65"/>
      <c r="AF511" s="69"/>
      <c r="AG511" s="65"/>
      <c r="AH511" s="69"/>
      <c r="AI511" s="64"/>
      <c r="AJ511" s="69"/>
      <c r="AK511" s="64"/>
      <c r="AL511" s="69"/>
      <c r="AM511" s="64"/>
      <c r="AN511" s="69"/>
      <c r="AO511" s="64"/>
      <c r="AP511" s="69"/>
      <c r="AQ511" s="64"/>
      <c r="AR511" s="69"/>
      <c r="AS511" s="64"/>
      <c r="AT511" s="69"/>
      <c r="AU511" s="64"/>
      <c r="AV511" s="69"/>
      <c r="AW511" s="64"/>
      <c r="AX511" s="69"/>
      <c r="AY511" s="64"/>
      <c r="AZ511" s="69"/>
      <c r="BA511" s="64"/>
      <c r="BB511" s="69"/>
      <c r="BC511" s="64"/>
      <c r="BD511" s="69"/>
      <c r="BE511" s="64"/>
      <c r="BF511" s="69"/>
      <c r="BG511" s="64"/>
      <c r="BH511" s="69"/>
      <c r="BI511" s="64"/>
      <c r="BJ511" s="69"/>
      <c r="BK511" s="64"/>
      <c r="BL511" s="69"/>
      <c r="BM511" s="64"/>
      <c r="BN511" s="69"/>
      <c r="BO511" s="64"/>
      <c r="BP511" s="69"/>
      <c r="BQ511" s="64"/>
      <c r="BR511" s="69"/>
      <c r="BS511" s="64"/>
      <c r="BT511" s="69"/>
      <c r="BU511" t="b">
        <f t="shared" si="8"/>
        <v>0</v>
      </c>
    </row>
    <row r="512" spans="1:73" x14ac:dyDescent="0.25">
      <c r="A512" s="28"/>
      <c r="B512" s="29"/>
      <c r="C512" s="29"/>
      <c r="D512" s="30"/>
      <c r="E512" s="29"/>
      <c r="F512" s="30"/>
      <c r="G512" s="29"/>
      <c r="H512" s="69"/>
      <c r="I512" s="64"/>
      <c r="J512" s="69"/>
      <c r="K512" s="64"/>
      <c r="L512" s="69"/>
      <c r="M512" s="65"/>
      <c r="N512" s="69"/>
      <c r="O512" s="64"/>
      <c r="P512" s="69"/>
      <c r="Q512" s="64"/>
      <c r="R512" s="69"/>
      <c r="S512" s="64"/>
      <c r="T512" s="69"/>
      <c r="U512" s="64"/>
      <c r="V512" s="69"/>
      <c r="W512" s="65"/>
      <c r="X512" s="69"/>
      <c r="Y512" s="64"/>
      <c r="Z512" s="69"/>
      <c r="AA512" s="64"/>
      <c r="AB512" s="69"/>
      <c r="AC512" s="64"/>
      <c r="AD512" s="69"/>
      <c r="AE512" s="65"/>
      <c r="AF512" s="69"/>
      <c r="AG512" s="65"/>
      <c r="AH512" s="69"/>
      <c r="AI512" s="64"/>
      <c r="AJ512" s="69"/>
      <c r="AK512" s="64"/>
      <c r="AL512" s="69"/>
      <c r="AM512" s="64"/>
      <c r="AN512" s="69"/>
      <c r="AO512" s="64"/>
      <c r="AP512" s="69"/>
      <c r="AQ512" s="64"/>
      <c r="AR512" s="69"/>
      <c r="AS512" s="64"/>
      <c r="AT512" s="69"/>
      <c r="AU512" s="64"/>
      <c r="AV512" s="69"/>
      <c r="AW512" s="64"/>
      <c r="AX512" s="69"/>
      <c r="AY512" s="64"/>
      <c r="AZ512" s="69"/>
      <c r="BA512" s="64"/>
      <c r="BB512" s="69"/>
      <c r="BC512" s="64"/>
      <c r="BD512" s="69"/>
      <c r="BE512" s="64"/>
      <c r="BF512" s="69"/>
      <c r="BG512" s="64"/>
      <c r="BH512" s="69"/>
      <c r="BI512" s="64"/>
      <c r="BJ512" s="69"/>
      <c r="BK512" s="64"/>
      <c r="BL512" s="69"/>
      <c r="BM512" s="64"/>
      <c r="BN512" s="69"/>
      <c r="BO512" s="64"/>
      <c r="BP512" s="69"/>
      <c r="BQ512" s="64"/>
      <c r="BR512" s="69"/>
      <c r="BS512" s="64"/>
      <c r="BT512" s="69"/>
      <c r="BU512" t="b">
        <f t="shared" si="8"/>
        <v>0</v>
      </c>
    </row>
    <row r="513" spans="1:73" x14ac:dyDescent="0.25">
      <c r="A513" s="28"/>
      <c r="B513" s="29"/>
      <c r="C513" s="29"/>
      <c r="D513" s="30"/>
      <c r="E513" s="29"/>
      <c r="F513" s="30"/>
      <c r="G513" s="29"/>
      <c r="H513" s="69"/>
      <c r="I513" s="64"/>
      <c r="J513" s="69"/>
      <c r="K513" s="64"/>
      <c r="L513" s="69"/>
      <c r="M513" s="65"/>
      <c r="N513" s="69"/>
      <c r="O513" s="64"/>
      <c r="P513" s="69"/>
      <c r="Q513" s="64"/>
      <c r="R513" s="69"/>
      <c r="S513" s="64"/>
      <c r="T513" s="69"/>
      <c r="U513" s="64"/>
      <c r="V513" s="69"/>
      <c r="W513" s="65"/>
      <c r="X513" s="69"/>
      <c r="Y513" s="64"/>
      <c r="Z513" s="69"/>
      <c r="AA513" s="64"/>
      <c r="AB513" s="69"/>
      <c r="AC513" s="64"/>
      <c r="AD513" s="69"/>
      <c r="AE513" s="65"/>
      <c r="AF513" s="69"/>
      <c r="AG513" s="65"/>
      <c r="AH513" s="69"/>
      <c r="AI513" s="64"/>
      <c r="AJ513" s="69"/>
      <c r="AK513" s="64"/>
      <c r="AL513" s="69"/>
      <c r="AM513" s="64"/>
      <c r="AN513" s="69"/>
      <c r="AO513" s="64"/>
      <c r="AP513" s="69"/>
      <c r="AQ513" s="64"/>
      <c r="AR513" s="69"/>
      <c r="AS513" s="64"/>
      <c r="AT513" s="69"/>
      <c r="AU513" s="64"/>
      <c r="AV513" s="69"/>
      <c r="AW513" s="64"/>
      <c r="AX513" s="69"/>
      <c r="AY513" s="64"/>
      <c r="AZ513" s="69"/>
      <c r="BA513" s="64"/>
      <c r="BB513" s="69"/>
      <c r="BC513" s="64"/>
      <c r="BD513" s="69"/>
      <c r="BE513" s="64"/>
      <c r="BF513" s="69"/>
      <c r="BG513" s="64"/>
      <c r="BH513" s="69"/>
      <c r="BI513" s="64"/>
      <c r="BJ513" s="69"/>
      <c r="BK513" s="64"/>
      <c r="BL513" s="69"/>
      <c r="BM513" s="64"/>
      <c r="BN513" s="69"/>
      <c r="BO513" s="64"/>
      <c r="BP513" s="69"/>
      <c r="BQ513" s="64"/>
      <c r="BR513" s="69"/>
      <c r="BS513" s="64"/>
      <c r="BT513" s="69"/>
      <c r="BU513" t="b">
        <f t="shared" si="8"/>
        <v>0</v>
      </c>
    </row>
    <row r="514" spans="1:73" x14ac:dyDescent="0.25">
      <c r="A514" s="28"/>
      <c r="B514" s="29"/>
      <c r="C514" s="29"/>
      <c r="D514" s="30"/>
      <c r="E514" s="29"/>
      <c r="F514" s="30"/>
      <c r="G514" s="29"/>
      <c r="H514" s="69"/>
      <c r="I514" s="64"/>
      <c r="J514" s="69"/>
      <c r="K514" s="64"/>
      <c r="L514" s="69"/>
      <c r="M514" s="65"/>
      <c r="N514" s="69"/>
      <c r="O514" s="64"/>
      <c r="P514" s="69"/>
      <c r="Q514" s="64"/>
      <c r="R514" s="69"/>
      <c r="S514" s="64"/>
      <c r="T514" s="69"/>
      <c r="U514" s="64"/>
      <c r="V514" s="69"/>
      <c r="W514" s="65"/>
      <c r="X514" s="69"/>
      <c r="Y514" s="64"/>
      <c r="Z514" s="69"/>
      <c r="AA514" s="64"/>
      <c r="AB514" s="69"/>
      <c r="AC514" s="64"/>
      <c r="AD514" s="69"/>
      <c r="AE514" s="65"/>
      <c r="AF514" s="69"/>
      <c r="AG514" s="65"/>
      <c r="AH514" s="69"/>
      <c r="AI514" s="64"/>
      <c r="AJ514" s="69"/>
      <c r="AK514" s="64"/>
      <c r="AL514" s="69"/>
      <c r="AM514" s="64"/>
      <c r="AN514" s="69"/>
      <c r="AO514" s="64"/>
      <c r="AP514" s="69"/>
      <c r="AQ514" s="64"/>
      <c r="AR514" s="69"/>
      <c r="AS514" s="64"/>
      <c r="AT514" s="69"/>
      <c r="AU514" s="64"/>
      <c r="AV514" s="69"/>
      <c r="AW514" s="64"/>
      <c r="AX514" s="69"/>
      <c r="AY514" s="64"/>
      <c r="AZ514" s="69"/>
      <c r="BA514" s="64"/>
      <c r="BB514" s="69"/>
      <c r="BC514" s="64"/>
      <c r="BD514" s="69"/>
      <c r="BE514" s="64"/>
      <c r="BF514" s="69"/>
      <c r="BG514" s="64"/>
      <c r="BH514" s="69"/>
      <c r="BI514" s="64"/>
      <c r="BJ514" s="69"/>
      <c r="BK514" s="64"/>
      <c r="BL514" s="69"/>
      <c r="BM514" s="64"/>
      <c r="BN514" s="69"/>
      <c r="BO514" s="64"/>
      <c r="BP514" s="69"/>
      <c r="BQ514" s="64"/>
      <c r="BR514" s="69"/>
      <c r="BS514" s="64"/>
      <c r="BT514" s="69"/>
      <c r="BU514" t="b">
        <f t="shared" si="8"/>
        <v>0</v>
      </c>
    </row>
    <row r="515" spans="1:73" x14ac:dyDescent="0.25">
      <c r="A515" s="28"/>
      <c r="B515" s="29"/>
      <c r="C515" s="29"/>
      <c r="D515" s="30"/>
      <c r="E515" s="29"/>
      <c r="F515" s="30"/>
      <c r="G515" s="29"/>
      <c r="H515" s="69"/>
      <c r="I515" s="64"/>
      <c r="J515" s="69"/>
      <c r="K515" s="64"/>
      <c r="L515" s="69"/>
      <c r="M515" s="65"/>
      <c r="N515" s="69"/>
      <c r="O515" s="64"/>
      <c r="P515" s="69"/>
      <c r="Q515" s="64"/>
      <c r="R515" s="69"/>
      <c r="S515" s="64"/>
      <c r="T515" s="69"/>
      <c r="U515" s="64"/>
      <c r="V515" s="69"/>
      <c r="W515" s="65"/>
      <c r="X515" s="69"/>
      <c r="Y515" s="64"/>
      <c r="Z515" s="69"/>
      <c r="AA515" s="64"/>
      <c r="AB515" s="69"/>
      <c r="AC515" s="64"/>
      <c r="AD515" s="69"/>
      <c r="AE515" s="65"/>
      <c r="AF515" s="69"/>
      <c r="AG515" s="65"/>
      <c r="AH515" s="69"/>
      <c r="AI515" s="64"/>
      <c r="AJ515" s="69"/>
      <c r="AK515" s="64"/>
      <c r="AL515" s="69"/>
      <c r="AM515" s="64"/>
      <c r="AN515" s="69"/>
      <c r="AO515" s="64"/>
      <c r="AP515" s="69"/>
      <c r="AQ515" s="64"/>
      <c r="AR515" s="69"/>
      <c r="AS515" s="64"/>
      <c r="AT515" s="69"/>
      <c r="AU515" s="64"/>
      <c r="AV515" s="69"/>
      <c r="AW515" s="64"/>
      <c r="AX515" s="69"/>
      <c r="AY515" s="64"/>
      <c r="AZ515" s="69"/>
      <c r="BA515" s="64"/>
      <c r="BB515" s="69"/>
      <c r="BC515" s="64"/>
      <c r="BD515" s="69"/>
      <c r="BE515" s="64"/>
      <c r="BF515" s="69"/>
      <c r="BG515" s="64"/>
      <c r="BH515" s="69"/>
      <c r="BI515" s="64"/>
      <c r="BJ515" s="69"/>
      <c r="BK515" s="64"/>
      <c r="BL515" s="69"/>
      <c r="BM515" s="64"/>
      <c r="BN515" s="69"/>
      <c r="BO515" s="64"/>
      <c r="BP515" s="69"/>
      <c r="BQ515" s="64"/>
      <c r="BR515" s="69"/>
      <c r="BS515" s="64"/>
      <c r="BT515" s="69"/>
      <c r="BU515" t="b">
        <f t="shared" si="8"/>
        <v>0</v>
      </c>
    </row>
    <row r="516" spans="1:73" x14ac:dyDescent="0.25">
      <c r="A516" s="28"/>
      <c r="B516" s="29"/>
      <c r="C516" s="29"/>
      <c r="D516" s="30"/>
      <c r="E516" s="29"/>
      <c r="F516" s="30"/>
      <c r="G516" s="29"/>
      <c r="H516" s="69"/>
      <c r="I516" s="64"/>
      <c r="J516" s="69"/>
      <c r="K516" s="64"/>
      <c r="L516" s="69"/>
      <c r="M516" s="65"/>
      <c r="N516" s="69"/>
      <c r="O516" s="64"/>
      <c r="P516" s="69"/>
      <c r="Q516" s="64"/>
      <c r="R516" s="69"/>
      <c r="S516" s="64"/>
      <c r="T516" s="69"/>
      <c r="U516" s="64"/>
      <c r="V516" s="69"/>
      <c r="W516" s="65"/>
      <c r="X516" s="69"/>
      <c r="Y516" s="64"/>
      <c r="Z516" s="69"/>
      <c r="AA516" s="64"/>
      <c r="AB516" s="69"/>
      <c r="AC516" s="64"/>
      <c r="AD516" s="69"/>
      <c r="AE516" s="65"/>
      <c r="AF516" s="69"/>
      <c r="AG516" s="65"/>
      <c r="AH516" s="69"/>
      <c r="AI516" s="64"/>
      <c r="AJ516" s="69"/>
      <c r="AK516" s="64"/>
      <c r="AL516" s="69"/>
      <c r="AM516" s="64"/>
      <c r="AN516" s="69"/>
      <c r="AO516" s="64"/>
      <c r="AP516" s="69"/>
      <c r="AQ516" s="64"/>
      <c r="AR516" s="69"/>
      <c r="AS516" s="64"/>
      <c r="AT516" s="69"/>
      <c r="AU516" s="64"/>
      <c r="AV516" s="69"/>
      <c r="AW516" s="64"/>
      <c r="AX516" s="69"/>
      <c r="AY516" s="64"/>
      <c r="AZ516" s="69"/>
      <c r="BA516" s="64"/>
      <c r="BB516" s="69"/>
      <c r="BC516" s="64"/>
      <c r="BD516" s="69"/>
      <c r="BE516" s="64"/>
      <c r="BF516" s="69"/>
      <c r="BG516" s="64"/>
      <c r="BH516" s="69"/>
      <c r="BI516" s="64"/>
      <c r="BJ516" s="69"/>
      <c r="BK516" s="64"/>
      <c r="BL516" s="69"/>
      <c r="BM516" s="64"/>
      <c r="BN516" s="69"/>
      <c r="BO516" s="64"/>
      <c r="BP516" s="69"/>
      <c r="BQ516" s="64"/>
      <c r="BR516" s="69"/>
      <c r="BS516" s="64"/>
      <c r="BT516" s="69"/>
      <c r="BU516" t="b">
        <f t="shared" si="8"/>
        <v>0</v>
      </c>
    </row>
    <row r="517" spans="1:73" x14ac:dyDescent="0.25">
      <c r="A517" s="28"/>
      <c r="B517" s="29"/>
      <c r="C517" s="29"/>
      <c r="D517" s="30"/>
      <c r="E517" s="29"/>
      <c r="F517" s="30"/>
      <c r="G517" s="29"/>
      <c r="H517" s="69"/>
      <c r="I517" s="64"/>
      <c r="J517" s="69"/>
      <c r="K517" s="64"/>
      <c r="L517" s="69"/>
      <c r="M517" s="65"/>
      <c r="N517" s="69"/>
      <c r="O517" s="64"/>
      <c r="P517" s="69"/>
      <c r="Q517" s="64"/>
      <c r="R517" s="69"/>
      <c r="S517" s="64"/>
      <c r="T517" s="69"/>
      <c r="U517" s="64"/>
      <c r="V517" s="69"/>
      <c r="W517" s="65"/>
      <c r="X517" s="69"/>
      <c r="Y517" s="64"/>
      <c r="Z517" s="69"/>
      <c r="AA517" s="64"/>
      <c r="AB517" s="69"/>
      <c r="AC517" s="64"/>
      <c r="AD517" s="69"/>
      <c r="AE517" s="65"/>
      <c r="AF517" s="69"/>
      <c r="AG517" s="65"/>
      <c r="AH517" s="69"/>
      <c r="AI517" s="64"/>
      <c r="AJ517" s="69"/>
      <c r="AK517" s="64"/>
      <c r="AL517" s="69"/>
      <c r="AM517" s="64"/>
      <c r="AN517" s="69"/>
      <c r="AO517" s="64"/>
      <c r="AP517" s="69"/>
      <c r="AQ517" s="64"/>
      <c r="AR517" s="69"/>
      <c r="AS517" s="64"/>
      <c r="AT517" s="69"/>
      <c r="AU517" s="64"/>
      <c r="AV517" s="69"/>
      <c r="AW517" s="64"/>
      <c r="AX517" s="69"/>
      <c r="AY517" s="64"/>
      <c r="AZ517" s="69"/>
      <c r="BA517" s="64"/>
      <c r="BB517" s="69"/>
      <c r="BC517" s="64"/>
      <c r="BD517" s="69"/>
      <c r="BE517" s="64"/>
      <c r="BF517" s="69"/>
      <c r="BG517" s="64"/>
      <c r="BH517" s="69"/>
      <c r="BI517" s="64"/>
      <c r="BJ517" s="69"/>
      <c r="BK517" s="64"/>
      <c r="BL517" s="69"/>
      <c r="BM517" s="64"/>
      <c r="BN517" s="69"/>
      <c r="BO517" s="64"/>
      <c r="BP517" s="69"/>
      <c r="BQ517" s="64"/>
      <c r="BR517" s="69"/>
      <c r="BS517" s="64"/>
      <c r="BT517" s="69"/>
      <c r="BU517" t="b">
        <f t="shared" si="8"/>
        <v>0</v>
      </c>
    </row>
    <row r="518" spans="1:73" x14ac:dyDescent="0.25">
      <c r="A518" s="28"/>
      <c r="B518" s="29"/>
      <c r="C518" s="29"/>
      <c r="D518" s="30"/>
      <c r="E518" s="29"/>
      <c r="F518" s="30"/>
      <c r="G518" s="29"/>
      <c r="H518" s="69"/>
      <c r="I518" s="64"/>
      <c r="J518" s="69"/>
      <c r="K518" s="64"/>
      <c r="L518" s="69"/>
      <c r="M518" s="65"/>
      <c r="N518" s="69"/>
      <c r="O518" s="64"/>
      <c r="P518" s="69"/>
      <c r="Q518" s="64"/>
      <c r="R518" s="69"/>
      <c r="S518" s="64"/>
      <c r="T518" s="69"/>
      <c r="U518" s="64"/>
      <c r="V518" s="69"/>
      <c r="W518" s="65"/>
      <c r="X518" s="69"/>
      <c r="Y518" s="64"/>
      <c r="Z518" s="69"/>
      <c r="AA518" s="64"/>
      <c r="AB518" s="69"/>
      <c r="AC518" s="64"/>
      <c r="AD518" s="69"/>
      <c r="AE518" s="65"/>
      <c r="AF518" s="69"/>
      <c r="AG518" s="65"/>
      <c r="AH518" s="69"/>
      <c r="AI518" s="64"/>
      <c r="AJ518" s="69"/>
      <c r="AK518" s="64"/>
      <c r="AL518" s="69"/>
      <c r="AM518" s="64"/>
      <c r="AN518" s="69"/>
      <c r="AO518" s="64"/>
      <c r="AP518" s="69"/>
      <c r="AQ518" s="64"/>
      <c r="AR518" s="69"/>
      <c r="AS518" s="64"/>
      <c r="AT518" s="69"/>
      <c r="AU518" s="64"/>
      <c r="AV518" s="69"/>
      <c r="AW518" s="64"/>
      <c r="AX518" s="69"/>
      <c r="AY518" s="64"/>
      <c r="AZ518" s="69"/>
      <c r="BA518" s="64"/>
      <c r="BB518" s="69"/>
      <c r="BC518" s="64"/>
      <c r="BD518" s="69"/>
      <c r="BE518" s="64"/>
      <c r="BF518" s="69"/>
      <c r="BG518" s="64"/>
      <c r="BH518" s="69"/>
      <c r="BI518" s="64"/>
      <c r="BJ518" s="69"/>
      <c r="BK518" s="64"/>
      <c r="BL518" s="69"/>
      <c r="BM518" s="64"/>
      <c r="BN518" s="69"/>
      <c r="BO518" s="64"/>
      <c r="BP518" s="69"/>
      <c r="BQ518" s="64"/>
      <c r="BR518" s="69"/>
      <c r="BS518" s="64"/>
      <c r="BT518" s="69"/>
      <c r="BU518" t="b">
        <f t="shared" si="8"/>
        <v>0</v>
      </c>
    </row>
    <row r="519" spans="1:73" x14ac:dyDescent="0.25">
      <c r="A519" s="28"/>
      <c r="B519" s="29"/>
      <c r="C519" s="29"/>
      <c r="D519" s="30"/>
      <c r="E519" s="29"/>
      <c r="F519" s="30"/>
      <c r="G519" s="29"/>
      <c r="H519" s="69"/>
      <c r="I519" s="64"/>
      <c r="J519" s="69"/>
      <c r="K519" s="64"/>
      <c r="L519" s="69"/>
      <c r="M519" s="65"/>
      <c r="N519" s="69"/>
      <c r="O519" s="64"/>
      <c r="P519" s="69"/>
      <c r="Q519" s="64"/>
      <c r="R519" s="69"/>
      <c r="S519" s="64"/>
      <c r="T519" s="69"/>
      <c r="U519" s="64"/>
      <c r="V519" s="69"/>
      <c r="W519" s="65"/>
      <c r="X519" s="69"/>
      <c r="Y519" s="64"/>
      <c r="Z519" s="69"/>
      <c r="AA519" s="64"/>
      <c r="AB519" s="69"/>
      <c r="AC519" s="64"/>
      <c r="AD519" s="69"/>
      <c r="AE519" s="65"/>
      <c r="AF519" s="69"/>
      <c r="AG519" s="65"/>
      <c r="AH519" s="69"/>
      <c r="AI519" s="64"/>
      <c r="AJ519" s="69"/>
      <c r="AK519" s="64"/>
      <c r="AL519" s="69"/>
      <c r="AM519" s="64"/>
      <c r="AN519" s="69"/>
      <c r="AO519" s="64"/>
      <c r="AP519" s="69"/>
      <c r="AQ519" s="64"/>
      <c r="AR519" s="69"/>
      <c r="AS519" s="64"/>
      <c r="AT519" s="69"/>
      <c r="AU519" s="64"/>
      <c r="AV519" s="69"/>
      <c r="AW519" s="64"/>
      <c r="AX519" s="69"/>
      <c r="AY519" s="64"/>
      <c r="AZ519" s="69"/>
      <c r="BA519" s="64"/>
      <c r="BB519" s="69"/>
      <c r="BC519" s="64"/>
      <c r="BD519" s="69"/>
      <c r="BE519" s="64"/>
      <c r="BF519" s="69"/>
      <c r="BG519" s="64"/>
      <c r="BH519" s="69"/>
      <c r="BI519" s="64"/>
      <c r="BJ519" s="69"/>
      <c r="BK519" s="64"/>
      <c r="BL519" s="69"/>
      <c r="BM519" s="64"/>
      <c r="BN519" s="69"/>
      <c r="BO519" s="64"/>
      <c r="BP519" s="69"/>
      <c r="BQ519" s="64"/>
      <c r="BR519" s="69"/>
      <c r="BS519" s="64"/>
      <c r="BT519" s="69"/>
      <c r="BU519" t="b">
        <f t="shared" si="8"/>
        <v>0</v>
      </c>
    </row>
    <row r="520" spans="1:73" x14ac:dyDescent="0.25">
      <c r="A520" s="28"/>
      <c r="B520" s="29"/>
      <c r="C520" s="29"/>
      <c r="D520" s="30"/>
      <c r="E520" s="29"/>
      <c r="F520" s="30"/>
      <c r="G520" s="29"/>
      <c r="H520" s="69"/>
      <c r="I520" s="64"/>
      <c r="J520" s="69"/>
      <c r="K520" s="64"/>
      <c r="L520" s="69"/>
      <c r="M520" s="65"/>
      <c r="N520" s="69"/>
      <c r="O520" s="64"/>
      <c r="P520" s="69"/>
      <c r="Q520" s="64"/>
      <c r="R520" s="69"/>
      <c r="S520" s="64"/>
      <c r="T520" s="69"/>
      <c r="U520" s="64"/>
      <c r="V520" s="69"/>
      <c r="W520" s="65"/>
      <c r="X520" s="69"/>
      <c r="Y520" s="64"/>
      <c r="Z520" s="69"/>
      <c r="AA520" s="64"/>
      <c r="AB520" s="69"/>
      <c r="AC520" s="64"/>
      <c r="AD520" s="69"/>
      <c r="AE520" s="65"/>
      <c r="AF520" s="69"/>
      <c r="AG520" s="65"/>
      <c r="AH520" s="69"/>
      <c r="AI520" s="64"/>
      <c r="AJ520" s="69"/>
      <c r="AK520" s="64"/>
      <c r="AL520" s="69"/>
      <c r="AM520" s="64"/>
      <c r="AN520" s="69"/>
      <c r="AO520" s="64"/>
      <c r="AP520" s="69"/>
      <c r="AQ520" s="64"/>
      <c r="AR520" s="69"/>
      <c r="AS520" s="64"/>
      <c r="AT520" s="69"/>
      <c r="AU520" s="64"/>
      <c r="AV520" s="69"/>
      <c r="AW520" s="64"/>
      <c r="AX520" s="69"/>
      <c r="AY520" s="64"/>
      <c r="AZ520" s="69"/>
      <c r="BA520" s="64"/>
      <c r="BB520" s="69"/>
      <c r="BC520" s="64"/>
      <c r="BD520" s="69"/>
      <c r="BE520" s="64"/>
      <c r="BF520" s="69"/>
      <c r="BG520" s="64"/>
      <c r="BH520" s="69"/>
      <c r="BI520" s="64"/>
      <c r="BJ520" s="69"/>
      <c r="BK520" s="64"/>
      <c r="BL520" s="69"/>
      <c r="BM520" s="64"/>
      <c r="BN520" s="69"/>
      <c r="BO520" s="64"/>
      <c r="BP520" s="69"/>
      <c r="BQ520" s="64"/>
      <c r="BR520" s="69"/>
      <c r="BS520" s="64"/>
      <c r="BT520" s="69"/>
      <c r="BU520" t="b">
        <f t="shared" si="8"/>
        <v>0</v>
      </c>
    </row>
    <row r="521" spans="1:73" x14ac:dyDescent="0.25">
      <c r="A521" s="28"/>
      <c r="B521" s="29"/>
      <c r="C521" s="29"/>
      <c r="D521" s="30"/>
      <c r="E521" s="29"/>
      <c r="F521" s="30"/>
      <c r="G521" s="29"/>
      <c r="H521" s="69"/>
      <c r="I521" s="64"/>
      <c r="J521" s="69"/>
      <c r="K521" s="64"/>
      <c r="L521" s="69"/>
      <c r="M521" s="65"/>
      <c r="N521" s="69"/>
      <c r="O521" s="64"/>
      <c r="P521" s="69"/>
      <c r="Q521" s="64"/>
      <c r="R521" s="69"/>
      <c r="S521" s="64"/>
      <c r="T521" s="69"/>
      <c r="U521" s="64"/>
      <c r="V521" s="69"/>
      <c r="W521" s="65"/>
      <c r="X521" s="69"/>
      <c r="Y521" s="64"/>
      <c r="Z521" s="69"/>
      <c r="AA521" s="64"/>
      <c r="AB521" s="69"/>
      <c r="AC521" s="64"/>
      <c r="AD521" s="69"/>
      <c r="AE521" s="65"/>
      <c r="AF521" s="69"/>
      <c r="AG521" s="65"/>
      <c r="AH521" s="69"/>
      <c r="AI521" s="64"/>
      <c r="AJ521" s="69"/>
      <c r="AK521" s="64"/>
      <c r="AL521" s="69"/>
      <c r="AM521" s="64"/>
      <c r="AN521" s="69"/>
      <c r="AO521" s="64"/>
      <c r="AP521" s="69"/>
      <c r="AQ521" s="64"/>
      <c r="AR521" s="69"/>
      <c r="AS521" s="64"/>
      <c r="AT521" s="69"/>
      <c r="AU521" s="64"/>
      <c r="AV521" s="69"/>
      <c r="AW521" s="64"/>
      <c r="AX521" s="69"/>
      <c r="AY521" s="64"/>
      <c r="AZ521" s="69"/>
      <c r="BA521" s="64"/>
      <c r="BB521" s="69"/>
      <c r="BC521" s="64"/>
      <c r="BD521" s="69"/>
      <c r="BE521" s="64"/>
      <c r="BF521" s="69"/>
      <c r="BG521" s="64"/>
      <c r="BH521" s="69"/>
      <c r="BI521" s="64"/>
      <c r="BJ521" s="69"/>
      <c r="BK521" s="64"/>
      <c r="BL521" s="69"/>
      <c r="BM521" s="64"/>
      <c r="BN521" s="69"/>
      <c r="BO521" s="64"/>
      <c r="BP521" s="69"/>
      <c r="BQ521" s="64"/>
      <c r="BR521" s="69"/>
      <c r="BS521" s="64"/>
      <c r="BT521" s="69"/>
      <c r="BU521" t="b">
        <f t="shared" si="8"/>
        <v>0</v>
      </c>
    </row>
    <row r="522" spans="1:73" x14ac:dyDescent="0.25">
      <c r="A522" s="28"/>
      <c r="B522" s="29"/>
      <c r="C522" s="29"/>
      <c r="D522" s="30"/>
      <c r="E522" s="29"/>
      <c r="F522" s="30"/>
      <c r="G522" s="29"/>
      <c r="H522" s="69"/>
      <c r="I522" s="64"/>
      <c r="J522" s="69"/>
      <c r="K522" s="64"/>
      <c r="L522" s="69"/>
      <c r="M522" s="65"/>
      <c r="N522" s="69"/>
      <c r="O522" s="64"/>
      <c r="P522" s="69"/>
      <c r="Q522" s="64"/>
      <c r="R522" s="69"/>
      <c r="S522" s="64"/>
      <c r="T522" s="69"/>
      <c r="U522" s="64"/>
      <c r="V522" s="69"/>
      <c r="W522" s="65"/>
      <c r="X522" s="69"/>
      <c r="Y522" s="64"/>
      <c r="Z522" s="69"/>
      <c r="AA522" s="64"/>
      <c r="AB522" s="69"/>
      <c r="AC522" s="64"/>
      <c r="AD522" s="69"/>
      <c r="AE522" s="65"/>
      <c r="AF522" s="69"/>
      <c r="AG522" s="65"/>
      <c r="AH522" s="69"/>
      <c r="AI522" s="64"/>
      <c r="AJ522" s="69"/>
      <c r="AK522" s="64"/>
      <c r="AL522" s="69"/>
      <c r="AM522" s="64"/>
      <c r="AN522" s="69"/>
      <c r="AO522" s="64"/>
      <c r="AP522" s="69"/>
      <c r="AQ522" s="64"/>
      <c r="AR522" s="69"/>
      <c r="AS522" s="64"/>
      <c r="AT522" s="69"/>
      <c r="AU522" s="64"/>
      <c r="AV522" s="69"/>
      <c r="AW522" s="64"/>
      <c r="AX522" s="69"/>
      <c r="AY522" s="64"/>
      <c r="AZ522" s="69"/>
      <c r="BA522" s="64"/>
      <c r="BB522" s="69"/>
      <c r="BC522" s="64"/>
      <c r="BD522" s="69"/>
      <c r="BE522" s="64"/>
      <c r="BF522" s="69"/>
      <c r="BG522" s="64"/>
      <c r="BH522" s="69"/>
      <c r="BI522" s="64"/>
      <c r="BJ522" s="69"/>
      <c r="BK522" s="64"/>
      <c r="BL522" s="69"/>
      <c r="BM522" s="64"/>
      <c r="BN522" s="69"/>
      <c r="BO522" s="64"/>
      <c r="BP522" s="69"/>
      <c r="BQ522" s="64"/>
      <c r="BR522" s="69"/>
      <c r="BS522" s="64"/>
      <c r="BT522" s="69"/>
      <c r="BU522" t="b">
        <f t="shared" si="8"/>
        <v>0</v>
      </c>
    </row>
    <row r="523" spans="1:73" x14ac:dyDescent="0.25">
      <c r="A523" s="28"/>
      <c r="B523" s="29"/>
      <c r="C523" s="29"/>
      <c r="D523" s="30"/>
      <c r="E523" s="29"/>
      <c r="F523" s="30"/>
      <c r="G523" s="29"/>
      <c r="H523" s="69"/>
      <c r="I523" s="64"/>
      <c r="J523" s="69"/>
      <c r="K523" s="64"/>
      <c r="L523" s="69"/>
      <c r="M523" s="65"/>
      <c r="N523" s="69"/>
      <c r="O523" s="64"/>
      <c r="P523" s="69"/>
      <c r="Q523" s="64"/>
      <c r="R523" s="69"/>
      <c r="S523" s="64"/>
      <c r="T523" s="69"/>
      <c r="U523" s="64"/>
      <c r="V523" s="69"/>
      <c r="W523" s="65"/>
      <c r="X523" s="69"/>
      <c r="Y523" s="64"/>
      <c r="Z523" s="69"/>
      <c r="AA523" s="64"/>
      <c r="AB523" s="69"/>
      <c r="AC523" s="64"/>
      <c r="AD523" s="69"/>
      <c r="AE523" s="65"/>
      <c r="AF523" s="69"/>
      <c r="AG523" s="65"/>
      <c r="AH523" s="69"/>
      <c r="AI523" s="64"/>
      <c r="AJ523" s="69"/>
      <c r="AK523" s="64"/>
      <c r="AL523" s="69"/>
      <c r="AM523" s="64"/>
      <c r="AN523" s="69"/>
      <c r="AO523" s="64"/>
      <c r="AP523" s="69"/>
      <c r="AQ523" s="64"/>
      <c r="AR523" s="69"/>
      <c r="AS523" s="64"/>
      <c r="AT523" s="69"/>
      <c r="AU523" s="64"/>
      <c r="AV523" s="69"/>
      <c r="AW523" s="64"/>
      <c r="AX523" s="69"/>
      <c r="AY523" s="64"/>
      <c r="AZ523" s="69"/>
      <c r="BA523" s="64"/>
      <c r="BB523" s="69"/>
      <c r="BC523" s="64"/>
      <c r="BD523" s="69"/>
      <c r="BE523" s="64"/>
      <c r="BF523" s="69"/>
      <c r="BG523" s="64"/>
      <c r="BH523" s="69"/>
      <c r="BI523" s="64"/>
      <c r="BJ523" s="69"/>
      <c r="BK523" s="64"/>
      <c r="BL523" s="69"/>
      <c r="BM523" s="64"/>
      <c r="BN523" s="69"/>
      <c r="BO523" s="64"/>
      <c r="BP523" s="69"/>
      <c r="BQ523" s="64"/>
      <c r="BR523" s="69"/>
      <c r="BS523" s="64"/>
      <c r="BT523" s="69"/>
      <c r="BU523" t="b">
        <f t="shared" si="8"/>
        <v>0</v>
      </c>
    </row>
    <row r="524" spans="1:73" x14ac:dyDescent="0.25">
      <c r="A524" s="28"/>
      <c r="B524" s="29"/>
      <c r="C524" s="29"/>
      <c r="D524" s="30"/>
      <c r="E524" s="29"/>
      <c r="F524" s="30"/>
      <c r="G524" s="29"/>
      <c r="H524" s="69"/>
      <c r="I524" s="64"/>
      <c r="J524" s="69"/>
      <c r="K524" s="64"/>
      <c r="L524" s="69"/>
      <c r="M524" s="65"/>
      <c r="N524" s="69"/>
      <c r="O524" s="64"/>
      <c r="P524" s="69"/>
      <c r="Q524" s="64"/>
      <c r="R524" s="69"/>
      <c r="S524" s="64"/>
      <c r="T524" s="69"/>
      <c r="U524" s="64"/>
      <c r="V524" s="69"/>
      <c r="W524" s="65"/>
      <c r="X524" s="69"/>
      <c r="Y524" s="64"/>
      <c r="Z524" s="69"/>
      <c r="AA524" s="64"/>
      <c r="AB524" s="69"/>
      <c r="AC524" s="64"/>
      <c r="AD524" s="69"/>
      <c r="AE524" s="65"/>
      <c r="AF524" s="69"/>
      <c r="AG524" s="65"/>
      <c r="AH524" s="69"/>
      <c r="AI524" s="64"/>
      <c r="AJ524" s="69"/>
      <c r="AK524" s="64"/>
      <c r="AL524" s="69"/>
      <c r="AM524" s="64"/>
      <c r="AN524" s="69"/>
      <c r="AO524" s="64"/>
      <c r="AP524" s="69"/>
      <c r="AQ524" s="64"/>
      <c r="AR524" s="69"/>
      <c r="AS524" s="64"/>
      <c r="AT524" s="69"/>
      <c r="AU524" s="64"/>
      <c r="AV524" s="69"/>
      <c r="AW524" s="64"/>
      <c r="AX524" s="69"/>
      <c r="AY524" s="64"/>
      <c r="AZ524" s="69"/>
      <c r="BA524" s="64"/>
      <c r="BB524" s="69"/>
      <c r="BC524" s="64"/>
      <c r="BD524" s="69"/>
      <c r="BE524" s="64"/>
      <c r="BF524" s="69"/>
      <c r="BG524" s="64"/>
      <c r="BH524" s="69"/>
      <c r="BI524" s="64"/>
      <c r="BJ524" s="69"/>
      <c r="BK524" s="64"/>
      <c r="BL524" s="69"/>
      <c r="BM524" s="64"/>
      <c r="BN524" s="69"/>
      <c r="BO524" s="64"/>
      <c r="BP524" s="69"/>
      <c r="BQ524" s="64"/>
      <c r="BR524" s="69"/>
      <c r="BS524" s="64"/>
      <c r="BT524" s="69"/>
      <c r="BU524" t="b">
        <f t="shared" si="8"/>
        <v>0</v>
      </c>
    </row>
    <row r="525" spans="1:73" x14ac:dyDescent="0.25">
      <c r="A525" s="28"/>
      <c r="B525" s="29"/>
      <c r="C525" s="29"/>
      <c r="D525" s="30"/>
      <c r="E525" s="29"/>
      <c r="F525" s="30"/>
      <c r="G525" s="29"/>
      <c r="H525" s="69"/>
      <c r="I525" s="64"/>
      <c r="J525" s="69"/>
      <c r="K525" s="64"/>
      <c r="L525" s="69"/>
      <c r="M525" s="65"/>
      <c r="N525" s="69"/>
      <c r="O525" s="64"/>
      <c r="P525" s="69"/>
      <c r="Q525" s="64"/>
      <c r="R525" s="69"/>
      <c r="S525" s="64"/>
      <c r="T525" s="69"/>
      <c r="U525" s="64"/>
      <c r="V525" s="69"/>
      <c r="W525" s="65"/>
      <c r="X525" s="69"/>
      <c r="Y525" s="64"/>
      <c r="Z525" s="69"/>
      <c r="AA525" s="64"/>
      <c r="AB525" s="69"/>
      <c r="AC525" s="64"/>
      <c r="AD525" s="69"/>
      <c r="AE525" s="65"/>
      <c r="AF525" s="69"/>
      <c r="AG525" s="65"/>
      <c r="AH525" s="69"/>
      <c r="AI525" s="64"/>
      <c r="AJ525" s="69"/>
      <c r="AK525" s="64"/>
      <c r="AL525" s="69"/>
      <c r="AM525" s="64"/>
      <c r="AN525" s="69"/>
      <c r="AO525" s="64"/>
      <c r="AP525" s="69"/>
      <c r="AQ525" s="64"/>
      <c r="AR525" s="69"/>
      <c r="AS525" s="64"/>
      <c r="AT525" s="69"/>
      <c r="AU525" s="64"/>
      <c r="AV525" s="69"/>
      <c r="AW525" s="64"/>
      <c r="AX525" s="69"/>
      <c r="AY525" s="64"/>
      <c r="AZ525" s="69"/>
      <c r="BA525" s="64"/>
      <c r="BB525" s="69"/>
      <c r="BC525" s="64"/>
      <c r="BD525" s="69"/>
      <c r="BE525" s="64"/>
      <c r="BF525" s="69"/>
      <c r="BG525" s="64"/>
      <c r="BH525" s="69"/>
      <c r="BI525" s="64"/>
      <c r="BJ525" s="69"/>
      <c r="BK525" s="64"/>
      <c r="BL525" s="69"/>
      <c r="BM525" s="64"/>
      <c r="BN525" s="69"/>
      <c r="BO525" s="64"/>
      <c r="BP525" s="69"/>
      <c r="BQ525" s="64"/>
      <c r="BR525" s="69"/>
      <c r="BS525" s="64"/>
      <c r="BT525" s="69"/>
      <c r="BU525" t="b">
        <f t="shared" si="8"/>
        <v>0</v>
      </c>
    </row>
    <row r="526" spans="1:73" x14ac:dyDescent="0.25">
      <c r="A526" s="28"/>
      <c r="B526" s="29"/>
      <c r="C526" s="29"/>
      <c r="D526" s="30"/>
      <c r="E526" s="29"/>
      <c r="F526" s="30"/>
      <c r="G526" s="29"/>
      <c r="H526" s="69"/>
      <c r="I526" s="64"/>
      <c r="J526" s="69"/>
      <c r="K526" s="64"/>
      <c r="L526" s="69"/>
      <c r="M526" s="65"/>
      <c r="N526" s="69"/>
      <c r="O526" s="64"/>
      <c r="P526" s="69"/>
      <c r="Q526" s="64"/>
      <c r="R526" s="69"/>
      <c r="S526" s="64"/>
      <c r="T526" s="69"/>
      <c r="U526" s="64"/>
      <c r="V526" s="69"/>
      <c r="W526" s="65"/>
      <c r="X526" s="69"/>
      <c r="Y526" s="64"/>
      <c r="Z526" s="69"/>
      <c r="AA526" s="64"/>
      <c r="AB526" s="69"/>
      <c r="AC526" s="64"/>
      <c r="AD526" s="69"/>
      <c r="AE526" s="65"/>
      <c r="AF526" s="69"/>
      <c r="AG526" s="65"/>
      <c r="AH526" s="69"/>
      <c r="AI526" s="64"/>
      <c r="AJ526" s="69"/>
      <c r="AK526" s="64"/>
      <c r="AL526" s="69"/>
      <c r="AM526" s="64"/>
      <c r="AN526" s="69"/>
      <c r="AO526" s="64"/>
      <c r="AP526" s="69"/>
      <c r="AQ526" s="64"/>
      <c r="AR526" s="69"/>
      <c r="AS526" s="64"/>
      <c r="AT526" s="69"/>
      <c r="AU526" s="64"/>
      <c r="AV526" s="69"/>
      <c r="AW526" s="64"/>
      <c r="AX526" s="69"/>
      <c r="AY526" s="64"/>
      <c r="AZ526" s="69"/>
      <c r="BA526" s="64"/>
      <c r="BB526" s="69"/>
      <c r="BC526" s="64"/>
      <c r="BD526" s="69"/>
      <c r="BE526" s="64"/>
      <c r="BF526" s="69"/>
      <c r="BG526" s="64"/>
      <c r="BH526" s="69"/>
      <c r="BI526" s="64"/>
      <c r="BJ526" s="69"/>
      <c r="BK526" s="64"/>
      <c r="BL526" s="69"/>
      <c r="BM526" s="64"/>
      <c r="BN526" s="69"/>
      <c r="BO526" s="64"/>
      <c r="BP526" s="69"/>
      <c r="BQ526" s="64"/>
      <c r="BR526" s="69"/>
      <c r="BS526" s="64"/>
      <c r="BT526" s="69"/>
      <c r="BU526" t="b">
        <f t="shared" si="8"/>
        <v>0</v>
      </c>
    </row>
    <row r="527" spans="1:73" x14ac:dyDescent="0.25">
      <c r="A527" s="28"/>
      <c r="B527" s="29"/>
      <c r="C527" s="29"/>
      <c r="D527" s="30"/>
      <c r="E527" s="29"/>
      <c r="F527" s="30"/>
      <c r="G527" s="29"/>
      <c r="H527" s="69"/>
      <c r="I527" s="64"/>
      <c r="J527" s="69"/>
      <c r="K527" s="64"/>
      <c r="L527" s="69"/>
      <c r="M527" s="65"/>
      <c r="N527" s="69"/>
      <c r="O527" s="64"/>
      <c r="P527" s="69"/>
      <c r="Q527" s="64"/>
      <c r="R527" s="69"/>
      <c r="S527" s="64"/>
      <c r="T527" s="69"/>
      <c r="U527" s="64"/>
      <c r="V527" s="69"/>
      <c r="W527" s="65"/>
      <c r="X527" s="69"/>
      <c r="Y527" s="64"/>
      <c r="Z527" s="69"/>
      <c r="AA527" s="64"/>
      <c r="AB527" s="69"/>
      <c r="AC527" s="64"/>
      <c r="AD527" s="69"/>
      <c r="AE527" s="65"/>
      <c r="AF527" s="69"/>
      <c r="AG527" s="65"/>
      <c r="AH527" s="69"/>
      <c r="AI527" s="64"/>
      <c r="AJ527" s="69"/>
      <c r="AK527" s="64"/>
      <c r="AL527" s="69"/>
      <c r="AM527" s="64"/>
      <c r="AN527" s="69"/>
      <c r="AO527" s="64"/>
      <c r="AP527" s="69"/>
      <c r="AQ527" s="64"/>
      <c r="AR527" s="69"/>
      <c r="AS527" s="64"/>
      <c r="AT527" s="69"/>
      <c r="AU527" s="64"/>
      <c r="AV527" s="69"/>
      <c r="AW527" s="64"/>
      <c r="AX527" s="69"/>
      <c r="AY527" s="64"/>
      <c r="AZ527" s="69"/>
      <c r="BA527" s="64"/>
      <c r="BB527" s="69"/>
      <c r="BC527" s="64"/>
      <c r="BD527" s="69"/>
      <c r="BE527" s="64"/>
      <c r="BF527" s="69"/>
      <c r="BG527" s="64"/>
      <c r="BH527" s="69"/>
      <c r="BI527" s="64"/>
      <c r="BJ527" s="69"/>
      <c r="BK527" s="64"/>
      <c r="BL527" s="69"/>
      <c r="BM527" s="64"/>
      <c r="BN527" s="69"/>
      <c r="BO527" s="64"/>
      <c r="BP527" s="69"/>
      <c r="BQ527" s="64"/>
      <c r="BR527" s="69"/>
      <c r="BS527" s="64"/>
      <c r="BT527" s="69"/>
      <c r="BU527" t="b">
        <f t="shared" si="8"/>
        <v>0</v>
      </c>
    </row>
    <row r="528" spans="1:73" x14ac:dyDescent="0.25">
      <c r="A528" s="28"/>
      <c r="B528" s="29"/>
      <c r="C528" s="29"/>
      <c r="D528" s="30"/>
      <c r="E528" s="29"/>
      <c r="F528" s="30"/>
      <c r="G528" s="29"/>
      <c r="H528" s="69"/>
      <c r="I528" s="64"/>
      <c r="J528" s="69"/>
      <c r="K528" s="64"/>
      <c r="L528" s="69"/>
      <c r="M528" s="65"/>
      <c r="N528" s="69"/>
      <c r="O528" s="64"/>
      <c r="P528" s="69"/>
      <c r="Q528" s="64"/>
      <c r="R528" s="69"/>
      <c r="S528" s="64"/>
      <c r="T528" s="69"/>
      <c r="U528" s="64"/>
      <c r="V528" s="69"/>
      <c r="W528" s="65"/>
      <c r="X528" s="69"/>
      <c r="Y528" s="64"/>
      <c r="Z528" s="69"/>
      <c r="AA528" s="64"/>
      <c r="AB528" s="69"/>
      <c r="AC528" s="64"/>
      <c r="AD528" s="69"/>
      <c r="AE528" s="65"/>
      <c r="AF528" s="69"/>
      <c r="AG528" s="65"/>
      <c r="AH528" s="69"/>
      <c r="AI528" s="64"/>
      <c r="AJ528" s="69"/>
      <c r="AK528" s="64"/>
      <c r="AL528" s="69"/>
      <c r="AM528" s="64"/>
      <c r="AN528" s="69"/>
      <c r="AO528" s="64"/>
      <c r="AP528" s="69"/>
      <c r="AQ528" s="64"/>
      <c r="AR528" s="69"/>
      <c r="AS528" s="64"/>
      <c r="AT528" s="69"/>
      <c r="AU528" s="64"/>
      <c r="AV528" s="69"/>
      <c r="AW528" s="64"/>
      <c r="AX528" s="69"/>
      <c r="AY528" s="64"/>
      <c r="AZ528" s="69"/>
      <c r="BA528" s="64"/>
      <c r="BB528" s="69"/>
      <c r="BC528" s="64"/>
      <c r="BD528" s="69"/>
      <c r="BE528" s="64"/>
      <c r="BF528" s="69"/>
      <c r="BG528" s="64"/>
      <c r="BH528" s="69"/>
      <c r="BI528" s="64"/>
      <c r="BJ528" s="69"/>
      <c r="BK528" s="64"/>
      <c r="BL528" s="69"/>
      <c r="BM528" s="64"/>
      <c r="BN528" s="69"/>
      <c r="BO528" s="64"/>
      <c r="BP528" s="69"/>
      <c r="BQ528" s="64"/>
      <c r="BR528" s="69"/>
      <c r="BS528" s="64"/>
      <c r="BT528" s="69"/>
      <c r="BU528" t="b">
        <f t="shared" si="8"/>
        <v>0</v>
      </c>
    </row>
    <row r="529" spans="1:73" x14ac:dyDescent="0.25">
      <c r="A529" s="28"/>
      <c r="B529" s="29"/>
      <c r="C529" s="29"/>
      <c r="D529" s="30"/>
      <c r="E529" s="29"/>
      <c r="F529" s="30"/>
      <c r="G529" s="29"/>
      <c r="H529" s="69"/>
      <c r="I529" s="64"/>
      <c r="J529" s="69"/>
      <c r="K529" s="64"/>
      <c r="L529" s="69"/>
      <c r="M529" s="65"/>
      <c r="N529" s="69"/>
      <c r="O529" s="64"/>
      <c r="P529" s="69"/>
      <c r="Q529" s="64"/>
      <c r="R529" s="69"/>
      <c r="S529" s="64"/>
      <c r="T529" s="69"/>
      <c r="U529" s="64"/>
      <c r="V529" s="69"/>
      <c r="W529" s="65"/>
      <c r="X529" s="69"/>
      <c r="Y529" s="64"/>
      <c r="Z529" s="69"/>
      <c r="AA529" s="64"/>
      <c r="AB529" s="69"/>
      <c r="AC529" s="64"/>
      <c r="AD529" s="69"/>
      <c r="AE529" s="65"/>
      <c r="AF529" s="69"/>
      <c r="AG529" s="65"/>
      <c r="AH529" s="69"/>
      <c r="AI529" s="64"/>
      <c r="AJ529" s="69"/>
      <c r="AK529" s="64"/>
      <c r="AL529" s="69"/>
      <c r="AM529" s="64"/>
      <c r="AN529" s="69"/>
      <c r="AO529" s="64"/>
      <c r="AP529" s="69"/>
      <c r="AQ529" s="64"/>
      <c r="AR529" s="69"/>
      <c r="AS529" s="64"/>
      <c r="AT529" s="69"/>
      <c r="AU529" s="64"/>
      <c r="AV529" s="69"/>
      <c r="AW529" s="64"/>
      <c r="AX529" s="69"/>
      <c r="AY529" s="64"/>
      <c r="AZ529" s="69"/>
      <c r="BA529" s="64"/>
      <c r="BB529" s="69"/>
      <c r="BC529" s="64"/>
      <c r="BD529" s="69"/>
      <c r="BE529" s="64"/>
      <c r="BF529" s="69"/>
      <c r="BG529" s="64"/>
      <c r="BH529" s="69"/>
      <c r="BI529" s="64"/>
      <c r="BJ529" s="69"/>
      <c r="BK529" s="64"/>
      <c r="BL529" s="69"/>
      <c r="BM529" s="64"/>
      <c r="BN529" s="69"/>
      <c r="BO529" s="64"/>
      <c r="BP529" s="69"/>
      <c r="BQ529" s="64"/>
      <c r="BR529" s="69"/>
      <c r="BS529" s="64"/>
      <c r="BT529" s="69"/>
      <c r="BU529" t="b">
        <f t="shared" si="8"/>
        <v>0</v>
      </c>
    </row>
    <row r="530" spans="1:73" x14ac:dyDescent="0.25">
      <c r="A530" s="28"/>
      <c r="B530" s="29"/>
      <c r="C530" s="29"/>
      <c r="D530" s="30"/>
      <c r="E530" s="29"/>
      <c r="F530" s="30"/>
      <c r="G530" s="29"/>
      <c r="H530" s="69"/>
      <c r="I530" s="64"/>
      <c r="J530" s="69"/>
      <c r="K530" s="64"/>
      <c r="L530" s="69"/>
      <c r="M530" s="65"/>
      <c r="N530" s="69"/>
      <c r="O530" s="64"/>
      <c r="P530" s="69"/>
      <c r="Q530" s="64"/>
      <c r="R530" s="69"/>
      <c r="S530" s="64"/>
      <c r="T530" s="69"/>
      <c r="U530" s="64"/>
      <c r="V530" s="69"/>
      <c r="W530" s="65"/>
      <c r="X530" s="69"/>
      <c r="Y530" s="64"/>
      <c r="Z530" s="69"/>
      <c r="AA530" s="64"/>
      <c r="AB530" s="69"/>
      <c r="AC530" s="64"/>
      <c r="AD530" s="69"/>
      <c r="AE530" s="65"/>
      <c r="AF530" s="69"/>
      <c r="AG530" s="65"/>
      <c r="AH530" s="69"/>
      <c r="AI530" s="64"/>
      <c r="AJ530" s="69"/>
      <c r="AK530" s="64"/>
      <c r="AL530" s="69"/>
      <c r="AM530" s="64"/>
      <c r="AN530" s="69"/>
      <c r="AO530" s="64"/>
      <c r="AP530" s="69"/>
      <c r="AQ530" s="64"/>
      <c r="AR530" s="69"/>
      <c r="AS530" s="64"/>
      <c r="AT530" s="69"/>
      <c r="AU530" s="64"/>
      <c r="AV530" s="69"/>
      <c r="AW530" s="64"/>
      <c r="AX530" s="69"/>
      <c r="AY530" s="64"/>
      <c r="AZ530" s="69"/>
      <c r="BA530" s="64"/>
      <c r="BB530" s="69"/>
      <c r="BC530" s="64"/>
      <c r="BD530" s="69"/>
      <c r="BE530" s="64"/>
      <c r="BF530" s="69"/>
      <c r="BG530" s="64"/>
      <c r="BH530" s="69"/>
      <c r="BI530" s="64"/>
      <c r="BJ530" s="69"/>
      <c r="BK530" s="64"/>
      <c r="BL530" s="69"/>
      <c r="BM530" s="64"/>
      <c r="BN530" s="69"/>
      <c r="BO530" s="64"/>
      <c r="BP530" s="69"/>
      <c r="BQ530" s="64"/>
      <c r="BR530" s="69"/>
      <c r="BS530" s="64"/>
      <c r="BT530" s="69"/>
      <c r="BU530" t="b">
        <f t="shared" si="8"/>
        <v>0</v>
      </c>
    </row>
    <row r="531" spans="1:73" x14ac:dyDescent="0.25">
      <c r="A531" s="28"/>
      <c r="B531" s="29"/>
      <c r="C531" s="29"/>
      <c r="D531" s="30"/>
      <c r="E531" s="29"/>
      <c r="F531" s="30"/>
      <c r="G531" s="29"/>
      <c r="H531" s="69"/>
      <c r="I531" s="64"/>
      <c r="J531" s="69"/>
      <c r="K531" s="64"/>
      <c r="L531" s="69"/>
      <c r="M531" s="65"/>
      <c r="N531" s="69"/>
      <c r="O531" s="64"/>
      <c r="P531" s="69"/>
      <c r="Q531" s="64"/>
      <c r="R531" s="69"/>
      <c r="S531" s="64"/>
      <c r="T531" s="69"/>
      <c r="U531" s="64"/>
      <c r="V531" s="69"/>
      <c r="W531" s="65"/>
      <c r="X531" s="69"/>
      <c r="Y531" s="64"/>
      <c r="Z531" s="69"/>
      <c r="AA531" s="64"/>
      <c r="AB531" s="69"/>
      <c r="AC531" s="64"/>
      <c r="AD531" s="69"/>
      <c r="AE531" s="65"/>
      <c r="AF531" s="69"/>
      <c r="AG531" s="65"/>
      <c r="AH531" s="69"/>
      <c r="AI531" s="64"/>
      <c r="AJ531" s="69"/>
      <c r="AK531" s="64"/>
      <c r="AL531" s="69"/>
      <c r="AM531" s="64"/>
      <c r="AN531" s="69"/>
      <c r="AO531" s="64"/>
      <c r="AP531" s="69"/>
      <c r="AQ531" s="64"/>
      <c r="AR531" s="69"/>
      <c r="AS531" s="64"/>
      <c r="AT531" s="69"/>
      <c r="AU531" s="64"/>
      <c r="AV531" s="69"/>
      <c r="AW531" s="64"/>
      <c r="AX531" s="69"/>
      <c r="AY531" s="64"/>
      <c r="AZ531" s="69"/>
      <c r="BA531" s="64"/>
      <c r="BB531" s="69"/>
      <c r="BC531" s="64"/>
      <c r="BD531" s="69"/>
      <c r="BE531" s="64"/>
      <c r="BF531" s="69"/>
      <c r="BG531" s="64"/>
      <c r="BH531" s="69"/>
      <c r="BI531" s="64"/>
      <c r="BJ531" s="69"/>
      <c r="BK531" s="64"/>
      <c r="BL531" s="69"/>
      <c r="BM531" s="64"/>
      <c r="BN531" s="69"/>
      <c r="BO531" s="64"/>
      <c r="BP531" s="69"/>
      <c r="BQ531" s="64"/>
      <c r="BR531" s="69"/>
      <c r="BS531" s="64"/>
      <c r="BT531" s="69"/>
      <c r="BU531" t="b">
        <f t="shared" si="8"/>
        <v>0</v>
      </c>
    </row>
    <row r="532" spans="1:73" x14ac:dyDescent="0.25">
      <c r="A532" s="28"/>
      <c r="B532" s="29"/>
      <c r="C532" s="29"/>
      <c r="D532" s="30"/>
      <c r="E532" s="29"/>
      <c r="F532" s="30"/>
      <c r="G532" s="29"/>
      <c r="H532" s="69"/>
      <c r="I532" s="64"/>
      <c r="J532" s="69"/>
      <c r="K532" s="64"/>
      <c r="L532" s="69"/>
      <c r="M532" s="65"/>
      <c r="N532" s="69"/>
      <c r="O532" s="64"/>
      <c r="P532" s="69"/>
      <c r="Q532" s="64"/>
      <c r="R532" s="69"/>
      <c r="S532" s="64"/>
      <c r="T532" s="69"/>
      <c r="U532" s="64"/>
      <c r="V532" s="69"/>
      <c r="W532" s="65"/>
      <c r="X532" s="69"/>
      <c r="Y532" s="64"/>
      <c r="Z532" s="69"/>
      <c r="AA532" s="64"/>
      <c r="AB532" s="69"/>
      <c r="AC532" s="64"/>
      <c r="AD532" s="69"/>
      <c r="AE532" s="65"/>
      <c r="AF532" s="69"/>
      <c r="AG532" s="65"/>
      <c r="AH532" s="69"/>
      <c r="AI532" s="64"/>
      <c r="AJ532" s="69"/>
      <c r="AK532" s="64"/>
      <c r="AL532" s="69"/>
      <c r="AM532" s="64"/>
      <c r="AN532" s="69"/>
      <c r="AO532" s="64"/>
      <c r="AP532" s="69"/>
      <c r="AQ532" s="64"/>
      <c r="AR532" s="69"/>
      <c r="AS532" s="64"/>
      <c r="AT532" s="69"/>
      <c r="AU532" s="64"/>
      <c r="AV532" s="69"/>
      <c r="AW532" s="64"/>
      <c r="AX532" s="69"/>
      <c r="AY532" s="64"/>
      <c r="AZ532" s="69"/>
      <c r="BA532" s="64"/>
      <c r="BB532" s="69"/>
      <c r="BC532" s="64"/>
      <c r="BD532" s="69"/>
      <c r="BE532" s="64"/>
      <c r="BF532" s="69"/>
      <c r="BG532" s="64"/>
      <c r="BH532" s="69"/>
      <c r="BI532" s="64"/>
      <c r="BJ532" s="69"/>
      <c r="BK532" s="64"/>
      <c r="BL532" s="69"/>
      <c r="BM532" s="64"/>
      <c r="BN532" s="69"/>
      <c r="BO532" s="64"/>
      <c r="BP532" s="69"/>
      <c r="BQ532" s="64"/>
      <c r="BR532" s="69"/>
      <c r="BS532" s="64"/>
      <c r="BT532" s="69"/>
      <c r="BU532" t="b">
        <f t="shared" si="8"/>
        <v>0</v>
      </c>
    </row>
    <row r="533" spans="1:73" x14ac:dyDescent="0.25">
      <c r="A533" s="28"/>
      <c r="B533" s="29"/>
      <c r="C533" s="29"/>
      <c r="D533" s="30"/>
      <c r="E533" s="29"/>
      <c r="F533" s="30"/>
      <c r="G533" s="29"/>
      <c r="H533" s="69"/>
      <c r="I533" s="64"/>
      <c r="J533" s="69"/>
      <c r="K533" s="64"/>
      <c r="L533" s="69"/>
      <c r="M533" s="65"/>
      <c r="N533" s="69"/>
      <c r="O533" s="64"/>
      <c r="P533" s="69"/>
      <c r="Q533" s="64"/>
      <c r="R533" s="69"/>
      <c r="S533" s="64"/>
      <c r="T533" s="69"/>
      <c r="U533" s="64"/>
      <c r="V533" s="69"/>
      <c r="W533" s="65"/>
      <c r="X533" s="69"/>
      <c r="Y533" s="64"/>
      <c r="Z533" s="69"/>
      <c r="AA533" s="64"/>
      <c r="AB533" s="69"/>
      <c r="AC533" s="64"/>
      <c r="AD533" s="69"/>
      <c r="AE533" s="65"/>
      <c r="AF533" s="69"/>
      <c r="AG533" s="65"/>
      <c r="AH533" s="69"/>
      <c r="AI533" s="64"/>
      <c r="AJ533" s="69"/>
      <c r="AK533" s="64"/>
      <c r="AL533" s="69"/>
      <c r="AM533" s="64"/>
      <c r="AN533" s="69"/>
      <c r="AO533" s="64"/>
      <c r="AP533" s="69"/>
      <c r="AQ533" s="64"/>
      <c r="AR533" s="69"/>
      <c r="AS533" s="64"/>
      <c r="AT533" s="69"/>
      <c r="AU533" s="64"/>
      <c r="AV533" s="69"/>
      <c r="AW533" s="64"/>
      <c r="AX533" s="69"/>
      <c r="AY533" s="64"/>
      <c r="AZ533" s="69"/>
      <c r="BA533" s="64"/>
      <c r="BB533" s="69"/>
      <c r="BC533" s="64"/>
      <c r="BD533" s="69"/>
      <c r="BE533" s="64"/>
      <c r="BF533" s="69"/>
      <c r="BG533" s="64"/>
      <c r="BH533" s="69"/>
      <c r="BI533" s="64"/>
      <c r="BJ533" s="69"/>
      <c r="BK533" s="64"/>
      <c r="BL533" s="69"/>
      <c r="BM533" s="64"/>
      <c r="BN533" s="69"/>
      <c r="BO533" s="64"/>
      <c r="BP533" s="69"/>
      <c r="BQ533" s="64"/>
      <c r="BR533" s="69"/>
      <c r="BS533" s="64"/>
      <c r="BT533" s="69"/>
      <c r="BU533" t="b">
        <f t="shared" si="8"/>
        <v>0</v>
      </c>
    </row>
    <row r="534" spans="1:73" x14ac:dyDescent="0.25">
      <c r="A534" s="28"/>
      <c r="B534" s="29"/>
      <c r="C534" s="29"/>
      <c r="D534" s="30"/>
      <c r="E534" s="29"/>
      <c r="F534" s="30"/>
      <c r="G534" s="29"/>
      <c r="H534" s="69"/>
      <c r="I534" s="64"/>
      <c r="J534" s="69"/>
      <c r="K534" s="64"/>
      <c r="L534" s="69"/>
      <c r="M534" s="65"/>
      <c r="N534" s="69"/>
      <c r="O534" s="64"/>
      <c r="P534" s="69"/>
      <c r="Q534" s="64"/>
      <c r="R534" s="69"/>
      <c r="S534" s="64"/>
      <c r="T534" s="69"/>
      <c r="U534" s="64"/>
      <c r="V534" s="69"/>
      <c r="W534" s="65"/>
      <c r="X534" s="69"/>
      <c r="Y534" s="64"/>
      <c r="Z534" s="69"/>
      <c r="AA534" s="64"/>
      <c r="AB534" s="69"/>
      <c r="AC534" s="64"/>
      <c r="AD534" s="69"/>
      <c r="AE534" s="65"/>
      <c r="AF534" s="69"/>
      <c r="AG534" s="65"/>
      <c r="AH534" s="69"/>
      <c r="AI534" s="64"/>
      <c r="AJ534" s="69"/>
      <c r="AK534" s="64"/>
      <c r="AL534" s="69"/>
      <c r="AM534" s="64"/>
      <c r="AN534" s="69"/>
      <c r="AO534" s="64"/>
      <c r="AP534" s="69"/>
      <c r="AQ534" s="64"/>
      <c r="AR534" s="69"/>
      <c r="AS534" s="64"/>
      <c r="AT534" s="69"/>
      <c r="AU534" s="64"/>
      <c r="AV534" s="69"/>
      <c r="AW534" s="64"/>
      <c r="AX534" s="69"/>
      <c r="AY534" s="64"/>
      <c r="AZ534" s="69"/>
      <c r="BA534" s="64"/>
      <c r="BB534" s="69"/>
      <c r="BC534" s="64"/>
      <c r="BD534" s="69"/>
      <c r="BE534" s="64"/>
      <c r="BF534" s="69"/>
      <c r="BG534" s="64"/>
      <c r="BH534" s="69"/>
      <c r="BI534" s="64"/>
      <c r="BJ534" s="69"/>
      <c r="BK534" s="64"/>
      <c r="BL534" s="69"/>
      <c r="BM534" s="64"/>
      <c r="BN534" s="69"/>
      <c r="BO534" s="64"/>
      <c r="BP534" s="69"/>
      <c r="BQ534" s="64"/>
      <c r="BR534" s="69"/>
      <c r="BS534" s="64"/>
      <c r="BT534" s="69"/>
      <c r="BU534" t="b">
        <f t="shared" si="8"/>
        <v>0</v>
      </c>
    </row>
    <row r="535" spans="1:73" x14ac:dyDescent="0.25">
      <c r="A535" s="28"/>
      <c r="B535" s="29"/>
      <c r="C535" s="29"/>
      <c r="D535" s="30"/>
      <c r="E535" s="29"/>
      <c r="F535" s="30"/>
      <c r="G535" s="29"/>
      <c r="H535" s="69"/>
      <c r="I535" s="64"/>
      <c r="J535" s="69"/>
      <c r="K535" s="64"/>
      <c r="L535" s="69"/>
      <c r="M535" s="65"/>
      <c r="N535" s="69"/>
      <c r="O535" s="64"/>
      <c r="P535" s="69"/>
      <c r="Q535" s="64"/>
      <c r="R535" s="69"/>
      <c r="S535" s="64"/>
      <c r="T535" s="69"/>
      <c r="U535" s="64"/>
      <c r="V535" s="69"/>
      <c r="W535" s="65"/>
      <c r="X535" s="69"/>
      <c r="Y535" s="64"/>
      <c r="Z535" s="69"/>
      <c r="AA535" s="64"/>
      <c r="AB535" s="69"/>
      <c r="AC535" s="64"/>
      <c r="AD535" s="69"/>
      <c r="AE535" s="65"/>
      <c r="AF535" s="69"/>
      <c r="AG535" s="65"/>
      <c r="AH535" s="69"/>
      <c r="AI535" s="64"/>
      <c r="AJ535" s="69"/>
      <c r="AK535" s="64"/>
      <c r="AL535" s="69"/>
      <c r="AM535" s="64"/>
      <c r="AN535" s="69"/>
      <c r="AO535" s="64"/>
      <c r="AP535" s="69"/>
      <c r="AQ535" s="64"/>
      <c r="AR535" s="69"/>
      <c r="AS535" s="64"/>
      <c r="AT535" s="69"/>
      <c r="AU535" s="64"/>
      <c r="AV535" s="69"/>
      <c r="AW535" s="64"/>
      <c r="AX535" s="69"/>
      <c r="AY535" s="64"/>
      <c r="AZ535" s="69"/>
      <c r="BA535" s="64"/>
      <c r="BB535" s="69"/>
      <c r="BC535" s="64"/>
      <c r="BD535" s="69"/>
      <c r="BE535" s="64"/>
      <c r="BF535" s="69"/>
      <c r="BG535" s="64"/>
      <c r="BH535" s="69"/>
      <c r="BI535" s="64"/>
      <c r="BJ535" s="69"/>
      <c r="BK535" s="64"/>
      <c r="BL535" s="69"/>
      <c r="BM535" s="64"/>
      <c r="BN535" s="69"/>
      <c r="BO535" s="64"/>
      <c r="BP535" s="69"/>
      <c r="BQ535" s="64"/>
      <c r="BR535" s="69"/>
      <c r="BS535" s="64"/>
      <c r="BT535" s="69"/>
      <c r="BU535" t="b">
        <f t="shared" si="8"/>
        <v>0</v>
      </c>
    </row>
    <row r="536" spans="1:73" x14ac:dyDescent="0.25">
      <c r="A536" s="28"/>
      <c r="B536" s="29"/>
      <c r="C536" s="29"/>
      <c r="D536" s="30"/>
      <c r="E536" s="29"/>
      <c r="F536" s="30"/>
      <c r="G536" s="29"/>
      <c r="H536" s="69"/>
      <c r="I536" s="64"/>
      <c r="J536" s="69"/>
      <c r="K536" s="64"/>
      <c r="L536" s="69"/>
      <c r="M536" s="65"/>
      <c r="N536" s="69"/>
      <c r="O536" s="64"/>
      <c r="P536" s="69"/>
      <c r="Q536" s="64"/>
      <c r="R536" s="69"/>
      <c r="S536" s="64"/>
      <c r="T536" s="69"/>
      <c r="U536" s="64"/>
      <c r="V536" s="69"/>
      <c r="W536" s="65"/>
      <c r="X536" s="69"/>
      <c r="Y536" s="64"/>
      <c r="Z536" s="69"/>
      <c r="AA536" s="64"/>
      <c r="AB536" s="69"/>
      <c r="AC536" s="64"/>
      <c r="AD536" s="69"/>
      <c r="AE536" s="65"/>
      <c r="AF536" s="69"/>
      <c r="AG536" s="65"/>
      <c r="AH536" s="69"/>
      <c r="AI536" s="64"/>
      <c r="AJ536" s="69"/>
      <c r="AK536" s="64"/>
      <c r="AL536" s="69"/>
      <c r="AM536" s="64"/>
      <c r="AN536" s="69"/>
      <c r="AO536" s="64"/>
      <c r="AP536" s="69"/>
      <c r="AQ536" s="64"/>
      <c r="AR536" s="69"/>
      <c r="AS536" s="64"/>
      <c r="AT536" s="69"/>
      <c r="AU536" s="64"/>
      <c r="AV536" s="69"/>
      <c r="AW536" s="64"/>
      <c r="AX536" s="69"/>
      <c r="AY536" s="64"/>
      <c r="AZ536" s="69"/>
      <c r="BA536" s="64"/>
      <c r="BB536" s="69"/>
      <c r="BC536" s="64"/>
      <c r="BD536" s="69"/>
      <c r="BE536" s="64"/>
      <c r="BF536" s="69"/>
      <c r="BG536" s="64"/>
      <c r="BH536" s="69"/>
      <c r="BI536" s="64"/>
      <c r="BJ536" s="69"/>
      <c r="BK536" s="64"/>
      <c r="BL536" s="69"/>
      <c r="BM536" s="64"/>
      <c r="BN536" s="69"/>
      <c r="BO536" s="64"/>
      <c r="BP536" s="69"/>
      <c r="BQ536" s="64"/>
      <c r="BR536" s="69"/>
      <c r="BS536" s="64"/>
      <c r="BT536" s="69"/>
      <c r="BU536" t="b">
        <f t="shared" si="8"/>
        <v>0</v>
      </c>
    </row>
    <row r="537" spans="1:73" x14ac:dyDescent="0.25">
      <c r="A537" s="28"/>
      <c r="B537" s="29"/>
      <c r="C537" s="29"/>
      <c r="D537" s="30"/>
      <c r="E537" s="29"/>
      <c r="F537" s="30"/>
      <c r="G537" s="29"/>
      <c r="H537" s="69"/>
      <c r="I537" s="64"/>
      <c r="J537" s="69"/>
      <c r="K537" s="64"/>
      <c r="L537" s="69"/>
      <c r="M537" s="65"/>
      <c r="N537" s="69"/>
      <c r="O537" s="64"/>
      <c r="P537" s="69"/>
      <c r="Q537" s="64"/>
      <c r="R537" s="69"/>
      <c r="S537" s="64"/>
      <c r="T537" s="69"/>
      <c r="U537" s="64"/>
      <c r="V537" s="69"/>
      <c r="W537" s="65"/>
      <c r="X537" s="69"/>
      <c r="Y537" s="64"/>
      <c r="Z537" s="69"/>
      <c r="AA537" s="64"/>
      <c r="AB537" s="69"/>
      <c r="AC537" s="64"/>
      <c r="AD537" s="69"/>
      <c r="AE537" s="65"/>
      <c r="AF537" s="69"/>
      <c r="AG537" s="65"/>
      <c r="AH537" s="69"/>
      <c r="AI537" s="64"/>
      <c r="AJ537" s="69"/>
      <c r="AK537" s="64"/>
      <c r="AL537" s="69"/>
      <c r="AM537" s="64"/>
      <c r="AN537" s="69"/>
      <c r="AO537" s="64"/>
      <c r="AP537" s="69"/>
      <c r="AQ537" s="64"/>
      <c r="AR537" s="69"/>
      <c r="AS537" s="64"/>
      <c r="AT537" s="69"/>
      <c r="AU537" s="64"/>
      <c r="AV537" s="69"/>
      <c r="AW537" s="64"/>
      <c r="AX537" s="69"/>
      <c r="AY537" s="64"/>
      <c r="AZ537" s="69"/>
      <c r="BA537" s="64"/>
      <c r="BB537" s="69"/>
      <c r="BC537" s="64"/>
      <c r="BD537" s="69"/>
      <c r="BE537" s="64"/>
      <c r="BF537" s="69"/>
      <c r="BG537" s="64"/>
      <c r="BH537" s="69"/>
      <c r="BI537" s="64"/>
      <c r="BJ537" s="69"/>
      <c r="BK537" s="64"/>
      <c r="BL537" s="69"/>
      <c r="BM537" s="64"/>
      <c r="BN537" s="69"/>
      <c r="BO537" s="64"/>
      <c r="BP537" s="69"/>
      <c r="BQ537" s="64"/>
      <c r="BR537" s="69"/>
      <c r="BS537" s="64"/>
      <c r="BT537" s="69"/>
      <c r="BU537" t="b">
        <f t="shared" si="8"/>
        <v>0</v>
      </c>
    </row>
    <row r="538" spans="1:73" x14ac:dyDescent="0.25">
      <c r="A538" s="28"/>
      <c r="B538" s="29"/>
      <c r="C538" s="29"/>
      <c r="D538" s="30"/>
      <c r="E538" s="29"/>
      <c r="F538" s="30"/>
      <c r="G538" s="29"/>
      <c r="H538" s="69"/>
      <c r="I538" s="64"/>
      <c r="J538" s="69"/>
      <c r="K538" s="64"/>
      <c r="L538" s="69"/>
      <c r="M538" s="65"/>
      <c r="N538" s="69"/>
      <c r="O538" s="64"/>
      <c r="P538" s="69"/>
      <c r="Q538" s="64"/>
      <c r="R538" s="69"/>
      <c r="S538" s="64"/>
      <c r="T538" s="69"/>
      <c r="U538" s="64"/>
      <c r="V538" s="69"/>
      <c r="W538" s="65"/>
      <c r="X538" s="69"/>
      <c r="Y538" s="64"/>
      <c r="Z538" s="69"/>
      <c r="AA538" s="64"/>
      <c r="AB538" s="69"/>
      <c r="AC538" s="64"/>
      <c r="AD538" s="69"/>
      <c r="AE538" s="65"/>
      <c r="AF538" s="69"/>
      <c r="AG538" s="65"/>
      <c r="AH538" s="69"/>
      <c r="AI538" s="64"/>
      <c r="AJ538" s="69"/>
      <c r="AK538" s="64"/>
      <c r="AL538" s="69"/>
      <c r="AM538" s="64"/>
      <c r="AN538" s="69"/>
      <c r="AO538" s="64"/>
      <c r="AP538" s="69"/>
      <c r="AQ538" s="64"/>
      <c r="AR538" s="69"/>
      <c r="AS538" s="64"/>
      <c r="AT538" s="69"/>
      <c r="AU538" s="64"/>
      <c r="AV538" s="69"/>
      <c r="AW538" s="64"/>
      <c r="AX538" s="69"/>
      <c r="AY538" s="64"/>
      <c r="AZ538" s="69"/>
      <c r="BA538" s="64"/>
      <c r="BB538" s="69"/>
      <c r="BC538" s="64"/>
      <c r="BD538" s="69"/>
      <c r="BE538" s="64"/>
      <c r="BF538" s="69"/>
      <c r="BG538" s="64"/>
      <c r="BH538" s="69"/>
      <c r="BI538" s="64"/>
      <c r="BJ538" s="69"/>
      <c r="BK538" s="64"/>
      <c r="BL538" s="69"/>
      <c r="BM538" s="64"/>
      <c r="BN538" s="69"/>
      <c r="BO538" s="64"/>
      <c r="BP538" s="69"/>
      <c r="BQ538" s="64"/>
      <c r="BR538" s="69"/>
      <c r="BS538" s="64"/>
      <c r="BT538" s="69"/>
      <c r="BU538" t="b">
        <f t="shared" si="8"/>
        <v>0</v>
      </c>
    </row>
    <row r="539" spans="1:73" x14ac:dyDescent="0.25">
      <c r="A539" s="28"/>
      <c r="B539" s="29"/>
      <c r="C539" s="29"/>
      <c r="D539" s="30"/>
      <c r="E539" s="29"/>
      <c r="F539" s="30"/>
      <c r="G539" s="29"/>
      <c r="H539" s="69"/>
      <c r="I539" s="64"/>
      <c r="J539" s="69"/>
      <c r="K539" s="64"/>
      <c r="L539" s="69"/>
      <c r="M539" s="65"/>
      <c r="N539" s="69"/>
      <c r="O539" s="64"/>
      <c r="P539" s="69"/>
      <c r="Q539" s="64"/>
      <c r="R539" s="69"/>
      <c r="S539" s="64"/>
      <c r="T539" s="69"/>
      <c r="U539" s="64"/>
      <c r="V539" s="69"/>
      <c r="W539" s="65"/>
      <c r="X539" s="69"/>
      <c r="Y539" s="64"/>
      <c r="Z539" s="69"/>
      <c r="AA539" s="64"/>
      <c r="AB539" s="69"/>
      <c r="AC539" s="64"/>
      <c r="AD539" s="69"/>
      <c r="AE539" s="65"/>
      <c r="AF539" s="69"/>
      <c r="AG539" s="65"/>
      <c r="AH539" s="69"/>
      <c r="AI539" s="64"/>
      <c r="AJ539" s="69"/>
      <c r="AK539" s="64"/>
      <c r="AL539" s="69"/>
      <c r="AM539" s="64"/>
      <c r="AN539" s="69"/>
      <c r="AO539" s="64"/>
      <c r="AP539" s="69"/>
      <c r="AQ539" s="64"/>
      <c r="AR539" s="69"/>
      <c r="AS539" s="64"/>
      <c r="AT539" s="69"/>
      <c r="AU539" s="64"/>
      <c r="AV539" s="69"/>
      <c r="AW539" s="64"/>
      <c r="AX539" s="69"/>
      <c r="AY539" s="64"/>
      <c r="AZ539" s="69"/>
      <c r="BA539" s="64"/>
      <c r="BB539" s="69"/>
      <c r="BC539" s="64"/>
      <c r="BD539" s="69"/>
      <c r="BE539" s="64"/>
      <c r="BF539" s="69"/>
      <c r="BG539" s="64"/>
      <c r="BH539" s="69"/>
      <c r="BI539" s="64"/>
      <c r="BJ539" s="69"/>
      <c r="BK539" s="64"/>
      <c r="BL539" s="69"/>
      <c r="BM539" s="64"/>
      <c r="BN539" s="69"/>
      <c r="BO539" s="64"/>
      <c r="BP539" s="69"/>
      <c r="BQ539" s="64"/>
      <c r="BR539" s="69"/>
      <c r="BS539" s="64"/>
      <c r="BT539" s="69"/>
      <c r="BU539" t="b">
        <f t="shared" si="8"/>
        <v>0</v>
      </c>
    </row>
    <row r="540" spans="1:73" x14ac:dyDescent="0.25">
      <c r="A540" s="28"/>
      <c r="B540" s="29"/>
      <c r="C540" s="29"/>
      <c r="D540" s="30"/>
      <c r="E540" s="29"/>
      <c r="F540" s="30"/>
      <c r="G540" s="29"/>
      <c r="H540" s="69"/>
      <c r="I540" s="64"/>
      <c r="J540" s="69"/>
      <c r="K540" s="64"/>
      <c r="L540" s="69"/>
      <c r="M540" s="65"/>
      <c r="N540" s="69"/>
      <c r="O540" s="64"/>
      <c r="P540" s="69"/>
      <c r="Q540" s="64"/>
      <c r="R540" s="69"/>
      <c r="S540" s="64"/>
      <c r="T540" s="69"/>
      <c r="U540" s="64"/>
      <c r="V540" s="69"/>
      <c r="W540" s="65"/>
      <c r="X540" s="69"/>
      <c r="Y540" s="64"/>
      <c r="Z540" s="69"/>
      <c r="AA540" s="64"/>
      <c r="AB540" s="69"/>
      <c r="AC540" s="64"/>
      <c r="AD540" s="69"/>
      <c r="AE540" s="65"/>
      <c r="AF540" s="69"/>
      <c r="AG540" s="65"/>
      <c r="AH540" s="69"/>
      <c r="AI540" s="64"/>
      <c r="AJ540" s="69"/>
      <c r="AK540" s="64"/>
      <c r="AL540" s="69"/>
      <c r="AM540" s="64"/>
      <c r="AN540" s="69"/>
      <c r="AO540" s="64"/>
      <c r="AP540" s="69"/>
      <c r="AQ540" s="64"/>
      <c r="AR540" s="69"/>
      <c r="AS540" s="64"/>
      <c r="AT540" s="69"/>
      <c r="AU540" s="64"/>
      <c r="AV540" s="69"/>
      <c r="AW540" s="64"/>
      <c r="AX540" s="69"/>
      <c r="AY540" s="64"/>
      <c r="AZ540" s="69"/>
      <c r="BA540" s="64"/>
      <c r="BB540" s="69"/>
      <c r="BC540" s="64"/>
      <c r="BD540" s="69"/>
      <c r="BE540" s="64"/>
      <c r="BF540" s="69"/>
      <c r="BG540" s="64"/>
      <c r="BH540" s="69"/>
      <c r="BI540" s="64"/>
      <c r="BJ540" s="69"/>
      <c r="BK540" s="64"/>
      <c r="BL540" s="69"/>
      <c r="BM540" s="64"/>
      <c r="BN540" s="69"/>
      <c r="BO540" s="64"/>
      <c r="BP540" s="69"/>
      <c r="BQ540" s="64"/>
      <c r="BR540" s="69"/>
      <c r="BS540" s="64"/>
      <c r="BT540" s="69"/>
      <c r="BU540" t="b">
        <f t="shared" si="8"/>
        <v>0</v>
      </c>
    </row>
    <row r="541" spans="1:73" x14ac:dyDescent="0.25">
      <c r="A541" s="28"/>
      <c r="B541" s="29"/>
      <c r="C541" s="29"/>
      <c r="D541" s="30"/>
      <c r="E541" s="29"/>
      <c r="F541" s="30"/>
      <c r="G541" s="29"/>
      <c r="H541" s="69"/>
      <c r="I541" s="64"/>
      <c r="J541" s="69"/>
      <c r="K541" s="64"/>
      <c r="L541" s="69"/>
      <c r="M541" s="65"/>
      <c r="N541" s="69"/>
      <c r="O541" s="64"/>
      <c r="P541" s="69"/>
      <c r="Q541" s="64"/>
      <c r="R541" s="69"/>
      <c r="S541" s="64"/>
      <c r="T541" s="69"/>
      <c r="U541" s="64"/>
      <c r="V541" s="69"/>
      <c r="W541" s="65"/>
      <c r="X541" s="69"/>
      <c r="Y541" s="64"/>
      <c r="Z541" s="69"/>
      <c r="AA541" s="64"/>
      <c r="AB541" s="69"/>
      <c r="AC541" s="64"/>
      <c r="AD541" s="69"/>
      <c r="AE541" s="65"/>
      <c r="AF541" s="69"/>
      <c r="AG541" s="65"/>
      <c r="AH541" s="69"/>
      <c r="AI541" s="64"/>
      <c r="AJ541" s="69"/>
      <c r="AK541" s="64"/>
      <c r="AL541" s="69"/>
      <c r="AM541" s="64"/>
      <c r="AN541" s="69"/>
      <c r="AO541" s="64"/>
      <c r="AP541" s="69"/>
      <c r="AQ541" s="64"/>
      <c r="AR541" s="69"/>
      <c r="AS541" s="64"/>
      <c r="AT541" s="69"/>
      <c r="AU541" s="64"/>
      <c r="AV541" s="69"/>
      <c r="AW541" s="64"/>
      <c r="AX541" s="69"/>
      <c r="AY541" s="64"/>
      <c r="AZ541" s="69"/>
      <c r="BA541" s="64"/>
      <c r="BB541" s="69"/>
      <c r="BC541" s="64"/>
      <c r="BD541" s="69"/>
      <c r="BE541" s="64"/>
      <c r="BF541" s="69"/>
      <c r="BG541" s="64"/>
      <c r="BH541" s="69"/>
      <c r="BI541" s="64"/>
      <c r="BJ541" s="69"/>
      <c r="BK541" s="64"/>
      <c r="BL541" s="69"/>
      <c r="BM541" s="64"/>
      <c r="BN541" s="69"/>
      <c r="BO541" s="64"/>
      <c r="BP541" s="69"/>
      <c r="BQ541" s="64"/>
      <c r="BR541" s="69"/>
      <c r="BS541" s="64"/>
      <c r="BT541" s="69"/>
      <c r="BU541" t="b">
        <f t="shared" si="8"/>
        <v>0</v>
      </c>
    </row>
    <row r="542" spans="1:73" x14ac:dyDescent="0.25">
      <c r="A542" s="28"/>
      <c r="B542" s="29"/>
      <c r="C542" s="29"/>
      <c r="D542" s="30"/>
      <c r="E542" s="29"/>
      <c r="F542" s="30"/>
      <c r="G542" s="29"/>
      <c r="H542" s="69"/>
      <c r="I542" s="64"/>
      <c r="J542" s="69"/>
      <c r="K542" s="64"/>
      <c r="L542" s="69"/>
      <c r="M542" s="65"/>
      <c r="N542" s="69"/>
      <c r="O542" s="64"/>
      <c r="P542" s="69"/>
      <c r="Q542" s="64"/>
      <c r="R542" s="69"/>
      <c r="S542" s="64"/>
      <c r="T542" s="69"/>
      <c r="U542" s="64"/>
      <c r="V542" s="69"/>
      <c r="W542" s="65"/>
      <c r="X542" s="69"/>
      <c r="Y542" s="64"/>
      <c r="Z542" s="69"/>
      <c r="AA542" s="64"/>
      <c r="AB542" s="69"/>
      <c r="AC542" s="64"/>
      <c r="AD542" s="69"/>
      <c r="AE542" s="65"/>
      <c r="AF542" s="69"/>
      <c r="AG542" s="65"/>
      <c r="AH542" s="69"/>
      <c r="AI542" s="64"/>
      <c r="AJ542" s="69"/>
      <c r="AK542" s="64"/>
      <c r="AL542" s="69"/>
      <c r="AM542" s="64"/>
      <c r="AN542" s="69"/>
      <c r="AO542" s="64"/>
      <c r="AP542" s="69"/>
      <c r="AQ542" s="64"/>
      <c r="AR542" s="69"/>
      <c r="AS542" s="64"/>
      <c r="AT542" s="69"/>
      <c r="AU542" s="64"/>
      <c r="AV542" s="69"/>
      <c r="AW542" s="64"/>
      <c r="AX542" s="69"/>
      <c r="AY542" s="64"/>
      <c r="AZ542" s="69"/>
      <c r="BA542" s="64"/>
      <c r="BB542" s="69"/>
      <c r="BC542" s="64"/>
      <c r="BD542" s="69"/>
      <c r="BE542" s="64"/>
      <c r="BF542" s="69"/>
      <c r="BG542" s="64"/>
      <c r="BH542" s="69"/>
      <c r="BI542" s="64"/>
      <c r="BJ542" s="69"/>
      <c r="BK542" s="64"/>
      <c r="BL542" s="69"/>
      <c r="BM542" s="64"/>
      <c r="BN542" s="69"/>
      <c r="BO542" s="64"/>
      <c r="BP542" s="69"/>
      <c r="BQ542" s="64"/>
      <c r="BR542" s="69"/>
      <c r="BS542" s="64"/>
      <c r="BT542" s="69"/>
      <c r="BU542" t="b">
        <f t="shared" si="8"/>
        <v>0</v>
      </c>
    </row>
    <row r="543" spans="1:73" x14ac:dyDescent="0.25">
      <c r="A543" s="28"/>
      <c r="B543" s="29"/>
      <c r="C543" s="29"/>
      <c r="D543" s="30"/>
      <c r="E543" s="29"/>
      <c r="F543" s="30"/>
      <c r="G543" s="29"/>
      <c r="H543" s="69"/>
      <c r="I543" s="64"/>
      <c r="J543" s="69"/>
      <c r="K543" s="64"/>
      <c r="L543" s="69"/>
      <c r="M543" s="65"/>
      <c r="N543" s="69"/>
      <c r="O543" s="64"/>
      <c r="P543" s="69"/>
      <c r="Q543" s="64"/>
      <c r="R543" s="69"/>
      <c r="S543" s="64"/>
      <c r="T543" s="69"/>
      <c r="U543" s="64"/>
      <c r="V543" s="69"/>
      <c r="W543" s="65"/>
      <c r="X543" s="69"/>
      <c r="Y543" s="64"/>
      <c r="Z543" s="69"/>
      <c r="AA543" s="64"/>
      <c r="AB543" s="69"/>
      <c r="AC543" s="64"/>
      <c r="AD543" s="69"/>
      <c r="AE543" s="65"/>
      <c r="AF543" s="69"/>
      <c r="AG543" s="65"/>
      <c r="AH543" s="69"/>
      <c r="AI543" s="64"/>
      <c r="AJ543" s="69"/>
      <c r="AK543" s="64"/>
      <c r="AL543" s="69"/>
      <c r="AM543" s="64"/>
      <c r="AN543" s="69"/>
      <c r="AO543" s="64"/>
      <c r="AP543" s="69"/>
      <c r="AQ543" s="64"/>
      <c r="AR543" s="69"/>
      <c r="AS543" s="64"/>
      <c r="AT543" s="69"/>
      <c r="AU543" s="64"/>
      <c r="AV543" s="69"/>
      <c r="AW543" s="64"/>
      <c r="AX543" s="69"/>
      <c r="AY543" s="64"/>
      <c r="AZ543" s="69"/>
      <c r="BA543" s="64"/>
      <c r="BB543" s="69"/>
      <c r="BC543" s="64"/>
      <c r="BD543" s="69"/>
      <c r="BE543" s="64"/>
      <c r="BF543" s="69"/>
      <c r="BG543" s="64"/>
      <c r="BH543" s="69"/>
      <c r="BI543" s="64"/>
      <c r="BJ543" s="69"/>
      <c r="BK543" s="64"/>
      <c r="BL543" s="69"/>
      <c r="BM543" s="64"/>
      <c r="BN543" s="69"/>
      <c r="BO543" s="64"/>
      <c r="BP543" s="69"/>
      <c r="BQ543" s="64"/>
      <c r="BR543" s="69"/>
      <c r="BS543" s="64"/>
      <c r="BT543" s="69"/>
      <c r="BU543" t="b">
        <f t="shared" si="8"/>
        <v>0</v>
      </c>
    </row>
    <row r="544" spans="1:73" x14ac:dyDescent="0.25">
      <c r="A544" s="28"/>
      <c r="B544" s="29"/>
      <c r="C544" s="29"/>
      <c r="D544" s="30"/>
      <c r="E544" s="29"/>
      <c r="F544" s="30"/>
      <c r="G544" s="29"/>
      <c r="H544" s="69"/>
      <c r="I544" s="64"/>
      <c r="J544" s="69"/>
      <c r="K544" s="64"/>
      <c r="L544" s="69"/>
      <c r="M544" s="65"/>
      <c r="N544" s="69"/>
      <c r="O544" s="64"/>
      <c r="P544" s="69"/>
      <c r="Q544" s="64"/>
      <c r="R544" s="69"/>
      <c r="S544" s="64"/>
      <c r="T544" s="69"/>
      <c r="U544" s="64"/>
      <c r="V544" s="69"/>
      <c r="W544" s="65"/>
      <c r="X544" s="69"/>
      <c r="Y544" s="64"/>
      <c r="Z544" s="69"/>
      <c r="AA544" s="64"/>
      <c r="AB544" s="69"/>
      <c r="AC544" s="64"/>
      <c r="AD544" s="69"/>
      <c r="AE544" s="65"/>
      <c r="AF544" s="69"/>
      <c r="AG544" s="65"/>
      <c r="AH544" s="69"/>
      <c r="AI544" s="64"/>
      <c r="AJ544" s="69"/>
      <c r="AK544" s="64"/>
      <c r="AL544" s="69"/>
      <c r="AM544" s="64"/>
      <c r="AN544" s="69"/>
      <c r="AO544" s="64"/>
      <c r="AP544" s="69"/>
      <c r="AQ544" s="64"/>
      <c r="AR544" s="69"/>
      <c r="AS544" s="64"/>
      <c r="AT544" s="69"/>
      <c r="AU544" s="64"/>
      <c r="AV544" s="69"/>
      <c r="AW544" s="64"/>
      <c r="AX544" s="69"/>
      <c r="AY544" s="64"/>
      <c r="AZ544" s="69"/>
      <c r="BA544" s="64"/>
      <c r="BB544" s="69"/>
      <c r="BC544" s="64"/>
      <c r="BD544" s="69"/>
      <c r="BE544" s="64"/>
      <c r="BF544" s="69"/>
      <c r="BG544" s="64"/>
      <c r="BH544" s="69"/>
      <c r="BI544" s="64"/>
      <c r="BJ544" s="69"/>
      <c r="BK544" s="64"/>
      <c r="BL544" s="69"/>
      <c r="BM544" s="64"/>
      <c r="BN544" s="69"/>
      <c r="BO544" s="64"/>
      <c r="BP544" s="69"/>
      <c r="BQ544" s="64"/>
      <c r="BR544" s="69"/>
      <c r="BS544" s="64"/>
      <c r="BT544" s="69"/>
      <c r="BU544" t="b">
        <f t="shared" si="8"/>
        <v>0</v>
      </c>
    </row>
    <row r="545" spans="1:73" x14ac:dyDescent="0.25">
      <c r="A545" s="28"/>
      <c r="B545" s="29"/>
      <c r="C545" s="29"/>
      <c r="D545" s="30"/>
      <c r="E545" s="29"/>
      <c r="F545" s="30"/>
      <c r="G545" s="29"/>
      <c r="H545" s="69"/>
      <c r="I545" s="64"/>
      <c r="J545" s="69"/>
      <c r="K545" s="64"/>
      <c r="L545" s="69"/>
      <c r="M545" s="65"/>
      <c r="N545" s="69"/>
      <c r="O545" s="64"/>
      <c r="P545" s="69"/>
      <c r="Q545" s="64"/>
      <c r="R545" s="69"/>
      <c r="S545" s="64"/>
      <c r="T545" s="69"/>
      <c r="U545" s="64"/>
      <c r="V545" s="69"/>
      <c r="W545" s="65"/>
      <c r="X545" s="69"/>
      <c r="Y545" s="64"/>
      <c r="Z545" s="69"/>
      <c r="AA545" s="64"/>
      <c r="AB545" s="69"/>
      <c r="AC545" s="64"/>
      <c r="AD545" s="69"/>
      <c r="AE545" s="65"/>
      <c r="AF545" s="69"/>
      <c r="AG545" s="65"/>
      <c r="AH545" s="69"/>
      <c r="AI545" s="64"/>
      <c r="AJ545" s="69"/>
      <c r="AK545" s="64"/>
      <c r="AL545" s="69"/>
      <c r="AM545" s="64"/>
      <c r="AN545" s="69"/>
      <c r="AO545" s="64"/>
      <c r="AP545" s="69"/>
      <c r="AQ545" s="64"/>
      <c r="AR545" s="69"/>
      <c r="AS545" s="64"/>
      <c r="AT545" s="69"/>
      <c r="AU545" s="64"/>
      <c r="AV545" s="69"/>
      <c r="AW545" s="64"/>
      <c r="AX545" s="69"/>
      <c r="AY545" s="64"/>
      <c r="AZ545" s="69"/>
      <c r="BA545" s="64"/>
      <c r="BB545" s="69"/>
      <c r="BC545" s="64"/>
      <c r="BD545" s="69"/>
      <c r="BE545" s="64"/>
      <c r="BF545" s="69"/>
      <c r="BG545" s="64"/>
      <c r="BH545" s="69"/>
      <c r="BI545" s="64"/>
      <c r="BJ545" s="69"/>
      <c r="BK545" s="64"/>
      <c r="BL545" s="69"/>
      <c r="BM545" s="64"/>
      <c r="BN545" s="69"/>
      <c r="BO545" s="64"/>
      <c r="BP545" s="69"/>
      <c r="BQ545" s="64"/>
      <c r="BR545" s="69"/>
      <c r="BS545" s="64"/>
      <c r="BT545" s="69"/>
      <c r="BU545" t="b">
        <f t="shared" si="8"/>
        <v>0</v>
      </c>
    </row>
    <row r="546" spans="1:73" x14ac:dyDescent="0.25">
      <c r="A546" s="28"/>
      <c r="B546" s="29"/>
      <c r="C546" s="29"/>
      <c r="D546" s="30"/>
      <c r="E546" s="29"/>
      <c r="F546" s="30"/>
      <c r="G546" s="29"/>
      <c r="H546" s="69"/>
      <c r="I546" s="64"/>
      <c r="J546" s="69"/>
      <c r="K546" s="64"/>
      <c r="L546" s="69"/>
      <c r="M546" s="65"/>
      <c r="N546" s="69"/>
      <c r="O546" s="64"/>
      <c r="P546" s="69"/>
      <c r="Q546" s="64"/>
      <c r="R546" s="69"/>
      <c r="S546" s="64"/>
      <c r="T546" s="69"/>
      <c r="U546" s="64"/>
      <c r="V546" s="69"/>
      <c r="W546" s="65"/>
      <c r="X546" s="69"/>
      <c r="Y546" s="64"/>
      <c r="Z546" s="69"/>
      <c r="AA546" s="64"/>
      <c r="AB546" s="69"/>
      <c r="AC546" s="64"/>
      <c r="AD546" s="69"/>
      <c r="AE546" s="65"/>
      <c r="AF546" s="69"/>
      <c r="AG546" s="65"/>
      <c r="AH546" s="69"/>
      <c r="AI546" s="64"/>
      <c r="AJ546" s="69"/>
      <c r="AK546" s="64"/>
      <c r="AL546" s="69"/>
      <c r="AM546" s="64"/>
      <c r="AN546" s="69"/>
      <c r="AO546" s="64"/>
      <c r="AP546" s="69"/>
      <c r="AQ546" s="64"/>
      <c r="AR546" s="69"/>
      <c r="AS546" s="64"/>
      <c r="AT546" s="69"/>
      <c r="AU546" s="64"/>
      <c r="AV546" s="69"/>
      <c r="AW546" s="64"/>
      <c r="AX546" s="69"/>
      <c r="AY546" s="64"/>
      <c r="AZ546" s="69"/>
      <c r="BA546" s="64"/>
      <c r="BB546" s="69"/>
      <c r="BC546" s="64"/>
      <c r="BD546" s="69"/>
      <c r="BE546" s="64"/>
      <c r="BF546" s="69"/>
      <c r="BG546" s="64"/>
      <c r="BH546" s="69"/>
      <c r="BI546" s="64"/>
      <c r="BJ546" s="69"/>
      <c r="BK546" s="64"/>
      <c r="BL546" s="69"/>
      <c r="BM546" s="64"/>
      <c r="BN546" s="69"/>
      <c r="BO546" s="64"/>
      <c r="BP546" s="69"/>
      <c r="BQ546" s="64"/>
      <c r="BR546" s="69"/>
      <c r="BS546" s="64"/>
      <c r="BT546" s="69"/>
      <c r="BU546" t="b">
        <f t="shared" si="8"/>
        <v>0</v>
      </c>
    </row>
    <row r="547" spans="1:73" x14ac:dyDescent="0.25">
      <c r="A547" s="28"/>
      <c r="B547" s="29"/>
      <c r="C547" s="29"/>
      <c r="D547" s="30"/>
      <c r="E547" s="29"/>
      <c r="F547" s="30"/>
      <c r="G547" s="29"/>
      <c r="H547" s="69"/>
      <c r="I547" s="64"/>
      <c r="J547" s="69"/>
      <c r="K547" s="64"/>
      <c r="L547" s="69"/>
      <c r="M547" s="65"/>
      <c r="N547" s="69"/>
      <c r="O547" s="64"/>
      <c r="P547" s="69"/>
      <c r="Q547" s="64"/>
      <c r="R547" s="69"/>
      <c r="S547" s="64"/>
      <c r="T547" s="69"/>
      <c r="U547" s="64"/>
      <c r="V547" s="69"/>
      <c r="W547" s="65"/>
      <c r="X547" s="69"/>
      <c r="Y547" s="64"/>
      <c r="Z547" s="69"/>
      <c r="AA547" s="64"/>
      <c r="AB547" s="69"/>
      <c r="AC547" s="64"/>
      <c r="AD547" s="69"/>
      <c r="AE547" s="65"/>
      <c r="AF547" s="69"/>
      <c r="AG547" s="65"/>
      <c r="AH547" s="69"/>
      <c r="AI547" s="64"/>
      <c r="AJ547" s="69"/>
      <c r="AK547" s="64"/>
      <c r="AL547" s="69"/>
      <c r="AM547" s="64"/>
      <c r="AN547" s="69"/>
      <c r="AO547" s="64"/>
      <c r="AP547" s="69"/>
      <c r="AQ547" s="64"/>
      <c r="AR547" s="69"/>
      <c r="AS547" s="64"/>
      <c r="AT547" s="69"/>
      <c r="AU547" s="64"/>
      <c r="AV547" s="69"/>
      <c r="AW547" s="64"/>
      <c r="AX547" s="69"/>
      <c r="AY547" s="64"/>
      <c r="AZ547" s="69"/>
      <c r="BA547" s="64"/>
      <c r="BB547" s="69"/>
      <c r="BC547" s="64"/>
      <c r="BD547" s="69"/>
      <c r="BE547" s="64"/>
      <c r="BF547" s="69"/>
      <c r="BG547" s="64"/>
      <c r="BH547" s="69"/>
      <c r="BI547" s="64"/>
      <c r="BJ547" s="69"/>
      <c r="BK547" s="64"/>
      <c r="BL547" s="69"/>
      <c r="BM547" s="64"/>
      <c r="BN547" s="69"/>
      <c r="BO547" s="64"/>
      <c r="BP547" s="69"/>
      <c r="BQ547" s="64"/>
      <c r="BR547" s="69"/>
      <c r="BS547" s="64"/>
      <c r="BT547" s="69"/>
      <c r="BU547" t="b">
        <f t="shared" si="8"/>
        <v>0</v>
      </c>
    </row>
    <row r="548" spans="1:73" x14ac:dyDescent="0.25">
      <c r="A548" s="28"/>
      <c r="B548" s="29"/>
      <c r="C548" s="29"/>
      <c r="D548" s="30"/>
      <c r="E548" s="29"/>
      <c r="F548" s="30"/>
      <c r="G548" s="29"/>
      <c r="H548" s="69"/>
      <c r="I548" s="64"/>
      <c r="J548" s="69"/>
      <c r="K548" s="64"/>
      <c r="L548" s="69"/>
      <c r="M548" s="65"/>
      <c r="N548" s="69"/>
      <c r="O548" s="64"/>
      <c r="P548" s="69"/>
      <c r="Q548" s="64"/>
      <c r="R548" s="69"/>
      <c r="S548" s="64"/>
      <c r="T548" s="69"/>
      <c r="U548" s="64"/>
      <c r="V548" s="69"/>
      <c r="W548" s="65"/>
      <c r="X548" s="69"/>
      <c r="Y548" s="64"/>
      <c r="Z548" s="69"/>
      <c r="AA548" s="64"/>
      <c r="AB548" s="69"/>
      <c r="AC548" s="64"/>
      <c r="AD548" s="69"/>
      <c r="AE548" s="65"/>
      <c r="AF548" s="69"/>
      <c r="AG548" s="65"/>
      <c r="AH548" s="69"/>
      <c r="AI548" s="64"/>
      <c r="AJ548" s="69"/>
      <c r="AK548" s="64"/>
      <c r="AL548" s="69"/>
      <c r="AM548" s="64"/>
      <c r="AN548" s="69"/>
      <c r="AO548" s="64"/>
      <c r="AP548" s="69"/>
      <c r="AQ548" s="64"/>
      <c r="AR548" s="69"/>
      <c r="AS548" s="64"/>
      <c r="AT548" s="69"/>
      <c r="AU548" s="64"/>
      <c r="AV548" s="69"/>
      <c r="AW548" s="64"/>
      <c r="AX548" s="69"/>
      <c r="AY548" s="64"/>
      <c r="AZ548" s="69"/>
      <c r="BA548" s="64"/>
      <c r="BB548" s="69"/>
      <c r="BC548" s="64"/>
      <c r="BD548" s="69"/>
      <c r="BE548" s="64"/>
      <c r="BF548" s="69"/>
      <c r="BG548" s="64"/>
      <c r="BH548" s="69"/>
      <c r="BI548" s="64"/>
      <c r="BJ548" s="69"/>
      <c r="BK548" s="64"/>
      <c r="BL548" s="69"/>
      <c r="BM548" s="64"/>
      <c r="BN548" s="69"/>
      <c r="BO548" s="64"/>
      <c r="BP548" s="69"/>
      <c r="BQ548" s="64"/>
      <c r="BR548" s="69"/>
      <c r="BS548" s="64"/>
      <c r="BT548" s="69"/>
      <c r="BU548" t="b">
        <f t="shared" si="8"/>
        <v>0</v>
      </c>
    </row>
    <row r="549" spans="1:73" x14ac:dyDescent="0.25">
      <c r="A549" s="28"/>
      <c r="B549" s="29"/>
      <c r="C549" s="29"/>
      <c r="D549" s="30"/>
      <c r="E549" s="29"/>
      <c r="F549" s="30"/>
      <c r="G549" s="29"/>
      <c r="H549" s="69"/>
      <c r="I549" s="64"/>
      <c r="J549" s="69"/>
      <c r="K549" s="64"/>
      <c r="L549" s="69"/>
      <c r="M549" s="65"/>
      <c r="N549" s="69"/>
      <c r="O549" s="64"/>
      <c r="P549" s="69"/>
      <c r="Q549" s="64"/>
      <c r="R549" s="69"/>
      <c r="S549" s="64"/>
      <c r="T549" s="69"/>
      <c r="U549" s="64"/>
      <c r="V549" s="69"/>
      <c r="W549" s="65"/>
      <c r="X549" s="69"/>
      <c r="Y549" s="64"/>
      <c r="Z549" s="69"/>
      <c r="AA549" s="64"/>
      <c r="AB549" s="69"/>
      <c r="AC549" s="64"/>
      <c r="AD549" s="69"/>
      <c r="AE549" s="65"/>
      <c r="AF549" s="69"/>
      <c r="AG549" s="65"/>
      <c r="AH549" s="69"/>
      <c r="AI549" s="64"/>
      <c r="AJ549" s="69"/>
      <c r="AK549" s="64"/>
      <c r="AL549" s="69"/>
      <c r="AM549" s="64"/>
      <c r="AN549" s="69"/>
      <c r="AO549" s="64"/>
      <c r="AP549" s="69"/>
      <c r="AQ549" s="64"/>
      <c r="AR549" s="69"/>
      <c r="AS549" s="64"/>
      <c r="AT549" s="69"/>
      <c r="AU549" s="64"/>
      <c r="AV549" s="69"/>
      <c r="AW549" s="64"/>
      <c r="AX549" s="69"/>
      <c r="AY549" s="64"/>
      <c r="AZ549" s="69"/>
      <c r="BA549" s="64"/>
      <c r="BB549" s="69"/>
      <c r="BC549" s="64"/>
      <c r="BD549" s="69"/>
      <c r="BE549" s="64"/>
      <c r="BF549" s="69"/>
      <c r="BG549" s="64"/>
      <c r="BH549" s="69"/>
      <c r="BI549" s="64"/>
      <c r="BJ549" s="69"/>
      <c r="BK549" s="64"/>
      <c r="BL549" s="69"/>
      <c r="BM549" s="64"/>
      <c r="BN549" s="69"/>
      <c r="BO549" s="64"/>
      <c r="BP549" s="69"/>
      <c r="BQ549" s="64"/>
      <c r="BR549" s="69"/>
      <c r="BS549" s="64"/>
      <c r="BT549" s="69"/>
      <c r="BU549" t="b">
        <f t="shared" ref="BU549:BU612" si="9">NOT(AND(BR549="",BP549="",BN549="",BL549="",BJ549="",BH549="",BF549="",BD549="",BB549="",AZ549="",AX549="",AV549="",AT549="",AR549="",AP549="",AN549="",AL549="",AJ549="",AH549="",AF549="",AD549="",AB549="",Z549="",X549="",V549="",T549="",R549="",P549="",N549="", L549="",J549=""))</f>
        <v>0</v>
      </c>
    </row>
    <row r="550" spans="1:73" x14ac:dyDescent="0.25">
      <c r="A550" s="28"/>
      <c r="B550" s="29"/>
      <c r="C550" s="29"/>
      <c r="D550" s="30"/>
      <c r="E550" s="29"/>
      <c r="F550" s="30"/>
      <c r="G550" s="29"/>
      <c r="H550" s="69"/>
      <c r="I550" s="64"/>
      <c r="J550" s="69"/>
      <c r="K550" s="64"/>
      <c r="L550" s="69"/>
      <c r="M550" s="65"/>
      <c r="N550" s="69"/>
      <c r="O550" s="64"/>
      <c r="P550" s="69"/>
      <c r="Q550" s="64"/>
      <c r="R550" s="69"/>
      <c r="S550" s="64"/>
      <c r="T550" s="69"/>
      <c r="U550" s="64"/>
      <c r="V550" s="69"/>
      <c r="W550" s="65"/>
      <c r="X550" s="69"/>
      <c r="Y550" s="64"/>
      <c r="Z550" s="69"/>
      <c r="AA550" s="64"/>
      <c r="AB550" s="69"/>
      <c r="AC550" s="64"/>
      <c r="AD550" s="69"/>
      <c r="AE550" s="65"/>
      <c r="AF550" s="69"/>
      <c r="AG550" s="65"/>
      <c r="AH550" s="69"/>
      <c r="AI550" s="64"/>
      <c r="AJ550" s="69"/>
      <c r="AK550" s="64"/>
      <c r="AL550" s="69"/>
      <c r="AM550" s="64"/>
      <c r="AN550" s="69"/>
      <c r="AO550" s="64"/>
      <c r="AP550" s="69"/>
      <c r="AQ550" s="64"/>
      <c r="AR550" s="69"/>
      <c r="AS550" s="64"/>
      <c r="AT550" s="69"/>
      <c r="AU550" s="64"/>
      <c r="AV550" s="69"/>
      <c r="AW550" s="64"/>
      <c r="AX550" s="69"/>
      <c r="AY550" s="64"/>
      <c r="AZ550" s="69"/>
      <c r="BA550" s="64"/>
      <c r="BB550" s="69"/>
      <c r="BC550" s="64"/>
      <c r="BD550" s="69"/>
      <c r="BE550" s="64"/>
      <c r="BF550" s="69"/>
      <c r="BG550" s="64"/>
      <c r="BH550" s="69"/>
      <c r="BI550" s="64"/>
      <c r="BJ550" s="69"/>
      <c r="BK550" s="64"/>
      <c r="BL550" s="69"/>
      <c r="BM550" s="64"/>
      <c r="BN550" s="69"/>
      <c r="BO550" s="64"/>
      <c r="BP550" s="69"/>
      <c r="BQ550" s="64"/>
      <c r="BR550" s="69"/>
      <c r="BS550" s="64"/>
      <c r="BT550" s="69"/>
      <c r="BU550" t="b">
        <f t="shared" si="9"/>
        <v>0</v>
      </c>
    </row>
    <row r="551" spans="1:73" x14ac:dyDescent="0.25">
      <c r="A551" s="28"/>
      <c r="B551" s="29"/>
      <c r="C551" s="29"/>
      <c r="D551" s="30"/>
      <c r="E551" s="29"/>
      <c r="F551" s="30"/>
      <c r="G551" s="29"/>
      <c r="H551" s="69"/>
      <c r="I551" s="64"/>
      <c r="J551" s="69"/>
      <c r="K551" s="64"/>
      <c r="L551" s="69"/>
      <c r="M551" s="65"/>
      <c r="N551" s="69"/>
      <c r="O551" s="64"/>
      <c r="P551" s="69"/>
      <c r="Q551" s="64"/>
      <c r="R551" s="69"/>
      <c r="S551" s="64"/>
      <c r="T551" s="69"/>
      <c r="U551" s="64"/>
      <c r="V551" s="69"/>
      <c r="W551" s="65"/>
      <c r="X551" s="69"/>
      <c r="Y551" s="64"/>
      <c r="Z551" s="69"/>
      <c r="AA551" s="64"/>
      <c r="AB551" s="69"/>
      <c r="AC551" s="64"/>
      <c r="AD551" s="69"/>
      <c r="AE551" s="65"/>
      <c r="AF551" s="69"/>
      <c r="AG551" s="65"/>
      <c r="AH551" s="69"/>
      <c r="AI551" s="64"/>
      <c r="AJ551" s="69"/>
      <c r="AK551" s="64"/>
      <c r="AL551" s="69"/>
      <c r="AM551" s="64"/>
      <c r="AN551" s="69"/>
      <c r="AO551" s="64"/>
      <c r="AP551" s="69"/>
      <c r="AQ551" s="64"/>
      <c r="AR551" s="69"/>
      <c r="AS551" s="64"/>
      <c r="AT551" s="69"/>
      <c r="AU551" s="64"/>
      <c r="AV551" s="69"/>
      <c r="AW551" s="64"/>
      <c r="AX551" s="69"/>
      <c r="AY551" s="64"/>
      <c r="AZ551" s="69"/>
      <c r="BA551" s="64"/>
      <c r="BB551" s="69"/>
      <c r="BC551" s="64"/>
      <c r="BD551" s="69"/>
      <c r="BE551" s="64"/>
      <c r="BF551" s="69"/>
      <c r="BG551" s="64"/>
      <c r="BH551" s="69"/>
      <c r="BI551" s="64"/>
      <c r="BJ551" s="69"/>
      <c r="BK551" s="64"/>
      <c r="BL551" s="69"/>
      <c r="BM551" s="64"/>
      <c r="BN551" s="69"/>
      <c r="BO551" s="64"/>
      <c r="BP551" s="69"/>
      <c r="BQ551" s="64"/>
      <c r="BR551" s="69"/>
      <c r="BS551" s="64"/>
      <c r="BT551" s="69"/>
      <c r="BU551" t="b">
        <f t="shared" si="9"/>
        <v>0</v>
      </c>
    </row>
    <row r="552" spans="1:73" x14ac:dyDescent="0.25">
      <c r="A552" s="28"/>
      <c r="B552" s="29"/>
      <c r="C552" s="29"/>
      <c r="D552" s="30"/>
      <c r="E552" s="29"/>
      <c r="F552" s="30"/>
      <c r="G552" s="29"/>
      <c r="H552" s="69"/>
      <c r="I552" s="64"/>
      <c r="J552" s="69"/>
      <c r="K552" s="64"/>
      <c r="L552" s="69"/>
      <c r="M552" s="65"/>
      <c r="N552" s="69"/>
      <c r="O552" s="64"/>
      <c r="P552" s="69"/>
      <c r="Q552" s="64"/>
      <c r="R552" s="69"/>
      <c r="S552" s="64"/>
      <c r="T552" s="69"/>
      <c r="U552" s="64"/>
      <c r="V552" s="69"/>
      <c r="W552" s="65"/>
      <c r="X552" s="69"/>
      <c r="Y552" s="64"/>
      <c r="Z552" s="69"/>
      <c r="AA552" s="64"/>
      <c r="AB552" s="69"/>
      <c r="AC552" s="64"/>
      <c r="AD552" s="69"/>
      <c r="AE552" s="65"/>
      <c r="AF552" s="69"/>
      <c r="AG552" s="65"/>
      <c r="AH552" s="69"/>
      <c r="AI552" s="64"/>
      <c r="AJ552" s="69"/>
      <c r="AK552" s="64"/>
      <c r="AL552" s="69"/>
      <c r="AM552" s="64"/>
      <c r="AN552" s="69"/>
      <c r="AO552" s="64"/>
      <c r="AP552" s="69"/>
      <c r="AQ552" s="64"/>
      <c r="AR552" s="69"/>
      <c r="AS552" s="64"/>
      <c r="AT552" s="69"/>
      <c r="AU552" s="64"/>
      <c r="AV552" s="69"/>
      <c r="AW552" s="64"/>
      <c r="AX552" s="69"/>
      <c r="AY552" s="64"/>
      <c r="AZ552" s="69"/>
      <c r="BA552" s="64"/>
      <c r="BB552" s="69"/>
      <c r="BC552" s="64"/>
      <c r="BD552" s="69"/>
      <c r="BE552" s="64"/>
      <c r="BF552" s="69"/>
      <c r="BG552" s="64"/>
      <c r="BH552" s="69"/>
      <c r="BI552" s="64"/>
      <c r="BJ552" s="69"/>
      <c r="BK552" s="64"/>
      <c r="BL552" s="69"/>
      <c r="BM552" s="64"/>
      <c r="BN552" s="69"/>
      <c r="BO552" s="64"/>
      <c r="BP552" s="69"/>
      <c r="BQ552" s="64"/>
      <c r="BR552" s="69"/>
      <c r="BS552" s="64"/>
      <c r="BT552" s="69"/>
      <c r="BU552" t="b">
        <f t="shared" si="9"/>
        <v>0</v>
      </c>
    </row>
    <row r="553" spans="1:73" x14ac:dyDescent="0.25">
      <c r="A553" s="28"/>
      <c r="B553" s="29"/>
      <c r="C553" s="29"/>
      <c r="D553" s="30"/>
      <c r="E553" s="29"/>
      <c r="F553" s="30"/>
      <c r="G553" s="29"/>
      <c r="H553" s="69"/>
      <c r="I553" s="64"/>
      <c r="J553" s="69"/>
      <c r="K553" s="64"/>
      <c r="L553" s="69"/>
      <c r="M553" s="65"/>
      <c r="N553" s="69"/>
      <c r="O553" s="64"/>
      <c r="P553" s="69"/>
      <c r="Q553" s="64"/>
      <c r="R553" s="69"/>
      <c r="S553" s="64"/>
      <c r="T553" s="69"/>
      <c r="U553" s="64"/>
      <c r="V553" s="69"/>
      <c r="W553" s="65"/>
      <c r="X553" s="69"/>
      <c r="Y553" s="64"/>
      <c r="Z553" s="69"/>
      <c r="AA553" s="64"/>
      <c r="AB553" s="69"/>
      <c r="AC553" s="64"/>
      <c r="AD553" s="69"/>
      <c r="AE553" s="65"/>
      <c r="AF553" s="69"/>
      <c r="AG553" s="65"/>
      <c r="AH553" s="69"/>
      <c r="AI553" s="64"/>
      <c r="AJ553" s="69"/>
      <c r="AK553" s="64"/>
      <c r="AL553" s="69"/>
      <c r="AM553" s="64"/>
      <c r="AN553" s="69"/>
      <c r="AO553" s="64"/>
      <c r="AP553" s="69"/>
      <c r="AQ553" s="64"/>
      <c r="AR553" s="69"/>
      <c r="AS553" s="64"/>
      <c r="AT553" s="69"/>
      <c r="AU553" s="64"/>
      <c r="AV553" s="69"/>
      <c r="AW553" s="64"/>
      <c r="AX553" s="69"/>
      <c r="AY553" s="64"/>
      <c r="AZ553" s="69"/>
      <c r="BA553" s="64"/>
      <c r="BB553" s="69"/>
      <c r="BC553" s="64"/>
      <c r="BD553" s="69"/>
      <c r="BE553" s="64"/>
      <c r="BF553" s="69"/>
      <c r="BG553" s="64"/>
      <c r="BH553" s="69"/>
      <c r="BI553" s="64"/>
      <c r="BJ553" s="69"/>
      <c r="BK553" s="64"/>
      <c r="BL553" s="69"/>
      <c r="BM553" s="64"/>
      <c r="BN553" s="69"/>
      <c r="BO553" s="64"/>
      <c r="BP553" s="69"/>
      <c r="BQ553" s="64"/>
      <c r="BR553" s="69"/>
      <c r="BS553" s="64"/>
      <c r="BT553" s="69"/>
      <c r="BU553" t="b">
        <f t="shared" si="9"/>
        <v>0</v>
      </c>
    </row>
    <row r="554" spans="1:73" x14ac:dyDescent="0.25">
      <c r="A554" s="28"/>
      <c r="B554" s="29"/>
      <c r="C554" s="29"/>
      <c r="D554" s="30"/>
      <c r="E554" s="29"/>
      <c r="F554" s="30"/>
      <c r="G554" s="29"/>
      <c r="H554" s="69"/>
      <c r="I554" s="64"/>
      <c r="J554" s="69"/>
      <c r="K554" s="64"/>
      <c r="L554" s="69"/>
      <c r="M554" s="65"/>
      <c r="N554" s="69"/>
      <c r="O554" s="64"/>
      <c r="P554" s="69"/>
      <c r="Q554" s="64"/>
      <c r="R554" s="69"/>
      <c r="S554" s="64"/>
      <c r="T554" s="69"/>
      <c r="U554" s="64"/>
      <c r="V554" s="69"/>
      <c r="W554" s="65"/>
      <c r="X554" s="69"/>
      <c r="Y554" s="64"/>
      <c r="Z554" s="69"/>
      <c r="AA554" s="64"/>
      <c r="AB554" s="69"/>
      <c r="AC554" s="64"/>
      <c r="AD554" s="69"/>
      <c r="AE554" s="65"/>
      <c r="AF554" s="69"/>
      <c r="AG554" s="65"/>
      <c r="AH554" s="69"/>
      <c r="AI554" s="64"/>
      <c r="AJ554" s="69"/>
      <c r="AK554" s="64"/>
      <c r="AL554" s="69"/>
      <c r="AM554" s="64"/>
      <c r="AN554" s="69"/>
      <c r="AO554" s="64"/>
      <c r="AP554" s="69"/>
      <c r="AQ554" s="64"/>
      <c r="AR554" s="69"/>
      <c r="AS554" s="64"/>
      <c r="AT554" s="69"/>
      <c r="AU554" s="64"/>
      <c r="AV554" s="69"/>
      <c r="AW554" s="64"/>
      <c r="AX554" s="69"/>
      <c r="AY554" s="64"/>
      <c r="AZ554" s="69"/>
      <c r="BA554" s="64"/>
      <c r="BB554" s="69"/>
      <c r="BC554" s="64"/>
      <c r="BD554" s="69"/>
      <c r="BE554" s="64"/>
      <c r="BF554" s="69"/>
      <c r="BG554" s="64"/>
      <c r="BH554" s="69"/>
      <c r="BI554" s="64"/>
      <c r="BJ554" s="69"/>
      <c r="BK554" s="64"/>
      <c r="BL554" s="69"/>
      <c r="BM554" s="64"/>
      <c r="BN554" s="69"/>
      <c r="BO554" s="64"/>
      <c r="BP554" s="69"/>
      <c r="BQ554" s="64"/>
      <c r="BR554" s="69"/>
      <c r="BS554" s="64"/>
      <c r="BT554" s="69"/>
      <c r="BU554" t="b">
        <f t="shared" si="9"/>
        <v>0</v>
      </c>
    </row>
    <row r="555" spans="1:73" x14ac:dyDescent="0.25">
      <c r="A555" s="28"/>
      <c r="B555" s="29"/>
      <c r="C555" s="29"/>
      <c r="D555" s="30"/>
      <c r="E555" s="29"/>
      <c r="F555" s="30"/>
      <c r="G555" s="29"/>
      <c r="H555" s="69"/>
      <c r="I555" s="64"/>
      <c r="J555" s="69"/>
      <c r="K555" s="64"/>
      <c r="L555" s="69"/>
      <c r="M555" s="65"/>
      <c r="N555" s="69"/>
      <c r="O555" s="64"/>
      <c r="P555" s="69"/>
      <c r="Q555" s="64"/>
      <c r="R555" s="69"/>
      <c r="S555" s="64"/>
      <c r="T555" s="69"/>
      <c r="U555" s="64"/>
      <c r="V555" s="69"/>
      <c r="W555" s="65"/>
      <c r="X555" s="69"/>
      <c r="Y555" s="64"/>
      <c r="Z555" s="69"/>
      <c r="AA555" s="64"/>
      <c r="AB555" s="69"/>
      <c r="AC555" s="64"/>
      <c r="AD555" s="69"/>
      <c r="AE555" s="65"/>
      <c r="AF555" s="69"/>
      <c r="AG555" s="65"/>
      <c r="AH555" s="69"/>
      <c r="AI555" s="64"/>
      <c r="AJ555" s="69"/>
      <c r="AK555" s="64"/>
      <c r="AL555" s="69"/>
      <c r="AM555" s="64"/>
      <c r="AN555" s="69"/>
      <c r="AO555" s="64"/>
      <c r="AP555" s="69"/>
      <c r="AQ555" s="64"/>
      <c r="AR555" s="69"/>
      <c r="AS555" s="64"/>
      <c r="AT555" s="69"/>
      <c r="AU555" s="64"/>
      <c r="AV555" s="69"/>
      <c r="AW555" s="64"/>
      <c r="AX555" s="69"/>
      <c r="AY555" s="64"/>
      <c r="AZ555" s="69"/>
      <c r="BA555" s="64"/>
      <c r="BB555" s="69"/>
      <c r="BC555" s="64"/>
      <c r="BD555" s="69"/>
      <c r="BE555" s="64"/>
      <c r="BF555" s="69"/>
      <c r="BG555" s="64"/>
      <c r="BH555" s="69"/>
      <c r="BI555" s="64"/>
      <c r="BJ555" s="69"/>
      <c r="BK555" s="64"/>
      <c r="BL555" s="69"/>
      <c r="BM555" s="64"/>
      <c r="BN555" s="69"/>
      <c r="BO555" s="64"/>
      <c r="BP555" s="69"/>
      <c r="BQ555" s="64"/>
      <c r="BR555" s="69"/>
      <c r="BS555" s="64"/>
      <c r="BT555" s="69"/>
      <c r="BU555" t="b">
        <f t="shared" si="9"/>
        <v>0</v>
      </c>
    </row>
    <row r="556" spans="1:73" x14ac:dyDescent="0.25">
      <c r="A556" s="28"/>
      <c r="B556" s="29"/>
      <c r="C556" s="29"/>
      <c r="D556" s="30"/>
      <c r="E556" s="29"/>
      <c r="F556" s="30"/>
      <c r="G556" s="29"/>
      <c r="H556" s="69"/>
      <c r="I556" s="64"/>
      <c r="J556" s="69"/>
      <c r="K556" s="64"/>
      <c r="L556" s="69"/>
      <c r="M556" s="65"/>
      <c r="N556" s="69"/>
      <c r="O556" s="64"/>
      <c r="P556" s="69"/>
      <c r="Q556" s="64"/>
      <c r="R556" s="69"/>
      <c r="S556" s="64"/>
      <c r="T556" s="69"/>
      <c r="U556" s="64"/>
      <c r="V556" s="69"/>
      <c r="W556" s="65"/>
      <c r="X556" s="69"/>
      <c r="Y556" s="64"/>
      <c r="Z556" s="69"/>
      <c r="AA556" s="64"/>
      <c r="AB556" s="69"/>
      <c r="AC556" s="64"/>
      <c r="AD556" s="69"/>
      <c r="AE556" s="65"/>
      <c r="AF556" s="69"/>
      <c r="AG556" s="65"/>
      <c r="AH556" s="69"/>
      <c r="AI556" s="64"/>
      <c r="AJ556" s="69"/>
      <c r="AK556" s="64"/>
      <c r="AL556" s="69"/>
      <c r="AM556" s="64"/>
      <c r="AN556" s="69"/>
      <c r="AO556" s="64"/>
      <c r="AP556" s="69"/>
      <c r="AQ556" s="64"/>
      <c r="AR556" s="69"/>
      <c r="AS556" s="64"/>
      <c r="AT556" s="69"/>
      <c r="AU556" s="64"/>
      <c r="AV556" s="69"/>
      <c r="AW556" s="64"/>
      <c r="AX556" s="69"/>
      <c r="AY556" s="64"/>
      <c r="AZ556" s="69"/>
      <c r="BA556" s="64"/>
      <c r="BB556" s="69"/>
      <c r="BC556" s="64"/>
      <c r="BD556" s="69"/>
      <c r="BE556" s="64"/>
      <c r="BF556" s="69"/>
      <c r="BG556" s="64"/>
      <c r="BH556" s="69"/>
      <c r="BI556" s="64"/>
      <c r="BJ556" s="69"/>
      <c r="BK556" s="64"/>
      <c r="BL556" s="69"/>
      <c r="BM556" s="64"/>
      <c r="BN556" s="69"/>
      <c r="BO556" s="64"/>
      <c r="BP556" s="69"/>
      <c r="BQ556" s="64"/>
      <c r="BR556" s="69"/>
      <c r="BS556" s="64"/>
      <c r="BT556" s="69"/>
      <c r="BU556" t="b">
        <f t="shared" si="9"/>
        <v>0</v>
      </c>
    </row>
    <row r="557" spans="1:73" x14ac:dyDescent="0.25">
      <c r="A557" s="28"/>
      <c r="B557" s="29"/>
      <c r="C557" s="29"/>
      <c r="D557" s="30"/>
      <c r="E557" s="29"/>
      <c r="F557" s="30"/>
      <c r="G557" s="29"/>
      <c r="H557" s="69"/>
      <c r="I557" s="64"/>
      <c r="J557" s="69"/>
      <c r="K557" s="64"/>
      <c r="L557" s="69"/>
      <c r="M557" s="65"/>
      <c r="N557" s="69"/>
      <c r="O557" s="64"/>
      <c r="P557" s="69"/>
      <c r="Q557" s="64"/>
      <c r="R557" s="69"/>
      <c r="S557" s="64"/>
      <c r="T557" s="69"/>
      <c r="U557" s="64"/>
      <c r="V557" s="69"/>
      <c r="W557" s="65"/>
      <c r="X557" s="69"/>
      <c r="Y557" s="64"/>
      <c r="Z557" s="69"/>
      <c r="AA557" s="64"/>
      <c r="AB557" s="69"/>
      <c r="AC557" s="64"/>
      <c r="AD557" s="69"/>
      <c r="AE557" s="65"/>
      <c r="AF557" s="69"/>
      <c r="AG557" s="65"/>
      <c r="AH557" s="69"/>
      <c r="AI557" s="64"/>
      <c r="AJ557" s="69"/>
      <c r="AK557" s="64"/>
      <c r="AL557" s="69"/>
      <c r="AM557" s="64"/>
      <c r="AN557" s="69"/>
      <c r="AO557" s="64"/>
      <c r="AP557" s="69"/>
      <c r="AQ557" s="64"/>
      <c r="AR557" s="69"/>
      <c r="AS557" s="64"/>
      <c r="AT557" s="69"/>
      <c r="AU557" s="64"/>
      <c r="AV557" s="69"/>
      <c r="AW557" s="64"/>
      <c r="AX557" s="69"/>
      <c r="AY557" s="64"/>
      <c r="AZ557" s="69"/>
      <c r="BA557" s="64"/>
      <c r="BB557" s="69"/>
      <c r="BC557" s="64"/>
      <c r="BD557" s="69"/>
      <c r="BE557" s="64"/>
      <c r="BF557" s="69"/>
      <c r="BG557" s="64"/>
      <c r="BH557" s="69"/>
      <c r="BI557" s="64"/>
      <c r="BJ557" s="69"/>
      <c r="BK557" s="64"/>
      <c r="BL557" s="69"/>
      <c r="BM557" s="64"/>
      <c r="BN557" s="69"/>
      <c r="BO557" s="64"/>
      <c r="BP557" s="69"/>
      <c r="BQ557" s="64"/>
      <c r="BR557" s="69"/>
      <c r="BS557" s="64"/>
      <c r="BT557" s="69"/>
      <c r="BU557" t="b">
        <f t="shared" si="9"/>
        <v>0</v>
      </c>
    </row>
    <row r="558" spans="1:73" x14ac:dyDescent="0.25">
      <c r="A558" s="28"/>
      <c r="B558" s="29"/>
      <c r="C558" s="29"/>
      <c r="D558" s="30"/>
      <c r="E558" s="29"/>
      <c r="F558" s="30"/>
      <c r="G558" s="29"/>
      <c r="H558" s="69"/>
      <c r="I558" s="64"/>
      <c r="J558" s="69"/>
      <c r="K558" s="64"/>
      <c r="L558" s="69"/>
      <c r="M558" s="65"/>
      <c r="N558" s="69"/>
      <c r="O558" s="64"/>
      <c r="P558" s="69"/>
      <c r="Q558" s="64"/>
      <c r="R558" s="69"/>
      <c r="S558" s="64"/>
      <c r="T558" s="69"/>
      <c r="U558" s="64"/>
      <c r="V558" s="69"/>
      <c r="W558" s="65"/>
      <c r="X558" s="69"/>
      <c r="Y558" s="64"/>
      <c r="Z558" s="69"/>
      <c r="AA558" s="64"/>
      <c r="AB558" s="69"/>
      <c r="AC558" s="64"/>
      <c r="AD558" s="69"/>
      <c r="AE558" s="65"/>
      <c r="AF558" s="69"/>
      <c r="AG558" s="65"/>
      <c r="AH558" s="69"/>
      <c r="AI558" s="64"/>
      <c r="AJ558" s="69"/>
      <c r="AK558" s="64"/>
      <c r="AL558" s="69"/>
      <c r="AM558" s="64"/>
      <c r="AN558" s="69"/>
      <c r="AO558" s="64"/>
      <c r="AP558" s="69"/>
      <c r="AQ558" s="64"/>
      <c r="AR558" s="69"/>
      <c r="AS558" s="64"/>
      <c r="AT558" s="69"/>
      <c r="AU558" s="64"/>
      <c r="AV558" s="69"/>
      <c r="AW558" s="64"/>
      <c r="AX558" s="69"/>
      <c r="AY558" s="64"/>
      <c r="AZ558" s="69"/>
      <c r="BA558" s="64"/>
      <c r="BB558" s="69"/>
      <c r="BC558" s="64"/>
      <c r="BD558" s="69"/>
      <c r="BE558" s="64"/>
      <c r="BF558" s="69"/>
      <c r="BG558" s="64"/>
      <c r="BH558" s="69"/>
      <c r="BI558" s="64"/>
      <c r="BJ558" s="69"/>
      <c r="BK558" s="64"/>
      <c r="BL558" s="69"/>
      <c r="BM558" s="64"/>
      <c r="BN558" s="69"/>
      <c r="BO558" s="64"/>
      <c r="BP558" s="69"/>
      <c r="BQ558" s="64"/>
      <c r="BR558" s="69"/>
      <c r="BS558" s="64"/>
      <c r="BT558" s="69"/>
      <c r="BU558" t="b">
        <f t="shared" si="9"/>
        <v>0</v>
      </c>
    </row>
    <row r="559" spans="1:73" x14ac:dyDescent="0.25">
      <c r="A559" s="28"/>
      <c r="B559" s="29"/>
      <c r="C559" s="29"/>
      <c r="D559" s="30"/>
      <c r="E559" s="29"/>
      <c r="F559" s="30"/>
      <c r="G559" s="29"/>
      <c r="H559" s="69"/>
      <c r="I559" s="64"/>
      <c r="J559" s="69"/>
      <c r="K559" s="64"/>
      <c r="L559" s="69"/>
      <c r="M559" s="65"/>
      <c r="N559" s="69"/>
      <c r="O559" s="64"/>
      <c r="P559" s="69"/>
      <c r="Q559" s="64"/>
      <c r="R559" s="69"/>
      <c r="S559" s="64"/>
      <c r="T559" s="69"/>
      <c r="U559" s="64"/>
      <c r="V559" s="69"/>
      <c r="W559" s="65"/>
      <c r="X559" s="69"/>
      <c r="Y559" s="64"/>
      <c r="Z559" s="69"/>
      <c r="AA559" s="64"/>
      <c r="AB559" s="69"/>
      <c r="AC559" s="64"/>
      <c r="AD559" s="69"/>
      <c r="AE559" s="65"/>
      <c r="AF559" s="69"/>
      <c r="AG559" s="65"/>
      <c r="AH559" s="69"/>
      <c r="AI559" s="64"/>
      <c r="AJ559" s="69"/>
      <c r="AK559" s="64"/>
      <c r="AL559" s="69"/>
      <c r="AM559" s="64"/>
      <c r="AN559" s="69"/>
      <c r="AO559" s="64"/>
      <c r="AP559" s="69"/>
      <c r="AQ559" s="64"/>
      <c r="AR559" s="69"/>
      <c r="AS559" s="64"/>
      <c r="AT559" s="69"/>
      <c r="AU559" s="64"/>
      <c r="AV559" s="69"/>
      <c r="AW559" s="64"/>
      <c r="AX559" s="69"/>
      <c r="AY559" s="64"/>
      <c r="AZ559" s="69"/>
      <c r="BA559" s="64"/>
      <c r="BB559" s="69"/>
      <c r="BC559" s="64"/>
      <c r="BD559" s="69"/>
      <c r="BE559" s="64"/>
      <c r="BF559" s="69"/>
      <c r="BG559" s="64"/>
      <c r="BH559" s="69"/>
      <c r="BI559" s="64"/>
      <c r="BJ559" s="69"/>
      <c r="BK559" s="64"/>
      <c r="BL559" s="69"/>
      <c r="BM559" s="64"/>
      <c r="BN559" s="69"/>
      <c r="BO559" s="64"/>
      <c r="BP559" s="69"/>
      <c r="BQ559" s="64"/>
      <c r="BR559" s="69"/>
      <c r="BS559" s="64"/>
      <c r="BT559" s="69"/>
      <c r="BU559" t="b">
        <f t="shared" si="9"/>
        <v>0</v>
      </c>
    </row>
    <row r="560" spans="1:73" x14ac:dyDescent="0.25">
      <c r="A560" s="28"/>
      <c r="B560" s="29"/>
      <c r="C560" s="29"/>
      <c r="D560" s="30"/>
      <c r="E560" s="29"/>
      <c r="F560" s="30"/>
      <c r="G560" s="29"/>
      <c r="H560" s="69"/>
      <c r="I560" s="64"/>
      <c r="J560" s="69"/>
      <c r="K560" s="64"/>
      <c r="L560" s="69"/>
      <c r="M560" s="65"/>
      <c r="N560" s="69"/>
      <c r="O560" s="64"/>
      <c r="P560" s="69"/>
      <c r="Q560" s="64"/>
      <c r="R560" s="69"/>
      <c r="S560" s="64"/>
      <c r="T560" s="69"/>
      <c r="U560" s="64"/>
      <c r="V560" s="69"/>
      <c r="W560" s="65"/>
      <c r="X560" s="69"/>
      <c r="Y560" s="64"/>
      <c r="Z560" s="69"/>
      <c r="AA560" s="64"/>
      <c r="AB560" s="69"/>
      <c r="AC560" s="64"/>
      <c r="AD560" s="69"/>
      <c r="AE560" s="65"/>
      <c r="AF560" s="69"/>
      <c r="AG560" s="65"/>
      <c r="AH560" s="69"/>
      <c r="AI560" s="64"/>
      <c r="AJ560" s="69"/>
      <c r="AK560" s="64"/>
      <c r="AL560" s="69"/>
      <c r="AM560" s="64"/>
      <c r="AN560" s="69"/>
      <c r="AO560" s="64"/>
      <c r="AP560" s="69"/>
      <c r="AQ560" s="64"/>
      <c r="AR560" s="69"/>
      <c r="AS560" s="64"/>
      <c r="AT560" s="69"/>
      <c r="AU560" s="64"/>
      <c r="AV560" s="69"/>
      <c r="AW560" s="64"/>
      <c r="AX560" s="69"/>
      <c r="AY560" s="64"/>
      <c r="AZ560" s="69"/>
      <c r="BA560" s="64"/>
      <c r="BB560" s="69"/>
      <c r="BC560" s="64"/>
      <c r="BD560" s="69"/>
      <c r="BE560" s="64"/>
      <c r="BF560" s="69"/>
      <c r="BG560" s="64"/>
      <c r="BH560" s="69"/>
      <c r="BI560" s="64"/>
      <c r="BJ560" s="69"/>
      <c r="BK560" s="64"/>
      <c r="BL560" s="69"/>
      <c r="BM560" s="64"/>
      <c r="BN560" s="69"/>
      <c r="BO560" s="64"/>
      <c r="BP560" s="69"/>
      <c r="BQ560" s="64"/>
      <c r="BR560" s="69"/>
      <c r="BS560" s="64"/>
      <c r="BT560" s="69"/>
      <c r="BU560" t="b">
        <f t="shared" si="9"/>
        <v>0</v>
      </c>
    </row>
    <row r="561" spans="1:73" x14ac:dyDescent="0.25">
      <c r="A561" s="28"/>
      <c r="B561" s="29"/>
      <c r="C561" s="29"/>
      <c r="D561" s="30"/>
      <c r="E561" s="29"/>
      <c r="F561" s="30"/>
      <c r="G561" s="29"/>
      <c r="H561" s="69"/>
      <c r="I561" s="64"/>
      <c r="J561" s="69"/>
      <c r="K561" s="64"/>
      <c r="L561" s="69"/>
      <c r="M561" s="65"/>
      <c r="N561" s="69"/>
      <c r="O561" s="64"/>
      <c r="P561" s="69"/>
      <c r="Q561" s="64"/>
      <c r="R561" s="69"/>
      <c r="S561" s="64"/>
      <c r="T561" s="69"/>
      <c r="U561" s="64"/>
      <c r="V561" s="69"/>
      <c r="W561" s="65"/>
      <c r="X561" s="69"/>
      <c r="Y561" s="64"/>
      <c r="Z561" s="69"/>
      <c r="AA561" s="64"/>
      <c r="AB561" s="69"/>
      <c r="AC561" s="64"/>
      <c r="AD561" s="69"/>
      <c r="AE561" s="65"/>
      <c r="AF561" s="69"/>
      <c r="AG561" s="65"/>
      <c r="AH561" s="69"/>
      <c r="AI561" s="64"/>
      <c r="AJ561" s="69"/>
      <c r="AK561" s="64"/>
      <c r="AL561" s="69"/>
      <c r="AM561" s="64"/>
      <c r="AN561" s="69"/>
      <c r="AO561" s="64"/>
      <c r="AP561" s="69"/>
      <c r="AQ561" s="64"/>
      <c r="AR561" s="69"/>
      <c r="AS561" s="64"/>
      <c r="AT561" s="69"/>
      <c r="AU561" s="64"/>
      <c r="AV561" s="69"/>
      <c r="AW561" s="64"/>
      <c r="AX561" s="69"/>
      <c r="AY561" s="64"/>
      <c r="AZ561" s="69"/>
      <c r="BA561" s="64"/>
      <c r="BB561" s="69"/>
      <c r="BC561" s="64"/>
      <c r="BD561" s="69"/>
      <c r="BE561" s="64"/>
      <c r="BF561" s="69"/>
      <c r="BG561" s="64"/>
      <c r="BH561" s="69"/>
      <c r="BI561" s="64"/>
      <c r="BJ561" s="69"/>
      <c r="BK561" s="64"/>
      <c r="BL561" s="69"/>
      <c r="BM561" s="64"/>
      <c r="BN561" s="69"/>
      <c r="BO561" s="64"/>
      <c r="BP561" s="69"/>
      <c r="BQ561" s="64"/>
      <c r="BR561" s="69"/>
      <c r="BS561" s="64"/>
      <c r="BT561" s="69"/>
      <c r="BU561" t="b">
        <f t="shared" si="9"/>
        <v>0</v>
      </c>
    </row>
    <row r="562" spans="1:73" x14ac:dyDescent="0.25">
      <c r="A562" s="28"/>
      <c r="B562" s="29"/>
      <c r="C562" s="29"/>
      <c r="D562" s="30"/>
      <c r="E562" s="29"/>
      <c r="F562" s="30"/>
      <c r="G562" s="29"/>
      <c r="H562" s="69"/>
      <c r="I562" s="64"/>
      <c r="J562" s="69"/>
      <c r="K562" s="64"/>
      <c r="L562" s="69"/>
      <c r="M562" s="65"/>
      <c r="N562" s="69"/>
      <c r="O562" s="64"/>
      <c r="P562" s="69"/>
      <c r="Q562" s="64"/>
      <c r="R562" s="69"/>
      <c r="S562" s="64"/>
      <c r="T562" s="69"/>
      <c r="U562" s="64"/>
      <c r="V562" s="69"/>
      <c r="W562" s="65"/>
      <c r="X562" s="69"/>
      <c r="Y562" s="64"/>
      <c r="Z562" s="69"/>
      <c r="AA562" s="64"/>
      <c r="AB562" s="69"/>
      <c r="AC562" s="64"/>
      <c r="AD562" s="69"/>
      <c r="AE562" s="65"/>
      <c r="AF562" s="69"/>
      <c r="AG562" s="65"/>
      <c r="AH562" s="69"/>
      <c r="AI562" s="64"/>
      <c r="AJ562" s="69"/>
      <c r="AK562" s="64"/>
      <c r="AL562" s="69"/>
      <c r="AM562" s="64"/>
      <c r="AN562" s="69"/>
      <c r="AO562" s="64"/>
      <c r="AP562" s="69"/>
      <c r="AQ562" s="64"/>
      <c r="AR562" s="69"/>
      <c r="AS562" s="64"/>
      <c r="AT562" s="69"/>
      <c r="AU562" s="64"/>
      <c r="AV562" s="69"/>
      <c r="AW562" s="64"/>
      <c r="AX562" s="69"/>
      <c r="AY562" s="64"/>
      <c r="AZ562" s="69"/>
      <c r="BA562" s="64"/>
      <c r="BB562" s="69"/>
      <c r="BC562" s="64"/>
      <c r="BD562" s="69"/>
      <c r="BE562" s="64"/>
      <c r="BF562" s="69"/>
      <c r="BG562" s="64"/>
      <c r="BH562" s="69"/>
      <c r="BI562" s="64"/>
      <c r="BJ562" s="69"/>
      <c r="BK562" s="64"/>
      <c r="BL562" s="69"/>
      <c r="BM562" s="64"/>
      <c r="BN562" s="69"/>
      <c r="BO562" s="64"/>
      <c r="BP562" s="69"/>
      <c r="BQ562" s="64"/>
      <c r="BR562" s="69"/>
      <c r="BS562" s="64"/>
      <c r="BT562" s="69"/>
      <c r="BU562" t="b">
        <f t="shared" si="9"/>
        <v>0</v>
      </c>
    </row>
    <row r="563" spans="1:73" x14ac:dyDescent="0.25">
      <c r="A563" s="28"/>
      <c r="B563" s="29"/>
      <c r="C563" s="29"/>
      <c r="D563" s="30"/>
      <c r="E563" s="29"/>
      <c r="F563" s="30"/>
      <c r="G563" s="29"/>
      <c r="H563" s="69"/>
      <c r="I563" s="64"/>
      <c r="J563" s="69"/>
      <c r="K563" s="64"/>
      <c r="L563" s="69"/>
      <c r="M563" s="65"/>
      <c r="N563" s="69"/>
      <c r="O563" s="64"/>
      <c r="P563" s="69"/>
      <c r="Q563" s="64"/>
      <c r="R563" s="69"/>
      <c r="S563" s="64"/>
      <c r="T563" s="69"/>
      <c r="U563" s="64"/>
      <c r="V563" s="69"/>
      <c r="W563" s="65"/>
      <c r="X563" s="69"/>
      <c r="Y563" s="64"/>
      <c r="Z563" s="69"/>
      <c r="AA563" s="64"/>
      <c r="AB563" s="69"/>
      <c r="AC563" s="64"/>
      <c r="AD563" s="69"/>
      <c r="AE563" s="65"/>
      <c r="AF563" s="69"/>
      <c r="AG563" s="65"/>
      <c r="AH563" s="69"/>
      <c r="AI563" s="64"/>
      <c r="AJ563" s="69"/>
      <c r="AK563" s="64"/>
      <c r="AL563" s="69"/>
      <c r="AM563" s="64"/>
      <c r="AN563" s="69"/>
      <c r="AO563" s="64"/>
      <c r="AP563" s="69"/>
      <c r="AQ563" s="64"/>
      <c r="AR563" s="69"/>
      <c r="AS563" s="64"/>
      <c r="AT563" s="69"/>
      <c r="AU563" s="64"/>
      <c r="AV563" s="69"/>
      <c r="AW563" s="64"/>
      <c r="AX563" s="69"/>
      <c r="AY563" s="64"/>
      <c r="AZ563" s="69"/>
      <c r="BA563" s="64"/>
      <c r="BB563" s="69"/>
      <c r="BC563" s="64"/>
      <c r="BD563" s="69"/>
      <c r="BE563" s="64"/>
      <c r="BF563" s="69"/>
      <c r="BG563" s="64"/>
      <c r="BH563" s="69"/>
      <c r="BI563" s="64"/>
      <c r="BJ563" s="69"/>
      <c r="BK563" s="64"/>
      <c r="BL563" s="69"/>
      <c r="BM563" s="64"/>
      <c r="BN563" s="69"/>
      <c r="BO563" s="64"/>
      <c r="BP563" s="69"/>
      <c r="BQ563" s="64"/>
      <c r="BR563" s="69"/>
      <c r="BS563" s="64"/>
      <c r="BT563" s="69"/>
      <c r="BU563" t="b">
        <f t="shared" si="9"/>
        <v>0</v>
      </c>
    </row>
    <row r="564" spans="1:73" x14ac:dyDescent="0.25">
      <c r="A564" s="28"/>
      <c r="B564" s="29"/>
      <c r="C564" s="29"/>
      <c r="D564" s="30"/>
      <c r="E564" s="29"/>
      <c r="F564" s="30"/>
      <c r="G564" s="29"/>
      <c r="H564" s="69"/>
      <c r="I564" s="64"/>
      <c r="J564" s="69"/>
      <c r="K564" s="64"/>
      <c r="L564" s="69"/>
      <c r="M564" s="65"/>
      <c r="N564" s="69"/>
      <c r="O564" s="64"/>
      <c r="P564" s="69"/>
      <c r="Q564" s="64"/>
      <c r="R564" s="69"/>
      <c r="S564" s="64"/>
      <c r="T564" s="69"/>
      <c r="U564" s="64"/>
      <c r="V564" s="69"/>
      <c r="W564" s="65"/>
      <c r="X564" s="69"/>
      <c r="Y564" s="64"/>
      <c r="Z564" s="69"/>
      <c r="AA564" s="64"/>
      <c r="AB564" s="69"/>
      <c r="AC564" s="64"/>
      <c r="AD564" s="69"/>
      <c r="AE564" s="65"/>
      <c r="AF564" s="69"/>
      <c r="AG564" s="65"/>
      <c r="AH564" s="69"/>
      <c r="AI564" s="64"/>
      <c r="AJ564" s="69"/>
      <c r="AK564" s="64"/>
      <c r="AL564" s="69"/>
      <c r="AM564" s="64"/>
      <c r="AN564" s="69"/>
      <c r="AO564" s="64"/>
      <c r="AP564" s="69"/>
      <c r="AQ564" s="64"/>
      <c r="AR564" s="69"/>
      <c r="AS564" s="64"/>
      <c r="AT564" s="69"/>
      <c r="AU564" s="64"/>
      <c r="AV564" s="69"/>
      <c r="AW564" s="64"/>
      <c r="AX564" s="69"/>
      <c r="AY564" s="64"/>
      <c r="AZ564" s="69"/>
      <c r="BA564" s="64"/>
      <c r="BB564" s="69"/>
      <c r="BC564" s="64"/>
      <c r="BD564" s="69"/>
      <c r="BE564" s="64"/>
      <c r="BF564" s="69"/>
      <c r="BG564" s="64"/>
      <c r="BH564" s="69"/>
      <c r="BI564" s="64"/>
      <c r="BJ564" s="69"/>
      <c r="BK564" s="64"/>
      <c r="BL564" s="69"/>
      <c r="BM564" s="64"/>
      <c r="BN564" s="69"/>
      <c r="BO564" s="64"/>
      <c r="BP564" s="69"/>
      <c r="BQ564" s="64"/>
      <c r="BR564" s="69"/>
      <c r="BS564" s="64"/>
      <c r="BT564" s="69"/>
      <c r="BU564" t="b">
        <f t="shared" si="9"/>
        <v>0</v>
      </c>
    </row>
    <row r="565" spans="1:73" x14ac:dyDescent="0.25">
      <c r="A565" s="28"/>
      <c r="B565" s="29"/>
      <c r="C565" s="29"/>
      <c r="D565" s="30"/>
      <c r="E565" s="29"/>
      <c r="F565" s="30"/>
      <c r="G565" s="29"/>
      <c r="H565" s="69"/>
      <c r="I565" s="64"/>
      <c r="J565" s="69"/>
      <c r="K565" s="64"/>
      <c r="L565" s="69"/>
      <c r="M565" s="65"/>
      <c r="N565" s="69"/>
      <c r="O565" s="64"/>
      <c r="P565" s="69"/>
      <c r="Q565" s="64"/>
      <c r="R565" s="69"/>
      <c r="S565" s="64"/>
      <c r="T565" s="69"/>
      <c r="U565" s="64"/>
      <c r="V565" s="69"/>
      <c r="W565" s="65"/>
      <c r="X565" s="69"/>
      <c r="Y565" s="64"/>
      <c r="Z565" s="69"/>
      <c r="AA565" s="64"/>
      <c r="AB565" s="69"/>
      <c r="AC565" s="64"/>
      <c r="AD565" s="69"/>
      <c r="AE565" s="65"/>
      <c r="AF565" s="69"/>
      <c r="AG565" s="65"/>
      <c r="AH565" s="69"/>
      <c r="AI565" s="64"/>
      <c r="AJ565" s="69"/>
      <c r="AK565" s="64"/>
      <c r="AL565" s="69"/>
      <c r="AM565" s="64"/>
      <c r="AN565" s="69"/>
      <c r="AO565" s="64"/>
      <c r="AP565" s="69"/>
      <c r="AQ565" s="64"/>
      <c r="AR565" s="69"/>
      <c r="AS565" s="64"/>
      <c r="AT565" s="69"/>
      <c r="AU565" s="64"/>
      <c r="AV565" s="69"/>
      <c r="AW565" s="64"/>
      <c r="AX565" s="69"/>
      <c r="AY565" s="64"/>
      <c r="AZ565" s="69"/>
      <c r="BA565" s="64"/>
      <c r="BB565" s="69"/>
      <c r="BC565" s="64"/>
      <c r="BD565" s="69"/>
      <c r="BE565" s="64"/>
      <c r="BF565" s="69"/>
      <c r="BG565" s="64"/>
      <c r="BH565" s="69"/>
      <c r="BI565" s="64"/>
      <c r="BJ565" s="69"/>
      <c r="BK565" s="64"/>
      <c r="BL565" s="69"/>
      <c r="BM565" s="64"/>
      <c r="BN565" s="69"/>
      <c r="BO565" s="64"/>
      <c r="BP565" s="69"/>
      <c r="BQ565" s="64"/>
      <c r="BR565" s="69"/>
      <c r="BS565" s="64"/>
      <c r="BT565" s="69"/>
      <c r="BU565" t="b">
        <f t="shared" si="9"/>
        <v>0</v>
      </c>
    </row>
    <row r="566" spans="1:73" x14ac:dyDescent="0.25">
      <c r="A566" s="28"/>
      <c r="B566" s="29"/>
      <c r="C566" s="29"/>
      <c r="D566" s="30"/>
      <c r="E566" s="29"/>
      <c r="F566" s="30"/>
      <c r="G566" s="29"/>
      <c r="H566" s="69"/>
      <c r="I566" s="64"/>
      <c r="J566" s="69"/>
      <c r="K566" s="64"/>
      <c r="L566" s="69"/>
      <c r="M566" s="65"/>
      <c r="N566" s="69"/>
      <c r="O566" s="64"/>
      <c r="P566" s="69"/>
      <c r="Q566" s="64"/>
      <c r="R566" s="69"/>
      <c r="S566" s="64"/>
      <c r="T566" s="69"/>
      <c r="U566" s="64"/>
      <c r="V566" s="69"/>
      <c r="W566" s="65"/>
      <c r="X566" s="69"/>
      <c r="Y566" s="64"/>
      <c r="Z566" s="69"/>
      <c r="AA566" s="64"/>
      <c r="AB566" s="69"/>
      <c r="AC566" s="64"/>
      <c r="AD566" s="69"/>
      <c r="AE566" s="65"/>
      <c r="AF566" s="69"/>
      <c r="AG566" s="65"/>
      <c r="AH566" s="69"/>
      <c r="AI566" s="64"/>
      <c r="AJ566" s="69"/>
      <c r="AK566" s="64"/>
      <c r="AL566" s="69"/>
      <c r="AM566" s="64"/>
      <c r="AN566" s="69"/>
      <c r="AO566" s="64"/>
      <c r="AP566" s="69"/>
      <c r="AQ566" s="64"/>
      <c r="AR566" s="69"/>
      <c r="AS566" s="64"/>
      <c r="AT566" s="69"/>
      <c r="AU566" s="64"/>
      <c r="AV566" s="69"/>
      <c r="AW566" s="64"/>
      <c r="AX566" s="69"/>
      <c r="AY566" s="64"/>
      <c r="AZ566" s="69"/>
      <c r="BA566" s="64"/>
      <c r="BB566" s="69"/>
      <c r="BC566" s="64"/>
      <c r="BD566" s="69"/>
      <c r="BE566" s="64"/>
      <c r="BF566" s="69"/>
      <c r="BG566" s="64"/>
      <c r="BH566" s="69"/>
      <c r="BI566" s="64"/>
      <c r="BJ566" s="69"/>
      <c r="BK566" s="64"/>
      <c r="BL566" s="69"/>
      <c r="BM566" s="64"/>
      <c r="BN566" s="69"/>
      <c r="BO566" s="64"/>
      <c r="BP566" s="69"/>
      <c r="BQ566" s="64"/>
      <c r="BR566" s="69"/>
      <c r="BS566" s="64"/>
      <c r="BT566" s="69"/>
      <c r="BU566" t="b">
        <f t="shared" si="9"/>
        <v>0</v>
      </c>
    </row>
    <row r="567" spans="1:73" x14ac:dyDescent="0.25">
      <c r="A567" s="28"/>
      <c r="B567" s="29"/>
      <c r="C567" s="29"/>
      <c r="D567" s="30"/>
      <c r="E567" s="29"/>
      <c r="F567" s="30"/>
      <c r="G567" s="29"/>
      <c r="H567" s="69"/>
      <c r="I567" s="64"/>
      <c r="J567" s="69"/>
      <c r="K567" s="64"/>
      <c r="L567" s="69"/>
      <c r="M567" s="65"/>
      <c r="N567" s="69"/>
      <c r="O567" s="64"/>
      <c r="P567" s="69"/>
      <c r="Q567" s="64"/>
      <c r="R567" s="69"/>
      <c r="S567" s="64"/>
      <c r="T567" s="69"/>
      <c r="U567" s="64"/>
      <c r="V567" s="69"/>
      <c r="W567" s="65"/>
      <c r="X567" s="69"/>
      <c r="Y567" s="64"/>
      <c r="Z567" s="69"/>
      <c r="AA567" s="64"/>
      <c r="AB567" s="69"/>
      <c r="AC567" s="64"/>
      <c r="AD567" s="69"/>
      <c r="AE567" s="65"/>
      <c r="AF567" s="69"/>
      <c r="AG567" s="65"/>
      <c r="AH567" s="69"/>
      <c r="AI567" s="64"/>
      <c r="AJ567" s="69"/>
      <c r="AK567" s="64"/>
      <c r="AL567" s="69"/>
      <c r="AM567" s="64"/>
      <c r="AN567" s="69"/>
      <c r="AO567" s="64"/>
      <c r="AP567" s="69"/>
      <c r="AQ567" s="64"/>
      <c r="AR567" s="69"/>
      <c r="AS567" s="64"/>
      <c r="AT567" s="69"/>
      <c r="AU567" s="64"/>
      <c r="AV567" s="69"/>
      <c r="AW567" s="64"/>
      <c r="AX567" s="69"/>
      <c r="AY567" s="64"/>
      <c r="AZ567" s="69"/>
      <c r="BA567" s="64"/>
      <c r="BB567" s="69"/>
      <c r="BC567" s="64"/>
      <c r="BD567" s="69"/>
      <c r="BE567" s="64"/>
      <c r="BF567" s="69"/>
      <c r="BG567" s="64"/>
      <c r="BH567" s="69"/>
      <c r="BI567" s="64"/>
      <c r="BJ567" s="69"/>
      <c r="BK567" s="64"/>
      <c r="BL567" s="69"/>
      <c r="BM567" s="64"/>
      <c r="BN567" s="69"/>
      <c r="BO567" s="64"/>
      <c r="BP567" s="69"/>
      <c r="BQ567" s="64"/>
      <c r="BR567" s="69"/>
      <c r="BS567" s="64"/>
      <c r="BT567" s="69"/>
      <c r="BU567" t="b">
        <f t="shared" si="9"/>
        <v>0</v>
      </c>
    </row>
    <row r="568" spans="1:73" x14ac:dyDescent="0.25">
      <c r="A568" s="28"/>
      <c r="B568" s="29"/>
      <c r="C568" s="29"/>
      <c r="D568" s="30"/>
      <c r="E568" s="29"/>
      <c r="F568" s="30"/>
      <c r="G568" s="29"/>
      <c r="H568" s="69"/>
      <c r="I568" s="64"/>
      <c r="J568" s="69"/>
      <c r="K568" s="64"/>
      <c r="L568" s="69"/>
      <c r="M568" s="65"/>
      <c r="N568" s="69"/>
      <c r="O568" s="64"/>
      <c r="P568" s="69"/>
      <c r="Q568" s="64"/>
      <c r="R568" s="69"/>
      <c r="S568" s="64"/>
      <c r="T568" s="69"/>
      <c r="U568" s="64"/>
      <c r="V568" s="69"/>
      <c r="W568" s="65"/>
      <c r="X568" s="69"/>
      <c r="Y568" s="64"/>
      <c r="Z568" s="69"/>
      <c r="AA568" s="64"/>
      <c r="AB568" s="69"/>
      <c r="AC568" s="64"/>
      <c r="AD568" s="69"/>
      <c r="AE568" s="65"/>
      <c r="AF568" s="69"/>
      <c r="AG568" s="65"/>
      <c r="AH568" s="69"/>
      <c r="AI568" s="64"/>
      <c r="AJ568" s="69"/>
      <c r="AK568" s="64"/>
      <c r="AL568" s="69"/>
      <c r="AM568" s="64"/>
      <c r="AN568" s="69"/>
      <c r="AO568" s="64"/>
      <c r="AP568" s="69"/>
      <c r="AQ568" s="64"/>
      <c r="AR568" s="69"/>
      <c r="AS568" s="64"/>
      <c r="AT568" s="69"/>
      <c r="AU568" s="64"/>
      <c r="AV568" s="69"/>
      <c r="AW568" s="64"/>
      <c r="AX568" s="69"/>
      <c r="AY568" s="64"/>
      <c r="AZ568" s="69"/>
      <c r="BA568" s="64"/>
      <c r="BB568" s="69"/>
      <c r="BC568" s="64"/>
      <c r="BD568" s="69"/>
      <c r="BE568" s="64"/>
      <c r="BF568" s="69"/>
      <c r="BG568" s="64"/>
      <c r="BH568" s="69"/>
      <c r="BI568" s="64"/>
      <c r="BJ568" s="69"/>
      <c r="BK568" s="64"/>
      <c r="BL568" s="69"/>
      <c r="BM568" s="64"/>
      <c r="BN568" s="69"/>
      <c r="BO568" s="64"/>
      <c r="BP568" s="69"/>
      <c r="BQ568" s="64"/>
      <c r="BR568" s="69"/>
      <c r="BS568" s="64"/>
      <c r="BT568" s="69"/>
      <c r="BU568" t="b">
        <f t="shared" si="9"/>
        <v>0</v>
      </c>
    </row>
    <row r="569" spans="1:73" x14ac:dyDescent="0.25">
      <c r="A569" s="28"/>
      <c r="B569" s="29"/>
      <c r="C569" s="29"/>
      <c r="D569" s="30"/>
      <c r="E569" s="29"/>
      <c r="F569" s="30"/>
      <c r="G569" s="29"/>
      <c r="H569" s="69"/>
      <c r="I569" s="64"/>
      <c r="J569" s="69"/>
      <c r="K569" s="64"/>
      <c r="L569" s="69"/>
      <c r="M569" s="65"/>
      <c r="N569" s="69"/>
      <c r="O569" s="64"/>
      <c r="P569" s="69"/>
      <c r="Q569" s="64"/>
      <c r="R569" s="69"/>
      <c r="S569" s="64"/>
      <c r="T569" s="69"/>
      <c r="U569" s="64"/>
      <c r="V569" s="69"/>
      <c r="W569" s="65"/>
      <c r="X569" s="69"/>
      <c r="Y569" s="64"/>
      <c r="Z569" s="69"/>
      <c r="AA569" s="64"/>
      <c r="AB569" s="69"/>
      <c r="AC569" s="64"/>
      <c r="AD569" s="69"/>
      <c r="AE569" s="65"/>
      <c r="AF569" s="69"/>
      <c r="AG569" s="65"/>
      <c r="AH569" s="69"/>
      <c r="AI569" s="64"/>
      <c r="AJ569" s="69"/>
      <c r="AK569" s="64"/>
      <c r="AL569" s="69"/>
      <c r="AM569" s="64"/>
      <c r="AN569" s="69"/>
      <c r="AO569" s="64"/>
      <c r="AP569" s="69"/>
      <c r="AQ569" s="64"/>
      <c r="AR569" s="69"/>
      <c r="AS569" s="64"/>
      <c r="AT569" s="69"/>
      <c r="AU569" s="64"/>
      <c r="AV569" s="69"/>
      <c r="AW569" s="64"/>
      <c r="AX569" s="69"/>
      <c r="AY569" s="64"/>
      <c r="AZ569" s="69"/>
      <c r="BA569" s="64"/>
      <c r="BB569" s="69"/>
      <c r="BC569" s="64"/>
      <c r="BD569" s="69"/>
      <c r="BE569" s="64"/>
      <c r="BF569" s="69"/>
      <c r="BG569" s="64"/>
      <c r="BH569" s="69"/>
      <c r="BI569" s="64"/>
      <c r="BJ569" s="69"/>
      <c r="BK569" s="64"/>
      <c r="BL569" s="69"/>
      <c r="BM569" s="64"/>
      <c r="BN569" s="69"/>
      <c r="BO569" s="64"/>
      <c r="BP569" s="69"/>
      <c r="BQ569" s="64"/>
      <c r="BR569" s="69"/>
      <c r="BS569" s="64"/>
      <c r="BT569" s="69"/>
      <c r="BU569" t="b">
        <f t="shared" si="9"/>
        <v>0</v>
      </c>
    </row>
    <row r="570" spans="1:73" x14ac:dyDescent="0.25">
      <c r="A570" s="28"/>
      <c r="B570" s="29"/>
      <c r="C570" s="29"/>
      <c r="D570" s="30"/>
      <c r="E570" s="29"/>
      <c r="F570" s="30"/>
      <c r="G570" s="29"/>
      <c r="H570" s="69"/>
      <c r="I570" s="64"/>
      <c r="J570" s="69"/>
      <c r="K570" s="64"/>
      <c r="L570" s="69"/>
      <c r="M570" s="65"/>
      <c r="N570" s="69"/>
      <c r="O570" s="64"/>
      <c r="P570" s="69"/>
      <c r="Q570" s="64"/>
      <c r="R570" s="69"/>
      <c r="S570" s="64"/>
      <c r="T570" s="69"/>
      <c r="U570" s="64"/>
      <c r="V570" s="69"/>
      <c r="W570" s="65"/>
      <c r="X570" s="69"/>
      <c r="Y570" s="64"/>
      <c r="Z570" s="69"/>
      <c r="AA570" s="64"/>
      <c r="AB570" s="69"/>
      <c r="AC570" s="64"/>
      <c r="AD570" s="69"/>
      <c r="AE570" s="65"/>
      <c r="AF570" s="69"/>
      <c r="AG570" s="65"/>
      <c r="AH570" s="69"/>
      <c r="AI570" s="64"/>
      <c r="AJ570" s="69"/>
      <c r="AK570" s="64"/>
      <c r="AL570" s="69"/>
      <c r="AM570" s="64"/>
      <c r="AN570" s="69"/>
      <c r="AO570" s="64"/>
      <c r="AP570" s="69"/>
      <c r="AQ570" s="64"/>
      <c r="AR570" s="69"/>
      <c r="AS570" s="64"/>
      <c r="AT570" s="69"/>
      <c r="AU570" s="64"/>
      <c r="AV570" s="69"/>
      <c r="AW570" s="64"/>
      <c r="AX570" s="69"/>
      <c r="AY570" s="64"/>
      <c r="AZ570" s="69"/>
      <c r="BA570" s="64"/>
      <c r="BB570" s="69"/>
      <c r="BC570" s="64"/>
      <c r="BD570" s="69"/>
      <c r="BE570" s="64"/>
      <c r="BF570" s="69"/>
      <c r="BG570" s="64"/>
      <c r="BH570" s="69"/>
      <c r="BI570" s="64"/>
      <c r="BJ570" s="69"/>
      <c r="BK570" s="64"/>
      <c r="BL570" s="69"/>
      <c r="BM570" s="64"/>
      <c r="BN570" s="69"/>
      <c r="BO570" s="64"/>
      <c r="BP570" s="69"/>
      <c r="BQ570" s="64"/>
      <c r="BR570" s="69"/>
      <c r="BS570" s="64"/>
      <c r="BT570" s="69"/>
      <c r="BU570" t="b">
        <f t="shared" si="9"/>
        <v>0</v>
      </c>
    </row>
    <row r="571" spans="1:73" x14ac:dyDescent="0.25">
      <c r="A571" s="28"/>
      <c r="B571" s="29"/>
      <c r="C571" s="29"/>
      <c r="D571" s="30"/>
      <c r="E571" s="29"/>
      <c r="F571" s="30"/>
      <c r="G571" s="29"/>
      <c r="H571" s="69"/>
      <c r="I571" s="64"/>
      <c r="J571" s="69"/>
      <c r="K571" s="64"/>
      <c r="L571" s="69"/>
      <c r="M571" s="65"/>
      <c r="N571" s="69"/>
      <c r="O571" s="64"/>
      <c r="P571" s="69"/>
      <c r="Q571" s="64"/>
      <c r="R571" s="69"/>
      <c r="S571" s="64"/>
      <c r="T571" s="69"/>
      <c r="U571" s="64"/>
      <c r="V571" s="69"/>
      <c r="W571" s="65"/>
      <c r="X571" s="69"/>
      <c r="Y571" s="64"/>
      <c r="Z571" s="69"/>
      <c r="AA571" s="64"/>
      <c r="AB571" s="69"/>
      <c r="AC571" s="64"/>
      <c r="AD571" s="69"/>
      <c r="AE571" s="65"/>
      <c r="AF571" s="69"/>
      <c r="AG571" s="65"/>
      <c r="AH571" s="69"/>
      <c r="AI571" s="64"/>
      <c r="AJ571" s="69"/>
      <c r="AK571" s="64"/>
      <c r="AL571" s="69"/>
      <c r="AM571" s="64"/>
      <c r="AN571" s="69"/>
      <c r="AO571" s="64"/>
      <c r="AP571" s="69"/>
      <c r="AQ571" s="64"/>
      <c r="AR571" s="69"/>
      <c r="AS571" s="64"/>
      <c r="AT571" s="69"/>
      <c r="AU571" s="64"/>
      <c r="AV571" s="69"/>
      <c r="AW571" s="64"/>
      <c r="AX571" s="69"/>
      <c r="AY571" s="64"/>
      <c r="AZ571" s="69"/>
      <c r="BA571" s="64"/>
      <c r="BB571" s="69"/>
      <c r="BC571" s="64"/>
      <c r="BD571" s="69"/>
      <c r="BE571" s="64"/>
      <c r="BF571" s="69"/>
      <c r="BG571" s="64"/>
      <c r="BH571" s="69"/>
      <c r="BI571" s="64"/>
      <c r="BJ571" s="69"/>
      <c r="BK571" s="64"/>
      <c r="BL571" s="69"/>
      <c r="BM571" s="64"/>
      <c r="BN571" s="69"/>
      <c r="BO571" s="64"/>
      <c r="BP571" s="69"/>
      <c r="BQ571" s="64"/>
      <c r="BR571" s="69"/>
      <c r="BS571" s="64"/>
      <c r="BT571" s="69"/>
      <c r="BU571" t="b">
        <f t="shared" si="9"/>
        <v>0</v>
      </c>
    </row>
    <row r="572" spans="1:73" x14ac:dyDescent="0.25">
      <c r="A572" s="28"/>
      <c r="B572" s="29"/>
      <c r="C572" s="29"/>
      <c r="D572" s="30"/>
      <c r="E572" s="29"/>
      <c r="F572" s="30"/>
      <c r="G572" s="29"/>
      <c r="H572" s="69"/>
      <c r="I572" s="64"/>
      <c r="J572" s="69"/>
      <c r="K572" s="64"/>
      <c r="L572" s="69"/>
      <c r="M572" s="65"/>
      <c r="N572" s="69"/>
      <c r="O572" s="64"/>
      <c r="P572" s="69"/>
      <c r="Q572" s="64"/>
      <c r="R572" s="69"/>
      <c r="S572" s="64"/>
      <c r="T572" s="69"/>
      <c r="U572" s="64"/>
      <c r="V572" s="69"/>
      <c r="W572" s="65"/>
      <c r="X572" s="69"/>
      <c r="Y572" s="64"/>
      <c r="Z572" s="69"/>
      <c r="AA572" s="64"/>
      <c r="AB572" s="69"/>
      <c r="AC572" s="64"/>
      <c r="AD572" s="69"/>
      <c r="AE572" s="65"/>
      <c r="AF572" s="69"/>
      <c r="AG572" s="65"/>
      <c r="AH572" s="69"/>
      <c r="AI572" s="64"/>
      <c r="AJ572" s="69"/>
      <c r="AK572" s="64"/>
      <c r="AL572" s="69"/>
      <c r="AM572" s="64"/>
      <c r="AN572" s="69"/>
      <c r="AO572" s="64"/>
      <c r="AP572" s="69"/>
      <c r="AQ572" s="64"/>
      <c r="AR572" s="69"/>
      <c r="AS572" s="64"/>
      <c r="AT572" s="69"/>
      <c r="AU572" s="64"/>
      <c r="AV572" s="69"/>
      <c r="AW572" s="64"/>
      <c r="AX572" s="69"/>
      <c r="AY572" s="64"/>
      <c r="AZ572" s="69"/>
      <c r="BA572" s="64"/>
      <c r="BB572" s="69"/>
      <c r="BC572" s="64"/>
      <c r="BD572" s="69"/>
      <c r="BE572" s="64"/>
      <c r="BF572" s="69"/>
      <c r="BG572" s="64"/>
      <c r="BH572" s="69"/>
      <c r="BI572" s="64"/>
      <c r="BJ572" s="69"/>
      <c r="BK572" s="64"/>
      <c r="BL572" s="69"/>
      <c r="BM572" s="64"/>
      <c r="BN572" s="69"/>
      <c r="BO572" s="64"/>
      <c r="BP572" s="69"/>
      <c r="BQ572" s="64"/>
      <c r="BR572" s="69"/>
      <c r="BS572" s="64"/>
      <c r="BT572" s="69"/>
      <c r="BU572" t="b">
        <f t="shared" si="9"/>
        <v>0</v>
      </c>
    </row>
    <row r="573" spans="1:73" x14ac:dyDescent="0.25">
      <c r="A573" s="28"/>
      <c r="B573" s="29"/>
      <c r="C573" s="29"/>
      <c r="D573" s="30"/>
      <c r="E573" s="29"/>
      <c r="F573" s="30"/>
      <c r="G573" s="29"/>
      <c r="H573" s="69"/>
      <c r="I573" s="64"/>
      <c r="J573" s="69"/>
      <c r="K573" s="64"/>
      <c r="L573" s="69"/>
      <c r="M573" s="65"/>
      <c r="N573" s="69"/>
      <c r="O573" s="64"/>
      <c r="P573" s="69"/>
      <c r="Q573" s="64"/>
      <c r="R573" s="69"/>
      <c r="S573" s="64"/>
      <c r="T573" s="69"/>
      <c r="U573" s="64"/>
      <c r="V573" s="69"/>
      <c r="W573" s="65"/>
      <c r="X573" s="69"/>
      <c r="Y573" s="64"/>
      <c r="Z573" s="69"/>
      <c r="AA573" s="64"/>
      <c r="AB573" s="69"/>
      <c r="AC573" s="64"/>
      <c r="AD573" s="69"/>
      <c r="AE573" s="65"/>
      <c r="AF573" s="69"/>
      <c r="AG573" s="65"/>
      <c r="AH573" s="69"/>
      <c r="AI573" s="64"/>
      <c r="AJ573" s="69"/>
      <c r="AK573" s="64"/>
      <c r="AL573" s="69"/>
      <c r="AM573" s="64"/>
      <c r="AN573" s="69"/>
      <c r="AO573" s="64"/>
      <c r="AP573" s="69"/>
      <c r="AQ573" s="64"/>
      <c r="AR573" s="69"/>
      <c r="AS573" s="64"/>
      <c r="AT573" s="69"/>
      <c r="AU573" s="64"/>
      <c r="AV573" s="69"/>
      <c r="AW573" s="64"/>
      <c r="AX573" s="69"/>
      <c r="AY573" s="64"/>
      <c r="AZ573" s="69"/>
      <c r="BA573" s="64"/>
      <c r="BB573" s="69"/>
      <c r="BC573" s="64"/>
      <c r="BD573" s="69"/>
      <c r="BE573" s="64"/>
      <c r="BF573" s="69"/>
      <c r="BG573" s="64"/>
      <c r="BH573" s="69"/>
      <c r="BI573" s="64"/>
      <c r="BJ573" s="69"/>
      <c r="BK573" s="64"/>
      <c r="BL573" s="69"/>
      <c r="BM573" s="64"/>
      <c r="BN573" s="69"/>
      <c r="BO573" s="64"/>
      <c r="BP573" s="69"/>
      <c r="BQ573" s="64"/>
      <c r="BR573" s="69"/>
      <c r="BS573" s="64"/>
      <c r="BT573" s="69"/>
      <c r="BU573" t="b">
        <f t="shared" si="9"/>
        <v>0</v>
      </c>
    </row>
    <row r="574" spans="1:73" x14ac:dyDescent="0.25">
      <c r="A574" s="28"/>
      <c r="B574" s="29"/>
      <c r="C574" s="29"/>
      <c r="D574" s="30"/>
      <c r="E574" s="29"/>
      <c r="F574" s="30"/>
      <c r="G574" s="29"/>
      <c r="H574" s="69"/>
      <c r="I574" s="64"/>
      <c r="J574" s="69"/>
      <c r="K574" s="64"/>
      <c r="L574" s="69"/>
      <c r="M574" s="65"/>
      <c r="N574" s="69"/>
      <c r="O574" s="64"/>
      <c r="P574" s="69"/>
      <c r="Q574" s="64"/>
      <c r="R574" s="69"/>
      <c r="S574" s="64"/>
      <c r="T574" s="69"/>
      <c r="U574" s="64"/>
      <c r="V574" s="69"/>
      <c r="W574" s="65"/>
      <c r="X574" s="69"/>
      <c r="Y574" s="64"/>
      <c r="Z574" s="69"/>
      <c r="AA574" s="64"/>
      <c r="AB574" s="69"/>
      <c r="AC574" s="64"/>
      <c r="AD574" s="69"/>
      <c r="AE574" s="65"/>
      <c r="AF574" s="69"/>
      <c r="AG574" s="65"/>
      <c r="AH574" s="69"/>
      <c r="AI574" s="64"/>
      <c r="AJ574" s="69"/>
      <c r="AK574" s="64"/>
      <c r="AL574" s="69"/>
      <c r="AM574" s="64"/>
      <c r="AN574" s="69"/>
      <c r="AO574" s="64"/>
      <c r="AP574" s="69"/>
      <c r="AQ574" s="64"/>
      <c r="AR574" s="69"/>
      <c r="AS574" s="64"/>
      <c r="AT574" s="69"/>
      <c r="AU574" s="64"/>
      <c r="AV574" s="69"/>
      <c r="AW574" s="64"/>
      <c r="AX574" s="69"/>
      <c r="AY574" s="64"/>
      <c r="AZ574" s="69"/>
      <c r="BA574" s="64"/>
      <c r="BB574" s="69"/>
      <c r="BC574" s="64"/>
      <c r="BD574" s="69"/>
      <c r="BE574" s="64"/>
      <c r="BF574" s="69"/>
      <c r="BG574" s="64"/>
      <c r="BH574" s="69"/>
      <c r="BI574" s="64"/>
      <c r="BJ574" s="69"/>
      <c r="BK574" s="64"/>
      <c r="BL574" s="69"/>
      <c r="BM574" s="64"/>
      <c r="BN574" s="69"/>
      <c r="BO574" s="64"/>
      <c r="BP574" s="69"/>
      <c r="BQ574" s="64"/>
      <c r="BR574" s="69"/>
      <c r="BS574" s="64"/>
      <c r="BT574" s="69"/>
      <c r="BU574" t="b">
        <f t="shared" si="9"/>
        <v>0</v>
      </c>
    </row>
    <row r="575" spans="1:73" x14ac:dyDescent="0.25">
      <c r="A575" s="28"/>
      <c r="B575" s="29"/>
      <c r="C575" s="29"/>
      <c r="D575" s="30"/>
      <c r="E575" s="29"/>
      <c r="F575" s="30"/>
      <c r="G575" s="29"/>
      <c r="H575" s="69"/>
      <c r="I575" s="64"/>
      <c r="J575" s="69"/>
      <c r="K575" s="64"/>
      <c r="L575" s="69"/>
      <c r="M575" s="65"/>
      <c r="N575" s="69"/>
      <c r="O575" s="64"/>
      <c r="P575" s="69"/>
      <c r="Q575" s="64"/>
      <c r="R575" s="69"/>
      <c r="S575" s="64"/>
      <c r="T575" s="69"/>
      <c r="U575" s="64"/>
      <c r="V575" s="69"/>
      <c r="W575" s="65"/>
      <c r="X575" s="69"/>
      <c r="Y575" s="64"/>
      <c r="Z575" s="69"/>
      <c r="AA575" s="64"/>
      <c r="AB575" s="69"/>
      <c r="AC575" s="64"/>
      <c r="AD575" s="69"/>
      <c r="AE575" s="65"/>
      <c r="AF575" s="69"/>
      <c r="AG575" s="65"/>
      <c r="AH575" s="69"/>
      <c r="AI575" s="64"/>
      <c r="AJ575" s="69"/>
      <c r="AK575" s="64"/>
      <c r="AL575" s="69"/>
      <c r="AM575" s="64"/>
      <c r="AN575" s="69"/>
      <c r="AO575" s="64"/>
      <c r="AP575" s="69"/>
      <c r="AQ575" s="64"/>
      <c r="AR575" s="69"/>
      <c r="AS575" s="64"/>
      <c r="AT575" s="69"/>
      <c r="AU575" s="64"/>
      <c r="AV575" s="69"/>
      <c r="AW575" s="64"/>
      <c r="AX575" s="69"/>
      <c r="AY575" s="64"/>
      <c r="AZ575" s="69"/>
      <c r="BA575" s="64"/>
      <c r="BB575" s="69"/>
      <c r="BC575" s="64"/>
      <c r="BD575" s="69"/>
      <c r="BE575" s="64"/>
      <c r="BF575" s="69"/>
      <c r="BG575" s="64"/>
      <c r="BH575" s="69"/>
      <c r="BI575" s="64"/>
      <c r="BJ575" s="69"/>
      <c r="BK575" s="64"/>
      <c r="BL575" s="69"/>
      <c r="BM575" s="64"/>
      <c r="BN575" s="69"/>
      <c r="BO575" s="64"/>
      <c r="BP575" s="69"/>
      <c r="BQ575" s="64"/>
      <c r="BR575" s="69"/>
      <c r="BS575" s="64"/>
      <c r="BT575" s="69"/>
      <c r="BU575" t="b">
        <f t="shared" si="9"/>
        <v>0</v>
      </c>
    </row>
    <row r="576" spans="1:73" x14ac:dyDescent="0.25">
      <c r="A576" s="28"/>
      <c r="B576" s="29"/>
      <c r="C576" s="29"/>
      <c r="D576" s="30"/>
      <c r="E576" s="29"/>
      <c r="F576" s="30"/>
      <c r="G576" s="29"/>
      <c r="H576" s="69"/>
      <c r="I576" s="64"/>
      <c r="J576" s="69"/>
      <c r="K576" s="64"/>
      <c r="L576" s="69"/>
      <c r="M576" s="65"/>
      <c r="N576" s="69"/>
      <c r="O576" s="64"/>
      <c r="P576" s="69"/>
      <c r="Q576" s="64"/>
      <c r="R576" s="69"/>
      <c r="S576" s="64"/>
      <c r="T576" s="69"/>
      <c r="U576" s="64"/>
      <c r="V576" s="69"/>
      <c r="W576" s="65"/>
      <c r="X576" s="69"/>
      <c r="Y576" s="64"/>
      <c r="Z576" s="69"/>
      <c r="AA576" s="64"/>
      <c r="AB576" s="69"/>
      <c r="AC576" s="64"/>
      <c r="AD576" s="69"/>
      <c r="AE576" s="65"/>
      <c r="AF576" s="69"/>
      <c r="AG576" s="65"/>
      <c r="AH576" s="69"/>
      <c r="AI576" s="64"/>
      <c r="AJ576" s="69"/>
      <c r="AK576" s="64"/>
      <c r="AL576" s="69"/>
      <c r="AM576" s="64"/>
      <c r="AN576" s="69"/>
      <c r="AO576" s="64"/>
      <c r="AP576" s="69"/>
      <c r="AQ576" s="64"/>
      <c r="AR576" s="69"/>
      <c r="AS576" s="64"/>
      <c r="AT576" s="69"/>
      <c r="AU576" s="64"/>
      <c r="AV576" s="69"/>
      <c r="AW576" s="64"/>
      <c r="AX576" s="69"/>
      <c r="AY576" s="64"/>
      <c r="AZ576" s="69"/>
      <c r="BA576" s="64"/>
      <c r="BB576" s="69"/>
      <c r="BC576" s="64"/>
      <c r="BD576" s="69"/>
      <c r="BE576" s="64"/>
      <c r="BF576" s="69"/>
      <c r="BG576" s="64"/>
      <c r="BH576" s="69"/>
      <c r="BI576" s="64"/>
      <c r="BJ576" s="69"/>
      <c r="BK576" s="64"/>
      <c r="BL576" s="69"/>
      <c r="BM576" s="64"/>
      <c r="BN576" s="69"/>
      <c r="BO576" s="64"/>
      <c r="BP576" s="69"/>
      <c r="BQ576" s="64"/>
      <c r="BR576" s="69"/>
      <c r="BS576" s="64"/>
      <c r="BT576" s="69"/>
      <c r="BU576" t="b">
        <f t="shared" si="9"/>
        <v>0</v>
      </c>
    </row>
    <row r="577" spans="1:73" x14ac:dyDescent="0.25">
      <c r="A577" s="28"/>
      <c r="B577" s="29"/>
      <c r="C577" s="29"/>
      <c r="D577" s="30"/>
      <c r="E577" s="29"/>
      <c r="F577" s="30"/>
      <c r="G577" s="29"/>
      <c r="H577" s="69"/>
      <c r="I577" s="64"/>
      <c r="J577" s="69"/>
      <c r="K577" s="64"/>
      <c r="L577" s="69"/>
      <c r="M577" s="65"/>
      <c r="N577" s="69"/>
      <c r="O577" s="64"/>
      <c r="P577" s="69"/>
      <c r="Q577" s="64"/>
      <c r="R577" s="69"/>
      <c r="S577" s="64"/>
      <c r="T577" s="69"/>
      <c r="U577" s="64"/>
      <c r="V577" s="69"/>
      <c r="W577" s="65"/>
      <c r="X577" s="69"/>
      <c r="Y577" s="64"/>
      <c r="Z577" s="69"/>
      <c r="AA577" s="64"/>
      <c r="AB577" s="69"/>
      <c r="AC577" s="64"/>
      <c r="AD577" s="69"/>
      <c r="AE577" s="65"/>
      <c r="AF577" s="69"/>
      <c r="AG577" s="65"/>
      <c r="AH577" s="69"/>
      <c r="AI577" s="64"/>
      <c r="AJ577" s="69"/>
      <c r="AK577" s="64"/>
      <c r="AL577" s="69"/>
      <c r="AM577" s="64"/>
      <c r="AN577" s="69"/>
      <c r="AO577" s="64"/>
      <c r="AP577" s="69"/>
      <c r="AQ577" s="64"/>
      <c r="AR577" s="69"/>
      <c r="AS577" s="64"/>
      <c r="AT577" s="69"/>
      <c r="AU577" s="64"/>
      <c r="AV577" s="69"/>
      <c r="AW577" s="64"/>
      <c r="AX577" s="69"/>
      <c r="AY577" s="64"/>
      <c r="AZ577" s="69"/>
      <c r="BA577" s="64"/>
      <c r="BB577" s="69"/>
      <c r="BC577" s="64"/>
      <c r="BD577" s="69"/>
      <c r="BE577" s="64"/>
      <c r="BF577" s="69"/>
      <c r="BG577" s="64"/>
      <c r="BH577" s="69"/>
      <c r="BI577" s="64"/>
      <c r="BJ577" s="69"/>
      <c r="BK577" s="64"/>
      <c r="BL577" s="69"/>
      <c r="BM577" s="64"/>
      <c r="BN577" s="69"/>
      <c r="BO577" s="64"/>
      <c r="BP577" s="69"/>
      <c r="BQ577" s="64"/>
      <c r="BR577" s="69"/>
      <c r="BS577" s="64"/>
      <c r="BT577" s="69"/>
      <c r="BU577" t="b">
        <f t="shared" si="9"/>
        <v>0</v>
      </c>
    </row>
    <row r="578" spans="1:73" x14ac:dyDescent="0.25">
      <c r="A578" s="28"/>
      <c r="B578" s="29"/>
      <c r="C578" s="29"/>
      <c r="D578" s="30"/>
      <c r="E578" s="29"/>
      <c r="F578" s="30"/>
      <c r="G578" s="29"/>
      <c r="H578" s="69"/>
      <c r="I578" s="64"/>
      <c r="J578" s="69"/>
      <c r="K578" s="64"/>
      <c r="L578" s="69"/>
      <c r="M578" s="65"/>
      <c r="N578" s="69"/>
      <c r="O578" s="64"/>
      <c r="P578" s="69"/>
      <c r="Q578" s="64"/>
      <c r="R578" s="69"/>
      <c r="S578" s="64"/>
      <c r="T578" s="69"/>
      <c r="U578" s="64"/>
      <c r="V578" s="69"/>
      <c r="W578" s="65"/>
      <c r="X578" s="69"/>
      <c r="Y578" s="64"/>
      <c r="Z578" s="69"/>
      <c r="AA578" s="64"/>
      <c r="AB578" s="69"/>
      <c r="AC578" s="64"/>
      <c r="AD578" s="69"/>
      <c r="AE578" s="65"/>
      <c r="AF578" s="69"/>
      <c r="AG578" s="65"/>
      <c r="AH578" s="69"/>
      <c r="AI578" s="64"/>
      <c r="AJ578" s="69"/>
      <c r="AK578" s="64"/>
      <c r="AL578" s="69"/>
      <c r="AM578" s="64"/>
      <c r="AN578" s="69"/>
      <c r="AO578" s="64"/>
      <c r="AP578" s="69"/>
      <c r="AQ578" s="64"/>
      <c r="AR578" s="69"/>
      <c r="AS578" s="64"/>
      <c r="AT578" s="69"/>
      <c r="AU578" s="64"/>
      <c r="AV578" s="69"/>
      <c r="AW578" s="64"/>
      <c r="AX578" s="69"/>
      <c r="AY578" s="64"/>
      <c r="AZ578" s="69"/>
      <c r="BA578" s="64"/>
      <c r="BB578" s="69"/>
      <c r="BC578" s="64"/>
      <c r="BD578" s="69"/>
      <c r="BE578" s="64"/>
      <c r="BF578" s="69"/>
      <c r="BG578" s="64"/>
      <c r="BH578" s="69"/>
      <c r="BI578" s="64"/>
      <c r="BJ578" s="69"/>
      <c r="BK578" s="64"/>
      <c r="BL578" s="69"/>
      <c r="BM578" s="64"/>
      <c r="BN578" s="69"/>
      <c r="BO578" s="64"/>
      <c r="BP578" s="69"/>
      <c r="BQ578" s="64"/>
      <c r="BR578" s="69"/>
      <c r="BS578" s="64"/>
      <c r="BT578" s="69"/>
      <c r="BU578" t="b">
        <f t="shared" si="9"/>
        <v>0</v>
      </c>
    </row>
    <row r="579" spans="1:73" x14ac:dyDescent="0.25">
      <c r="A579" s="28"/>
      <c r="B579" s="29"/>
      <c r="C579" s="29"/>
      <c r="D579" s="30"/>
      <c r="E579" s="29"/>
      <c r="F579" s="30"/>
      <c r="G579" s="29"/>
      <c r="H579" s="69"/>
      <c r="I579" s="64"/>
      <c r="J579" s="69"/>
      <c r="K579" s="64"/>
      <c r="L579" s="69"/>
      <c r="M579" s="65"/>
      <c r="N579" s="69"/>
      <c r="O579" s="64"/>
      <c r="P579" s="69"/>
      <c r="Q579" s="64"/>
      <c r="R579" s="69"/>
      <c r="S579" s="64"/>
      <c r="T579" s="69"/>
      <c r="U579" s="64"/>
      <c r="V579" s="69"/>
      <c r="W579" s="65"/>
      <c r="X579" s="69"/>
      <c r="Y579" s="64"/>
      <c r="Z579" s="69"/>
      <c r="AA579" s="64"/>
      <c r="AB579" s="69"/>
      <c r="AC579" s="64"/>
      <c r="AD579" s="69"/>
      <c r="AE579" s="65"/>
      <c r="AF579" s="69"/>
      <c r="AG579" s="65"/>
      <c r="AH579" s="69"/>
      <c r="AI579" s="64"/>
      <c r="AJ579" s="69"/>
      <c r="AK579" s="64"/>
      <c r="AL579" s="69"/>
      <c r="AM579" s="64"/>
      <c r="AN579" s="69"/>
      <c r="AO579" s="64"/>
      <c r="AP579" s="69"/>
      <c r="AQ579" s="64"/>
      <c r="AR579" s="69"/>
      <c r="AS579" s="64"/>
      <c r="AT579" s="69"/>
      <c r="AU579" s="64"/>
      <c r="AV579" s="69"/>
      <c r="AW579" s="64"/>
      <c r="AX579" s="69"/>
      <c r="AY579" s="64"/>
      <c r="AZ579" s="69"/>
      <c r="BA579" s="64"/>
      <c r="BB579" s="69"/>
      <c r="BC579" s="64"/>
      <c r="BD579" s="69"/>
      <c r="BE579" s="64"/>
      <c r="BF579" s="69"/>
      <c r="BG579" s="64"/>
      <c r="BH579" s="69"/>
      <c r="BI579" s="64"/>
      <c r="BJ579" s="69"/>
      <c r="BK579" s="64"/>
      <c r="BL579" s="69"/>
      <c r="BM579" s="64"/>
      <c r="BN579" s="69"/>
      <c r="BO579" s="64"/>
      <c r="BP579" s="69"/>
      <c r="BQ579" s="64"/>
      <c r="BR579" s="69"/>
      <c r="BS579" s="64"/>
      <c r="BT579" s="69"/>
      <c r="BU579" t="b">
        <f t="shared" si="9"/>
        <v>0</v>
      </c>
    </row>
    <row r="580" spans="1:73" x14ac:dyDescent="0.25">
      <c r="A580" s="28"/>
      <c r="B580" s="29"/>
      <c r="C580" s="29"/>
      <c r="D580" s="30"/>
      <c r="E580" s="29"/>
      <c r="F580" s="30"/>
      <c r="G580" s="29"/>
      <c r="H580" s="69"/>
      <c r="I580" s="64"/>
      <c r="J580" s="69"/>
      <c r="K580" s="64"/>
      <c r="L580" s="69"/>
      <c r="M580" s="65"/>
      <c r="N580" s="69"/>
      <c r="O580" s="64"/>
      <c r="P580" s="69"/>
      <c r="Q580" s="64"/>
      <c r="R580" s="69"/>
      <c r="S580" s="64"/>
      <c r="T580" s="69"/>
      <c r="U580" s="64"/>
      <c r="V580" s="69"/>
      <c r="W580" s="65"/>
      <c r="X580" s="69"/>
      <c r="Y580" s="64"/>
      <c r="Z580" s="69"/>
      <c r="AA580" s="64"/>
      <c r="AB580" s="69"/>
      <c r="AC580" s="64"/>
      <c r="AD580" s="69"/>
      <c r="AE580" s="65"/>
      <c r="AF580" s="69"/>
      <c r="AG580" s="65"/>
      <c r="AH580" s="69"/>
      <c r="AI580" s="64"/>
      <c r="AJ580" s="69"/>
      <c r="AK580" s="64"/>
      <c r="AL580" s="69"/>
      <c r="AM580" s="64"/>
      <c r="AN580" s="69"/>
      <c r="AO580" s="64"/>
      <c r="AP580" s="69"/>
      <c r="AQ580" s="64"/>
      <c r="AR580" s="69"/>
      <c r="AS580" s="64"/>
      <c r="AT580" s="69"/>
      <c r="AU580" s="64"/>
      <c r="AV580" s="69"/>
      <c r="AW580" s="64"/>
      <c r="AX580" s="69"/>
      <c r="AY580" s="64"/>
      <c r="AZ580" s="69"/>
      <c r="BA580" s="64"/>
      <c r="BB580" s="69"/>
      <c r="BC580" s="64"/>
      <c r="BD580" s="69"/>
      <c r="BE580" s="64"/>
      <c r="BF580" s="69"/>
      <c r="BG580" s="64"/>
      <c r="BH580" s="69"/>
      <c r="BI580" s="64"/>
      <c r="BJ580" s="69"/>
      <c r="BK580" s="64"/>
      <c r="BL580" s="69"/>
      <c r="BM580" s="64"/>
      <c r="BN580" s="69"/>
      <c r="BO580" s="64"/>
      <c r="BP580" s="69"/>
      <c r="BQ580" s="64"/>
      <c r="BR580" s="69"/>
      <c r="BS580" s="64"/>
      <c r="BT580" s="69"/>
      <c r="BU580" t="b">
        <f t="shared" si="9"/>
        <v>0</v>
      </c>
    </row>
    <row r="581" spans="1:73" x14ac:dyDescent="0.25">
      <c r="A581" s="28"/>
      <c r="B581" s="29"/>
      <c r="C581" s="29"/>
      <c r="D581" s="30"/>
      <c r="E581" s="29"/>
      <c r="F581" s="30"/>
      <c r="G581" s="29"/>
      <c r="H581" s="69"/>
      <c r="I581" s="64"/>
      <c r="J581" s="69"/>
      <c r="K581" s="64"/>
      <c r="L581" s="69"/>
      <c r="M581" s="65"/>
      <c r="N581" s="69"/>
      <c r="O581" s="64"/>
      <c r="P581" s="69"/>
      <c r="Q581" s="64"/>
      <c r="R581" s="69"/>
      <c r="S581" s="64"/>
      <c r="T581" s="69"/>
      <c r="U581" s="64"/>
      <c r="V581" s="69"/>
      <c r="W581" s="65"/>
      <c r="X581" s="69"/>
      <c r="Y581" s="64"/>
      <c r="Z581" s="69"/>
      <c r="AA581" s="64"/>
      <c r="AB581" s="69"/>
      <c r="AC581" s="64"/>
      <c r="AD581" s="69"/>
      <c r="AE581" s="65"/>
      <c r="AF581" s="69"/>
      <c r="AG581" s="65"/>
      <c r="AH581" s="69"/>
      <c r="AI581" s="64"/>
      <c r="AJ581" s="69"/>
      <c r="AK581" s="64"/>
      <c r="AL581" s="69"/>
      <c r="AM581" s="64"/>
      <c r="AN581" s="69"/>
      <c r="AO581" s="64"/>
      <c r="AP581" s="69"/>
      <c r="AQ581" s="64"/>
      <c r="AR581" s="69"/>
      <c r="AS581" s="64"/>
      <c r="AT581" s="69"/>
      <c r="AU581" s="64"/>
      <c r="AV581" s="69"/>
      <c r="AW581" s="64"/>
      <c r="AX581" s="69"/>
      <c r="AY581" s="64"/>
      <c r="AZ581" s="69"/>
      <c r="BA581" s="64"/>
      <c r="BB581" s="69"/>
      <c r="BC581" s="64"/>
      <c r="BD581" s="69"/>
      <c r="BE581" s="64"/>
      <c r="BF581" s="69"/>
      <c r="BG581" s="64"/>
      <c r="BH581" s="69"/>
      <c r="BI581" s="64"/>
      <c r="BJ581" s="69"/>
      <c r="BK581" s="64"/>
      <c r="BL581" s="69"/>
      <c r="BM581" s="64"/>
      <c r="BN581" s="69"/>
      <c r="BO581" s="64"/>
      <c r="BP581" s="69"/>
      <c r="BQ581" s="64"/>
      <c r="BR581" s="69"/>
      <c r="BS581" s="64"/>
      <c r="BT581" s="69"/>
      <c r="BU581" t="b">
        <f t="shared" si="9"/>
        <v>0</v>
      </c>
    </row>
    <row r="582" spans="1:73" x14ac:dyDescent="0.25">
      <c r="A582" s="28"/>
      <c r="B582" s="29"/>
      <c r="C582" s="29"/>
      <c r="D582" s="30"/>
      <c r="E582" s="29"/>
      <c r="F582" s="30"/>
      <c r="G582" s="29"/>
      <c r="H582" s="69"/>
      <c r="I582" s="64"/>
      <c r="J582" s="69"/>
      <c r="K582" s="64"/>
      <c r="L582" s="69"/>
      <c r="M582" s="65"/>
      <c r="N582" s="69"/>
      <c r="O582" s="64"/>
      <c r="P582" s="69"/>
      <c r="Q582" s="64"/>
      <c r="R582" s="69"/>
      <c r="S582" s="64"/>
      <c r="T582" s="69"/>
      <c r="U582" s="64"/>
      <c r="V582" s="69"/>
      <c r="W582" s="65"/>
      <c r="X582" s="69"/>
      <c r="Y582" s="64"/>
      <c r="Z582" s="69"/>
      <c r="AA582" s="64"/>
      <c r="AB582" s="69"/>
      <c r="AC582" s="64"/>
      <c r="AD582" s="69"/>
      <c r="AE582" s="65"/>
      <c r="AF582" s="69"/>
      <c r="AG582" s="65"/>
      <c r="AH582" s="69"/>
      <c r="AI582" s="64"/>
      <c r="AJ582" s="69"/>
      <c r="AK582" s="64"/>
      <c r="AL582" s="69"/>
      <c r="AM582" s="64"/>
      <c r="AN582" s="69"/>
      <c r="AO582" s="64"/>
      <c r="AP582" s="69"/>
      <c r="AQ582" s="64"/>
      <c r="AR582" s="69"/>
      <c r="AS582" s="64"/>
      <c r="AT582" s="69"/>
      <c r="AU582" s="64"/>
      <c r="AV582" s="69"/>
      <c r="AW582" s="64"/>
      <c r="AX582" s="69"/>
      <c r="AY582" s="64"/>
      <c r="AZ582" s="69"/>
      <c r="BA582" s="64"/>
      <c r="BB582" s="69"/>
      <c r="BC582" s="64"/>
      <c r="BD582" s="69"/>
      <c r="BE582" s="64"/>
      <c r="BF582" s="69"/>
      <c r="BG582" s="64"/>
      <c r="BH582" s="69"/>
      <c r="BI582" s="64"/>
      <c r="BJ582" s="69"/>
      <c r="BK582" s="64"/>
      <c r="BL582" s="69"/>
      <c r="BM582" s="64"/>
      <c r="BN582" s="69"/>
      <c r="BO582" s="64"/>
      <c r="BP582" s="69"/>
      <c r="BQ582" s="64"/>
      <c r="BR582" s="69"/>
      <c r="BS582" s="64"/>
      <c r="BT582" s="69"/>
      <c r="BU582" t="b">
        <f t="shared" si="9"/>
        <v>0</v>
      </c>
    </row>
    <row r="583" spans="1:73" x14ac:dyDescent="0.25">
      <c r="A583" s="28"/>
      <c r="B583" s="29"/>
      <c r="C583" s="29"/>
      <c r="D583" s="30"/>
      <c r="E583" s="29"/>
      <c r="F583" s="30"/>
      <c r="G583" s="29"/>
      <c r="H583" s="69"/>
      <c r="I583" s="64"/>
      <c r="J583" s="69"/>
      <c r="K583" s="64"/>
      <c r="L583" s="69"/>
      <c r="M583" s="65"/>
      <c r="N583" s="69"/>
      <c r="O583" s="64"/>
      <c r="P583" s="69"/>
      <c r="Q583" s="64"/>
      <c r="R583" s="69"/>
      <c r="S583" s="64"/>
      <c r="T583" s="69"/>
      <c r="U583" s="64"/>
      <c r="V583" s="69"/>
      <c r="W583" s="65"/>
      <c r="X583" s="69"/>
      <c r="Y583" s="64"/>
      <c r="Z583" s="69"/>
      <c r="AA583" s="64"/>
      <c r="AB583" s="69"/>
      <c r="AC583" s="64"/>
      <c r="AD583" s="69"/>
      <c r="AE583" s="65"/>
      <c r="AF583" s="69"/>
      <c r="AG583" s="65"/>
      <c r="AH583" s="69"/>
      <c r="AI583" s="64"/>
      <c r="AJ583" s="69"/>
      <c r="AK583" s="64"/>
      <c r="AL583" s="69"/>
      <c r="AM583" s="64"/>
      <c r="AN583" s="69"/>
      <c r="AO583" s="64"/>
      <c r="AP583" s="69"/>
      <c r="AQ583" s="64"/>
      <c r="AR583" s="69"/>
      <c r="AS583" s="64"/>
      <c r="AT583" s="69"/>
      <c r="AU583" s="64"/>
      <c r="AV583" s="69"/>
      <c r="AW583" s="64"/>
      <c r="AX583" s="69"/>
      <c r="AY583" s="64"/>
      <c r="AZ583" s="69"/>
      <c r="BA583" s="64"/>
      <c r="BB583" s="69"/>
      <c r="BC583" s="64"/>
      <c r="BD583" s="69"/>
      <c r="BE583" s="64"/>
      <c r="BF583" s="69"/>
      <c r="BG583" s="64"/>
      <c r="BH583" s="69"/>
      <c r="BI583" s="64"/>
      <c r="BJ583" s="69"/>
      <c r="BK583" s="64"/>
      <c r="BL583" s="69"/>
      <c r="BM583" s="64"/>
      <c r="BN583" s="69"/>
      <c r="BO583" s="64"/>
      <c r="BP583" s="69"/>
      <c r="BQ583" s="64"/>
      <c r="BR583" s="69"/>
      <c r="BS583" s="64"/>
      <c r="BT583" s="69"/>
      <c r="BU583" t="b">
        <f t="shared" si="9"/>
        <v>0</v>
      </c>
    </row>
    <row r="584" spans="1:73" x14ac:dyDescent="0.25">
      <c r="A584" s="28"/>
      <c r="B584" s="29"/>
      <c r="C584" s="29"/>
      <c r="D584" s="30"/>
      <c r="E584" s="29"/>
      <c r="F584" s="30"/>
      <c r="G584" s="29"/>
      <c r="H584" s="69"/>
      <c r="I584" s="64"/>
      <c r="J584" s="69"/>
      <c r="K584" s="64"/>
      <c r="L584" s="69"/>
      <c r="M584" s="65"/>
      <c r="N584" s="69"/>
      <c r="O584" s="64"/>
      <c r="P584" s="69"/>
      <c r="Q584" s="64"/>
      <c r="R584" s="69"/>
      <c r="S584" s="64"/>
      <c r="T584" s="69"/>
      <c r="U584" s="64"/>
      <c r="V584" s="69"/>
      <c r="W584" s="65"/>
      <c r="X584" s="69"/>
      <c r="Y584" s="64"/>
      <c r="Z584" s="69"/>
      <c r="AA584" s="64"/>
      <c r="AB584" s="69"/>
      <c r="AC584" s="64"/>
      <c r="AD584" s="69"/>
      <c r="AE584" s="65"/>
      <c r="AF584" s="69"/>
      <c r="AG584" s="65"/>
      <c r="AH584" s="69"/>
      <c r="AI584" s="64"/>
      <c r="AJ584" s="69"/>
      <c r="AK584" s="64"/>
      <c r="AL584" s="69"/>
      <c r="AM584" s="64"/>
      <c r="AN584" s="69"/>
      <c r="AO584" s="64"/>
      <c r="AP584" s="69"/>
      <c r="AQ584" s="64"/>
      <c r="AR584" s="69"/>
      <c r="AS584" s="64"/>
      <c r="AT584" s="69"/>
      <c r="AU584" s="64"/>
      <c r="AV584" s="69"/>
      <c r="AW584" s="64"/>
      <c r="AX584" s="69"/>
      <c r="AY584" s="64"/>
      <c r="AZ584" s="69"/>
      <c r="BA584" s="64"/>
      <c r="BB584" s="69"/>
      <c r="BC584" s="64"/>
      <c r="BD584" s="69"/>
      <c r="BE584" s="64"/>
      <c r="BF584" s="69"/>
      <c r="BG584" s="64"/>
      <c r="BH584" s="69"/>
      <c r="BI584" s="64"/>
      <c r="BJ584" s="69"/>
      <c r="BK584" s="64"/>
      <c r="BL584" s="69"/>
      <c r="BM584" s="64"/>
      <c r="BN584" s="69"/>
      <c r="BO584" s="64"/>
      <c r="BP584" s="69"/>
      <c r="BQ584" s="64"/>
      <c r="BR584" s="69"/>
      <c r="BS584" s="64"/>
      <c r="BT584" s="69"/>
      <c r="BU584" t="b">
        <f t="shared" si="9"/>
        <v>0</v>
      </c>
    </row>
    <row r="585" spans="1:73" x14ac:dyDescent="0.25">
      <c r="A585" s="28"/>
      <c r="B585" s="29"/>
      <c r="C585" s="29"/>
      <c r="D585" s="30"/>
      <c r="E585" s="29"/>
      <c r="F585" s="30"/>
      <c r="G585" s="29"/>
      <c r="H585" s="69"/>
      <c r="I585" s="64"/>
      <c r="J585" s="69"/>
      <c r="K585" s="64"/>
      <c r="L585" s="69"/>
      <c r="M585" s="65"/>
      <c r="N585" s="69"/>
      <c r="O585" s="64"/>
      <c r="P585" s="69"/>
      <c r="Q585" s="64"/>
      <c r="R585" s="69"/>
      <c r="S585" s="64"/>
      <c r="T585" s="69"/>
      <c r="U585" s="64"/>
      <c r="V585" s="69"/>
      <c r="W585" s="65"/>
      <c r="X585" s="69"/>
      <c r="Y585" s="64"/>
      <c r="Z585" s="69"/>
      <c r="AA585" s="64"/>
      <c r="AB585" s="69"/>
      <c r="AC585" s="64"/>
      <c r="AD585" s="69"/>
      <c r="AE585" s="65"/>
      <c r="AF585" s="69"/>
      <c r="AG585" s="65"/>
      <c r="AH585" s="69"/>
      <c r="AI585" s="64"/>
      <c r="AJ585" s="69"/>
      <c r="AK585" s="64"/>
      <c r="AL585" s="69"/>
      <c r="AM585" s="64"/>
      <c r="AN585" s="69"/>
      <c r="AO585" s="64"/>
      <c r="AP585" s="69"/>
      <c r="AQ585" s="64"/>
      <c r="AR585" s="69"/>
      <c r="AS585" s="64"/>
      <c r="AT585" s="69"/>
      <c r="AU585" s="64"/>
      <c r="AV585" s="69"/>
      <c r="AW585" s="64"/>
      <c r="AX585" s="69"/>
      <c r="AY585" s="64"/>
      <c r="AZ585" s="69"/>
      <c r="BA585" s="64"/>
      <c r="BB585" s="69"/>
      <c r="BC585" s="64"/>
      <c r="BD585" s="69"/>
      <c r="BE585" s="64"/>
      <c r="BF585" s="69"/>
      <c r="BG585" s="64"/>
      <c r="BH585" s="69"/>
      <c r="BI585" s="64"/>
      <c r="BJ585" s="69"/>
      <c r="BK585" s="64"/>
      <c r="BL585" s="69"/>
      <c r="BM585" s="64"/>
      <c r="BN585" s="69"/>
      <c r="BO585" s="64"/>
      <c r="BP585" s="69"/>
      <c r="BQ585" s="64"/>
      <c r="BR585" s="69"/>
      <c r="BS585" s="64"/>
      <c r="BT585" s="69"/>
      <c r="BU585" t="b">
        <f t="shared" si="9"/>
        <v>0</v>
      </c>
    </row>
    <row r="586" spans="1:73" x14ac:dyDescent="0.25">
      <c r="A586" s="28"/>
      <c r="B586" s="29"/>
      <c r="C586" s="29"/>
      <c r="D586" s="30"/>
      <c r="E586" s="29"/>
      <c r="F586" s="30"/>
      <c r="G586" s="29"/>
      <c r="H586" s="69"/>
      <c r="I586" s="64"/>
      <c r="J586" s="69"/>
      <c r="K586" s="64"/>
      <c r="L586" s="69"/>
      <c r="M586" s="65"/>
      <c r="N586" s="69"/>
      <c r="O586" s="64"/>
      <c r="P586" s="69"/>
      <c r="Q586" s="64"/>
      <c r="R586" s="69"/>
      <c r="S586" s="64"/>
      <c r="T586" s="69"/>
      <c r="U586" s="64"/>
      <c r="V586" s="69"/>
      <c r="W586" s="65"/>
      <c r="X586" s="69"/>
      <c r="Y586" s="64"/>
      <c r="Z586" s="69"/>
      <c r="AA586" s="64"/>
      <c r="AB586" s="69"/>
      <c r="AC586" s="64"/>
      <c r="AD586" s="69"/>
      <c r="AE586" s="65"/>
      <c r="AF586" s="69"/>
      <c r="AG586" s="65"/>
      <c r="AH586" s="69"/>
      <c r="AI586" s="64"/>
      <c r="AJ586" s="69"/>
      <c r="AK586" s="64"/>
      <c r="AL586" s="69"/>
      <c r="AM586" s="64"/>
      <c r="AN586" s="69"/>
      <c r="AO586" s="64"/>
      <c r="AP586" s="69"/>
      <c r="AQ586" s="64"/>
      <c r="AR586" s="69"/>
      <c r="AS586" s="64"/>
      <c r="AT586" s="69"/>
      <c r="AU586" s="64"/>
      <c r="AV586" s="69"/>
      <c r="AW586" s="64"/>
      <c r="AX586" s="69"/>
      <c r="AY586" s="64"/>
      <c r="AZ586" s="69"/>
      <c r="BA586" s="64"/>
      <c r="BB586" s="69"/>
      <c r="BC586" s="64"/>
      <c r="BD586" s="69"/>
      <c r="BE586" s="64"/>
      <c r="BF586" s="69"/>
      <c r="BG586" s="64"/>
      <c r="BH586" s="69"/>
      <c r="BI586" s="64"/>
      <c r="BJ586" s="69"/>
      <c r="BK586" s="64"/>
      <c r="BL586" s="69"/>
      <c r="BM586" s="64"/>
      <c r="BN586" s="69"/>
      <c r="BO586" s="64"/>
      <c r="BP586" s="69"/>
      <c r="BQ586" s="64"/>
      <c r="BR586" s="69"/>
      <c r="BS586" s="64"/>
      <c r="BT586" s="69"/>
      <c r="BU586" t="b">
        <f t="shared" si="9"/>
        <v>0</v>
      </c>
    </row>
    <row r="587" spans="1:73" x14ac:dyDescent="0.25">
      <c r="A587" s="28"/>
      <c r="B587" s="29"/>
      <c r="C587" s="29"/>
      <c r="D587" s="30"/>
      <c r="E587" s="29"/>
      <c r="F587" s="30"/>
      <c r="G587" s="29"/>
      <c r="H587" s="69"/>
      <c r="I587" s="64"/>
      <c r="J587" s="69"/>
      <c r="K587" s="64"/>
      <c r="L587" s="69"/>
      <c r="M587" s="65"/>
      <c r="N587" s="69"/>
      <c r="O587" s="64"/>
      <c r="P587" s="69"/>
      <c r="Q587" s="64"/>
      <c r="R587" s="69"/>
      <c r="S587" s="64"/>
      <c r="T587" s="69"/>
      <c r="U587" s="64"/>
      <c r="V587" s="69"/>
      <c r="W587" s="65"/>
      <c r="X587" s="69"/>
      <c r="Y587" s="64"/>
      <c r="Z587" s="69"/>
      <c r="AA587" s="64"/>
      <c r="AB587" s="69"/>
      <c r="AC587" s="64"/>
      <c r="AD587" s="69"/>
      <c r="AE587" s="65"/>
      <c r="AF587" s="69"/>
      <c r="AG587" s="65"/>
      <c r="AH587" s="69"/>
      <c r="AI587" s="64"/>
      <c r="AJ587" s="69"/>
      <c r="AK587" s="64"/>
      <c r="AL587" s="69"/>
      <c r="AM587" s="64"/>
      <c r="AN587" s="69"/>
      <c r="AO587" s="64"/>
      <c r="AP587" s="69"/>
      <c r="AQ587" s="64"/>
      <c r="AR587" s="69"/>
      <c r="AS587" s="64"/>
      <c r="AT587" s="69"/>
      <c r="AU587" s="64"/>
      <c r="AV587" s="69"/>
      <c r="AW587" s="64"/>
      <c r="AX587" s="69"/>
      <c r="AY587" s="64"/>
      <c r="AZ587" s="69"/>
      <c r="BA587" s="64"/>
      <c r="BB587" s="69"/>
      <c r="BC587" s="64"/>
      <c r="BD587" s="69"/>
      <c r="BE587" s="64"/>
      <c r="BF587" s="69"/>
      <c r="BG587" s="64"/>
      <c r="BH587" s="69"/>
      <c r="BI587" s="64"/>
      <c r="BJ587" s="69"/>
      <c r="BK587" s="64"/>
      <c r="BL587" s="69"/>
      <c r="BM587" s="64"/>
      <c r="BN587" s="69"/>
      <c r="BO587" s="64"/>
      <c r="BP587" s="69"/>
      <c r="BQ587" s="64"/>
      <c r="BR587" s="69"/>
      <c r="BS587" s="64"/>
      <c r="BT587" s="69"/>
      <c r="BU587" t="b">
        <f t="shared" si="9"/>
        <v>0</v>
      </c>
    </row>
    <row r="588" spans="1:73" x14ac:dyDescent="0.25">
      <c r="A588" s="28"/>
      <c r="B588" s="29"/>
      <c r="C588" s="29"/>
      <c r="D588" s="30"/>
      <c r="E588" s="29"/>
      <c r="F588" s="30"/>
      <c r="G588" s="29"/>
      <c r="H588" s="69"/>
      <c r="I588" s="64"/>
      <c r="J588" s="69"/>
      <c r="K588" s="64"/>
      <c r="L588" s="69"/>
      <c r="M588" s="65"/>
      <c r="N588" s="69"/>
      <c r="O588" s="64"/>
      <c r="P588" s="69"/>
      <c r="Q588" s="64"/>
      <c r="R588" s="69"/>
      <c r="S588" s="64"/>
      <c r="T588" s="69"/>
      <c r="U588" s="64"/>
      <c r="V588" s="69"/>
      <c r="W588" s="65"/>
      <c r="X588" s="69"/>
      <c r="Y588" s="64"/>
      <c r="Z588" s="69"/>
      <c r="AA588" s="64"/>
      <c r="AB588" s="69"/>
      <c r="AC588" s="64"/>
      <c r="AD588" s="69"/>
      <c r="AE588" s="65"/>
      <c r="AF588" s="69"/>
      <c r="AG588" s="65"/>
      <c r="AH588" s="69"/>
      <c r="AI588" s="64"/>
      <c r="AJ588" s="69"/>
      <c r="AK588" s="64"/>
      <c r="AL588" s="69"/>
      <c r="AM588" s="64"/>
      <c r="AN588" s="69"/>
      <c r="AO588" s="64"/>
      <c r="AP588" s="69"/>
      <c r="AQ588" s="64"/>
      <c r="AR588" s="69"/>
      <c r="AS588" s="64"/>
      <c r="AT588" s="69"/>
      <c r="AU588" s="64"/>
      <c r="AV588" s="69"/>
      <c r="AW588" s="64"/>
      <c r="AX588" s="69"/>
      <c r="AY588" s="64"/>
      <c r="AZ588" s="69"/>
      <c r="BA588" s="64"/>
      <c r="BB588" s="69"/>
      <c r="BC588" s="64"/>
      <c r="BD588" s="69"/>
      <c r="BE588" s="64"/>
      <c r="BF588" s="69"/>
      <c r="BG588" s="64"/>
      <c r="BH588" s="69"/>
      <c r="BI588" s="64"/>
      <c r="BJ588" s="69"/>
      <c r="BK588" s="64"/>
      <c r="BL588" s="69"/>
      <c r="BM588" s="64"/>
      <c r="BN588" s="69"/>
      <c r="BO588" s="64"/>
      <c r="BP588" s="69"/>
      <c r="BQ588" s="64"/>
      <c r="BR588" s="69"/>
      <c r="BS588" s="64"/>
      <c r="BT588" s="69"/>
      <c r="BU588" t="b">
        <f t="shared" si="9"/>
        <v>0</v>
      </c>
    </row>
    <row r="589" spans="1:73" x14ac:dyDescent="0.25">
      <c r="A589" s="28"/>
      <c r="B589" s="29"/>
      <c r="C589" s="29"/>
      <c r="D589" s="30"/>
      <c r="E589" s="29"/>
      <c r="F589" s="30"/>
      <c r="G589" s="29"/>
      <c r="H589" s="69"/>
      <c r="I589" s="64"/>
      <c r="J589" s="69"/>
      <c r="K589" s="64"/>
      <c r="L589" s="69"/>
      <c r="M589" s="65"/>
      <c r="N589" s="69"/>
      <c r="O589" s="64"/>
      <c r="P589" s="69"/>
      <c r="Q589" s="64"/>
      <c r="R589" s="69"/>
      <c r="S589" s="64"/>
      <c r="T589" s="69"/>
      <c r="U589" s="64"/>
      <c r="V589" s="69"/>
      <c r="W589" s="65"/>
      <c r="X589" s="69"/>
      <c r="Y589" s="64"/>
      <c r="Z589" s="69"/>
      <c r="AA589" s="64"/>
      <c r="AB589" s="69"/>
      <c r="AC589" s="64"/>
      <c r="AD589" s="69"/>
      <c r="AE589" s="65"/>
      <c r="AF589" s="69"/>
      <c r="AG589" s="65"/>
      <c r="AH589" s="69"/>
      <c r="AI589" s="64"/>
      <c r="AJ589" s="69"/>
      <c r="AK589" s="64"/>
      <c r="AL589" s="69"/>
      <c r="AM589" s="64"/>
      <c r="AN589" s="69"/>
      <c r="AO589" s="64"/>
      <c r="AP589" s="69"/>
      <c r="AQ589" s="64"/>
      <c r="AR589" s="69"/>
      <c r="AS589" s="64"/>
      <c r="AT589" s="69"/>
      <c r="AU589" s="64"/>
      <c r="AV589" s="69"/>
      <c r="AW589" s="64"/>
      <c r="AX589" s="69"/>
      <c r="AY589" s="64"/>
      <c r="AZ589" s="69"/>
      <c r="BA589" s="64"/>
      <c r="BB589" s="69"/>
      <c r="BC589" s="64"/>
      <c r="BD589" s="69"/>
      <c r="BE589" s="64"/>
      <c r="BF589" s="69"/>
      <c r="BG589" s="64"/>
      <c r="BH589" s="69"/>
      <c r="BI589" s="64"/>
      <c r="BJ589" s="69"/>
      <c r="BK589" s="64"/>
      <c r="BL589" s="69"/>
      <c r="BM589" s="64"/>
      <c r="BN589" s="69"/>
      <c r="BO589" s="64"/>
      <c r="BP589" s="69"/>
      <c r="BQ589" s="64"/>
      <c r="BR589" s="69"/>
      <c r="BS589" s="64"/>
      <c r="BT589" s="69"/>
      <c r="BU589" t="b">
        <f t="shared" si="9"/>
        <v>0</v>
      </c>
    </row>
    <row r="590" spans="1:73" x14ac:dyDescent="0.25">
      <c r="A590" s="28"/>
      <c r="B590" s="29"/>
      <c r="C590" s="29"/>
      <c r="D590" s="30"/>
      <c r="E590" s="29"/>
      <c r="F590" s="30"/>
      <c r="G590" s="29"/>
      <c r="H590" s="69"/>
      <c r="I590" s="64"/>
      <c r="J590" s="69"/>
      <c r="K590" s="64"/>
      <c r="L590" s="69"/>
      <c r="M590" s="65"/>
      <c r="N590" s="69"/>
      <c r="O590" s="64"/>
      <c r="P590" s="69"/>
      <c r="Q590" s="64"/>
      <c r="R590" s="69"/>
      <c r="S590" s="64"/>
      <c r="T590" s="69"/>
      <c r="U590" s="64"/>
      <c r="V590" s="69"/>
      <c r="W590" s="65"/>
      <c r="X590" s="69"/>
      <c r="Y590" s="64"/>
      <c r="Z590" s="69"/>
      <c r="AA590" s="64"/>
      <c r="AB590" s="69"/>
      <c r="AC590" s="64"/>
      <c r="AD590" s="69"/>
      <c r="AE590" s="65"/>
      <c r="AF590" s="69"/>
      <c r="AG590" s="65"/>
      <c r="AH590" s="69"/>
      <c r="AI590" s="64"/>
      <c r="AJ590" s="69"/>
      <c r="AK590" s="64"/>
      <c r="AL590" s="69"/>
      <c r="AM590" s="64"/>
      <c r="AN590" s="69"/>
      <c r="AO590" s="64"/>
      <c r="AP590" s="69"/>
      <c r="AQ590" s="64"/>
      <c r="AR590" s="69"/>
      <c r="AS590" s="64"/>
      <c r="AT590" s="69"/>
      <c r="AU590" s="64"/>
      <c r="AV590" s="69"/>
      <c r="AW590" s="64"/>
      <c r="AX590" s="69"/>
      <c r="AY590" s="64"/>
      <c r="AZ590" s="69"/>
      <c r="BA590" s="64"/>
      <c r="BB590" s="69"/>
      <c r="BC590" s="64"/>
      <c r="BD590" s="69"/>
      <c r="BE590" s="64"/>
      <c r="BF590" s="69"/>
      <c r="BG590" s="64"/>
      <c r="BH590" s="69"/>
      <c r="BI590" s="64"/>
      <c r="BJ590" s="69"/>
      <c r="BK590" s="64"/>
      <c r="BL590" s="69"/>
      <c r="BM590" s="64"/>
      <c r="BN590" s="69"/>
      <c r="BO590" s="64"/>
      <c r="BP590" s="69"/>
      <c r="BQ590" s="64"/>
      <c r="BR590" s="69"/>
      <c r="BS590" s="64"/>
      <c r="BT590" s="69"/>
      <c r="BU590" t="b">
        <f t="shared" si="9"/>
        <v>0</v>
      </c>
    </row>
    <row r="591" spans="1:73" x14ac:dyDescent="0.25">
      <c r="A591" s="28"/>
      <c r="B591" s="29"/>
      <c r="C591" s="29"/>
      <c r="D591" s="30"/>
      <c r="E591" s="29"/>
      <c r="F591" s="30"/>
      <c r="G591" s="29"/>
      <c r="H591" s="69"/>
      <c r="I591" s="64"/>
      <c r="J591" s="69"/>
      <c r="K591" s="64"/>
      <c r="L591" s="69"/>
      <c r="M591" s="65"/>
      <c r="N591" s="69"/>
      <c r="O591" s="64"/>
      <c r="P591" s="69"/>
      <c r="Q591" s="64"/>
      <c r="R591" s="69"/>
      <c r="S591" s="64"/>
      <c r="T591" s="69"/>
      <c r="U591" s="64"/>
      <c r="V591" s="69"/>
      <c r="W591" s="65"/>
      <c r="X591" s="69"/>
      <c r="Y591" s="64"/>
      <c r="Z591" s="69"/>
      <c r="AA591" s="64"/>
      <c r="AB591" s="69"/>
      <c r="AC591" s="64"/>
      <c r="AD591" s="69"/>
      <c r="AE591" s="65"/>
      <c r="AF591" s="69"/>
      <c r="AG591" s="65"/>
      <c r="AH591" s="69"/>
      <c r="AI591" s="64"/>
      <c r="AJ591" s="69"/>
      <c r="AK591" s="64"/>
      <c r="AL591" s="69"/>
      <c r="AM591" s="64"/>
      <c r="AN591" s="69"/>
      <c r="AO591" s="64"/>
      <c r="AP591" s="69"/>
      <c r="AQ591" s="64"/>
      <c r="AR591" s="69"/>
      <c r="AS591" s="64"/>
      <c r="AT591" s="69"/>
      <c r="AU591" s="64"/>
      <c r="AV591" s="69"/>
      <c r="AW591" s="64"/>
      <c r="AX591" s="69"/>
      <c r="AY591" s="64"/>
      <c r="AZ591" s="69"/>
      <c r="BA591" s="64"/>
      <c r="BB591" s="69"/>
      <c r="BC591" s="64"/>
      <c r="BD591" s="69"/>
      <c r="BE591" s="64"/>
      <c r="BF591" s="69"/>
      <c r="BG591" s="64"/>
      <c r="BH591" s="69"/>
      <c r="BI591" s="64"/>
      <c r="BJ591" s="69"/>
      <c r="BK591" s="64"/>
      <c r="BL591" s="69"/>
      <c r="BM591" s="64"/>
      <c r="BN591" s="69"/>
      <c r="BO591" s="64"/>
      <c r="BP591" s="69"/>
      <c r="BQ591" s="64"/>
      <c r="BR591" s="69"/>
      <c r="BS591" s="64"/>
      <c r="BT591" s="69"/>
      <c r="BU591" t="b">
        <f t="shared" si="9"/>
        <v>0</v>
      </c>
    </row>
    <row r="592" spans="1:73" x14ac:dyDescent="0.25">
      <c r="A592" s="28"/>
      <c r="B592" s="29"/>
      <c r="C592" s="29"/>
      <c r="D592" s="30"/>
      <c r="E592" s="29"/>
      <c r="F592" s="30"/>
      <c r="G592" s="29"/>
      <c r="H592" s="69"/>
      <c r="I592" s="64"/>
      <c r="J592" s="69"/>
      <c r="K592" s="64"/>
      <c r="L592" s="69"/>
      <c r="M592" s="65"/>
      <c r="N592" s="69"/>
      <c r="O592" s="64"/>
      <c r="P592" s="69"/>
      <c r="Q592" s="64"/>
      <c r="R592" s="69"/>
      <c r="S592" s="64"/>
      <c r="T592" s="69"/>
      <c r="U592" s="64"/>
      <c r="V592" s="69"/>
      <c r="W592" s="65"/>
      <c r="X592" s="69"/>
      <c r="Y592" s="64"/>
      <c r="Z592" s="69"/>
      <c r="AA592" s="64"/>
      <c r="AB592" s="69"/>
      <c r="AC592" s="64"/>
      <c r="AD592" s="69"/>
      <c r="AE592" s="65"/>
      <c r="AF592" s="69"/>
      <c r="AG592" s="65"/>
      <c r="AH592" s="69"/>
      <c r="AI592" s="64"/>
      <c r="AJ592" s="69"/>
      <c r="AK592" s="64"/>
      <c r="AL592" s="69"/>
      <c r="AM592" s="64"/>
      <c r="AN592" s="69"/>
      <c r="AO592" s="64"/>
      <c r="AP592" s="69"/>
      <c r="AQ592" s="64"/>
      <c r="AR592" s="69"/>
      <c r="AS592" s="64"/>
      <c r="AT592" s="69"/>
      <c r="AU592" s="64"/>
      <c r="AV592" s="69"/>
      <c r="AW592" s="64"/>
      <c r="AX592" s="69"/>
      <c r="AY592" s="64"/>
      <c r="AZ592" s="69"/>
      <c r="BA592" s="64"/>
      <c r="BB592" s="69"/>
      <c r="BC592" s="64"/>
      <c r="BD592" s="69"/>
      <c r="BE592" s="64"/>
      <c r="BF592" s="69"/>
      <c r="BG592" s="64"/>
      <c r="BH592" s="69"/>
      <c r="BI592" s="64"/>
      <c r="BJ592" s="69"/>
      <c r="BK592" s="64"/>
      <c r="BL592" s="69"/>
      <c r="BM592" s="64"/>
      <c r="BN592" s="69"/>
      <c r="BO592" s="64"/>
      <c r="BP592" s="69"/>
      <c r="BQ592" s="64"/>
      <c r="BR592" s="69"/>
      <c r="BS592" s="64"/>
      <c r="BT592" s="69"/>
      <c r="BU592" t="b">
        <f t="shared" si="9"/>
        <v>0</v>
      </c>
    </row>
    <row r="593" spans="1:73" x14ac:dyDescent="0.25">
      <c r="A593" s="28"/>
      <c r="B593" s="29"/>
      <c r="C593" s="29"/>
      <c r="D593" s="30"/>
      <c r="E593" s="29"/>
      <c r="F593" s="30"/>
      <c r="G593" s="29"/>
      <c r="H593" s="69"/>
      <c r="I593" s="64"/>
      <c r="J593" s="69"/>
      <c r="K593" s="64"/>
      <c r="L593" s="69"/>
      <c r="M593" s="65"/>
      <c r="N593" s="69"/>
      <c r="O593" s="64"/>
      <c r="P593" s="69"/>
      <c r="Q593" s="64"/>
      <c r="R593" s="69"/>
      <c r="S593" s="64"/>
      <c r="T593" s="69"/>
      <c r="U593" s="64"/>
      <c r="V593" s="69"/>
      <c r="W593" s="65"/>
      <c r="X593" s="69"/>
      <c r="Y593" s="64"/>
      <c r="Z593" s="69"/>
      <c r="AA593" s="64"/>
      <c r="AB593" s="69"/>
      <c r="AC593" s="64"/>
      <c r="AD593" s="69"/>
      <c r="AE593" s="65"/>
      <c r="AF593" s="69"/>
      <c r="AG593" s="65"/>
      <c r="AH593" s="69"/>
      <c r="AI593" s="64"/>
      <c r="AJ593" s="69"/>
      <c r="AK593" s="64"/>
      <c r="AL593" s="69"/>
      <c r="AM593" s="64"/>
      <c r="AN593" s="69"/>
      <c r="AO593" s="64"/>
      <c r="AP593" s="69"/>
      <c r="AQ593" s="64"/>
      <c r="AR593" s="69"/>
      <c r="AS593" s="64"/>
      <c r="AT593" s="69"/>
      <c r="AU593" s="64"/>
      <c r="AV593" s="69"/>
      <c r="AW593" s="64"/>
      <c r="AX593" s="69"/>
      <c r="AY593" s="64"/>
      <c r="AZ593" s="69"/>
      <c r="BA593" s="64"/>
      <c r="BB593" s="69"/>
      <c r="BC593" s="64"/>
      <c r="BD593" s="69"/>
      <c r="BE593" s="64"/>
      <c r="BF593" s="69"/>
      <c r="BG593" s="64"/>
      <c r="BH593" s="69"/>
      <c r="BI593" s="64"/>
      <c r="BJ593" s="69"/>
      <c r="BK593" s="64"/>
      <c r="BL593" s="69"/>
      <c r="BM593" s="64"/>
      <c r="BN593" s="69"/>
      <c r="BO593" s="64"/>
      <c r="BP593" s="69"/>
      <c r="BQ593" s="64"/>
      <c r="BR593" s="69"/>
      <c r="BS593" s="64"/>
      <c r="BT593" s="69"/>
      <c r="BU593" t="b">
        <f t="shared" si="9"/>
        <v>0</v>
      </c>
    </row>
    <row r="594" spans="1:73" x14ac:dyDescent="0.25">
      <c r="A594" s="28"/>
      <c r="B594" s="29"/>
      <c r="C594" s="29"/>
      <c r="D594" s="30"/>
      <c r="E594" s="29"/>
      <c r="F594" s="30"/>
      <c r="G594" s="29"/>
      <c r="H594" s="69"/>
      <c r="I594" s="64"/>
      <c r="J594" s="69"/>
      <c r="K594" s="64"/>
      <c r="L594" s="69"/>
      <c r="M594" s="65"/>
      <c r="N594" s="69"/>
      <c r="O594" s="64"/>
      <c r="P594" s="69"/>
      <c r="Q594" s="64"/>
      <c r="R594" s="69"/>
      <c r="S594" s="64"/>
      <c r="T594" s="69"/>
      <c r="U594" s="64"/>
      <c r="V594" s="69"/>
      <c r="W594" s="65"/>
      <c r="X594" s="69"/>
      <c r="Y594" s="64"/>
      <c r="Z594" s="69"/>
      <c r="AA594" s="64"/>
      <c r="AB594" s="69"/>
      <c r="AC594" s="64"/>
      <c r="AD594" s="69"/>
      <c r="AE594" s="65"/>
      <c r="AF594" s="69"/>
      <c r="AG594" s="65"/>
      <c r="AH594" s="69"/>
      <c r="AI594" s="64"/>
      <c r="AJ594" s="69"/>
      <c r="AK594" s="64"/>
      <c r="AL594" s="69"/>
      <c r="AM594" s="64"/>
      <c r="AN594" s="69"/>
      <c r="AO594" s="64"/>
      <c r="AP594" s="69"/>
      <c r="AQ594" s="64"/>
      <c r="AR594" s="69"/>
      <c r="AS594" s="64"/>
      <c r="AT594" s="69"/>
      <c r="AU594" s="64"/>
      <c r="AV594" s="69"/>
      <c r="AW594" s="64"/>
      <c r="AX594" s="69"/>
      <c r="AY594" s="64"/>
      <c r="AZ594" s="69"/>
      <c r="BA594" s="64"/>
      <c r="BB594" s="69"/>
      <c r="BC594" s="64"/>
      <c r="BD594" s="69"/>
      <c r="BE594" s="64"/>
      <c r="BF594" s="69"/>
      <c r="BG594" s="64"/>
      <c r="BH594" s="69"/>
      <c r="BI594" s="64"/>
      <c r="BJ594" s="69"/>
      <c r="BK594" s="64"/>
      <c r="BL594" s="69"/>
      <c r="BM594" s="64"/>
      <c r="BN594" s="69"/>
      <c r="BO594" s="64"/>
      <c r="BP594" s="69"/>
      <c r="BQ594" s="64"/>
      <c r="BR594" s="69"/>
      <c r="BS594" s="64"/>
      <c r="BT594" s="69"/>
      <c r="BU594" t="b">
        <f t="shared" si="9"/>
        <v>0</v>
      </c>
    </row>
    <row r="595" spans="1:73" x14ac:dyDescent="0.25">
      <c r="A595" s="28"/>
      <c r="B595" s="29"/>
      <c r="C595" s="29"/>
      <c r="D595" s="30"/>
      <c r="E595" s="29"/>
      <c r="F595" s="30"/>
      <c r="G595" s="29"/>
      <c r="H595" s="69"/>
      <c r="I595" s="64"/>
      <c r="J595" s="69"/>
      <c r="K595" s="64"/>
      <c r="L595" s="69"/>
      <c r="M595" s="65"/>
      <c r="N595" s="69"/>
      <c r="O595" s="64"/>
      <c r="P595" s="69"/>
      <c r="Q595" s="64"/>
      <c r="R595" s="69"/>
      <c r="S595" s="64"/>
      <c r="T595" s="69"/>
      <c r="U595" s="64"/>
      <c r="V595" s="69"/>
      <c r="W595" s="65"/>
      <c r="X595" s="69"/>
      <c r="Y595" s="64"/>
      <c r="Z595" s="69"/>
      <c r="AA595" s="64"/>
      <c r="AB595" s="69"/>
      <c r="AC595" s="64"/>
      <c r="AD595" s="69"/>
      <c r="AE595" s="65"/>
      <c r="AF595" s="69"/>
      <c r="AG595" s="65"/>
      <c r="AH595" s="69"/>
      <c r="AI595" s="64"/>
      <c r="AJ595" s="69"/>
      <c r="AK595" s="64"/>
      <c r="AL595" s="69"/>
      <c r="AM595" s="64"/>
      <c r="AN595" s="69"/>
      <c r="AO595" s="64"/>
      <c r="AP595" s="69"/>
      <c r="AQ595" s="64"/>
      <c r="AR595" s="69"/>
      <c r="AS595" s="64"/>
      <c r="AT595" s="69"/>
      <c r="AU595" s="64"/>
      <c r="AV595" s="69"/>
      <c r="AW595" s="64"/>
      <c r="AX595" s="69"/>
      <c r="AY595" s="64"/>
      <c r="AZ595" s="69"/>
      <c r="BA595" s="64"/>
      <c r="BB595" s="69"/>
      <c r="BC595" s="64"/>
      <c r="BD595" s="69"/>
      <c r="BE595" s="64"/>
      <c r="BF595" s="69"/>
      <c r="BG595" s="64"/>
      <c r="BH595" s="69"/>
      <c r="BI595" s="64"/>
      <c r="BJ595" s="69"/>
      <c r="BK595" s="64"/>
      <c r="BL595" s="69"/>
      <c r="BM595" s="64"/>
      <c r="BN595" s="69"/>
      <c r="BO595" s="64"/>
      <c r="BP595" s="69"/>
      <c r="BQ595" s="64"/>
      <c r="BR595" s="69"/>
      <c r="BS595" s="64"/>
      <c r="BT595" s="69"/>
      <c r="BU595" t="b">
        <f t="shared" si="9"/>
        <v>0</v>
      </c>
    </row>
    <row r="596" spans="1:73" x14ac:dyDescent="0.25">
      <c r="A596" s="28"/>
      <c r="B596" s="29"/>
      <c r="C596" s="29"/>
      <c r="D596" s="30"/>
      <c r="E596" s="29"/>
      <c r="F596" s="30"/>
      <c r="G596" s="29"/>
      <c r="H596" s="69"/>
      <c r="I596" s="64"/>
      <c r="J596" s="69"/>
      <c r="K596" s="64"/>
      <c r="L596" s="69"/>
      <c r="M596" s="65"/>
      <c r="N596" s="69"/>
      <c r="O596" s="64"/>
      <c r="P596" s="69"/>
      <c r="Q596" s="64"/>
      <c r="R596" s="69"/>
      <c r="S596" s="64"/>
      <c r="T596" s="69"/>
      <c r="U596" s="64"/>
      <c r="V596" s="69"/>
      <c r="W596" s="65"/>
      <c r="X596" s="69"/>
      <c r="Y596" s="64"/>
      <c r="Z596" s="69"/>
      <c r="AA596" s="64"/>
      <c r="AB596" s="69"/>
      <c r="AC596" s="64"/>
      <c r="AD596" s="69"/>
      <c r="AE596" s="65"/>
      <c r="AF596" s="69"/>
      <c r="AG596" s="65"/>
      <c r="AH596" s="69"/>
      <c r="AI596" s="64"/>
      <c r="AJ596" s="69"/>
      <c r="AK596" s="64"/>
      <c r="AL596" s="69"/>
      <c r="AM596" s="64"/>
      <c r="AN596" s="69"/>
      <c r="AO596" s="64"/>
      <c r="AP596" s="69"/>
      <c r="AQ596" s="64"/>
      <c r="AR596" s="69"/>
      <c r="AS596" s="64"/>
      <c r="AT596" s="69"/>
      <c r="AU596" s="64"/>
      <c r="AV596" s="69"/>
      <c r="AW596" s="64"/>
      <c r="AX596" s="69"/>
      <c r="AY596" s="64"/>
      <c r="AZ596" s="69"/>
      <c r="BA596" s="64"/>
      <c r="BB596" s="69"/>
      <c r="BC596" s="64"/>
      <c r="BD596" s="69"/>
      <c r="BE596" s="64"/>
      <c r="BF596" s="69"/>
      <c r="BG596" s="64"/>
      <c r="BH596" s="69"/>
      <c r="BI596" s="64"/>
      <c r="BJ596" s="69"/>
      <c r="BK596" s="64"/>
      <c r="BL596" s="69"/>
      <c r="BM596" s="64"/>
      <c r="BN596" s="69"/>
      <c r="BO596" s="64"/>
      <c r="BP596" s="69"/>
      <c r="BQ596" s="64"/>
      <c r="BR596" s="69"/>
      <c r="BS596" s="64"/>
      <c r="BT596" s="69"/>
      <c r="BU596" t="b">
        <f t="shared" si="9"/>
        <v>0</v>
      </c>
    </row>
    <row r="597" spans="1:73" x14ac:dyDescent="0.25">
      <c r="A597" s="28"/>
      <c r="B597" s="29"/>
      <c r="C597" s="29"/>
      <c r="D597" s="30"/>
      <c r="E597" s="29"/>
      <c r="F597" s="30"/>
      <c r="G597" s="29"/>
      <c r="H597" s="69"/>
      <c r="I597" s="64"/>
      <c r="J597" s="69"/>
      <c r="K597" s="64"/>
      <c r="L597" s="69"/>
      <c r="M597" s="65"/>
      <c r="N597" s="69"/>
      <c r="O597" s="64"/>
      <c r="P597" s="69"/>
      <c r="Q597" s="64"/>
      <c r="R597" s="69"/>
      <c r="S597" s="64"/>
      <c r="T597" s="69"/>
      <c r="U597" s="64"/>
      <c r="V597" s="69"/>
      <c r="W597" s="65"/>
      <c r="X597" s="69"/>
      <c r="Y597" s="64"/>
      <c r="Z597" s="69"/>
      <c r="AA597" s="64"/>
      <c r="AB597" s="69"/>
      <c r="AC597" s="64"/>
      <c r="AD597" s="69"/>
      <c r="AE597" s="65"/>
      <c r="AF597" s="69"/>
      <c r="AG597" s="65"/>
      <c r="AH597" s="69"/>
      <c r="AI597" s="64"/>
      <c r="AJ597" s="69"/>
      <c r="AK597" s="64"/>
      <c r="AL597" s="69"/>
      <c r="AM597" s="64"/>
      <c r="AN597" s="69"/>
      <c r="AO597" s="64"/>
      <c r="AP597" s="69"/>
      <c r="AQ597" s="64"/>
      <c r="AR597" s="69"/>
      <c r="AS597" s="64"/>
      <c r="AT597" s="69"/>
      <c r="AU597" s="64"/>
      <c r="AV597" s="69"/>
      <c r="AW597" s="64"/>
      <c r="AX597" s="69"/>
      <c r="AY597" s="64"/>
      <c r="AZ597" s="69"/>
      <c r="BA597" s="64"/>
      <c r="BB597" s="69"/>
      <c r="BC597" s="64"/>
      <c r="BD597" s="69"/>
      <c r="BE597" s="64"/>
      <c r="BF597" s="69"/>
      <c r="BG597" s="64"/>
      <c r="BH597" s="69"/>
      <c r="BI597" s="64"/>
      <c r="BJ597" s="69"/>
      <c r="BK597" s="64"/>
      <c r="BL597" s="69"/>
      <c r="BM597" s="64"/>
      <c r="BN597" s="69"/>
      <c r="BO597" s="64"/>
      <c r="BP597" s="69"/>
      <c r="BQ597" s="64"/>
      <c r="BR597" s="69"/>
      <c r="BS597" s="64"/>
      <c r="BT597" s="69"/>
      <c r="BU597" t="b">
        <f t="shared" si="9"/>
        <v>0</v>
      </c>
    </row>
    <row r="598" spans="1:73" x14ac:dyDescent="0.25">
      <c r="A598" s="28"/>
      <c r="B598" s="29"/>
      <c r="C598" s="29"/>
      <c r="D598" s="30"/>
      <c r="E598" s="29"/>
      <c r="F598" s="30"/>
      <c r="G598" s="29"/>
      <c r="H598" s="69"/>
      <c r="I598" s="64"/>
      <c r="J598" s="69"/>
      <c r="K598" s="64"/>
      <c r="L598" s="69"/>
      <c r="M598" s="65"/>
      <c r="N598" s="69"/>
      <c r="O598" s="64"/>
      <c r="P598" s="69"/>
      <c r="Q598" s="64"/>
      <c r="R598" s="69"/>
      <c r="S598" s="64"/>
      <c r="T598" s="69"/>
      <c r="U598" s="64"/>
      <c r="V598" s="69"/>
      <c r="W598" s="65"/>
      <c r="X598" s="69"/>
      <c r="Y598" s="64"/>
      <c r="Z598" s="69"/>
      <c r="AA598" s="64"/>
      <c r="AB598" s="69"/>
      <c r="AC598" s="64"/>
      <c r="AD598" s="69"/>
      <c r="AE598" s="65"/>
      <c r="AF598" s="69"/>
      <c r="AG598" s="65"/>
      <c r="AH598" s="69"/>
      <c r="AI598" s="64"/>
      <c r="AJ598" s="69"/>
      <c r="AK598" s="64"/>
      <c r="AL598" s="69"/>
      <c r="AM598" s="64"/>
      <c r="AN598" s="69"/>
      <c r="AO598" s="64"/>
      <c r="AP598" s="69"/>
      <c r="AQ598" s="64"/>
      <c r="AR598" s="69"/>
      <c r="AS598" s="64"/>
      <c r="AT598" s="69"/>
      <c r="AU598" s="64"/>
      <c r="AV598" s="69"/>
      <c r="AW598" s="64"/>
      <c r="AX598" s="69"/>
      <c r="AY598" s="64"/>
      <c r="AZ598" s="69"/>
      <c r="BA598" s="64"/>
      <c r="BB598" s="69"/>
      <c r="BC598" s="64"/>
      <c r="BD598" s="69"/>
      <c r="BE598" s="64"/>
      <c r="BF598" s="69"/>
      <c r="BG598" s="64"/>
      <c r="BH598" s="69"/>
      <c r="BI598" s="64"/>
      <c r="BJ598" s="69"/>
      <c r="BK598" s="64"/>
      <c r="BL598" s="69"/>
      <c r="BM598" s="64"/>
      <c r="BN598" s="69"/>
      <c r="BO598" s="64"/>
      <c r="BP598" s="69"/>
      <c r="BQ598" s="64"/>
      <c r="BR598" s="69"/>
      <c r="BS598" s="64"/>
      <c r="BT598" s="69"/>
      <c r="BU598" t="b">
        <f t="shared" si="9"/>
        <v>0</v>
      </c>
    </row>
    <row r="599" spans="1:73" x14ac:dyDescent="0.25">
      <c r="A599" s="28"/>
      <c r="B599" s="29"/>
      <c r="C599" s="29"/>
      <c r="D599" s="30"/>
      <c r="E599" s="29"/>
      <c r="F599" s="30"/>
      <c r="G599" s="29"/>
      <c r="H599" s="69"/>
      <c r="I599" s="64"/>
      <c r="J599" s="69"/>
      <c r="K599" s="64"/>
      <c r="L599" s="69"/>
      <c r="M599" s="65"/>
      <c r="N599" s="69"/>
      <c r="O599" s="64"/>
      <c r="P599" s="69"/>
      <c r="Q599" s="64"/>
      <c r="R599" s="69"/>
      <c r="S599" s="64"/>
      <c r="T599" s="69"/>
      <c r="U599" s="64"/>
      <c r="V599" s="69"/>
      <c r="W599" s="65"/>
      <c r="X599" s="69"/>
      <c r="Y599" s="64"/>
      <c r="Z599" s="69"/>
      <c r="AA599" s="64"/>
      <c r="AB599" s="69"/>
      <c r="AC599" s="64"/>
      <c r="AD599" s="69"/>
      <c r="AE599" s="65"/>
      <c r="AF599" s="69"/>
      <c r="AG599" s="65"/>
      <c r="AH599" s="69"/>
      <c r="AI599" s="64"/>
      <c r="AJ599" s="69"/>
      <c r="AK599" s="64"/>
      <c r="AL599" s="69"/>
      <c r="AM599" s="64"/>
      <c r="AN599" s="69"/>
      <c r="AO599" s="64"/>
      <c r="AP599" s="69"/>
      <c r="AQ599" s="64"/>
      <c r="AR599" s="69"/>
      <c r="AS599" s="64"/>
      <c r="AT599" s="69"/>
      <c r="AU599" s="64"/>
      <c r="AV599" s="69"/>
      <c r="AW599" s="64"/>
      <c r="AX599" s="69"/>
      <c r="AY599" s="64"/>
      <c r="AZ599" s="69"/>
      <c r="BA599" s="64"/>
      <c r="BB599" s="69"/>
      <c r="BC599" s="64"/>
      <c r="BD599" s="69"/>
      <c r="BE599" s="64"/>
      <c r="BF599" s="69"/>
      <c r="BG599" s="64"/>
      <c r="BH599" s="69"/>
      <c r="BI599" s="64"/>
      <c r="BJ599" s="69"/>
      <c r="BK599" s="64"/>
      <c r="BL599" s="69"/>
      <c r="BM599" s="64"/>
      <c r="BN599" s="69"/>
      <c r="BO599" s="64"/>
      <c r="BP599" s="69"/>
      <c r="BQ599" s="64"/>
      <c r="BR599" s="69"/>
      <c r="BS599" s="64"/>
      <c r="BT599" s="69"/>
      <c r="BU599" t="b">
        <f t="shared" si="9"/>
        <v>0</v>
      </c>
    </row>
    <row r="600" spans="1:73" x14ac:dyDescent="0.25">
      <c r="A600" s="28"/>
      <c r="B600" s="29"/>
      <c r="C600" s="29"/>
      <c r="D600" s="30"/>
      <c r="E600" s="29"/>
      <c r="F600" s="30"/>
      <c r="G600" s="29"/>
      <c r="H600" s="69"/>
      <c r="I600" s="64"/>
      <c r="J600" s="69"/>
      <c r="K600" s="64"/>
      <c r="L600" s="69"/>
      <c r="M600" s="65"/>
      <c r="N600" s="69"/>
      <c r="O600" s="64"/>
      <c r="P600" s="69"/>
      <c r="Q600" s="64"/>
      <c r="R600" s="69"/>
      <c r="S600" s="64"/>
      <c r="T600" s="69"/>
      <c r="U600" s="64"/>
      <c r="V600" s="69"/>
      <c r="W600" s="65"/>
      <c r="X600" s="69"/>
      <c r="Y600" s="64"/>
      <c r="Z600" s="69"/>
      <c r="AA600" s="64"/>
      <c r="AB600" s="69"/>
      <c r="AC600" s="64"/>
      <c r="AD600" s="69"/>
      <c r="AE600" s="65"/>
      <c r="AF600" s="69"/>
      <c r="AG600" s="65"/>
      <c r="AH600" s="69"/>
      <c r="AI600" s="64"/>
      <c r="AJ600" s="69"/>
      <c r="AK600" s="64"/>
      <c r="AL600" s="69"/>
      <c r="AM600" s="64"/>
      <c r="AN600" s="69"/>
      <c r="AO600" s="64"/>
      <c r="AP600" s="69"/>
      <c r="AQ600" s="64"/>
      <c r="AR600" s="69"/>
      <c r="AS600" s="64"/>
      <c r="AT600" s="69"/>
      <c r="AU600" s="64"/>
      <c r="AV600" s="69"/>
      <c r="AW600" s="64"/>
      <c r="AX600" s="69"/>
      <c r="AY600" s="64"/>
      <c r="AZ600" s="69"/>
      <c r="BA600" s="64"/>
      <c r="BB600" s="69"/>
      <c r="BC600" s="64"/>
      <c r="BD600" s="69"/>
      <c r="BE600" s="64"/>
      <c r="BF600" s="69"/>
      <c r="BG600" s="64"/>
      <c r="BH600" s="69"/>
      <c r="BI600" s="64"/>
      <c r="BJ600" s="69"/>
      <c r="BK600" s="64"/>
      <c r="BL600" s="69"/>
      <c r="BM600" s="64"/>
      <c r="BN600" s="69"/>
      <c r="BO600" s="64"/>
      <c r="BP600" s="69"/>
      <c r="BQ600" s="64"/>
      <c r="BR600" s="69"/>
      <c r="BS600" s="64"/>
      <c r="BT600" s="69"/>
      <c r="BU600" t="b">
        <f t="shared" si="9"/>
        <v>0</v>
      </c>
    </row>
    <row r="601" spans="1:73" x14ac:dyDescent="0.25">
      <c r="A601" s="28"/>
      <c r="B601" s="29"/>
      <c r="C601" s="29"/>
      <c r="D601" s="30"/>
      <c r="E601" s="29"/>
      <c r="F601" s="30"/>
      <c r="G601" s="29"/>
      <c r="H601" s="69"/>
      <c r="I601" s="64"/>
      <c r="J601" s="69"/>
      <c r="K601" s="64"/>
      <c r="L601" s="69"/>
      <c r="M601" s="65"/>
      <c r="N601" s="69"/>
      <c r="O601" s="64"/>
      <c r="P601" s="69"/>
      <c r="Q601" s="64"/>
      <c r="R601" s="69"/>
      <c r="S601" s="64"/>
      <c r="T601" s="69"/>
      <c r="U601" s="64"/>
      <c r="V601" s="69"/>
      <c r="W601" s="65"/>
      <c r="X601" s="69"/>
      <c r="Y601" s="64"/>
      <c r="Z601" s="69"/>
      <c r="AA601" s="64"/>
      <c r="AB601" s="69"/>
      <c r="AC601" s="64"/>
      <c r="AD601" s="69"/>
      <c r="AE601" s="65"/>
      <c r="AF601" s="69"/>
      <c r="AG601" s="65"/>
      <c r="AH601" s="69"/>
      <c r="AI601" s="64"/>
      <c r="AJ601" s="69"/>
      <c r="AK601" s="64"/>
      <c r="AL601" s="69"/>
      <c r="AM601" s="64"/>
      <c r="AN601" s="69"/>
      <c r="AO601" s="64"/>
      <c r="AP601" s="69"/>
      <c r="AQ601" s="64"/>
      <c r="AR601" s="69"/>
      <c r="AS601" s="64"/>
      <c r="AT601" s="69"/>
      <c r="AU601" s="64"/>
      <c r="AV601" s="69"/>
      <c r="AW601" s="64"/>
      <c r="AX601" s="69"/>
      <c r="AY601" s="64"/>
      <c r="AZ601" s="69"/>
      <c r="BA601" s="64"/>
      <c r="BB601" s="69"/>
      <c r="BC601" s="64"/>
      <c r="BD601" s="69"/>
      <c r="BE601" s="64"/>
      <c r="BF601" s="69"/>
      <c r="BG601" s="64"/>
      <c r="BH601" s="69"/>
      <c r="BI601" s="64"/>
      <c r="BJ601" s="69"/>
      <c r="BK601" s="64"/>
      <c r="BL601" s="69"/>
      <c r="BM601" s="64"/>
      <c r="BN601" s="69"/>
      <c r="BO601" s="64"/>
      <c r="BP601" s="69"/>
      <c r="BQ601" s="64"/>
      <c r="BR601" s="69"/>
      <c r="BS601" s="64"/>
      <c r="BT601" s="69"/>
      <c r="BU601" t="b">
        <f t="shared" si="9"/>
        <v>0</v>
      </c>
    </row>
    <row r="602" spans="1:73" x14ac:dyDescent="0.25">
      <c r="A602" s="28"/>
      <c r="B602" s="29"/>
      <c r="C602" s="29"/>
      <c r="D602" s="30"/>
      <c r="E602" s="29"/>
      <c r="F602" s="30"/>
      <c r="G602" s="29"/>
      <c r="H602" s="69"/>
      <c r="I602" s="64"/>
      <c r="J602" s="69"/>
      <c r="K602" s="64"/>
      <c r="L602" s="69"/>
      <c r="M602" s="65"/>
      <c r="N602" s="69"/>
      <c r="O602" s="64"/>
      <c r="P602" s="69"/>
      <c r="Q602" s="64"/>
      <c r="R602" s="69"/>
      <c r="S602" s="64"/>
      <c r="T602" s="69"/>
      <c r="U602" s="64"/>
      <c r="V602" s="69"/>
      <c r="W602" s="65"/>
      <c r="X602" s="69"/>
      <c r="Y602" s="64"/>
      <c r="Z602" s="69"/>
      <c r="AA602" s="64"/>
      <c r="AB602" s="69"/>
      <c r="AC602" s="64"/>
      <c r="AD602" s="69"/>
      <c r="AE602" s="65"/>
      <c r="AF602" s="69"/>
      <c r="AG602" s="65"/>
      <c r="AH602" s="69"/>
      <c r="AI602" s="64"/>
      <c r="AJ602" s="69"/>
      <c r="AK602" s="64"/>
      <c r="AL602" s="69"/>
      <c r="AM602" s="64"/>
      <c r="AN602" s="69"/>
      <c r="AO602" s="64"/>
      <c r="AP602" s="69"/>
      <c r="AQ602" s="64"/>
      <c r="AR602" s="69"/>
      <c r="AS602" s="64"/>
      <c r="AT602" s="69"/>
      <c r="AU602" s="64"/>
      <c r="AV602" s="69"/>
      <c r="AW602" s="64"/>
      <c r="AX602" s="69"/>
      <c r="AY602" s="64"/>
      <c r="AZ602" s="69"/>
      <c r="BA602" s="64"/>
      <c r="BB602" s="69"/>
      <c r="BC602" s="64"/>
      <c r="BD602" s="69"/>
      <c r="BE602" s="64"/>
      <c r="BF602" s="69"/>
      <c r="BG602" s="64"/>
      <c r="BH602" s="69"/>
      <c r="BI602" s="64"/>
      <c r="BJ602" s="69"/>
      <c r="BK602" s="64"/>
      <c r="BL602" s="69"/>
      <c r="BM602" s="64"/>
      <c r="BN602" s="69"/>
      <c r="BO602" s="64"/>
      <c r="BP602" s="69"/>
      <c r="BQ602" s="64"/>
      <c r="BR602" s="69"/>
      <c r="BS602" s="64"/>
      <c r="BT602" s="69"/>
      <c r="BU602" t="b">
        <f t="shared" si="9"/>
        <v>0</v>
      </c>
    </row>
    <row r="603" spans="1:73" x14ac:dyDescent="0.25">
      <c r="A603" s="28"/>
      <c r="B603" s="29"/>
      <c r="C603" s="29"/>
      <c r="D603" s="30"/>
      <c r="E603" s="29"/>
      <c r="F603" s="30"/>
      <c r="G603" s="29"/>
      <c r="H603" s="69"/>
      <c r="I603" s="64"/>
      <c r="J603" s="69"/>
      <c r="K603" s="64"/>
      <c r="L603" s="69"/>
      <c r="M603" s="65"/>
      <c r="N603" s="69"/>
      <c r="O603" s="64"/>
      <c r="P603" s="69"/>
      <c r="Q603" s="64"/>
      <c r="R603" s="69"/>
      <c r="S603" s="64"/>
      <c r="T603" s="69"/>
      <c r="U603" s="64"/>
      <c r="V603" s="69"/>
      <c r="W603" s="65"/>
      <c r="X603" s="69"/>
      <c r="Y603" s="64"/>
      <c r="Z603" s="69"/>
      <c r="AA603" s="64"/>
      <c r="AB603" s="69"/>
      <c r="AC603" s="64"/>
      <c r="AD603" s="69"/>
      <c r="AE603" s="65"/>
      <c r="AF603" s="69"/>
      <c r="AG603" s="65"/>
      <c r="AH603" s="69"/>
      <c r="AI603" s="64"/>
      <c r="AJ603" s="69"/>
      <c r="AK603" s="64"/>
      <c r="AL603" s="69"/>
      <c r="AM603" s="64"/>
      <c r="AN603" s="69"/>
      <c r="AO603" s="64"/>
      <c r="AP603" s="69"/>
      <c r="AQ603" s="64"/>
      <c r="AR603" s="69"/>
      <c r="AS603" s="64"/>
      <c r="AT603" s="69"/>
      <c r="AU603" s="64"/>
      <c r="AV603" s="69"/>
      <c r="AW603" s="64"/>
      <c r="AX603" s="69"/>
      <c r="AY603" s="64"/>
      <c r="AZ603" s="69"/>
      <c r="BA603" s="64"/>
      <c r="BB603" s="69"/>
      <c r="BC603" s="64"/>
      <c r="BD603" s="69"/>
      <c r="BE603" s="64"/>
      <c r="BF603" s="69"/>
      <c r="BG603" s="64"/>
      <c r="BH603" s="69"/>
      <c r="BI603" s="64"/>
      <c r="BJ603" s="69"/>
      <c r="BK603" s="64"/>
      <c r="BL603" s="69"/>
      <c r="BM603" s="64"/>
      <c r="BN603" s="69"/>
      <c r="BO603" s="64"/>
      <c r="BP603" s="69"/>
      <c r="BQ603" s="64"/>
      <c r="BR603" s="69"/>
      <c r="BS603" s="64"/>
      <c r="BT603" s="69"/>
      <c r="BU603" t="b">
        <f t="shared" si="9"/>
        <v>0</v>
      </c>
    </row>
    <row r="604" spans="1:73" x14ac:dyDescent="0.25">
      <c r="A604" s="28"/>
      <c r="B604" s="29"/>
      <c r="C604" s="29"/>
      <c r="D604" s="30"/>
      <c r="E604" s="29"/>
      <c r="F604" s="30"/>
      <c r="G604" s="29"/>
      <c r="H604" s="69"/>
      <c r="I604" s="64"/>
      <c r="J604" s="69"/>
      <c r="K604" s="64"/>
      <c r="L604" s="69"/>
      <c r="M604" s="65"/>
      <c r="N604" s="69"/>
      <c r="O604" s="64"/>
      <c r="P604" s="69"/>
      <c r="Q604" s="64"/>
      <c r="R604" s="69"/>
      <c r="S604" s="64"/>
      <c r="T604" s="69"/>
      <c r="U604" s="64"/>
      <c r="V604" s="69"/>
      <c r="W604" s="65"/>
      <c r="X604" s="69"/>
      <c r="Y604" s="64"/>
      <c r="Z604" s="69"/>
      <c r="AA604" s="64"/>
      <c r="AB604" s="69"/>
      <c r="AC604" s="64"/>
      <c r="AD604" s="69"/>
      <c r="AE604" s="65"/>
      <c r="AF604" s="69"/>
      <c r="AG604" s="65"/>
      <c r="AH604" s="69"/>
      <c r="AI604" s="64"/>
      <c r="AJ604" s="69"/>
      <c r="AK604" s="64"/>
      <c r="AL604" s="69"/>
      <c r="AM604" s="64"/>
      <c r="AN604" s="69"/>
      <c r="AO604" s="64"/>
      <c r="AP604" s="69"/>
      <c r="AQ604" s="64"/>
      <c r="AR604" s="69"/>
      <c r="AS604" s="64"/>
      <c r="AT604" s="69"/>
      <c r="AU604" s="64"/>
      <c r="AV604" s="69"/>
      <c r="AW604" s="64"/>
      <c r="AX604" s="69"/>
      <c r="AY604" s="64"/>
      <c r="AZ604" s="69"/>
      <c r="BA604" s="64"/>
      <c r="BB604" s="69"/>
      <c r="BC604" s="64"/>
      <c r="BD604" s="69"/>
      <c r="BE604" s="64"/>
      <c r="BF604" s="69"/>
      <c r="BG604" s="64"/>
      <c r="BH604" s="69"/>
      <c r="BI604" s="64"/>
      <c r="BJ604" s="69"/>
      <c r="BK604" s="64"/>
      <c r="BL604" s="69"/>
      <c r="BM604" s="64"/>
      <c r="BN604" s="69"/>
      <c r="BO604" s="64"/>
      <c r="BP604" s="69"/>
      <c r="BQ604" s="64"/>
      <c r="BR604" s="69"/>
      <c r="BS604" s="64"/>
      <c r="BT604" s="69"/>
      <c r="BU604" t="b">
        <f t="shared" si="9"/>
        <v>0</v>
      </c>
    </row>
    <row r="605" spans="1:73" x14ac:dyDescent="0.25">
      <c r="A605" s="28"/>
      <c r="B605" s="29"/>
      <c r="C605" s="29"/>
      <c r="D605" s="30"/>
      <c r="E605" s="29"/>
      <c r="F605" s="30"/>
      <c r="G605" s="29"/>
      <c r="H605" s="69"/>
      <c r="I605" s="64"/>
      <c r="J605" s="69"/>
      <c r="K605" s="64"/>
      <c r="L605" s="69"/>
      <c r="M605" s="65"/>
      <c r="N605" s="69"/>
      <c r="O605" s="64"/>
      <c r="P605" s="69"/>
      <c r="Q605" s="64"/>
      <c r="R605" s="69"/>
      <c r="S605" s="64"/>
      <c r="T605" s="69"/>
      <c r="U605" s="64"/>
      <c r="V605" s="69"/>
      <c r="W605" s="65"/>
      <c r="X605" s="69"/>
      <c r="Y605" s="64"/>
      <c r="Z605" s="69"/>
      <c r="AA605" s="64"/>
      <c r="AB605" s="69"/>
      <c r="AC605" s="64"/>
      <c r="AD605" s="69"/>
      <c r="AE605" s="65"/>
      <c r="AF605" s="69"/>
      <c r="AG605" s="65"/>
      <c r="AH605" s="69"/>
      <c r="AI605" s="64"/>
      <c r="AJ605" s="69"/>
      <c r="AK605" s="64"/>
      <c r="AL605" s="69"/>
      <c r="AM605" s="64"/>
      <c r="AN605" s="69"/>
      <c r="AO605" s="64"/>
      <c r="AP605" s="69"/>
      <c r="AQ605" s="64"/>
      <c r="AR605" s="69"/>
      <c r="AS605" s="64"/>
      <c r="AT605" s="69"/>
      <c r="AU605" s="64"/>
      <c r="AV605" s="69"/>
      <c r="AW605" s="64"/>
      <c r="AX605" s="69"/>
      <c r="AY605" s="64"/>
      <c r="AZ605" s="69"/>
      <c r="BA605" s="64"/>
      <c r="BB605" s="69"/>
      <c r="BC605" s="64"/>
      <c r="BD605" s="69"/>
      <c r="BE605" s="64"/>
      <c r="BF605" s="69"/>
      <c r="BG605" s="64"/>
      <c r="BH605" s="69"/>
      <c r="BI605" s="64"/>
      <c r="BJ605" s="69"/>
      <c r="BK605" s="64"/>
      <c r="BL605" s="69"/>
      <c r="BM605" s="64"/>
      <c r="BN605" s="69"/>
      <c r="BO605" s="64"/>
      <c r="BP605" s="69"/>
      <c r="BQ605" s="64"/>
      <c r="BR605" s="69"/>
      <c r="BS605" s="64"/>
      <c r="BT605" s="69"/>
      <c r="BU605" t="b">
        <f t="shared" si="9"/>
        <v>0</v>
      </c>
    </row>
    <row r="606" spans="1:73" x14ac:dyDescent="0.25">
      <c r="A606" s="28"/>
      <c r="B606" s="29"/>
      <c r="C606" s="29"/>
      <c r="D606" s="30"/>
      <c r="E606" s="29"/>
      <c r="F606" s="30"/>
      <c r="G606" s="29"/>
      <c r="H606" s="69"/>
      <c r="I606" s="64"/>
      <c r="J606" s="69"/>
      <c r="K606" s="64"/>
      <c r="L606" s="69"/>
      <c r="M606" s="65"/>
      <c r="N606" s="69"/>
      <c r="O606" s="64"/>
      <c r="P606" s="69"/>
      <c r="Q606" s="64"/>
      <c r="R606" s="69"/>
      <c r="S606" s="64"/>
      <c r="T606" s="69"/>
      <c r="U606" s="64"/>
      <c r="V606" s="69"/>
      <c r="W606" s="65"/>
      <c r="X606" s="69"/>
      <c r="Y606" s="64"/>
      <c r="Z606" s="69"/>
      <c r="AA606" s="64"/>
      <c r="AB606" s="69"/>
      <c r="AC606" s="64"/>
      <c r="AD606" s="69"/>
      <c r="AE606" s="65"/>
      <c r="AF606" s="69"/>
      <c r="AG606" s="65"/>
      <c r="AH606" s="69"/>
      <c r="AI606" s="64"/>
      <c r="AJ606" s="69"/>
      <c r="AK606" s="64"/>
      <c r="AL606" s="69"/>
      <c r="AM606" s="64"/>
      <c r="AN606" s="69"/>
      <c r="AO606" s="64"/>
      <c r="AP606" s="69"/>
      <c r="AQ606" s="64"/>
      <c r="AR606" s="69"/>
      <c r="AS606" s="64"/>
      <c r="AT606" s="69"/>
      <c r="AU606" s="64"/>
      <c r="AV606" s="69"/>
      <c r="AW606" s="64"/>
      <c r="AX606" s="69"/>
      <c r="AY606" s="64"/>
      <c r="AZ606" s="69"/>
      <c r="BA606" s="64"/>
      <c r="BB606" s="69"/>
      <c r="BC606" s="64"/>
      <c r="BD606" s="69"/>
      <c r="BE606" s="64"/>
      <c r="BF606" s="69"/>
      <c r="BG606" s="64"/>
      <c r="BH606" s="69"/>
      <c r="BI606" s="64"/>
      <c r="BJ606" s="69"/>
      <c r="BK606" s="64"/>
      <c r="BL606" s="69"/>
      <c r="BM606" s="64"/>
      <c r="BN606" s="69"/>
      <c r="BO606" s="64"/>
      <c r="BP606" s="69"/>
      <c r="BQ606" s="64"/>
      <c r="BR606" s="69"/>
      <c r="BS606" s="64"/>
      <c r="BT606" s="69"/>
      <c r="BU606" t="b">
        <f t="shared" si="9"/>
        <v>0</v>
      </c>
    </row>
    <row r="607" spans="1:73" x14ac:dyDescent="0.25">
      <c r="A607" s="28"/>
      <c r="B607" s="29"/>
      <c r="C607" s="29"/>
      <c r="D607" s="30"/>
      <c r="E607" s="29"/>
      <c r="F607" s="30"/>
      <c r="G607" s="29"/>
      <c r="H607" s="69"/>
      <c r="I607" s="64"/>
      <c r="J607" s="69"/>
      <c r="K607" s="64"/>
      <c r="L607" s="69"/>
      <c r="M607" s="65"/>
      <c r="N607" s="69"/>
      <c r="O607" s="64"/>
      <c r="P607" s="69"/>
      <c r="Q607" s="64"/>
      <c r="R607" s="69"/>
      <c r="S607" s="64"/>
      <c r="T607" s="69"/>
      <c r="U607" s="64"/>
      <c r="V607" s="69"/>
      <c r="W607" s="65"/>
      <c r="X607" s="69"/>
      <c r="Y607" s="64"/>
      <c r="Z607" s="69"/>
      <c r="AA607" s="64"/>
      <c r="AB607" s="69"/>
      <c r="AC607" s="64"/>
      <c r="AD607" s="69"/>
      <c r="AE607" s="65"/>
      <c r="AF607" s="69"/>
      <c r="AG607" s="65"/>
      <c r="AH607" s="69"/>
      <c r="AI607" s="64"/>
      <c r="AJ607" s="69"/>
      <c r="AK607" s="64"/>
      <c r="AL607" s="69"/>
      <c r="AM607" s="64"/>
      <c r="AN607" s="69"/>
      <c r="AO607" s="64"/>
      <c r="AP607" s="69"/>
      <c r="AQ607" s="64"/>
      <c r="AR607" s="69"/>
      <c r="AS607" s="64"/>
      <c r="AT607" s="69"/>
      <c r="AU607" s="64"/>
      <c r="AV607" s="69"/>
      <c r="AW607" s="64"/>
      <c r="AX607" s="69"/>
      <c r="AY607" s="64"/>
      <c r="AZ607" s="69"/>
      <c r="BA607" s="64"/>
      <c r="BB607" s="69"/>
      <c r="BC607" s="64"/>
      <c r="BD607" s="69"/>
      <c r="BE607" s="64"/>
      <c r="BF607" s="69"/>
      <c r="BG607" s="64"/>
      <c r="BH607" s="69"/>
      <c r="BI607" s="64"/>
      <c r="BJ607" s="69"/>
      <c r="BK607" s="64"/>
      <c r="BL607" s="69"/>
      <c r="BM607" s="64"/>
      <c r="BN607" s="69"/>
      <c r="BO607" s="64"/>
      <c r="BP607" s="69"/>
      <c r="BQ607" s="64"/>
      <c r="BR607" s="69"/>
      <c r="BS607" s="64"/>
      <c r="BT607" s="69"/>
      <c r="BU607" t="b">
        <f t="shared" si="9"/>
        <v>0</v>
      </c>
    </row>
    <row r="608" spans="1:73" x14ac:dyDescent="0.25">
      <c r="A608" s="28"/>
      <c r="B608" s="29"/>
      <c r="C608" s="29"/>
      <c r="D608" s="30"/>
      <c r="E608" s="29"/>
      <c r="F608" s="30"/>
      <c r="G608" s="29"/>
      <c r="H608" s="69"/>
      <c r="I608" s="64"/>
      <c r="J608" s="69"/>
      <c r="K608" s="64"/>
      <c r="L608" s="69"/>
      <c r="M608" s="65"/>
      <c r="N608" s="69"/>
      <c r="O608" s="64"/>
      <c r="P608" s="69"/>
      <c r="Q608" s="64"/>
      <c r="R608" s="69"/>
      <c r="S608" s="64"/>
      <c r="T608" s="69"/>
      <c r="U608" s="64"/>
      <c r="V608" s="69"/>
      <c r="W608" s="65"/>
      <c r="X608" s="69"/>
      <c r="Y608" s="64"/>
      <c r="Z608" s="69"/>
      <c r="AA608" s="64"/>
      <c r="AB608" s="69"/>
      <c r="AC608" s="64"/>
      <c r="AD608" s="69"/>
      <c r="AE608" s="65"/>
      <c r="AF608" s="69"/>
      <c r="AG608" s="65"/>
      <c r="AH608" s="69"/>
      <c r="AI608" s="64"/>
      <c r="AJ608" s="69"/>
      <c r="AK608" s="64"/>
      <c r="AL608" s="69"/>
      <c r="AM608" s="64"/>
      <c r="AN608" s="69"/>
      <c r="AO608" s="64"/>
      <c r="AP608" s="69"/>
      <c r="AQ608" s="64"/>
      <c r="AR608" s="69"/>
      <c r="AS608" s="64"/>
      <c r="AT608" s="69"/>
      <c r="AU608" s="64"/>
      <c r="AV608" s="69"/>
      <c r="AW608" s="64"/>
      <c r="AX608" s="69"/>
      <c r="AY608" s="64"/>
      <c r="AZ608" s="69"/>
      <c r="BA608" s="64"/>
      <c r="BB608" s="69"/>
      <c r="BC608" s="64"/>
      <c r="BD608" s="69"/>
      <c r="BE608" s="64"/>
      <c r="BF608" s="69"/>
      <c r="BG608" s="64"/>
      <c r="BH608" s="69"/>
      <c r="BI608" s="64"/>
      <c r="BJ608" s="69"/>
      <c r="BK608" s="64"/>
      <c r="BL608" s="69"/>
      <c r="BM608" s="64"/>
      <c r="BN608" s="69"/>
      <c r="BO608" s="64"/>
      <c r="BP608" s="69"/>
      <c r="BQ608" s="64"/>
      <c r="BR608" s="69"/>
      <c r="BS608" s="64"/>
      <c r="BT608" s="69"/>
      <c r="BU608" t="b">
        <f t="shared" si="9"/>
        <v>0</v>
      </c>
    </row>
    <row r="609" spans="1:73" x14ac:dyDescent="0.25">
      <c r="A609" s="28"/>
      <c r="B609" s="29"/>
      <c r="C609" s="29"/>
      <c r="D609" s="30"/>
      <c r="E609" s="29"/>
      <c r="F609" s="30"/>
      <c r="G609" s="29"/>
      <c r="H609" s="69"/>
      <c r="I609" s="64"/>
      <c r="J609" s="69"/>
      <c r="K609" s="64"/>
      <c r="L609" s="69"/>
      <c r="M609" s="65"/>
      <c r="N609" s="69"/>
      <c r="O609" s="64"/>
      <c r="P609" s="69"/>
      <c r="Q609" s="64"/>
      <c r="R609" s="69"/>
      <c r="S609" s="64"/>
      <c r="T609" s="69"/>
      <c r="U609" s="64"/>
      <c r="V609" s="69"/>
      <c r="W609" s="65"/>
      <c r="X609" s="69"/>
      <c r="Y609" s="64"/>
      <c r="Z609" s="69"/>
      <c r="AA609" s="64"/>
      <c r="AB609" s="69"/>
      <c r="AC609" s="64"/>
      <c r="AD609" s="69"/>
      <c r="AE609" s="65"/>
      <c r="AF609" s="69"/>
      <c r="AG609" s="65"/>
      <c r="AH609" s="69"/>
      <c r="AI609" s="64"/>
      <c r="AJ609" s="69"/>
      <c r="AK609" s="64"/>
      <c r="AL609" s="69"/>
      <c r="AM609" s="64"/>
      <c r="AN609" s="69"/>
      <c r="AO609" s="64"/>
      <c r="AP609" s="69"/>
      <c r="AQ609" s="64"/>
      <c r="AR609" s="69"/>
      <c r="AS609" s="64"/>
      <c r="AT609" s="69"/>
      <c r="AU609" s="64"/>
      <c r="AV609" s="69"/>
      <c r="AW609" s="64"/>
      <c r="AX609" s="69"/>
      <c r="AY609" s="64"/>
      <c r="AZ609" s="69"/>
      <c r="BA609" s="64"/>
      <c r="BB609" s="69"/>
      <c r="BC609" s="64"/>
      <c r="BD609" s="69"/>
      <c r="BE609" s="64"/>
      <c r="BF609" s="69"/>
      <c r="BG609" s="64"/>
      <c r="BH609" s="69"/>
      <c r="BI609" s="64"/>
      <c r="BJ609" s="69"/>
      <c r="BK609" s="64"/>
      <c r="BL609" s="69"/>
      <c r="BM609" s="64"/>
      <c r="BN609" s="69"/>
      <c r="BO609" s="64"/>
      <c r="BP609" s="69"/>
      <c r="BQ609" s="64"/>
      <c r="BR609" s="69"/>
      <c r="BS609" s="64"/>
      <c r="BT609" s="69"/>
      <c r="BU609" t="b">
        <f t="shared" si="9"/>
        <v>0</v>
      </c>
    </row>
    <row r="610" spans="1:73" x14ac:dyDescent="0.25">
      <c r="A610" s="28"/>
      <c r="B610" s="29"/>
      <c r="C610" s="29"/>
      <c r="D610" s="30"/>
      <c r="E610" s="29"/>
      <c r="F610" s="30"/>
      <c r="G610" s="29"/>
      <c r="H610" s="69"/>
      <c r="I610" s="64"/>
      <c r="J610" s="69"/>
      <c r="K610" s="64"/>
      <c r="L610" s="69"/>
      <c r="M610" s="65"/>
      <c r="N610" s="69"/>
      <c r="O610" s="64"/>
      <c r="P610" s="69"/>
      <c r="Q610" s="64"/>
      <c r="R610" s="69"/>
      <c r="S610" s="64"/>
      <c r="T610" s="69"/>
      <c r="U610" s="64"/>
      <c r="V610" s="69"/>
      <c r="W610" s="65"/>
      <c r="X610" s="69"/>
      <c r="Y610" s="64"/>
      <c r="Z610" s="69"/>
      <c r="AA610" s="64"/>
      <c r="AB610" s="69"/>
      <c r="AC610" s="64"/>
      <c r="AD610" s="69"/>
      <c r="AE610" s="65"/>
      <c r="AF610" s="69"/>
      <c r="AG610" s="65"/>
      <c r="AH610" s="69"/>
      <c r="AI610" s="64"/>
      <c r="AJ610" s="69"/>
      <c r="AK610" s="64"/>
      <c r="AL610" s="69"/>
      <c r="AM610" s="64"/>
      <c r="AN610" s="69"/>
      <c r="AO610" s="64"/>
      <c r="AP610" s="69"/>
      <c r="AQ610" s="64"/>
      <c r="AR610" s="69"/>
      <c r="AS610" s="64"/>
      <c r="AT610" s="69"/>
      <c r="AU610" s="64"/>
      <c r="AV610" s="69"/>
      <c r="AW610" s="64"/>
      <c r="AX610" s="69"/>
      <c r="AY610" s="64"/>
      <c r="AZ610" s="69"/>
      <c r="BA610" s="64"/>
      <c r="BB610" s="69"/>
      <c r="BC610" s="64"/>
      <c r="BD610" s="69"/>
      <c r="BE610" s="64"/>
      <c r="BF610" s="69"/>
      <c r="BG610" s="64"/>
      <c r="BH610" s="69"/>
      <c r="BI610" s="64"/>
      <c r="BJ610" s="69"/>
      <c r="BK610" s="64"/>
      <c r="BL610" s="69"/>
      <c r="BM610" s="64"/>
      <c r="BN610" s="69"/>
      <c r="BO610" s="64"/>
      <c r="BP610" s="69"/>
      <c r="BQ610" s="64"/>
      <c r="BR610" s="69"/>
      <c r="BS610" s="64"/>
      <c r="BT610" s="69"/>
      <c r="BU610" t="b">
        <f t="shared" si="9"/>
        <v>0</v>
      </c>
    </row>
    <row r="611" spans="1:73" x14ac:dyDescent="0.25">
      <c r="A611" s="28"/>
      <c r="B611" s="29"/>
      <c r="C611" s="29"/>
      <c r="D611" s="30"/>
      <c r="E611" s="29"/>
      <c r="F611" s="30"/>
      <c r="G611" s="29"/>
      <c r="H611" s="69"/>
      <c r="I611" s="64"/>
      <c r="J611" s="69"/>
      <c r="K611" s="64"/>
      <c r="L611" s="69"/>
      <c r="M611" s="65"/>
      <c r="N611" s="69"/>
      <c r="O611" s="64"/>
      <c r="P611" s="69"/>
      <c r="Q611" s="64"/>
      <c r="R611" s="69"/>
      <c r="S611" s="64"/>
      <c r="T611" s="69"/>
      <c r="U611" s="64"/>
      <c r="V611" s="69"/>
      <c r="W611" s="65"/>
      <c r="X611" s="69"/>
      <c r="Y611" s="64"/>
      <c r="Z611" s="69"/>
      <c r="AA611" s="64"/>
      <c r="AB611" s="69"/>
      <c r="AC611" s="64"/>
      <c r="AD611" s="69"/>
      <c r="AE611" s="65"/>
      <c r="AF611" s="69"/>
      <c r="AG611" s="65"/>
      <c r="AH611" s="69"/>
      <c r="AI611" s="64"/>
      <c r="AJ611" s="69"/>
      <c r="AK611" s="64"/>
      <c r="AL611" s="69"/>
      <c r="AM611" s="64"/>
      <c r="AN611" s="69"/>
      <c r="AO611" s="64"/>
      <c r="AP611" s="69"/>
      <c r="AQ611" s="64"/>
      <c r="AR611" s="69"/>
      <c r="AS611" s="64"/>
      <c r="AT611" s="69"/>
      <c r="AU611" s="64"/>
      <c r="AV611" s="69"/>
      <c r="AW611" s="64"/>
      <c r="AX611" s="69"/>
      <c r="AY611" s="64"/>
      <c r="AZ611" s="69"/>
      <c r="BA611" s="64"/>
      <c r="BB611" s="69"/>
      <c r="BC611" s="64"/>
      <c r="BD611" s="69"/>
      <c r="BE611" s="64"/>
      <c r="BF611" s="69"/>
      <c r="BG611" s="64"/>
      <c r="BH611" s="69"/>
      <c r="BI611" s="64"/>
      <c r="BJ611" s="69"/>
      <c r="BK611" s="64"/>
      <c r="BL611" s="69"/>
      <c r="BM611" s="64"/>
      <c r="BN611" s="69"/>
      <c r="BO611" s="64"/>
      <c r="BP611" s="69"/>
      <c r="BQ611" s="64"/>
      <c r="BR611" s="69"/>
      <c r="BS611" s="64"/>
      <c r="BT611" s="69"/>
      <c r="BU611" t="b">
        <f t="shared" si="9"/>
        <v>0</v>
      </c>
    </row>
    <row r="612" spans="1:73" x14ac:dyDescent="0.25">
      <c r="A612" s="28"/>
      <c r="B612" s="29"/>
      <c r="C612" s="29"/>
      <c r="D612" s="30"/>
      <c r="E612" s="29"/>
      <c r="F612" s="30"/>
      <c r="G612" s="29"/>
      <c r="H612" s="69"/>
      <c r="I612" s="64"/>
      <c r="J612" s="69"/>
      <c r="K612" s="64"/>
      <c r="L612" s="69"/>
      <c r="M612" s="65"/>
      <c r="N612" s="69"/>
      <c r="O612" s="64"/>
      <c r="P612" s="69"/>
      <c r="Q612" s="64"/>
      <c r="R612" s="69"/>
      <c r="S612" s="64"/>
      <c r="T612" s="69"/>
      <c r="U612" s="64"/>
      <c r="V612" s="69"/>
      <c r="W612" s="65"/>
      <c r="X612" s="69"/>
      <c r="Y612" s="64"/>
      <c r="Z612" s="69"/>
      <c r="AA612" s="64"/>
      <c r="AB612" s="69"/>
      <c r="AC612" s="64"/>
      <c r="AD612" s="69"/>
      <c r="AE612" s="65"/>
      <c r="AF612" s="69"/>
      <c r="AG612" s="65"/>
      <c r="AH612" s="69"/>
      <c r="AI612" s="64"/>
      <c r="AJ612" s="69"/>
      <c r="AK612" s="64"/>
      <c r="AL612" s="69"/>
      <c r="AM612" s="64"/>
      <c r="AN612" s="69"/>
      <c r="AO612" s="64"/>
      <c r="AP612" s="69"/>
      <c r="AQ612" s="64"/>
      <c r="AR612" s="69"/>
      <c r="AS612" s="64"/>
      <c r="AT612" s="69"/>
      <c r="AU612" s="64"/>
      <c r="AV612" s="69"/>
      <c r="AW612" s="64"/>
      <c r="AX612" s="69"/>
      <c r="AY612" s="64"/>
      <c r="AZ612" s="69"/>
      <c r="BA612" s="64"/>
      <c r="BB612" s="69"/>
      <c r="BC612" s="64"/>
      <c r="BD612" s="69"/>
      <c r="BE612" s="64"/>
      <c r="BF612" s="69"/>
      <c r="BG612" s="64"/>
      <c r="BH612" s="69"/>
      <c r="BI612" s="64"/>
      <c r="BJ612" s="69"/>
      <c r="BK612" s="64"/>
      <c r="BL612" s="69"/>
      <c r="BM612" s="64"/>
      <c r="BN612" s="69"/>
      <c r="BO612" s="64"/>
      <c r="BP612" s="69"/>
      <c r="BQ612" s="64"/>
      <c r="BR612" s="69"/>
      <c r="BS612" s="64"/>
      <c r="BT612" s="69"/>
      <c r="BU612" t="b">
        <f t="shared" si="9"/>
        <v>0</v>
      </c>
    </row>
    <row r="613" spans="1:73" x14ac:dyDescent="0.25">
      <c r="A613" s="28"/>
      <c r="B613" s="29"/>
      <c r="C613" s="29"/>
      <c r="D613" s="30"/>
      <c r="E613" s="29"/>
      <c r="F613" s="30"/>
      <c r="G613" s="29"/>
      <c r="H613" s="69"/>
      <c r="I613" s="64"/>
      <c r="J613" s="69"/>
      <c r="K613" s="64"/>
      <c r="L613" s="69"/>
      <c r="M613" s="65"/>
      <c r="N613" s="69"/>
      <c r="O613" s="64"/>
      <c r="P613" s="69"/>
      <c r="Q613" s="64"/>
      <c r="R613" s="69"/>
      <c r="S613" s="64"/>
      <c r="T613" s="69"/>
      <c r="U613" s="64"/>
      <c r="V613" s="69"/>
      <c r="W613" s="65"/>
      <c r="X613" s="69"/>
      <c r="Y613" s="64"/>
      <c r="Z613" s="69"/>
      <c r="AA613" s="64"/>
      <c r="AB613" s="69"/>
      <c r="AC613" s="64"/>
      <c r="AD613" s="69"/>
      <c r="AE613" s="65"/>
      <c r="AF613" s="69"/>
      <c r="AG613" s="65"/>
      <c r="AH613" s="69"/>
      <c r="AI613" s="64"/>
      <c r="AJ613" s="69"/>
      <c r="AK613" s="64"/>
      <c r="AL613" s="69"/>
      <c r="AM613" s="64"/>
      <c r="AN613" s="69"/>
      <c r="AO613" s="64"/>
      <c r="AP613" s="69"/>
      <c r="AQ613" s="64"/>
      <c r="AR613" s="69"/>
      <c r="AS613" s="64"/>
      <c r="AT613" s="69"/>
      <c r="AU613" s="64"/>
      <c r="AV613" s="69"/>
      <c r="AW613" s="64"/>
      <c r="AX613" s="69"/>
      <c r="AY613" s="64"/>
      <c r="AZ613" s="69"/>
      <c r="BA613" s="64"/>
      <c r="BB613" s="69"/>
      <c r="BC613" s="64"/>
      <c r="BD613" s="69"/>
      <c r="BE613" s="64"/>
      <c r="BF613" s="69"/>
      <c r="BG613" s="64"/>
      <c r="BH613" s="69"/>
      <c r="BI613" s="64"/>
      <c r="BJ613" s="69"/>
      <c r="BK613" s="64"/>
      <c r="BL613" s="69"/>
      <c r="BM613" s="64"/>
      <c r="BN613" s="69"/>
      <c r="BO613" s="64"/>
      <c r="BP613" s="69"/>
      <c r="BQ613" s="64"/>
      <c r="BR613" s="69"/>
      <c r="BS613" s="64"/>
      <c r="BT613" s="69"/>
      <c r="BU613" t="b">
        <f t="shared" ref="BU613:BU676" si="10">NOT(AND(BR613="",BP613="",BN613="",BL613="",BJ613="",BH613="",BF613="",BD613="",BB613="",AZ613="",AX613="",AV613="",AT613="",AR613="",AP613="",AN613="",AL613="",AJ613="",AH613="",AF613="",AD613="",AB613="",Z613="",X613="",V613="",T613="",R613="",P613="",N613="", L613="",J613=""))</f>
        <v>0</v>
      </c>
    </row>
    <row r="614" spans="1:73" x14ac:dyDescent="0.25">
      <c r="A614" s="28"/>
      <c r="B614" s="29"/>
      <c r="C614" s="29"/>
      <c r="D614" s="30"/>
      <c r="E614" s="29"/>
      <c r="F614" s="30"/>
      <c r="G614" s="29"/>
      <c r="H614" s="69"/>
      <c r="I614" s="64"/>
      <c r="J614" s="69"/>
      <c r="K614" s="64"/>
      <c r="L614" s="69"/>
      <c r="M614" s="65"/>
      <c r="N614" s="69"/>
      <c r="O614" s="64"/>
      <c r="P614" s="69"/>
      <c r="Q614" s="64"/>
      <c r="R614" s="69"/>
      <c r="S614" s="64"/>
      <c r="T614" s="69"/>
      <c r="U614" s="64"/>
      <c r="V614" s="69"/>
      <c r="W614" s="65"/>
      <c r="X614" s="69"/>
      <c r="Y614" s="64"/>
      <c r="Z614" s="69"/>
      <c r="AA614" s="64"/>
      <c r="AB614" s="69"/>
      <c r="AC614" s="64"/>
      <c r="AD614" s="69"/>
      <c r="AE614" s="65"/>
      <c r="AF614" s="69"/>
      <c r="AG614" s="65"/>
      <c r="AH614" s="69"/>
      <c r="AI614" s="64"/>
      <c r="AJ614" s="69"/>
      <c r="AK614" s="64"/>
      <c r="AL614" s="69"/>
      <c r="AM614" s="64"/>
      <c r="AN614" s="69"/>
      <c r="AO614" s="64"/>
      <c r="AP614" s="69"/>
      <c r="AQ614" s="64"/>
      <c r="AR614" s="69"/>
      <c r="AS614" s="64"/>
      <c r="AT614" s="69"/>
      <c r="AU614" s="64"/>
      <c r="AV614" s="69"/>
      <c r="AW614" s="64"/>
      <c r="AX614" s="69"/>
      <c r="AY614" s="64"/>
      <c r="AZ614" s="69"/>
      <c r="BA614" s="64"/>
      <c r="BB614" s="69"/>
      <c r="BC614" s="64"/>
      <c r="BD614" s="69"/>
      <c r="BE614" s="64"/>
      <c r="BF614" s="69"/>
      <c r="BG614" s="64"/>
      <c r="BH614" s="69"/>
      <c r="BI614" s="64"/>
      <c r="BJ614" s="69"/>
      <c r="BK614" s="64"/>
      <c r="BL614" s="69"/>
      <c r="BM614" s="64"/>
      <c r="BN614" s="69"/>
      <c r="BO614" s="64"/>
      <c r="BP614" s="69"/>
      <c r="BQ614" s="64"/>
      <c r="BR614" s="69"/>
      <c r="BS614" s="64"/>
      <c r="BT614" s="69"/>
      <c r="BU614" t="b">
        <f t="shared" si="10"/>
        <v>0</v>
      </c>
    </row>
    <row r="615" spans="1:73" x14ac:dyDescent="0.25">
      <c r="A615" s="28"/>
      <c r="B615" s="29"/>
      <c r="C615" s="29"/>
      <c r="D615" s="30"/>
      <c r="E615" s="29"/>
      <c r="F615" s="30"/>
      <c r="G615" s="29"/>
      <c r="H615" s="69"/>
      <c r="I615" s="64"/>
      <c r="J615" s="69"/>
      <c r="K615" s="64"/>
      <c r="L615" s="69"/>
      <c r="M615" s="65"/>
      <c r="N615" s="69"/>
      <c r="O615" s="64"/>
      <c r="P615" s="69"/>
      <c r="Q615" s="64"/>
      <c r="R615" s="69"/>
      <c r="S615" s="64"/>
      <c r="T615" s="69"/>
      <c r="U615" s="64"/>
      <c r="V615" s="69"/>
      <c r="W615" s="65"/>
      <c r="X615" s="69"/>
      <c r="Y615" s="64"/>
      <c r="Z615" s="69"/>
      <c r="AA615" s="64"/>
      <c r="AB615" s="69"/>
      <c r="AC615" s="64"/>
      <c r="AD615" s="69"/>
      <c r="AE615" s="65"/>
      <c r="AF615" s="69"/>
      <c r="AG615" s="65"/>
      <c r="AH615" s="69"/>
      <c r="AI615" s="64"/>
      <c r="AJ615" s="69"/>
      <c r="AK615" s="64"/>
      <c r="AL615" s="69"/>
      <c r="AM615" s="64"/>
      <c r="AN615" s="69"/>
      <c r="AO615" s="64"/>
      <c r="AP615" s="69"/>
      <c r="AQ615" s="64"/>
      <c r="AR615" s="69"/>
      <c r="AS615" s="64"/>
      <c r="AT615" s="69"/>
      <c r="AU615" s="64"/>
      <c r="AV615" s="69"/>
      <c r="AW615" s="64"/>
      <c r="AX615" s="69"/>
      <c r="AY615" s="64"/>
      <c r="AZ615" s="69"/>
      <c r="BA615" s="64"/>
      <c r="BB615" s="69"/>
      <c r="BC615" s="64"/>
      <c r="BD615" s="69"/>
      <c r="BE615" s="64"/>
      <c r="BF615" s="69"/>
      <c r="BG615" s="64"/>
      <c r="BH615" s="69"/>
      <c r="BI615" s="64"/>
      <c r="BJ615" s="69"/>
      <c r="BK615" s="64"/>
      <c r="BL615" s="69"/>
      <c r="BM615" s="64"/>
      <c r="BN615" s="69"/>
      <c r="BO615" s="64"/>
      <c r="BP615" s="69"/>
      <c r="BQ615" s="64"/>
      <c r="BR615" s="69"/>
      <c r="BS615" s="64"/>
      <c r="BT615" s="69"/>
      <c r="BU615" t="b">
        <f t="shared" si="10"/>
        <v>0</v>
      </c>
    </row>
    <row r="616" spans="1:73" x14ac:dyDescent="0.25">
      <c r="A616" s="28"/>
      <c r="B616" s="29"/>
      <c r="C616" s="29"/>
      <c r="D616" s="30"/>
      <c r="E616" s="29"/>
      <c r="F616" s="30"/>
      <c r="G616" s="29"/>
      <c r="H616" s="69"/>
      <c r="I616" s="64"/>
      <c r="J616" s="69"/>
      <c r="K616" s="64"/>
      <c r="L616" s="69"/>
      <c r="M616" s="65"/>
      <c r="N616" s="69"/>
      <c r="O616" s="64"/>
      <c r="P616" s="69"/>
      <c r="Q616" s="64"/>
      <c r="R616" s="69"/>
      <c r="S616" s="64"/>
      <c r="T616" s="69"/>
      <c r="U616" s="64"/>
      <c r="V616" s="69"/>
      <c r="W616" s="65"/>
      <c r="X616" s="69"/>
      <c r="Y616" s="64"/>
      <c r="Z616" s="69"/>
      <c r="AA616" s="64"/>
      <c r="AB616" s="69"/>
      <c r="AC616" s="64"/>
      <c r="AD616" s="69"/>
      <c r="AE616" s="65"/>
      <c r="AF616" s="69"/>
      <c r="AG616" s="65"/>
      <c r="AH616" s="69"/>
      <c r="AI616" s="64"/>
      <c r="AJ616" s="69"/>
      <c r="AK616" s="64"/>
      <c r="AL616" s="69"/>
      <c r="AM616" s="64"/>
      <c r="AN616" s="69"/>
      <c r="AO616" s="64"/>
      <c r="AP616" s="69"/>
      <c r="AQ616" s="64"/>
      <c r="AR616" s="69"/>
      <c r="AS616" s="64"/>
      <c r="AT616" s="69"/>
      <c r="AU616" s="64"/>
      <c r="AV616" s="69"/>
      <c r="AW616" s="64"/>
      <c r="AX616" s="69"/>
      <c r="AY616" s="64"/>
      <c r="AZ616" s="69"/>
      <c r="BA616" s="64"/>
      <c r="BB616" s="69"/>
      <c r="BC616" s="64"/>
      <c r="BD616" s="69"/>
      <c r="BE616" s="64"/>
      <c r="BF616" s="69"/>
      <c r="BG616" s="64"/>
      <c r="BH616" s="69"/>
      <c r="BI616" s="64"/>
      <c r="BJ616" s="69"/>
      <c r="BK616" s="64"/>
      <c r="BL616" s="69"/>
      <c r="BM616" s="64"/>
      <c r="BN616" s="69"/>
      <c r="BO616" s="64"/>
      <c r="BP616" s="69"/>
      <c r="BQ616" s="64"/>
      <c r="BR616" s="69"/>
      <c r="BS616" s="64"/>
      <c r="BT616" s="69"/>
      <c r="BU616" t="b">
        <f t="shared" si="10"/>
        <v>0</v>
      </c>
    </row>
    <row r="617" spans="1:73" x14ac:dyDescent="0.25">
      <c r="A617" s="28"/>
      <c r="B617" s="29"/>
      <c r="C617" s="29"/>
      <c r="D617" s="30"/>
      <c r="E617" s="29"/>
      <c r="F617" s="30"/>
      <c r="G617" s="29"/>
      <c r="H617" s="69"/>
      <c r="I617" s="64"/>
      <c r="J617" s="69"/>
      <c r="K617" s="64"/>
      <c r="L617" s="69"/>
      <c r="M617" s="65"/>
      <c r="N617" s="69"/>
      <c r="O617" s="64"/>
      <c r="P617" s="69"/>
      <c r="Q617" s="64"/>
      <c r="R617" s="69"/>
      <c r="S617" s="64"/>
      <c r="T617" s="69"/>
      <c r="U617" s="64"/>
      <c r="V617" s="69"/>
      <c r="W617" s="65"/>
      <c r="X617" s="69"/>
      <c r="Y617" s="64"/>
      <c r="Z617" s="69"/>
      <c r="AA617" s="64"/>
      <c r="AB617" s="69"/>
      <c r="AC617" s="64"/>
      <c r="AD617" s="69"/>
      <c r="AE617" s="65"/>
      <c r="AF617" s="69"/>
      <c r="AG617" s="65"/>
      <c r="AH617" s="69"/>
      <c r="AI617" s="64"/>
      <c r="AJ617" s="69"/>
      <c r="AK617" s="64"/>
      <c r="AL617" s="69"/>
      <c r="AM617" s="64"/>
      <c r="AN617" s="69"/>
      <c r="AO617" s="64"/>
      <c r="AP617" s="69"/>
      <c r="AQ617" s="64"/>
      <c r="AR617" s="69"/>
      <c r="AS617" s="64"/>
      <c r="AT617" s="69"/>
      <c r="AU617" s="64"/>
      <c r="AV617" s="69"/>
      <c r="AW617" s="64"/>
      <c r="AX617" s="69"/>
      <c r="AY617" s="64"/>
      <c r="AZ617" s="69"/>
      <c r="BA617" s="64"/>
      <c r="BB617" s="69"/>
      <c r="BC617" s="64"/>
      <c r="BD617" s="69"/>
      <c r="BE617" s="64"/>
      <c r="BF617" s="69"/>
      <c r="BG617" s="64"/>
      <c r="BH617" s="69"/>
      <c r="BI617" s="64"/>
      <c r="BJ617" s="69"/>
      <c r="BK617" s="64"/>
      <c r="BL617" s="69"/>
      <c r="BM617" s="64"/>
      <c r="BN617" s="69"/>
      <c r="BO617" s="64"/>
      <c r="BP617" s="69"/>
      <c r="BQ617" s="64"/>
      <c r="BR617" s="69"/>
      <c r="BS617" s="64"/>
      <c r="BT617" s="69"/>
      <c r="BU617" t="b">
        <f t="shared" si="10"/>
        <v>0</v>
      </c>
    </row>
    <row r="618" spans="1:73" x14ac:dyDescent="0.25">
      <c r="A618" s="28"/>
      <c r="B618" s="29"/>
      <c r="C618" s="29"/>
      <c r="D618" s="30"/>
      <c r="E618" s="29"/>
      <c r="F618" s="30"/>
      <c r="G618" s="29"/>
      <c r="H618" s="69"/>
      <c r="I618" s="64"/>
      <c r="J618" s="69"/>
      <c r="K618" s="64"/>
      <c r="L618" s="69"/>
      <c r="M618" s="65"/>
      <c r="N618" s="69"/>
      <c r="O618" s="64"/>
      <c r="P618" s="69"/>
      <c r="Q618" s="64"/>
      <c r="R618" s="69"/>
      <c r="S618" s="64"/>
      <c r="T618" s="69"/>
      <c r="U618" s="64"/>
      <c r="V618" s="69"/>
      <c r="W618" s="65"/>
      <c r="X618" s="69"/>
      <c r="Y618" s="64"/>
      <c r="Z618" s="69"/>
      <c r="AA618" s="64"/>
      <c r="AB618" s="69"/>
      <c r="AC618" s="64"/>
      <c r="AD618" s="69"/>
      <c r="AE618" s="65"/>
      <c r="AF618" s="69"/>
      <c r="AG618" s="65"/>
      <c r="AH618" s="69"/>
      <c r="AI618" s="64"/>
      <c r="AJ618" s="69"/>
      <c r="AK618" s="64"/>
      <c r="AL618" s="69"/>
      <c r="AM618" s="64"/>
      <c r="AN618" s="69"/>
      <c r="AO618" s="64"/>
      <c r="AP618" s="69"/>
      <c r="AQ618" s="64"/>
      <c r="AR618" s="69"/>
      <c r="AS618" s="64"/>
      <c r="AT618" s="69"/>
      <c r="AU618" s="64"/>
      <c r="AV618" s="69"/>
      <c r="AW618" s="64"/>
      <c r="AX618" s="69"/>
      <c r="AY618" s="64"/>
      <c r="AZ618" s="69"/>
      <c r="BA618" s="64"/>
      <c r="BB618" s="69"/>
      <c r="BC618" s="64"/>
      <c r="BD618" s="69"/>
      <c r="BE618" s="64"/>
      <c r="BF618" s="69"/>
      <c r="BG618" s="64"/>
      <c r="BH618" s="69"/>
      <c r="BI618" s="64"/>
      <c r="BJ618" s="69"/>
      <c r="BK618" s="64"/>
      <c r="BL618" s="69"/>
      <c r="BM618" s="64"/>
      <c r="BN618" s="69"/>
      <c r="BO618" s="64"/>
      <c r="BP618" s="69"/>
      <c r="BQ618" s="64"/>
      <c r="BR618" s="69"/>
      <c r="BS618" s="64"/>
      <c r="BT618" s="69"/>
      <c r="BU618" t="b">
        <f t="shared" si="10"/>
        <v>0</v>
      </c>
    </row>
    <row r="619" spans="1:73" x14ac:dyDescent="0.25">
      <c r="A619" s="28"/>
      <c r="B619" s="29"/>
      <c r="C619" s="29"/>
      <c r="D619" s="30"/>
      <c r="E619" s="29"/>
      <c r="F619" s="30"/>
      <c r="G619" s="29"/>
      <c r="H619" s="69"/>
      <c r="I619" s="64"/>
      <c r="J619" s="69"/>
      <c r="K619" s="64"/>
      <c r="L619" s="69"/>
      <c r="M619" s="65"/>
      <c r="N619" s="69"/>
      <c r="O619" s="64"/>
      <c r="P619" s="69"/>
      <c r="Q619" s="64"/>
      <c r="R619" s="69"/>
      <c r="S619" s="64"/>
      <c r="T619" s="69"/>
      <c r="U619" s="64"/>
      <c r="V619" s="69"/>
      <c r="W619" s="65"/>
      <c r="X619" s="69"/>
      <c r="Y619" s="64"/>
      <c r="Z619" s="69"/>
      <c r="AA619" s="64"/>
      <c r="AB619" s="69"/>
      <c r="AC619" s="64"/>
      <c r="AD619" s="69"/>
      <c r="AE619" s="65"/>
      <c r="AF619" s="69"/>
      <c r="AG619" s="65"/>
      <c r="AH619" s="69"/>
      <c r="AI619" s="64"/>
      <c r="AJ619" s="69"/>
      <c r="AK619" s="64"/>
      <c r="AL619" s="69"/>
      <c r="AM619" s="64"/>
      <c r="AN619" s="69"/>
      <c r="AO619" s="64"/>
      <c r="AP619" s="69"/>
      <c r="AQ619" s="64"/>
      <c r="AR619" s="69"/>
      <c r="AS619" s="64"/>
      <c r="AT619" s="69"/>
      <c r="AU619" s="64"/>
      <c r="AV619" s="69"/>
      <c r="AW619" s="64"/>
      <c r="AX619" s="69"/>
      <c r="AY619" s="64"/>
      <c r="AZ619" s="69"/>
      <c r="BA619" s="64"/>
      <c r="BB619" s="69"/>
      <c r="BC619" s="64"/>
      <c r="BD619" s="69"/>
      <c r="BE619" s="64"/>
      <c r="BF619" s="69"/>
      <c r="BG619" s="64"/>
      <c r="BH619" s="69"/>
      <c r="BI619" s="64"/>
      <c r="BJ619" s="69"/>
      <c r="BK619" s="64"/>
      <c r="BL619" s="69"/>
      <c r="BM619" s="64"/>
      <c r="BN619" s="69"/>
      <c r="BO619" s="64"/>
      <c r="BP619" s="69"/>
      <c r="BQ619" s="64"/>
      <c r="BR619" s="69"/>
      <c r="BS619" s="64"/>
      <c r="BT619" s="69"/>
      <c r="BU619" t="b">
        <f t="shared" si="10"/>
        <v>0</v>
      </c>
    </row>
    <row r="620" spans="1:73" x14ac:dyDescent="0.25">
      <c r="A620" s="28"/>
      <c r="B620" s="29"/>
      <c r="C620" s="29"/>
      <c r="D620" s="30"/>
      <c r="E620" s="29"/>
      <c r="F620" s="30"/>
      <c r="G620" s="29"/>
      <c r="H620" s="69"/>
      <c r="I620" s="64"/>
      <c r="J620" s="69"/>
      <c r="K620" s="64"/>
      <c r="L620" s="69"/>
      <c r="M620" s="65"/>
      <c r="N620" s="69"/>
      <c r="O620" s="64"/>
      <c r="P620" s="69"/>
      <c r="Q620" s="64"/>
      <c r="R620" s="69"/>
      <c r="S620" s="64"/>
      <c r="T620" s="69"/>
      <c r="U620" s="64"/>
      <c r="V620" s="69"/>
      <c r="W620" s="65"/>
      <c r="X620" s="69"/>
      <c r="Y620" s="64"/>
      <c r="Z620" s="69"/>
      <c r="AA620" s="64"/>
      <c r="AB620" s="69"/>
      <c r="AC620" s="64"/>
      <c r="AD620" s="69"/>
      <c r="AE620" s="65"/>
      <c r="AF620" s="69"/>
      <c r="AG620" s="65"/>
      <c r="AH620" s="69"/>
      <c r="AI620" s="64"/>
      <c r="AJ620" s="69"/>
      <c r="AK620" s="64"/>
      <c r="AL620" s="69"/>
      <c r="AM620" s="64"/>
      <c r="AN620" s="69"/>
      <c r="AO620" s="64"/>
      <c r="AP620" s="69"/>
      <c r="AQ620" s="64"/>
      <c r="AR620" s="69"/>
      <c r="AS620" s="64"/>
      <c r="AT620" s="69"/>
      <c r="AU620" s="64"/>
      <c r="AV620" s="69"/>
      <c r="AW620" s="64"/>
      <c r="AX620" s="69"/>
      <c r="AY620" s="64"/>
      <c r="AZ620" s="69"/>
      <c r="BA620" s="64"/>
      <c r="BB620" s="69"/>
      <c r="BC620" s="64"/>
      <c r="BD620" s="69"/>
      <c r="BE620" s="64"/>
      <c r="BF620" s="69"/>
      <c r="BG620" s="64"/>
      <c r="BH620" s="69"/>
      <c r="BI620" s="64"/>
      <c r="BJ620" s="69"/>
      <c r="BK620" s="64"/>
      <c r="BL620" s="69"/>
      <c r="BM620" s="64"/>
      <c r="BN620" s="69"/>
      <c r="BO620" s="64"/>
      <c r="BP620" s="69"/>
      <c r="BQ620" s="64"/>
      <c r="BR620" s="69"/>
      <c r="BS620" s="64"/>
      <c r="BT620" s="69"/>
      <c r="BU620" t="b">
        <f t="shared" si="10"/>
        <v>0</v>
      </c>
    </row>
    <row r="621" spans="1:73" x14ac:dyDescent="0.25">
      <c r="A621" s="28"/>
      <c r="B621" s="29"/>
      <c r="C621" s="29"/>
      <c r="D621" s="30"/>
      <c r="E621" s="29"/>
      <c r="F621" s="30"/>
      <c r="G621" s="29"/>
      <c r="H621" s="69"/>
      <c r="I621" s="64"/>
      <c r="J621" s="69"/>
      <c r="K621" s="64"/>
      <c r="L621" s="69"/>
      <c r="M621" s="65"/>
      <c r="N621" s="69"/>
      <c r="O621" s="64"/>
      <c r="P621" s="69"/>
      <c r="Q621" s="64"/>
      <c r="R621" s="69"/>
      <c r="S621" s="64"/>
      <c r="T621" s="69"/>
      <c r="U621" s="64"/>
      <c r="V621" s="69"/>
      <c r="W621" s="65"/>
      <c r="X621" s="69"/>
      <c r="Y621" s="64"/>
      <c r="Z621" s="69"/>
      <c r="AA621" s="64"/>
      <c r="AB621" s="69"/>
      <c r="AC621" s="64"/>
      <c r="AD621" s="69"/>
      <c r="AE621" s="65"/>
      <c r="AF621" s="69"/>
      <c r="AG621" s="65"/>
      <c r="AH621" s="69"/>
      <c r="AI621" s="64"/>
      <c r="AJ621" s="69"/>
      <c r="AK621" s="64"/>
      <c r="AL621" s="69"/>
      <c r="AM621" s="64"/>
      <c r="AN621" s="69"/>
      <c r="AO621" s="64"/>
      <c r="AP621" s="69"/>
      <c r="AQ621" s="64"/>
      <c r="AR621" s="69"/>
      <c r="AS621" s="64"/>
      <c r="AT621" s="69"/>
      <c r="AU621" s="64"/>
      <c r="AV621" s="69"/>
      <c r="AW621" s="64"/>
      <c r="AX621" s="69"/>
      <c r="AY621" s="64"/>
      <c r="AZ621" s="69"/>
      <c r="BA621" s="64"/>
      <c r="BB621" s="69"/>
      <c r="BC621" s="64"/>
      <c r="BD621" s="69"/>
      <c r="BE621" s="64"/>
      <c r="BF621" s="69"/>
      <c r="BG621" s="64"/>
      <c r="BH621" s="69"/>
      <c r="BI621" s="64"/>
      <c r="BJ621" s="69"/>
      <c r="BK621" s="64"/>
      <c r="BL621" s="69"/>
      <c r="BM621" s="64"/>
      <c r="BN621" s="69"/>
      <c r="BO621" s="64"/>
      <c r="BP621" s="69"/>
      <c r="BQ621" s="64"/>
      <c r="BR621" s="69"/>
      <c r="BS621" s="64"/>
      <c r="BT621" s="69"/>
      <c r="BU621" t="b">
        <f t="shared" si="10"/>
        <v>0</v>
      </c>
    </row>
    <row r="622" spans="1:73" x14ac:dyDescent="0.25">
      <c r="A622" s="28"/>
      <c r="B622" s="29"/>
      <c r="C622" s="29"/>
      <c r="D622" s="30"/>
      <c r="E622" s="29"/>
      <c r="F622" s="30"/>
      <c r="G622" s="29"/>
      <c r="H622" s="69"/>
      <c r="I622" s="64"/>
      <c r="J622" s="69"/>
      <c r="K622" s="64"/>
      <c r="L622" s="69"/>
      <c r="M622" s="65"/>
      <c r="N622" s="69"/>
      <c r="O622" s="64"/>
      <c r="P622" s="69"/>
      <c r="Q622" s="64"/>
      <c r="R622" s="69"/>
      <c r="S622" s="64"/>
      <c r="T622" s="69"/>
      <c r="U622" s="64"/>
      <c r="V622" s="69"/>
      <c r="W622" s="65"/>
      <c r="X622" s="69"/>
      <c r="Y622" s="64"/>
      <c r="Z622" s="69"/>
      <c r="AA622" s="64"/>
      <c r="AB622" s="69"/>
      <c r="AC622" s="64"/>
      <c r="AD622" s="69"/>
      <c r="AE622" s="65"/>
      <c r="AF622" s="69"/>
      <c r="AG622" s="65"/>
      <c r="AH622" s="69"/>
      <c r="AI622" s="64"/>
      <c r="AJ622" s="69"/>
      <c r="AK622" s="64"/>
      <c r="AL622" s="69"/>
      <c r="AM622" s="64"/>
      <c r="AN622" s="69"/>
      <c r="AO622" s="64"/>
      <c r="AP622" s="69"/>
      <c r="AQ622" s="64"/>
      <c r="AR622" s="69"/>
      <c r="AS622" s="64"/>
      <c r="AT622" s="69"/>
      <c r="AU622" s="64"/>
      <c r="AV622" s="69"/>
      <c r="AW622" s="64"/>
      <c r="AX622" s="69"/>
      <c r="AY622" s="64"/>
      <c r="AZ622" s="69"/>
      <c r="BA622" s="64"/>
      <c r="BB622" s="69"/>
      <c r="BC622" s="64"/>
      <c r="BD622" s="69"/>
      <c r="BE622" s="64"/>
      <c r="BF622" s="69"/>
      <c r="BG622" s="64"/>
      <c r="BH622" s="69"/>
      <c r="BI622" s="64"/>
      <c r="BJ622" s="69"/>
      <c r="BK622" s="64"/>
      <c r="BL622" s="69"/>
      <c r="BM622" s="64"/>
      <c r="BN622" s="69"/>
      <c r="BO622" s="64"/>
      <c r="BP622" s="69"/>
      <c r="BQ622" s="64"/>
      <c r="BR622" s="69"/>
      <c r="BS622" s="64"/>
      <c r="BT622" s="69"/>
      <c r="BU622" t="b">
        <f t="shared" si="10"/>
        <v>0</v>
      </c>
    </row>
    <row r="623" spans="1:73" x14ac:dyDescent="0.25">
      <c r="A623" s="28"/>
      <c r="B623" s="29"/>
      <c r="C623" s="29"/>
      <c r="D623" s="30"/>
      <c r="E623" s="29"/>
      <c r="F623" s="30"/>
      <c r="G623" s="29"/>
      <c r="H623" s="69"/>
      <c r="I623" s="64"/>
      <c r="J623" s="69"/>
      <c r="K623" s="64"/>
      <c r="L623" s="69"/>
      <c r="M623" s="65"/>
      <c r="N623" s="69"/>
      <c r="O623" s="64"/>
      <c r="P623" s="69"/>
      <c r="Q623" s="64"/>
      <c r="R623" s="69"/>
      <c r="S623" s="64"/>
      <c r="T623" s="69"/>
      <c r="U623" s="64"/>
      <c r="V623" s="69"/>
      <c r="W623" s="65"/>
      <c r="X623" s="69"/>
      <c r="Y623" s="64"/>
      <c r="Z623" s="69"/>
      <c r="AA623" s="64"/>
      <c r="AB623" s="69"/>
      <c r="AC623" s="64"/>
      <c r="AD623" s="69"/>
      <c r="AE623" s="65"/>
      <c r="AF623" s="69"/>
      <c r="AG623" s="65"/>
      <c r="AH623" s="69"/>
      <c r="AI623" s="64"/>
      <c r="AJ623" s="69"/>
      <c r="AK623" s="64"/>
      <c r="AL623" s="69"/>
      <c r="AM623" s="64"/>
      <c r="AN623" s="69"/>
      <c r="AO623" s="64"/>
      <c r="AP623" s="69"/>
      <c r="AQ623" s="64"/>
      <c r="AR623" s="69"/>
      <c r="AS623" s="64"/>
      <c r="AT623" s="69"/>
      <c r="AU623" s="64"/>
      <c r="AV623" s="69"/>
      <c r="AW623" s="64"/>
      <c r="AX623" s="69"/>
      <c r="AY623" s="64"/>
      <c r="AZ623" s="69"/>
      <c r="BA623" s="64"/>
      <c r="BB623" s="69"/>
      <c r="BC623" s="64"/>
      <c r="BD623" s="69"/>
      <c r="BE623" s="64"/>
      <c r="BF623" s="69"/>
      <c r="BG623" s="64"/>
      <c r="BH623" s="69"/>
      <c r="BI623" s="64"/>
      <c r="BJ623" s="69"/>
      <c r="BK623" s="64"/>
      <c r="BL623" s="69"/>
      <c r="BM623" s="64"/>
      <c r="BN623" s="69"/>
      <c r="BO623" s="64"/>
      <c r="BP623" s="69"/>
      <c r="BQ623" s="64"/>
      <c r="BR623" s="69"/>
      <c r="BS623" s="64"/>
      <c r="BT623" s="69"/>
      <c r="BU623" t="b">
        <f t="shared" si="10"/>
        <v>0</v>
      </c>
    </row>
    <row r="624" spans="1:73" x14ac:dyDescent="0.25">
      <c r="A624" s="28"/>
      <c r="B624" s="29"/>
      <c r="C624" s="29"/>
      <c r="D624" s="30"/>
      <c r="E624" s="29"/>
      <c r="F624" s="30"/>
      <c r="G624" s="29"/>
      <c r="H624" s="69"/>
      <c r="I624" s="64"/>
      <c r="J624" s="69"/>
      <c r="K624" s="64"/>
      <c r="L624" s="69"/>
      <c r="M624" s="65"/>
      <c r="N624" s="69"/>
      <c r="O624" s="64"/>
      <c r="P624" s="69"/>
      <c r="Q624" s="64"/>
      <c r="R624" s="69"/>
      <c r="S624" s="64"/>
      <c r="T624" s="69"/>
      <c r="U624" s="64"/>
      <c r="V624" s="69"/>
      <c r="W624" s="65"/>
      <c r="X624" s="69"/>
      <c r="Y624" s="64"/>
      <c r="Z624" s="69"/>
      <c r="AA624" s="64"/>
      <c r="AB624" s="69"/>
      <c r="AC624" s="64"/>
      <c r="AD624" s="69"/>
      <c r="AE624" s="65"/>
      <c r="AF624" s="69"/>
      <c r="AG624" s="65"/>
      <c r="AH624" s="69"/>
      <c r="AI624" s="64"/>
      <c r="AJ624" s="69"/>
      <c r="AK624" s="64"/>
      <c r="AL624" s="69"/>
      <c r="AM624" s="64"/>
      <c r="AN624" s="69"/>
      <c r="AO624" s="64"/>
      <c r="AP624" s="69"/>
      <c r="AQ624" s="64"/>
      <c r="AR624" s="69"/>
      <c r="AS624" s="64"/>
      <c r="AT624" s="69"/>
      <c r="AU624" s="64"/>
      <c r="AV624" s="69"/>
      <c r="AW624" s="64"/>
      <c r="AX624" s="69"/>
      <c r="AY624" s="64"/>
      <c r="AZ624" s="69"/>
      <c r="BA624" s="64"/>
      <c r="BB624" s="69"/>
      <c r="BC624" s="64"/>
      <c r="BD624" s="69"/>
      <c r="BE624" s="64"/>
      <c r="BF624" s="69"/>
      <c r="BG624" s="64"/>
      <c r="BH624" s="69"/>
      <c r="BI624" s="64"/>
      <c r="BJ624" s="69"/>
      <c r="BK624" s="64"/>
      <c r="BL624" s="69"/>
      <c r="BM624" s="64"/>
      <c r="BN624" s="69"/>
      <c r="BO624" s="64"/>
      <c r="BP624" s="69"/>
      <c r="BQ624" s="64"/>
      <c r="BR624" s="69"/>
      <c r="BS624" s="64"/>
      <c r="BT624" s="69"/>
      <c r="BU624" t="b">
        <f t="shared" si="10"/>
        <v>0</v>
      </c>
    </row>
    <row r="625" spans="1:73" x14ac:dyDescent="0.25">
      <c r="A625" s="28"/>
      <c r="B625" s="29"/>
      <c r="C625" s="29"/>
      <c r="D625" s="30"/>
      <c r="E625" s="29"/>
      <c r="F625" s="30"/>
      <c r="G625" s="29"/>
      <c r="H625" s="69"/>
      <c r="I625" s="64"/>
      <c r="J625" s="69"/>
      <c r="K625" s="64"/>
      <c r="L625" s="69"/>
      <c r="M625" s="65"/>
      <c r="N625" s="69"/>
      <c r="O625" s="64"/>
      <c r="P625" s="69"/>
      <c r="Q625" s="64"/>
      <c r="R625" s="69"/>
      <c r="S625" s="64"/>
      <c r="T625" s="69"/>
      <c r="U625" s="64"/>
      <c r="V625" s="69"/>
      <c r="W625" s="65"/>
      <c r="X625" s="69"/>
      <c r="Y625" s="64"/>
      <c r="Z625" s="69"/>
      <c r="AA625" s="64"/>
      <c r="AB625" s="69"/>
      <c r="AC625" s="64"/>
      <c r="AD625" s="69"/>
      <c r="AE625" s="65"/>
      <c r="AF625" s="69"/>
      <c r="AG625" s="65"/>
      <c r="AH625" s="69"/>
      <c r="AI625" s="64"/>
      <c r="AJ625" s="69"/>
      <c r="AK625" s="64"/>
      <c r="AL625" s="69"/>
      <c r="AM625" s="64"/>
      <c r="AN625" s="69"/>
      <c r="AO625" s="64"/>
      <c r="AP625" s="69"/>
      <c r="AQ625" s="64"/>
      <c r="AR625" s="69"/>
      <c r="AS625" s="64"/>
      <c r="AT625" s="69"/>
      <c r="AU625" s="64"/>
      <c r="AV625" s="69"/>
      <c r="AW625" s="64"/>
      <c r="AX625" s="69"/>
      <c r="AY625" s="64"/>
      <c r="AZ625" s="69"/>
      <c r="BA625" s="64"/>
      <c r="BB625" s="69"/>
      <c r="BC625" s="64"/>
      <c r="BD625" s="69"/>
      <c r="BE625" s="64"/>
      <c r="BF625" s="69"/>
      <c r="BG625" s="64"/>
      <c r="BH625" s="69"/>
      <c r="BI625" s="64"/>
      <c r="BJ625" s="69"/>
      <c r="BK625" s="64"/>
      <c r="BL625" s="69"/>
      <c r="BM625" s="64"/>
      <c r="BN625" s="69"/>
      <c r="BO625" s="64"/>
      <c r="BP625" s="69"/>
      <c r="BQ625" s="64"/>
      <c r="BR625" s="69"/>
      <c r="BS625" s="64"/>
      <c r="BT625" s="69"/>
      <c r="BU625" t="b">
        <f t="shared" si="10"/>
        <v>0</v>
      </c>
    </row>
    <row r="626" spans="1:73" x14ac:dyDescent="0.25">
      <c r="A626" s="28"/>
      <c r="B626" s="29"/>
      <c r="C626" s="29"/>
      <c r="D626" s="30"/>
      <c r="E626" s="29"/>
      <c r="F626" s="30"/>
      <c r="G626" s="29"/>
      <c r="H626" s="69"/>
      <c r="I626" s="64"/>
      <c r="J626" s="69"/>
      <c r="K626" s="64"/>
      <c r="L626" s="69"/>
      <c r="M626" s="65"/>
      <c r="N626" s="69"/>
      <c r="O626" s="64"/>
      <c r="P626" s="69"/>
      <c r="Q626" s="64"/>
      <c r="R626" s="69"/>
      <c r="S626" s="64"/>
      <c r="T626" s="69"/>
      <c r="U626" s="64"/>
      <c r="V626" s="69"/>
      <c r="W626" s="65"/>
      <c r="X626" s="69"/>
      <c r="Y626" s="64"/>
      <c r="Z626" s="69"/>
      <c r="AA626" s="64"/>
      <c r="AB626" s="69"/>
      <c r="AC626" s="64"/>
      <c r="AD626" s="69"/>
      <c r="AE626" s="65"/>
      <c r="AF626" s="69"/>
      <c r="AG626" s="65"/>
      <c r="AH626" s="69"/>
      <c r="AI626" s="64"/>
      <c r="AJ626" s="69"/>
      <c r="AK626" s="64"/>
      <c r="AL626" s="69"/>
      <c r="AM626" s="64"/>
      <c r="AN626" s="69"/>
      <c r="AO626" s="64"/>
      <c r="AP626" s="69"/>
      <c r="AQ626" s="64"/>
      <c r="AR626" s="69"/>
      <c r="AS626" s="64"/>
      <c r="AT626" s="69"/>
      <c r="AU626" s="64"/>
      <c r="AV626" s="69"/>
      <c r="AW626" s="64"/>
      <c r="AX626" s="69"/>
      <c r="AY626" s="64"/>
      <c r="AZ626" s="69"/>
      <c r="BA626" s="64"/>
      <c r="BB626" s="69"/>
      <c r="BC626" s="64"/>
      <c r="BD626" s="69"/>
      <c r="BE626" s="64"/>
      <c r="BF626" s="69"/>
      <c r="BG626" s="64"/>
      <c r="BH626" s="69"/>
      <c r="BI626" s="64"/>
      <c r="BJ626" s="69"/>
      <c r="BK626" s="64"/>
      <c r="BL626" s="69"/>
      <c r="BM626" s="64"/>
      <c r="BN626" s="69"/>
      <c r="BO626" s="64"/>
      <c r="BP626" s="69"/>
      <c r="BQ626" s="64"/>
      <c r="BR626" s="69"/>
      <c r="BS626" s="64"/>
      <c r="BT626" s="69"/>
      <c r="BU626" t="b">
        <f t="shared" si="10"/>
        <v>0</v>
      </c>
    </row>
    <row r="627" spans="1:73" x14ac:dyDescent="0.25">
      <c r="A627" s="28"/>
      <c r="B627" s="29"/>
      <c r="C627" s="29"/>
      <c r="D627" s="30"/>
      <c r="E627" s="29"/>
      <c r="F627" s="30"/>
      <c r="G627" s="29"/>
      <c r="H627" s="69"/>
      <c r="I627" s="64"/>
      <c r="J627" s="69"/>
      <c r="K627" s="64"/>
      <c r="L627" s="69"/>
      <c r="M627" s="65"/>
      <c r="N627" s="69"/>
      <c r="O627" s="64"/>
      <c r="P627" s="69"/>
      <c r="Q627" s="64"/>
      <c r="R627" s="69"/>
      <c r="S627" s="64"/>
      <c r="T627" s="69"/>
      <c r="U627" s="64"/>
      <c r="V627" s="69"/>
      <c r="W627" s="65"/>
      <c r="X627" s="69"/>
      <c r="Y627" s="64"/>
      <c r="Z627" s="69"/>
      <c r="AA627" s="64"/>
      <c r="AB627" s="69"/>
      <c r="AC627" s="64"/>
      <c r="AD627" s="69"/>
      <c r="AE627" s="65"/>
      <c r="AF627" s="69"/>
      <c r="AG627" s="65"/>
      <c r="AH627" s="69"/>
      <c r="AI627" s="64"/>
      <c r="AJ627" s="69"/>
      <c r="AK627" s="64"/>
      <c r="AL627" s="69"/>
      <c r="AM627" s="64"/>
      <c r="AN627" s="69"/>
      <c r="AO627" s="64"/>
      <c r="AP627" s="69"/>
      <c r="AQ627" s="64"/>
      <c r="AR627" s="69"/>
      <c r="AS627" s="64"/>
      <c r="AT627" s="69"/>
      <c r="AU627" s="64"/>
      <c r="AV627" s="69"/>
      <c r="AW627" s="64"/>
      <c r="AX627" s="69"/>
      <c r="AY627" s="64"/>
      <c r="AZ627" s="69"/>
      <c r="BA627" s="64"/>
      <c r="BB627" s="69"/>
      <c r="BC627" s="64"/>
      <c r="BD627" s="69"/>
      <c r="BE627" s="64"/>
      <c r="BF627" s="69"/>
      <c r="BG627" s="64"/>
      <c r="BH627" s="69"/>
      <c r="BI627" s="64"/>
      <c r="BJ627" s="69"/>
      <c r="BK627" s="64"/>
      <c r="BL627" s="69"/>
      <c r="BM627" s="64"/>
      <c r="BN627" s="69"/>
      <c r="BO627" s="64"/>
      <c r="BP627" s="69"/>
      <c r="BQ627" s="64"/>
      <c r="BR627" s="69"/>
      <c r="BS627" s="64"/>
      <c r="BT627" s="69"/>
      <c r="BU627" t="b">
        <f t="shared" si="10"/>
        <v>0</v>
      </c>
    </row>
    <row r="628" spans="1:73" x14ac:dyDescent="0.25">
      <c r="A628" s="28"/>
      <c r="B628" s="29"/>
      <c r="C628" s="29"/>
      <c r="D628" s="30"/>
      <c r="E628" s="29"/>
      <c r="F628" s="30"/>
      <c r="G628" s="29"/>
      <c r="H628" s="69"/>
      <c r="I628" s="64"/>
      <c r="J628" s="69"/>
      <c r="K628" s="64"/>
      <c r="L628" s="69"/>
      <c r="M628" s="65"/>
      <c r="N628" s="69"/>
      <c r="O628" s="64"/>
      <c r="P628" s="69"/>
      <c r="Q628" s="64"/>
      <c r="R628" s="69"/>
      <c r="S628" s="64"/>
      <c r="T628" s="69"/>
      <c r="U628" s="64"/>
      <c r="V628" s="69"/>
      <c r="W628" s="65"/>
      <c r="X628" s="69"/>
      <c r="Y628" s="64"/>
      <c r="Z628" s="69"/>
      <c r="AA628" s="64"/>
      <c r="AB628" s="69"/>
      <c r="AC628" s="64"/>
      <c r="AD628" s="69"/>
      <c r="AE628" s="65"/>
      <c r="AF628" s="69"/>
      <c r="AG628" s="65"/>
      <c r="AH628" s="69"/>
      <c r="AI628" s="64"/>
      <c r="AJ628" s="69"/>
      <c r="AK628" s="64"/>
      <c r="AL628" s="69"/>
      <c r="AM628" s="64"/>
      <c r="AN628" s="69"/>
      <c r="AO628" s="64"/>
      <c r="AP628" s="69"/>
      <c r="AQ628" s="64"/>
      <c r="AR628" s="69"/>
      <c r="AS628" s="64"/>
      <c r="AT628" s="69"/>
      <c r="AU628" s="64"/>
      <c r="AV628" s="69"/>
      <c r="AW628" s="64"/>
      <c r="AX628" s="69"/>
      <c r="AY628" s="64"/>
      <c r="AZ628" s="69"/>
      <c r="BA628" s="64"/>
      <c r="BB628" s="69"/>
      <c r="BC628" s="64"/>
      <c r="BD628" s="69"/>
      <c r="BE628" s="64"/>
      <c r="BF628" s="69"/>
      <c r="BG628" s="64"/>
      <c r="BH628" s="69"/>
      <c r="BI628" s="64"/>
      <c r="BJ628" s="69"/>
      <c r="BK628" s="64"/>
      <c r="BL628" s="69"/>
      <c r="BM628" s="64"/>
      <c r="BN628" s="69"/>
      <c r="BO628" s="64"/>
      <c r="BP628" s="69"/>
      <c r="BQ628" s="64"/>
      <c r="BR628" s="69"/>
      <c r="BS628" s="64"/>
      <c r="BT628" s="69"/>
      <c r="BU628" t="b">
        <f t="shared" si="10"/>
        <v>0</v>
      </c>
    </row>
    <row r="629" spans="1:73" x14ac:dyDescent="0.25">
      <c r="A629" s="28"/>
      <c r="B629" s="29"/>
      <c r="C629" s="29"/>
      <c r="D629" s="30"/>
      <c r="E629" s="29"/>
      <c r="F629" s="30"/>
      <c r="G629" s="29"/>
      <c r="H629" s="69"/>
      <c r="I629" s="64"/>
      <c r="J629" s="69"/>
      <c r="K629" s="64"/>
      <c r="L629" s="69"/>
      <c r="M629" s="65"/>
      <c r="N629" s="69"/>
      <c r="O629" s="64"/>
      <c r="P629" s="69"/>
      <c r="Q629" s="64"/>
      <c r="R629" s="69"/>
      <c r="S629" s="64"/>
      <c r="T629" s="69"/>
      <c r="U629" s="64"/>
      <c r="V629" s="69"/>
      <c r="W629" s="65"/>
      <c r="X629" s="69"/>
      <c r="Y629" s="64"/>
      <c r="Z629" s="69"/>
      <c r="AA629" s="64"/>
      <c r="AB629" s="69"/>
      <c r="AC629" s="64"/>
      <c r="AD629" s="69"/>
      <c r="AE629" s="65"/>
      <c r="AF629" s="69"/>
      <c r="AG629" s="65"/>
      <c r="AH629" s="69"/>
      <c r="AI629" s="64"/>
      <c r="AJ629" s="69"/>
      <c r="AK629" s="64"/>
      <c r="AL629" s="69"/>
      <c r="AM629" s="64"/>
      <c r="AN629" s="69"/>
      <c r="AO629" s="64"/>
      <c r="AP629" s="69"/>
      <c r="AQ629" s="64"/>
      <c r="AR629" s="69"/>
      <c r="AS629" s="64"/>
      <c r="AT629" s="69"/>
      <c r="AU629" s="64"/>
      <c r="AV629" s="69"/>
      <c r="AW629" s="64"/>
      <c r="AX629" s="69"/>
      <c r="AY629" s="64"/>
      <c r="AZ629" s="69"/>
      <c r="BA629" s="64"/>
      <c r="BB629" s="69"/>
      <c r="BC629" s="64"/>
      <c r="BD629" s="69"/>
      <c r="BE629" s="64"/>
      <c r="BF629" s="69"/>
      <c r="BG629" s="64"/>
      <c r="BH629" s="69"/>
      <c r="BI629" s="64"/>
      <c r="BJ629" s="69"/>
      <c r="BK629" s="64"/>
      <c r="BL629" s="69"/>
      <c r="BM629" s="64"/>
      <c r="BN629" s="69"/>
      <c r="BO629" s="64"/>
      <c r="BP629" s="69"/>
      <c r="BQ629" s="64"/>
      <c r="BR629" s="69"/>
      <c r="BS629" s="64"/>
      <c r="BT629" s="69"/>
      <c r="BU629" t="b">
        <f t="shared" si="10"/>
        <v>0</v>
      </c>
    </row>
    <row r="630" spans="1:73" x14ac:dyDescent="0.25">
      <c r="A630" s="28"/>
      <c r="B630" s="29"/>
      <c r="C630" s="29"/>
      <c r="D630" s="30"/>
      <c r="E630" s="29"/>
      <c r="F630" s="30"/>
      <c r="G630" s="29"/>
      <c r="H630" s="69"/>
      <c r="I630" s="64"/>
      <c r="J630" s="69"/>
      <c r="K630" s="64"/>
      <c r="L630" s="69"/>
      <c r="M630" s="65"/>
      <c r="N630" s="69"/>
      <c r="O630" s="64"/>
      <c r="P630" s="69"/>
      <c r="Q630" s="64"/>
      <c r="R630" s="69"/>
      <c r="S630" s="64"/>
      <c r="T630" s="69"/>
      <c r="U630" s="64"/>
      <c r="V630" s="69"/>
      <c r="W630" s="65"/>
      <c r="X630" s="69"/>
      <c r="Y630" s="64"/>
      <c r="Z630" s="69"/>
      <c r="AA630" s="64"/>
      <c r="AB630" s="69"/>
      <c r="AC630" s="64"/>
      <c r="AD630" s="69"/>
      <c r="AE630" s="65"/>
      <c r="AF630" s="69"/>
      <c r="AG630" s="65"/>
      <c r="AH630" s="69"/>
      <c r="AI630" s="64"/>
      <c r="AJ630" s="69"/>
      <c r="AK630" s="64"/>
      <c r="AL630" s="69"/>
      <c r="AM630" s="64"/>
      <c r="AN630" s="69"/>
      <c r="AO630" s="64"/>
      <c r="AP630" s="69"/>
      <c r="AQ630" s="64"/>
      <c r="AR630" s="69"/>
      <c r="AS630" s="64"/>
      <c r="AT630" s="69"/>
      <c r="AU630" s="64"/>
      <c r="AV630" s="69"/>
      <c r="AW630" s="64"/>
      <c r="AX630" s="69"/>
      <c r="AY630" s="64"/>
      <c r="AZ630" s="69"/>
      <c r="BA630" s="64"/>
      <c r="BB630" s="69"/>
      <c r="BC630" s="64"/>
      <c r="BD630" s="69"/>
      <c r="BE630" s="64"/>
      <c r="BF630" s="69"/>
      <c r="BG630" s="64"/>
      <c r="BH630" s="69"/>
      <c r="BI630" s="64"/>
      <c r="BJ630" s="69"/>
      <c r="BK630" s="64"/>
      <c r="BL630" s="69"/>
      <c r="BM630" s="64"/>
      <c r="BN630" s="69"/>
      <c r="BO630" s="64"/>
      <c r="BP630" s="69"/>
      <c r="BQ630" s="64"/>
      <c r="BR630" s="69"/>
      <c r="BS630" s="64"/>
      <c r="BT630" s="69"/>
      <c r="BU630" t="b">
        <f t="shared" si="10"/>
        <v>0</v>
      </c>
    </row>
    <row r="631" spans="1:73" x14ac:dyDescent="0.25">
      <c r="A631" s="28"/>
      <c r="B631" s="29"/>
      <c r="C631" s="29"/>
      <c r="D631" s="30"/>
      <c r="E631" s="29"/>
      <c r="F631" s="30"/>
      <c r="G631" s="29"/>
      <c r="H631" s="69"/>
      <c r="I631" s="64"/>
      <c r="J631" s="69"/>
      <c r="K631" s="64"/>
      <c r="L631" s="69"/>
      <c r="M631" s="65"/>
      <c r="N631" s="69"/>
      <c r="O631" s="64"/>
      <c r="P631" s="69"/>
      <c r="Q631" s="64"/>
      <c r="R631" s="69"/>
      <c r="S631" s="64"/>
      <c r="T631" s="69"/>
      <c r="U631" s="64"/>
      <c r="V631" s="69"/>
      <c r="W631" s="65"/>
      <c r="X631" s="69"/>
      <c r="Y631" s="64"/>
      <c r="Z631" s="69"/>
      <c r="AA631" s="64"/>
      <c r="AB631" s="69"/>
      <c r="AC631" s="64"/>
      <c r="AD631" s="69"/>
      <c r="AE631" s="65"/>
      <c r="AF631" s="69"/>
      <c r="AG631" s="65"/>
      <c r="AH631" s="69"/>
      <c r="AI631" s="64"/>
      <c r="AJ631" s="69"/>
      <c r="AK631" s="64"/>
      <c r="AL631" s="69"/>
      <c r="AM631" s="64"/>
      <c r="AN631" s="69"/>
      <c r="AO631" s="64"/>
      <c r="AP631" s="69"/>
      <c r="AQ631" s="64"/>
      <c r="AR631" s="69"/>
      <c r="AS631" s="64"/>
      <c r="AT631" s="69"/>
      <c r="AU631" s="64"/>
      <c r="AV631" s="69"/>
      <c r="AW631" s="64"/>
      <c r="AX631" s="69"/>
      <c r="AY631" s="64"/>
      <c r="AZ631" s="69"/>
      <c r="BA631" s="64"/>
      <c r="BB631" s="69"/>
      <c r="BC631" s="64"/>
      <c r="BD631" s="69"/>
      <c r="BE631" s="64"/>
      <c r="BF631" s="69"/>
      <c r="BG631" s="64"/>
      <c r="BH631" s="69"/>
      <c r="BI631" s="64"/>
      <c r="BJ631" s="69"/>
      <c r="BK631" s="64"/>
      <c r="BL631" s="69"/>
      <c r="BM631" s="64"/>
      <c r="BN631" s="69"/>
      <c r="BO631" s="64"/>
      <c r="BP631" s="69"/>
      <c r="BQ631" s="64"/>
      <c r="BR631" s="69"/>
      <c r="BS631" s="64"/>
      <c r="BT631" s="69"/>
      <c r="BU631" t="b">
        <f t="shared" si="10"/>
        <v>0</v>
      </c>
    </row>
    <row r="632" spans="1:73" x14ac:dyDescent="0.25">
      <c r="A632" s="28"/>
      <c r="B632" s="29"/>
      <c r="C632" s="29"/>
      <c r="D632" s="30"/>
      <c r="E632" s="29"/>
      <c r="F632" s="30"/>
      <c r="G632" s="29"/>
      <c r="H632" s="69"/>
      <c r="I632" s="64"/>
      <c r="J632" s="69"/>
      <c r="K632" s="64"/>
      <c r="L632" s="69"/>
      <c r="M632" s="65"/>
      <c r="N632" s="69"/>
      <c r="O632" s="64"/>
      <c r="P632" s="69"/>
      <c r="Q632" s="64"/>
      <c r="R632" s="69"/>
      <c r="S632" s="64"/>
      <c r="T632" s="69"/>
      <c r="U632" s="64"/>
      <c r="V632" s="69"/>
      <c r="W632" s="65"/>
      <c r="X632" s="69"/>
      <c r="Y632" s="64"/>
      <c r="Z632" s="69"/>
      <c r="AA632" s="64"/>
      <c r="AB632" s="69"/>
      <c r="AC632" s="64"/>
      <c r="AD632" s="69"/>
      <c r="AE632" s="65"/>
      <c r="AF632" s="69"/>
      <c r="AG632" s="65"/>
      <c r="AH632" s="69"/>
      <c r="AI632" s="64"/>
      <c r="AJ632" s="69"/>
      <c r="AK632" s="64"/>
      <c r="AL632" s="69"/>
      <c r="AM632" s="64"/>
      <c r="AN632" s="69"/>
      <c r="AO632" s="64"/>
      <c r="AP632" s="69"/>
      <c r="AQ632" s="64"/>
      <c r="AR632" s="69"/>
      <c r="AS632" s="64"/>
      <c r="AT632" s="69"/>
      <c r="AU632" s="64"/>
      <c r="AV632" s="69"/>
      <c r="AW632" s="64"/>
      <c r="AX632" s="69"/>
      <c r="AY632" s="64"/>
      <c r="AZ632" s="69"/>
      <c r="BA632" s="64"/>
      <c r="BB632" s="69"/>
      <c r="BC632" s="64"/>
      <c r="BD632" s="69"/>
      <c r="BE632" s="64"/>
      <c r="BF632" s="69"/>
      <c r="BG632" s="64"/>
      <c r="BH632" s="69"/>
      <c r="BI632" s="64"/>
      <c r="BJ632" s="69"/>
      <c r="BK632" s="64"/>
      <c r="BL632" s="69"/>
      <c r="BM632" s="64"/>
      <c r="BN632" s="69"/>
      <c r="BO632" s="64"/>
      <c r="BP632" s="69"/>
      <c r="BQ632" s="64"/>
      <c r="BR632" s="69"/>
      <c r="BS632" s="64"/>
      <c r="BT632" s="69"/>
      <c r="BU632" t="b">
        <f t="shared" si="10"/>
        <v>0</v>
      </c>
    </row>
    <row r="633" spans="1:73" x14ac:dyDescent="0.25">
      <c r="A633" s="28"/>
      <c r="B633" s="29"/>
      <c r="C633" s="29"/>
      <c r="D633" s="30"/>
      <c r="E633" s="29"/>
      <c r="F633" s="30"/>
      <c r="G633" s="29"/>
      <c r="H633" s="69"/>
      <c r="I633" s="64"/>
      <c r="J633" s="69"/>
      <c r="K633" s="64"/>
      <c r="L633" s="69"/>
      <c r="M633" s="65"/>
      <c r="N633" s="69"/>
      <c r="O633" s="64"/>
      <c r="P633" s="69"/>
      <c r="Q633" s="64"/>
      <c r="R633" s="69"/>
      <c r="S633" s="64"/>
      <c r="T633" s="69"/>
      <c r="U633" s="64"/>
      <c r="V633" s="69"/>
      <c r="W633" s="65"/>
      <c r="X633" s="69"/>
      <c r="Y633" s="64"/>
      <c r="Z633" s="69"/>
      <c r="AA633" s="64"/>
      <c r="AB633" s="69"/>
      <c r="AC633" s="64"/>
      <c r="AD633" s="69"/>
      <c r="AE633" s="65"/>
      <c r="AF633" s="69"/>
      <c r="AG633" s="65"/>
      <c r="AH633" s="69"/>
      <c r="AI633" s="64"/>
      <c r="AJ633" s="69"/>
      <c r="AK633" s="64"/>
      <c r="AL633" s="69"/>
      <c r="AM633" s="64"/>
      <c r="AN633" s="69"/>
      <c r="AO633" s="64"/>
      <c r="AP633" s="69"/>
      <c r="AQ633" s="64"/>
      <c r="AR633" s="69"/>
      <c r="AS633" s="64"/>
      <c r="AT633" s="69"/>
      <c r="AU633" s="64"/>
      <c r="AV633" s="69"/>
      <c r="AW633" s="64"/>
      <c r="AX633" s="69"/>
      <c r="AY633" s="64"/>
      <c r="AZ633" s="69"/>
      <c r="BA633" s="64"/>
      <c r="BB633" s="69"/>
      <c r="BC633" s="64"/>
      <c r="BD633" s="69"/>
      <c r="BE633" s="64"/>
      <c r="BF633" s="69"/>
      <c r="BG633" s="64"/>
      <c r="BH633" s="69"/>
      <c r="BI633" s="64"/>
      <c r="BJ633" s="69"/>
      <c r="BK633" s="64"/>
      <c r="BL633" s="69"/>
      <c r="BM633" s="64"/>
      <c r="BN633" s="69"/>
      <c r="BO633" s="64"/>
      <c r="BP633" s="69"/>
      <c r="BQ633" s="64"/>
      <c r="BR633" s="69"/>
      <c r="BS633" s="64"/>
      <c r="BT633" s="69"/>
      <c r="BU633" t="b">
        <f t="shared" si="10"/>
        <v>0</v>
      </c>
    </row>
    <row r="634" spans="1:73" x14ac:dyDescent="0.25">
      <c r="A634" s="28"/>
      <c r="B634" s="29"/>
      <c r="C634" s="29"/>
      <c r="D634" s="30"/>
      <c r="E634" s="29"/>
      <c r="F634" s="30"/>
      <c r="G634" s="29"/>
      <c r="H634" s="69"/>
      <c r="I634" s="64"/>
      <c r="J634" s="69"/>
      <c r="K634" s="64"/>
      <c r="L634" s="69"/>
      <c r="M634" s="65"/>
      <c r="N634" s="69"/>
      <c r="O634" s="64"/>
      <c r="P634" s="69"/>
      <c r="Q634" s="64"/>
      <c r="R634" s="69"/>
      <c r="S634" s="64"/>
      <c r="T634" s="69"/>
      <c r="U634" s="64"/>
      <c r="V634" s="69"/>
      <c r="W634" s="65"/>
      <c r="X634" s="69"/>
      <c r="Y634" s="64"/>
      <c r="Z634" s="69"/>
      <c r="AA634" s="64"/>
      <c r="AB634" s="69"/>
      <c r="AC634" s="64"/>
      <c r="AD634" s="69"/>
      <c r="AE634" s="65"/>
      <c r="AF634" s="69"/>
      <c r="AG634" s="65"/>
      <c r="AH634" s="69"/>
      <c r="AI634" s="64"/>
      <c r="AJ634" s="69"/>
      <c r="AK634" s="64"/>
      <c r="AL634" s="69"/>
      <c r="AM634" s="64"/>
      <c r="AN634" s="69"/>
      <c r="AO634" s="64"/>
      <c r="AP634" s="69"/>
      <c r="AQ634" s="64"/>
      <c r="AR634" s="69"/>
      <c r="AS634" s="64"/>
      <c r="AT634" s="69"/>
      <c r="AU634" s="64"/>
      <c r="AV634" s="69"/>
      <c r="AW634" s="64"/>
      <c r="AX634" s="69"/>
      <c r="AY634" s="64"/>
      <c r="AZ634" s="69"/>
      <c r="BA634" s="64"/>
      <c r="BB634" s="69"/>
      <c r="BC634" s="64"/>
      <c r="BD634" s="69"/>
      <c r="BE634" s="64"/>
      <c r="BF634" s="69"/>
      <c r="BG634" s="64"/>
      <c r="BH634" s="69"/>
      <c r="BI634" s="64"/>
      <c r="BJ634" s="69"/>
      <c r="BK634" s="64"/>
      <c r="BL634" s="69"/>
      <c r="BM634" s="64"/>
      <c r="BN634" s="69"/>
      <c r="BO634" s="64"/>
      <c r="BP634" s="69"/>
      <c r="BQ634" s="64"/>
      <c r="BR634" s="69"/>
      <c r="BS634" s="64"/>
      <c r="BT634" s="69"/>
      <c r="BU634" t="b">
        <f t="shared" si="10"/>
        <v>0</v>
      </c>
    </row>
    <row r="635" spans="1:73" x14ac:dyDescent="0.25">
      <c r="A635" s="28"/>
      <c r="B635" s="29"/>
      <c r="C635" s="29"/>
      <c r="D635" s="30"/>
      <c r="E635" s="29"/>
      <c r="F635" s="30"/>
      <c r="G635" s="29"/>
      <c r="H635" s="69"/>
      <c r="I635" s="64"/>
      <c r="J635" s="69"/>
      <c r="K635" s="64"/>
      <c r="L635" s="69"/>
      <c r="M635" s="65"/>
      <c r="N635" s="69"/>
      <c r="O635" s="64"/>
      <c r="P635" s="69"/>
      <c r="Q635" s="64"/>
      <c r="R635" s="69"/>
      <c r="S635" s="64"/>
      <c r="T635" s="69"/>
      <c r="U635" s="64"/>
      <c r="V635" s="69"/>
      <c r="W635" s="65"/>
      <c r="X635" s="69"/>
      <c r="Y635" s="64"/>
      <c r="Z635" s="69"/>
      <c r="AA635" s="64"/>
      <c r="AB635" s="69"/>
      <c r="AC635" s="64"/>
      <c r="AD635" s="69"/>
      <c r="AE635" s="65"/>
      <c r="AF635" s="69"/>
      <c r="AG635" s="65"/>
      <c r="AH635" s="69"/>
      <c r="AI635" s="64"/>
      <c r="AJ635" s="69"/>
      <c r="AK635" s="64"/>
      <c r="AL635" s="69"/>
      <c r="AM635" s="64"/>
      <c r="AN635" s="69"/>
      <c r="AO635" s="64"/>
      <c r="AP635" s="69"/>
      <c r="AQ635" s="64"/>
      <c r="AR635" s="69"/>
      <c r="AS635" s="64"/>
      <c r="AT635" s="69"/>
      <c r="AU635" s="64"/>
      <c r="AV635" s="69"/>
      <c r="AW635" s="64"/>
      <c r="AX635" s="69"/>
      <c r="AY635" s="64"/>
      <c r="AZ635" s="69"/>
      <c r="BA635" s="64"/>
      <c r="BB635" s="69"/>
      <c r="BC635" s="64"/>
      <c r="BD635" s="69"/>
      <c r="BE635" s="64"/>
      <c r="BF635" s="69"/>
      <c r="BG635" s="64"/>
      <c r="BH635" s="69"/>
      <c r="BI635" s="64"/>
      <c r="BJ635" s="69"/>
      <c r="BK635" s="64"/>
      <c r="BL635" s="69"/>
      <c r="BM635" s="64"/>
      <c r="BN635" s="69"/>
      <c r="BO635" s="64"/>
      <c r="BP635" s="69"/>
      <c r="BQ635" s="64"/>
      <c r="BR635" s="69"/>
      <c r="BS635" s="64"/>
      <c r="BT635" s="69"/>
      <c r="BU635" t="b">
        <f t="shared" si="10"/>
        <v>0</v>
      </c>
    </row>
    <row r="636" spans="1:73" x14ac:dyDescent="0.25">
      <c r="A636" s="28"/>
      <c r="B636" s="29"/>
      <c r="C636" s="29"/>
      <c r="D636" s="30"/>
      <c r="E636" s="29"/>
      <c r="F636" s="30"/>
      <c r="G636" s="29"/>
      <c r="H636" s="69"/>
      <c r="I636" s="64"/>
      <c r="J636" s="69"/>
      <c r="K636" s="64"/>
      <c r="L636" s="69"/>
      <c r="M636" s="65"/>
      <c r="N636" s="69"/>
      <c r="O636" s="64"/>
      <c r="P636" s="69"/>
      <c r="Q636" s="64"/>
      <c r="R636" s="69"/>
      <c r="S636" s="64"/>
      <c r="T636" s="69"/>
      <c r="U636" s="64"/>
      <c r="V636" s="69"/>
      <c r="W636" s="65"/>
      <c r="X636" s="69"/>
      <c r="Y636" s="64"/>
      <c r="Z636" s="69"/>
      <c r="AA636" s="64"/>
      <c r="AB636" s="69"/>
      <c r="AC636" s="64"/>
      <c r="AD636" s="69"/>
      <c r="AE636" s="65"/>
      <c r="AF636" s="69"/>
      <c r="AG636" s="65"/>
      <c r="AH636" s="69"/>
      <c r="AI636" s="64"/>
      <c r="AJ636" s="69"/>
      <c r="AK636" s="64"/>
      <c r="AL636" s="69"/>
      <c r="AM636" s="64"/>
      <c r="AN636" s="69"/>
      <c r="AO636" s="64"/>
      <c r="AP636" s="69"/>
      <c r="AQ636" s="64"/>
      <c r="AR636" s="69"/>
      <c r="AS636" s="64"/>
      <c r="AT636" s="69"/>
      <c r="AU636" s="64"/>
      <c r="AV636" s="69"/>
      <c r="AW636" s="64"/>
      <c r="AX636" s="69"/>
      <c r="AY636" s="64"/>
      <c r="AZ636" s="69"/>
      <c r="BA636" s="64"/>
      <c r="BB636" s="69"/>
      <c r="BC636" s="64"/>
      <c r="BD636" s="69"/>
      <c r="BE636" s="64"/>
      <c r="BF636" s="69"/>
      <c r="BG636" s="64"/>
      <c r="BH636" s="69"/>
      <c r="BI636" s="64"/>
      <c r="BJ636" s="69"/>
      <c r="BK636" s="64"/>
      <c r="BL636" s="69"/>
      <c r="BM636" s="64"/>
      <c r="BN636" s="69"/>
      <c r="BO636" s="64"/>
      <c r="BP636" s="69"/>
      <c r="BQ636" s="64"/>
      <c r="BR636" s="69"/>
      <c r="BS636" s="64"/>
      <c r="BT636" s="69"/>
      <c r="BU636" t="b">
        <f t="shared" si="10"/>
        <v>0</v>
      </c>
    </row>
    <row r="637" spans="1:73" x14ac:dyDescent="0.25">
      <c r="A637" s="28"/>
      <c r="B637" s="29"/>
      <c r="C637" s="29"/>
      <c r="D637" s="30"/>
      <c r="E637" s="29"/>
      <c r="F637" s="30"/>
      <c r="G637" s="29"/>
      <c r="H637" s="69"/>
      <c r="I637" s="64"/>
      <c r="J637" s="69"/>
      <c r="K637" s="64"/>
      <c r="L637" s="69"/>
      <c r="M637" s="65"/>
      <c r="N637" s="69"/>
      <c r="O637" s="64"/>
      <c r="P637" s="69"/>
      <c r="Q637" s="64"/>
      <c r="R637" s="69"/>
      <c r="S637" s="64"/>
      <c r="T637" s="69"/>
      <c r="U637" s="64"/>
      <c r="V637" s="69"/>
      <c r="W637" s="65"/>
      <c r="X637" s="69"/>
      <c r="Y637" s="64"/>
      <c r="Z637" s="69"/>
      <c r="AA637" s="64"/>
      <c r="AB637" s="69"/>
      <c r="AC637" s="64"/>
      <c r="AD637" s="69"/>
      <c r="AE637" s="65"/>
      <c r="AF637" s="69"/>
      <c r="AG637" s="65"/>
      <c r="AH637" s="69"/>
      <c r="AI637" s="64"/>
      <c r="AJ637" s="69"/>
      <c r="AK637" s="64"/>
      <c r="AL637" s="69"/>
      <c r="AM637" s="64"/>
      <c r="AN637" s="69"/>
      <c r="AO637" s="64"/>
      <c r="AP637" s="69"/>
      <c r="AQ637" s="64"/>
      <c r="AR637" s="69"/>
      <c r="AS637" s="64"/>
      <c r="AT637" s="69"/>
      <c r="AU637" s="64"/>
      <c r="AV637" s="69"/>
      <c r="AW637" s="64"/>
      <c r="AX637" s="69"/>
      <c r="AY637" s="64"/>
      <c r="AZ637" s="69"/>
      <c r="BA637" s="64"/>
      <c r="BB637" s="69"/>
      <c r="BC637" s="64"/>
      <c r="BD637" s="69"/>
      <c r="BE637" s="64"/>
      <c r="BF637" s="69"/>
      <c r="BG637" s="64"/>
      <c r="BH637" s="69"/>
      <c r="BI637" s="64"/>
      <c r="BJ637" s="69"/>
      <c r="BK637" s="64"/>
      <c r="BL637" s="69"/>
      <c r="BM637" s="64"/>
      <c r="BN637" s="69"/>
      <c r="BO637" s="64"/>
      <c r="BP637" s="69"/>
      <c r="BQ637" s="64"/>
      <c r="BR637" s="69"/>
      <c r="BS637" s="64"/>
      <c r="BT637" s="69"/>
      <c r="BU637" t="b">
        <f t="shared" si="10"/>
        <v>0</v>
      </c>
    </row>
    <row r="638" spans="1:73" x14ac:dyDescent="0.25">
      <c r="A638" s="28"/>
      <c r="B638" s="29"/>
      <c r="C638" s="29"/>
      <c r="D638" s="30"/>
      <c r="E638" s="29"/>
      <c r="F638" s="30"/>
      <c r="G638" s="29"/>
      <c r="H638" s="69"/>
      <c r="I638" s="64"/>
      <c r="J638" s="69"/>
      <c r="K638" s="64"/>
      <c r="L638" s="69"/>
      <c r="M638" s="65"/>
      <c r="N638" s="69"/>
      <c r="O638" s="64"/>
      <c r="P638" s="69"/>
      <c r="Q638" s="64"/>
      <c r="R638" s="69"/>
      <c r="S638" s="64"/>
      <c r="T638" s="69"/>
      <c r="U638" s="64"/>
      <c r="V638" s="69"/>
      <c r="W638" s="65"/>
      <c r="X638" s="69"/>
      <c r="Y638" s="64"/>
      <c r="Z638" s="69"/>
      <c r="AA638" s="64"/>
      <c r="AB638" s="69"/>
      <c r="AC638" s="64"/>
      <c r="AD638" s="69"/>
      <c r="AE638" s="65"/>
      <c r="AF638" s="69"/>
      <c r="AG638" s="65"/>
      <c r="AH638" s="69"/>
      <c r="AI638" s="64"/>
      <c r="AJ638" s="69"/>
      <c r="AK638" s="64"/>
      <c r="AL638" s="69"/>
      <c r="AM638" s="64"/>
      <c r="AN638" s="69"/>
      <c r="AO638" s="64"/>
      <c r="AP638" s="69"/>
      <c r="AQ638" s="64"/>
      <c r="AR638" s="69"/>
      <c r="AS638" s="64"/>
      <c r="AT638" s="69"/>
      <c r="AU638" s="64"/>
      <c r="AV638" s="69"/>
      <c r="AW638" s="64"/>
      <c r="AX638" s="69"/>
      <c r="AY638" s="64"/>
      <c r="AZ638" s="69"/>
      <c r="BA638" s="64"/>
      <c r="BB638" s="69"/>
      <c r="BC638" s="64"/>
      <c r="BD638" s="69"/>
      <c r="BE638" s="64"/>
      <c r="BF638" s="69"/>
      <c r="BG638" s="64"/>
      <c r="BH638" s="69"/>
      <c r="BI638" s="64"/>
      <c r="BJ638" s="69"/>
      <c r="BK638" s="64"/>
      <c r="BL638" s="69"/>
      <c r="BM638" s="64"/>
      <c r="BN638" s="69"/>
      <c r="BO638" s="64"/>
      <c r="BP638" s="69"/>
      <c r="BQ638" s="64"/>
      <c r="BR638" s="69"/>
      <c r="BS638" s="64"/>
      <c r="BT638" s="69"/>
      <c r="BU638" t="b">
        <f t="shared" si="10"/>
        <v>0</v>
      </c>
    </row>
    <row r="639" spans="1:73" x14ac:dyDescent="0.25">
      <c r="A639" s="28"/>
      <c r="B639" s="29"/>
      <c r="C639" s="29"/>
      <c r="D639" s="30"/>
      <c r="E639" s="29"/>
      <c r="F639" s="30"/>
      <c r="G639" s="29"/>
      <c r="H639" s="69"/>
      <c r="I639" s="64"/>
      <c r="J639" s="69"/>
      <c r="K639" s="64"/>
      <c r="L639" s="69"/>
      <c r="M639" s="65"/>
      <c r="N639" s="69"/>
      <c r="O639" s="64"/>
      <c r="P639" s="69"/>
      <c r="Q639" s="64"/>
      <c r="R639" s="69"/>
      <c r="S639" s="64"/>
      <c r="T639" s="69"/>
      <c r="U639" s="64"/>
      <c r="V639" s="69"/>
      <c r="W639" s="65"/>
      <c r="X639" s="69"/>
      <c r="Y639" s="64"/>
      <c r="Z639" s="69"/>
      <c r="AA639" s="64"/>
      <c r="AB639" s="69"/>
      <c r="AC639" s="64"/>
      <c r="AD639" s="69"/>
      <c r="AE639" s="65"/>
      <c r="AF639" s="69"/>
      <c r="AG639" s="65"/>
      <c r="AH639" s="69"/>
      <c r="AI639" s="64"/>
      <c r="AJ639" s="69"/>
      <c r="AK639" s="64"/>
      <c r="AL639" s="69"/>
      <c r="AM639" s="64"/>
      <c r="AN639" s="69"/>
      <c r="AO639" s="64"/>
      <c r="AP639" s="69"/>
      <c r="AQ639" s="64"/>
      <c r="AR639" s="69"/>
      <c r="AS639" s="64"/>
      <c r="AT639" s="69"/>
      <c r="AU639" s="64"/>
      <c r="AV639" s="69"/>
      <c r="AW639" s="64"/>
      <c r="AX639" s="69"/>
      <c r="AY639" s="64"/>
      <c r="AZ639" s="69"/>
      <c r="BA639" s="64"/>
      <c r="BB639" s="69"/>
      <c r="BC639" s="64"/>
      <c r="BD639" s="69"/>
      <c r="BE639" s="64"/>
      <c r="BF639" s="69"/>
      <c r="BG639" s="64"/>
      <c r="BH639" s="69"/>
      <c r="BI639" s="64"/>
      <c r="BJ639" s="69"/>
      <c r="BK639" s="64"/>
      <c r="BL639" s="69"/>
      <c r="BM639" s="64"/>
      <c r="BN639" s="69"/>
      <c r="BO639" s="64"/>
      <c r="BP639" s="69"/>
      <c r="BQ639" s="64"/>
      <c r="BR639" s="69"/>
      <c r="BS639" s="64"/>
      <c r="BT639" s="69"/>
      <c r="BU639" t="b">
        <f t="shared" si="10"/>
        <v>0</v>
      </c>
    </row>
    <row r="640" spans="1:73" x14ac:dyDescent="0.25">
      <c r="A640" s="28"/>
      <c r="B640" s="29"/>
      <c r="C640" s="29"/>
      <c r="D640" s="30"/>
      <c r="E640" s="29"/>
      <c r="F640" s="30"/>
      <c r="G640" s="29"/>
      <c r="H640" s="69"/>
      <c r="I640" s="64"/>
      <c r="J640" s="69"/>
      <c r="K640" s="64"/>
      <c r="L640" s="69"/>
      <c r="M640" s="65"/>
      <c r="N640" s="69"/>
      <c r="O640" s="64"/>
      <c r="P640" s="69"/>
      <c r="Q640" s="64"/>
      <c r="R640" s="69"/>
      <c r="S640" s="64"/>
      <c r="T640" s="69"/>
      <c r="U640" s="64"/>
      <c r="V640" s="69"/>
      <c r="W640" s="65"/>
      <c r="X640" s="69"/>
      <c r="Y640" s="64"/>
      <c r="Z640" s="69"/>
      <c r="AA640" s="64"/>
      <c r="AB640" s="69"/>
      <c r="AC640" s="64"/>
      <c r="AD640" s="69"/>
      <c r="AE640" s="65"/>
      <c r="AF640" s="69"/>
      <c r="AG640" s="65"/>
      <c r="AH640" s="69"/>
      <c r="AI640" s="64"/>
      <c r="AJ640" s="69"/>
      <c r="AK640" s="64"/>
      <c r="AL640" s="69"/>
      <c r="AM640" s="64"/>
      <c r="AN640" s="69"/>
      <c r="AO640" s="64"/>
      <c r="AP640" s="69"/>
      <c r="AQ640" s="64"/>
      <c r="AR640" s="69"/>
      <c r="AS640" s="64"/>
      <c r="AT640" s="69"/>
      <c r="AU640" s="64"/>
      <c r="AV640" s="69"/>
      <c r="AW640" s="64"/>
      <c r="AX640" s="69"/>
      <c r="AY640" s="64"/>
      <c r="AZ640" s="69"/>
      <c r="BA640" s="64"/>
      <c r="BB640" s="69"/>
      <c r="BC640" s="64"/>
      <c r="BD640" s="69"/>
      <c r="BE640" s="64"/>
      <c r="BF640" s="69"/>
      <c r="BG640" s="64"/>
      <c r="BH640" s="69"/>
      <c r="BI640" s="64"/>
      <c r="BJ640" s="69"/>
      <c r="BK640" s="64"/>
      <c r="BL640" s="69"/>
      <c r="BM640" s="64"/>
      <c r="BN640" s="69"/>
      <c r="BO640" s="64"/>
      <c r="BP640" s="69"/>
      <c r="BQ640" s="64"/>
      <c r="BR640" s="69"/>
      <c r="BS640" s="64"/>
      <c r="BT640" s="69"/>
      <c r="BU640" t="b">
        <f t="shared" si="10"/>
        <v>0</v>
      </c>
    </row>
    <row r="641" spans="1:73" x14ac:dyDescent="0.25">
      <c r="A641" s="28"/>
      <c r="B641" s="29"/>
      <c r="C641" s="29"/>
      <c r="D641" s="30"/>
      <c r="E641" s="29"/>
      <c r="F641" s="30"/>
      <c r="G641" s="29"/>
      <c r="H641" s="69"/>
      <c r="I641" s="64"/>
      <c r="J641" s="69"/>
      <c r="K641" s="64"/>
      <c r="L641" s="69"/>
      <c r="M641" s="65"/>
      <c r="N641" s="69"/>
      <c r="O641" s="64"/>
      <c r="P641" s="69"/>
      <c r="Q641" s="64"/>
      <c r="R641" s="69"/>
      <c r="S641" s="64"/>
      <c r="T641" s="69"/>
      <c r="U641" s="64"/>
      <c r="V641" s="69"/>
      <c r="W641" s="65"/>
      <c r="X641" s="69"/>
      <c r="Y641" s="64"/>
      <c r="Z641" s="69"/>
      <c r="AA641" s="64"/>
      <c r="AB641" s="69"/>
      <c r="AC641" s="64"/>
      <c r="AD641" s="69"/>
      <c r="AE641" s="65"/>
      <c r="AF641" s="69"/>
      <c r="AG641" s="65"/>
      <c r="AH641" s="69"/>
      <c r="AI641" s="64"/>
      <c r="AJ641" s="69"/>
      <c r="AK641" s="64"/>
      <c r="AL641" s="69"/>
      <c r="AM641" s="64"/>
      <c r="AN641" s="69"/>
      <c r="AO641" s="64"/>
      <c r="AP641" s="69"/>
      <c r="AQ641" s="64"/>
      <c r="AR641" s="69"/>
      <c r="AS641" s="64"/>
      <c r="AT641" s="69"/>
      <c r="AU641" s="64"/>
      <c r="AV641" s="69"/>
      <c r="AW641" s="64"/>
      <c r="AX641" s="69"/>
      <c r="AY641" s="64"/>
      <c r="AZ641" s="69"/>
      <c r="BA641" s="64"/>
      <c r="BB641" s="69"/>
      <c r="BC641" s="64"/>
      <c r="BD641" s="69"/>
      <c r="BE641" s="64"/>
      <c r="BF641" s="69"/>
      <c r="BG641" s="64"/>
      <c r="BH641" s="69"/>
      <c r="BI641" s="64"/>
      <c r="BJ641" s="69"/>
      <c r="BK641" s="64"/>
      <c r="BL641" s="69"/>
      <c r="BM641" s="64"/>
      <c r="BN641" s="69"/>
      <c r="BO641" s="64"/>
      <c r="BP641" s="69"/>
      <c r="BQ641" s="64"/>
      <c r="BR641" s="69"/>
      <c r="BS641" s="64"/>
      <c r="BT641" s="69"/>
      <c r="BU641" t="b">
        <f t="shared" si="10"/>
        <v>0</v>
      </c>
    </row>
    <row r="642" spans="1:73" x14ac:dyDescent="0.25">
      <c r="A642" s="28"/>
      <c r="B642" s="29"/>
      <c r="C642" s="29"/>
      <c r="D642" s="30"/>
      <c r="E642" s="29"/>
      <c r="F642" s="30"/>
      <c r="G642" s="29"/>
      <c r="H642" s="69"/>
      <c r="I642" s="64"/>
      <c r="J642" s="69"/>
      <c r="K642" s="64"/>
      <c r="L642" s="69"/>
      <c r="M642" s="65"/>
      <c r="N642" s="69"/>
      <c r="O642" s="64"/>
      <c r="P642" s="69"/>
      <c r="Q642" s="64"/>
      <c r="R642" s="69"/>
      <c r="S642" s="64"/>
      <c r="T642" s="69"/>
      <c r="U642" s="64"/>
      <c r="V642" s="69"/>
      <c r="W642" s="65"/>
      <c r="X642" s="69"/>
      <c r="Y642" s="64"/>
      <c r="Z642" s="69"/>
      <c r="AA642" s="64"/>
      <c r="AB642" s="69"/>
      <c r="AC642" s="64"/>
      <c r="AD642" s="69"/>
      <c r="AE642" s="65"/>
      <c r="AF642" s="69"/>
      <c r="AG642" s="65"/>
      <c r="AH642" s="69"/>
      <c r="AI642" s="64"/>
      <c r="AJ642" s="69"/>
      <c r="AK642" s="64"/>
      <c r="AL642" s="69"/>
      <c r="AM642" s="64"/>
      <c r="AN642" s="69"/>
      <c r="AO642" s="64"/>
      <c r="AP642" s="69"/>
      <c r="AQ642" s="64"/>
      <c r="AR642" s="69"/>
      <c r="AS642" s="64"/>
      <c r="AT642" s="69"/>
      <c r="AU642" s="64"/>
      <c r="AV642" s="69"/>
      <c r="AW642" s="64"/>
      <c r="AX642" s="69"/>
      <c r="AY642" s="64"/>
      <c r="AZ642" s="69"/>
      <c r="BA642" s="64"/>
      <c r="BB642" s="69"/>
      <c r="BC642" s="64"/>
      <c r="BD642" s="69"/>
      <c r="BE642" s="64"/>
      <c r="BF642" s="69"/>
      <c r="BG642" s="64"/>
      <c r="BH642" s="69"/>
      <c r="BI642" s="64"/>
      <c r="BJ642" s="69"/>
      <c r="BK642" s="64"/>
      <c r="BL642" s="69"/>
      <c r="BM642" s="64"/>
      <c r="BN642" s="69"/>
      <c r="BO642" s="64"/>
      <c r="BP642" s="69"/>
      <c r="BQ642" s="64"/>
      <c r="BR642" s="69"/>
      <c r="BS642" s="64"/>
      <c r="BT642" s="69"/>
      <c r="BU642" t="b">
        <f t="shared" si="10"/>
        <v>0</v>
      </c>
    </row>
    <row r="643" spans="1:73" x14ac:dyDescent="0.25">
      <c r="A643" s="28"/>
      <c r="B643" s="29"/>
      <c r="C643" s="29"/>
      <c r="D643" s="30"/>
      <c r="E643" s="29"/>
      <c r="F643" s="30"/>
      <c r="G643" s="29"/>
      <c r="H643" s="69"/>
      <c r="I643" s="64"/>
      <c r="J643" s="69"/>
      <c r="K643" s="64"/>
      <c r="L643" s="69"/>
      <c r="M643" s="65"/>
      <c r="N643" s="69"/>
      <c r="O643" s="64"/>
      <c r="P643" s="69"/>
      <c r="Q643" s="64"/>
      <c r="R643" s="69"/>
      <c r="S643" s="64"/>
      <c r="T643" s="69"/>
      <c r="U643" s="64"/>
      <c r="V643" s="69"/>
      <c r="W643" s="65"/>
      <c r="X643" s="69"/>
      <c r="Y643" s="64"/>
      <c r="Z643" s="69"/>
      <c r="AA643" s="64"/>
      <c r="AB643" s="69"/>
      <c r="AC643" s="64"/>
      <c r="AD643" s="69"/>
      <c r="AE643" s="65"/>
      <c r="AF643" s="69"/>
      <c r="AG643" s="65"/>
      <c r="AH643" s="69"/>
      <c r="AI643" s="64"/>
      <c r="AJ643" s="69"/>
      <c r="AK643" s="64"/>
      <c r="AL643" s="69"/>
      <c r="AM643" s="64"/>
      <c r="AN643" s="69"/>
      <c r="AO643" s="64"/>
      <c r="AP643" s="69"/>
      <c r="AQ643" s="64"/>
      <c r="AR643" s="69"/>
      <c r="AS643" s="64"/>
      <c r="AT643" s="69"/>
      <c r="AU643" s="64"/>
      <c r="AV643" s="69"/>
      <c r="AW643" s="64"/>
      <c r="AX643" s="69"/>
      <c r="AY643" s="64"/>
      <c r="AZ643" s="69"/>
      <c r="BA643" s="64"/>
      <c r="BB643" s="69"/>
      <c r="BC643" s="64"/>
      <c r="BD643" s="69"/>
      <c r="BE643" s="64"/>
      <c r="BF643" s="69"/>
      <c r="BG643" s="64"/>
      <c r="BH643" s="69"/>
      <c r="BI643" s="64"/>
      <c r="BJ643" s="69"/>
      <c r="BK643" s="64"/>
      <c r="BL643" s="69"/>
      <c r="BM643" s="64"/>
      <c r="BN643" s="69"/>
      <c r="BO643" s="64"/>
      <c r="BP643" s="69"/>
      <c r="BQ643" s="64"/>
      <c r="BR643" s="69"/>
      <c r="BS643" s="64"/>
      <c r="BT643" s="69"/>
      <c r="BU643" t="b">
        <f t="shared" si="10"/>
        <v>0</v>
      </c>
    </row>
    <row r="644" spans="1:73" x14ac:dyDescent="0.25">
      <c r="A644" s="28"/>
      <c r="B644" s="29"/>
      <c r="C644" s="29"/>
      <c r="D644" s="30"/>
      <c r="E644" s="29"/>
      <c r="F644" s="30"/>
      <c r="G644" s="29"/>
      <c r="H644" s="69"/>
      <c r="I644" s="64"/>
      <c r="J644" s="69"/>
      <c r="K644" s="64"/>
      <c r="L644" s="69"/>
      <c r="M644" s="65"/>
      <c r="N644" s="69"/>
      <c r="O644" s="64"/>
      <c r="P644" s="69"/>
      <c r="Q644" s="64"/>
      <c r="R644" s="69"/>
      <c r="S644" s="64"/>
      <c r="T644" s="69"/>
      <c r="U644" s="64"/>
      <c r="V644" s="69"/>
      <c r="W644" s="65"/>
      <c r="X644" s="69"/>
      <c r="Y644" s="64"/>
      <c r="Z644" s="69"/>
      <c r="AA644" s="64"/>
      <c r="AB644" s="69"/>
      <c r="AC644" s="64"/>
      <c r="AD644" s="69"/>
      <c r="AE644" s="65"/>
      <c r="AF644" s="69"/>
      <c r="AG644" s="65"/>
      <c r="AH644" s="69"/>
      <c r="AI644" s="64"/>
      <c r="AJ644" s="69"/>
      <c r="AK644" s="64"/>
      <c r="AL644" s="69"/>
      <c r="AM644" s="64"/>
      <c r="AN644" s="69"/>
      <c r="AO644" s="64"/>
      <c r="AP644" s="69"/>
      <c r="AQ644" s="64"/>
      <c r="AR644" s="69"/>
      <c r="AS644" s="64"/>
      <c r="AT644" s="69"/>
      <c r="AU644" s="64"/>
      <c r="AV644" s="69"/>
      <c r="AW644" s="64"/>
      <c r="AX644" s="69"/>
      <c r="AY644" s="64"/>
      <c r="AZ644" s="69"/>
      <c r="BA644" s="64"/>
      <c r="BB644" s="69"/>
      <c r="BC644" s="64"/>
      <c r="BD644" s="69"/>
      <c r="BE644" s="64"/>
      <c r="BF644" s="69"/>
      <c r="BG644" s="64"/>
      <c r="BH644" s="69"/>
      <c r="BI644" s="64"/>
      <c r="BJ644" s="69"/>
      <c r="BK644" s="64"/>
      <c r="BL644" s="69"/>
      <c r="BM644" s="64"/>
      <c r="BN644" s="69"/>
      <c r="BO644" s="64"/>
      <c r="BP644" s="69"/>
      <c r="BQ644" s="64"/>
      <c r="BR644" s="69"/>
      <c r="BS644" s="64"/>
      <c r="BT644" s="69"/>
      <c r="BU644" t="b">
        <f t="shared" si="10"/>
        <v>0</v>
      </c>
    </row>
    <row r="645" spans="1:73" x14ac:dyDescent="0.25">
      <c r="A645" s="28"/>
      <c r="B645" s="29"/>
      <c r="C645" s="29"/>
      <c r="D645" s="30"/>
      <c r="E645" s="29"/>
      <c r="F645" s="30"/>
      <c r="G645" s="29"/>
      <c r="H645" s="69"/>
      <c r="I645" s="64"/>
      <c r="J645" s="69"/>
      <c r="K645" s="64"/>
      <c r="L645" s="69"/>
      <c r="M645" s="65"/>
      <c r="N645" s="69"/>
      <c r="O645" s="64"/>
      <c r="P645" s="69"/>
      <c r="Q645" s="64"/>
      <c r="R645" s="69"/>
      <c r="S645" s="64"/>
      <c r="T645" s="69"/>
      <c r="U645" s="64"/>
      <c r="V645" s="69"/>
      <c r="W645" s="65"/>
      <c r="X645" s="69"/>
      <c r="Y645" s="64"/>
      <c r="Z645" s="69"/>
      <c r="AA645" s="64"/>
      <c r="AB645" s="69"/>
      <c r="AC645" s="64"/>
      <c r="AD645" s="69"/>
      <c r="AE645" s="65"/>
      <c r="AF645" s="69"/>
      <c r="AG645" s="65"/>
      <c r="AH645" s="69"/>
      <c r="AI645" s="64"/>
      <c r="AJ645" s="69"/>
      <c r="AK645" s="64"/>
      <c r="AL645" s="69"/>
      <c r="AM645" s="64"/>
      <c r="AN645" s="69"/>
      <c r="AO645" s="64"/>
      <c r="AP645" s="69"/>
      <c r="AQ645" s="64"/>
      <c r="AR645" s="69"/>
      <c r="AS645" s="64"/>
      <c r="AT645" s="69"/>
      <c r="AU645" s="64"/>
      <c r="AV645" s="69"/>
      <c r="AW645" s="64"/>
      <c r="AX645" s="69"/>
      <c r="AY645" s="64"/>
      <c r="AZ645" s="69"/>
      <c r="BA645" s="64"/>
      <c r="BB645" s="69"/>
      <c r="BC645" s="64"/>
      <c r="BD645" s="69"/>
      <c r="BE645" s="64"/>
      <c r="BF645" s="69"/>
      <c r="BG645" s="64"/>
      <c r="BH645" s="69"/>
      <c r="BI645" s="64"/>
      <c r="BJ645" s="69"/>
      <c r="BK645" s="64"/>
      <c r="BL645" s="69"/>
      <c r="BM645" s="64"/>
      <c r="BN645" s="69"/>
      <c r="BO645" s="64"/>
      <c r="BP645" s="69"/>
      <c r="BQ645" s="64"/>
      <c r="BR645" s="69"/>
      <c r="BS645" s="64"/>
      <c r="BT645" s="69"/>
      <c r="BU645" t="b">
        <f t="shared" si="10"/>
        <v>0</v>
      </c>
    </row>
    <row r="646" spans="1:73" x14ac:dyDescent="0.25">
      <c r="A646" s="28"/>
      <c r="B646" s="29"/>
      <c r="C646" s="29"/>
      <c r="D646" s="30"/>
      <c r="E646" s="29"/>
      <c r="F646" s="30"/>
      <c r="G646" s="29"/>
      <c r="H646" s="69"/>
      <c r="I646" s="64"/>
      <c r="J646" s="69"/>
      <c r="K646" s="64"/>
      <c r="L646" s="69"/>
      <c r="M646" s="65"/>
      <c r="N646" s="69"/>
      <c r="O646" s="64"/>
      <c r="P646" s="69"/>
      <c r="Q646" s="64"/>
      <c r="R646" s="69"/>
      <c r="S646" s="64"/>
      <c r="T646" s="69"/>
      <c r="U646" s="64"/>
      <c r="V646" s="69"/>
      <c r="W646" s="65"/>
      <c r="X646" s="69"/>
      <c r="Y646" s="64"/>
      <c r="Z646" s="69"/>
      <c r="AA646" s="64"/>
      <c r="AB646" s="69"/>
      <c r="AC646" s="64"/>
      <c r="AD646" s="69"/>
      <c r="AE646" s="65"/>
      <c r="AF646" s="69"/>
      <c r="AG646" s="65"/>
      <c r="AH646" s="69"/>
      <c r="AI646" s="64"/>
      <c r="AJ646" s="69"/>
      <c r="AK646" s="64"/>
      <c r="AL646" s="69"/>
      <c r="AM646" s="64"/>
      <c r="AN646" s="69"/>
      <c r="AO646" s="64"/>
      <c r="AP646" s="69"/>
      <c r="AQ646" s="64"/>
      <c r="AR646" s="69"/>
      <c r="AS646" s="64"/>
      <c r="AT646" s="69"/>
      <c r="AU646" s="64"/>
      <c r="AV646" s="69"/>
      <c r="AW646" s="64"/>
      <c r="AX646" s="69"/>
      <c r="AY646" s="64"/>
      <c r="AZ646" s="69"/>
      <c r="BA646" s="64"/>
      <c r="BB646" s="69"/>
      <c r="BC646" s="64"/>
      <c r="BD646" s="69"/>
      <c r="BE646" s="64"/>
      <c r="BF646" s="69"/>
      <c r="BG646" s="64"/>
      <c r="BH646" s="69"/>
      <c r="BI646" s="64"/>
      <c r="BJ646" s="69"/>
      <c r="BK646" s="64"/>
      <c r="BL646" s="69"/>
      <c r="BM646" s="64"/>
      <c r="BN646" s="69"/>
      <c r="BO646" s="64"/>
      <c r="BP646" s="69"/>
      <c r="BQ646" s="64"/>
      <c r="BR646" s="69"/>
      <c r="BS646" s="64"/>
      <c r="BT646" s="69"/>
      <c r="BU646" t="b">
        <f t="shared" si="10"/>
        <v>0</v>
      </c>
    </row>
    <row r="647" spans="1:73" x14ac:dyDescent="0.25">
      <c r="A647" s="28"/>
      <c r="B647" s="29"/>
      <c r="C647" s="29"/>
      <c r="D647" s="30"/>
      <c r="E647" s="29"/>
      <c r="F647" s="30"/>
      <c r="G647" s="29"/>
      <c r="H647" s="69"/>
      <c r="I647" s="64"/>
      <c r="J647" s="69"/>
      <c r="K647" s="64"/>
      <c r="L647" s="69"/>
      <c r="M647" s="65"/>
      <c r="N647" s="69"/>
      <c r="O647" s="64"/>
      <c r="P647" s="69"/>
      <c r="Q647" s="64"/>
      <c r="R647" s="69"/>
      <c r="S647" s="64"/>
      <c r="T647" s="69"/>
      <c r="U647" s="64"/>
      <c r="V647" s="69"/>
      <c r="W647" s="65"/>
      <c r="X647" s="69"/>
      <c r="Y647" s="64"/>
      <c r="Z647" s="69"/>
      <c r="AA647" s="64"/>
      <c r="AB647" s="69"/>
      <c r="AC647" s="64"/>
      <c r="AD647" s="69"/>
      <c r="AE647" s="65"/>
      <c r="AF647" s="69"/>
      <c r="AG647" s="65"/>
      <c r="AH647" s="69"/>
      <c r="AI647" s="64"/>
      <c r="AJ647" s="69"/>
      <c r="AK647" s="64"/>
      <c r="AL647" s="69"/>
      <c r="AM647" s="64"/>
      <c r="AN647" s="69"/>
      <c r="AO647" s="64"/>
      <c r="AP647" s="69"/>
      <c r="AQ647" s="64"/>
      <c r="AR647" s="69"/>
      <c r="AS647" s="64"/>
      <c r="AT647" s="69"/>
      <c r="AU647" s="64"/>
      <c r="AV647" s="69"/>
      <c r="AW647" s="64"/>
      <c r="AX647" s="69"/>
      <c r="AY647" s="64"/>
      <c r="AZ647" s="69"/>
      <c r="BA647" s="64"/>
      <c r="BB647" s="69"/>
      <c r="BC647" s="64"/>
      <c r="BD647" s="69"/>
      <c r="BE647" s="64"/>
      <c r="BF647" s="69"/>
      <c r="BG647" s="64"/>
      <c r="BH647" s="69"/>
      <c r="BI647" s="64"/>
      <c r="BJ647" s="69"/>
      <c r="BK647" s="64"/>
      <c r="BL647" s="69"/>
      <c r="BM647" s="64"/>
      <c r="BN647" s="69"/>
      <c r="BO647" s="64"/>
      <c r="BP647" s="69"/>
      <c r="BQ647" s="64"/>
      <c r="BR647" s="69"/>
      <c r="BS647" s="64"/>
      <c r="BT647" s="69"/>
      <c r="BU647" t="b">
        <f t="shared" si="10"/>
        <v>0</v>
      </c>
    </row>
    <row r="648" spans="1:73" x14ac:dyDescent="0.25">
      <c r="A648" s="28"/>
      <c r="B648" s="29"/>
      <c r="C648" s="29"/>
      <c r="D648" s="30"/>
      <c r="E648" s="29"/>
      <c r="F648" s="30"/>
      <c r="G648" s="29"/>
      <c r="H648" s="69"/>
      <c r="I648" s="64"/>
      <c r="J648" s="69"/>
      <c r="K648" s="64"/>
      <c r="L648" s="69"/>
      <c r="M648" s="65"/>
      <c r="N648" s="69"/>
      <c r="O648" s="64"/>
      <c r="P648" s="69"/>
      <c r="Q648" s="64"/>
      <c r="R648" s="69"/>
      <c r="S648" s="64"/>
      <c r="T648" s="69"/>
      <c r="U648" s="64"/>
      <c r="V648" s="69"/>
      <c r="W648" s="65"/>
      <c r="X648" s="69"/>
      <c r="Y648" s="64"/>
      <c r="Z648" s="69"/>
      <c r="AA648" s="64"/>
      <c r="AB648" s="69"/>
      <c r="AC648" s="64"/>
      <c r="AD648" s="69"/>
      <c r="AE648" s="65"/>
      <c r="AF648" s="69"/>
      <c r="AG648" s="65"/>
      <c r="AH648" s="69"/>
      <c r="AI648" s="64"/>
      <c r="AJ648" s="69"/>
      <c r="AK648" s="64"/>
      <c r="AL648" s="69"/>
      <c r="AM648" s="64"/>
      <c r="AN648" s="69"/>
      <c r="AO648" s="64"/>
      <c r="AP648" s="69"/>
      <c r="AQ648" s="64"/>
      <c r="AR648" s="69"/>
      <c r="AS648" s="64"/>
      <c r="AT648" s="69"/>
      <c r="AU648" s="64"/>
      <c r="AV648" s="69"/>
      <c r="AW648" s="64"/>
      <c r="AX648" s="69"/>
      <c r="AY648" s="64"/>
      <c r="AZ648" s="69"/>
      <c r="BA648" s="64"/>
      <c r="BB648" s="69"/>
      <c r="BC648" s="64"/>
      <c r="BD648" s="69"/>
      <c r="BE648" s="64"/>
      <c r="BF648" s="69"/>
      <c r="BG648" s="64"/>
      <c r="BH648" s="69"/>
      <c r="BI648" s="64"/>
      <c r="BJ648" s="69"/>
      <c r="BK648" s="64"/>
      <c r="BL648" s="69"/>
      <c r="BM648" s="64"/>
      <c r="BN648" s="69"/>
      <c r="BO648" s="64"/>
      <c r="BP648" s="69"/>
      <c r="BQ648" s="64"/>
      <c r="BR648" s="69"/>
      <c r="BS648" s="64"/>
      <c r="BT648" s="69"/>
      <c r="BU648" t="b">
        <f t="shared" si="10"/>
        <v>0</v>
      </c>
    </row>
    <row r="649" spans="1:73" x14ac:dyDescent="0.25">
      <c r="A649" s="28"/>
      <c r="B649" s="29"/>
      <c r="C649" s="29"/>
      <c r="D649" s="30"/>
      <c r="E649" s="29"/>
      <c r="F649" s="30"/>
      <c r="G649" s="29"/>
      <c r="H649" s="69"/>
      <c r="I649" s="64"/>
      <c r="J649" s="69"/>
      <c r="K649" s="64"/>
      <c r="L649" s="69"/>
      <c r="M649" s="65"/>
      <c r="N649" s="69"/>
      <c r="O649" s="64"/>
      <c r="P649" s="69"/>
      <c r="Q649" s="64"/>
      <c r="R649" s="69"/>
      <c r="S649" s="64"/>
      <c r="T649" s="69"/>
      <c r="U649" s="64"/>
      <c r="V649" s="69"/>
      <c r="W649" s="65"/>
      <c r="X649" s="69"/>
      <c r="Y649" s="64"/>
      <c r="Z649" s="69"/>
      <c r="AA649" s="64"/>
      <c r="AB649" s="69"/>
      <c r="AC649" s="64"/>
      <c r="AD649" s="69"/>
      <c r="AE649" s="65"/>
      <c r="AF649" s="69"/>
      <c r="AG649" s="65"/>
      <c r="AH649" s="69"/>
      <c r="AI649" s="64"/>
      <c r="AJ649" s="69"/>
      <c r="AK649" s="64"/>
      <c r="AL649" s="69"/>
      <c r="AM649" s="64"/>
      <c r="AN649" s="69"/>
      <c r="AO649" s="64"/>
      <c r="AP649" s="69"/>
      <c r="AQ649" s="64"/>
      <c r="AR649" s="69"/>
      <c r="AS649" s="64"/>
      <c r="AT649" s="69"/>
      <c r="AU649" s="64"/>
      <c r="AV649" s="69"/>
      <c r="AW649" s="64"/>
      <c r="AX649" s="69"/>
      <c r="AY649" s="64"/>
      <c r="AZ649" s="69"/>
      <c r="BA649" s="64"/>
      <c r="BB649" s="69"/>
      <c r="BC649" s="64"/>
      <c r="BD649" s="69"/>
      <c r="BE649" s="64"/>
      <c r="BF649" s="69"/>
      <c r="BG649" s="64"/>
      <c r="BH649" s="69"/>
      <c r="BI649" s="64"/>
      <c r="BJ649" s="69"/>
      <c r="BK649" s="64"/>
      <c r="BL649" s="69"/>
      <c r="BM649" s="64"/>
      <c r="BN649" s="69"/>
      <c r="BO649" s="64"/>
      <c r="BP649" s="69"/>
      <c r="BQ649" s="64"/>
      <c r="BR649" s="69"/>
      <c r="BS649" s="64"/>
      <c r="BT649" s="69"/>
      <c r="BU649" t="b">
        <f t="shared" si="10"/>
        <v>0</v>
      </c>
    </row>
    <row r="650" spans="1:73" x14ac:dyDescent="0.25">
      <c r="A650" s="28"/>
      <c r="B650" s="29"/>
      <c r="C650" s="29"/>
      <c r="D650" s="30"/>
      <c r="E650" s="29"/>
      <c r="F650" s="30"/>
      <c r="G650" s="29"/>
      <c r="H650" s="69"/>
      <c r="I650" s="64"/>
      <c r="J650" s="69"/>
      <c r="K650" s="64"/>
      <c r="L650" s="69"/>
      <c r="M650" s="65"/>
      <c r="N650" s="69"/>
      <c r="O650" s="64"/>
      <c r="P650" s="69"/>
      <c r="Q650" s="64"/>
      <c r="R650" s="69"/>
      <c r="S650" s="64"/>
      <c r="T650" s="69"/>
      <c r="U650" s="64"/>
      <c r="V650" s="69"/>
      <c r="W650" s="65"/>
      <c r="X650" s="69"/>
      <c r="Y650" s="64"/>
      <c r="Z650" s="69"/>
      <c r="AA650" s="64"/>
      <c r="AB650" s="69"/>
      <c r="AC650" s="64"/>
      <c r="AD650" s="69"/>
      <c r="AE650" s="65"/>
      <c r="AF650" s="69"/>
      <c r="AG650" s="65"/>
      <c r="AH650" s="69"/>
      <c r="AI650" s="64"/>
      <c r="AJ650" s="69"/>
      <c r="AK650" s="64"/>
      <c r="AL650" s="69"/>
      <c r="AM650" s="64"/>
      <c r="AN650" s="69"/>
      <c r="AO650" s="64"/>
      <c r="AP650" s="69"/>
      <c r="AQ650" s="64"/>
      <c r="AR650" s="69"/>
      <c r="AS650" s="64"/>
      <c r="AT650" s="69"/>
      <c r="AU650" s="64"/>
      <c r="AV650" s="69"/>
      <c r="AW650" s="64"/>
      <c r="AX650" s="69"/>
      <c r="AY650" s="64"/>
      <c r="AZ650" s="69"/>
      <c r="BA650" s="64"/>
      <c r="BB650" s="69"/>
      <c r="BC650" s="64"/>
      <c r="BD650" s="69"/>
      <c r="BE650" s="64"/>
      <c r="BF650" s="69"/>
      <c r="BG650" s="64"/>
      <c r="BH650" s="69"/>
      <c r="BI650" s="64"/>
      <c r="BJ650" s="69"/>
      <c r="BK650" s="64"/>
      <c r="BL650" s="69"/>
      <c r="BM650" s="64"/>
      <c r="BN650" s="69"/>
      <c r="BO650" s="64"/>
      <c r="BP650" s="69"/>
      <c r="BQ650" s="64"/>
      <c r="BR650" s="69"/>
      <c r="BS650" s="64"/>
      <c r="BT650" s="69"/>
      <c r="BU650" t="b">
        <f t="shared" si="10"/>
        <v>0</v>
      </c>
    </row>
    <row r="651" spans="1:73" x14ac:dyDescent="0.25">
      <c r="A651" s="28"/>
      <c r="B651" s="29"/>
      <c r="C651" s="29"/>
      <c r="D651" s="30"/>
      <c r="E651" s="29"/>
      <c r="F651" s="30"/>
      <c r="G651" s="29"/>
      <c r="H651" s="69"/>
      <c r="I651" s="64"/>
      <c r="J651" s="69"/>
      <c r="K651" s="64"/>
      <c r="L651" s="69"/>
      <c r="M651" s="65"/>
      <c r="N651" s="69"/>
      <c r="O651" s="64"/>
      <c r="P651" s="69"/>
      <c r="Q651" s="64"/>
      <c r="R651" s="69"/>
      <c r="S651" s="64"/>
      <c r="T651" s="69"/>
      <c r="U651" s="64"/>
      <c r="V651" s="69"/>
      <c r="W651" s="65"/>
      <c r="X651" s="69"/>
      <c r="Y651" s="64"/>
      <c r="Z651" s="69"/>
      <c r="AA651" s="64"/>
      <c r="AB651" s="69"/>
      <c r="AC651" s="64"/>
      <c r="AD651" s="69"/>
      <c r="AE651" s="65"/>
      <c r="AF651" s="69"/>
      <c r="AG651" s="65"/>
      <c r="AH651" s="69"/>
      <c r="AI651" s="64"/>
      <c r="AJ651" s="69"/>
      <c r="AK651" s="64"/>
      <c r="AL651" s="69"/>
      <c r="AM651" s="64"/>
      <c r="AN651" s="69"/>
      <c r="AO651" s="64"/>
      <c r="AP651" s="69"/>
      <c r="AQ651" s="64"/>
      <c r="AR651" s="69"/>
      <c r="AS651" s="64"/>
      <c r="AT651" s="69"/>
      <c r="AU651" s="64"/>
      <c r="AV651" s="69"/>
      <c r="AW651" s="64"/>
      <c r="AX651" s="69"/>
      <c r="AY651" s="64"/>
      <c r="AZ651" s="69"/>
      <c r="BA651" s="64"/>
      <c r="BB651" s="69"/>
      <c r="BC651" s="64"/>
      <c r="BD651" s="69"/>
      <c r="BE651" s="64"/>
      <c r="BF651" s="69"/>
      <c r="BG651" s="64"/>
      <c r="BH651" s="69"/>
      <c r="BI651" s="64"/>
      <c r="BJ651" s="69"/>
      <c r="BK651" s="64"/>
      <c r="BL651" s="69"/>
      <c r="BM651" s="64"/>
      <c r="BN651" s="69"/>
      <c r="BO651" s="64"/>
      <c r="BP651" s="69"/>
      <c r="BQ651" s="64"/>
      <c r="BR651" s="69"/>
      <c r="BS651" s="64"/>
      <c r="BT651" s="69"/>
      <c r="BU651" t="b">
        <f t="shared" si="10"/>
        <v>0</v>
      </c>
    </row>
    <row r="652" spans="1:73" x14ac:dyDescent="0.25">
      <c r="A652" s="28"/>
      <c r="B652" s="29"/>
      <c r="C652" s="29"/>
      <c r="D652" s="30"/>
      <c r="E652" s="29"/>
      <c r="F652" s="30"/>
      <c r="G652" s="29"/>
      <c r="H652" s="69"/>
      <c r="I652" s="64"/>
      <c r="J652" s="69"/>
      <c r="K652" s="64"/>
      <c r="L652" s="69"/>
      <c r="M652" s="65"/>
      <c r="N652" s="69"/>
      <c r="O652" s="64"/>
      <c r="P652" s="69"/>
      <c r="Q652" s="64"/>
      <c r="R652" s="69"/>
      <c r="S652" s="64"/>
      <c r="T652" s="69"/>
      <c r="U652" s="64"/>
      <c r="V652" s="69"/>
      <c r="W652" s="65"/>
      <c r="X652" s="69"/>
      <c r="Y652" s="64"/>
      <c r="Z652" s="69"/>
      <c r="AA652" s="64"/>
      <c r="AB652" s="69"/>
      <c r="AC652" s="64"/>
      <c r="AD652" s="69"/>
      <c r="AE652" s="65"/>
      <c r="AF652" s="69"/>
      <c r="AG652" s="65"/>
      <c r="AH652" s="69"/>
      <c r="AI652" s="64"/>
      <c r="AJ652" s="69"/>
      <c r="AK652" s="64"/>
      <c r="AL652" s="69"/>
      <c r="AM652" s="64"/>
      <c r="AN652" s="69"/>
      <c r="AO652" s="64"/>
      <c r="AP652" s="69"/>
      <c r="AQ652" s="64"/>
      <c r="AR652" s="69"/>
      <c r="AS652" s="64"/>
      <c r="AT652" s="69"/>
      <c r="AU652" s="64"/>
      <c r="AV652" s="69"/>
      <c r="AW652" s="64"/>
      <c r="AX652" s="69"/>
      <c r="AY652" s="64"/>
      <c r="AZ652" s="69"/>
      <c r="BA652" s="64"/>
      <c r="BB652" s="69"/>
      <c r="BC652" s="64"/>
      <c r="BD652" s="69"/>
      <c r="BE652" s="64"/>
      <c r="BF652" s="69"/>
      <c r="BG652" s="64"/>
      <c r="BH652" s="69"/>
      <c r="BI652" s="64"/>
      <c r="BJ652" s="69"/>
      <c r="BK652" s="64"/>
      <c r="BL652" s="69"/>
      <c r="BM652" s="64"/>
      <c r="BN652" s="69"/>
      <c r="BO652" s="64"/>
      <c r="BP652" s="69"/>
      <c r="BQ652" s="64"/>
      <c r="BR652" s="69"/>
      <c r="BS652" s="64"/>
      <c r="BT652" s="69"/>
      <c r="BU652" t="b">
        <f t="shared" si="10"/>
        <v>0</v>
      </c>
    </row>
    <row r="653" spans="1:73" x14ac:dyDescent="0.25">
      <c r="A653" s="28"/>
      <c r="B653" s="29"/>
      <c r="C653" s="29"/>
      <c r="D653" s="30"/>
      <c r="E653" s="29"/>
      <c r="F653" s="30"/>
      <c r="G653" s="29"/>
      <c r="H653" s="69"/>
      <c r="I653" s="64"/>
      <c r="J653" s="69"/>
      <c r="K653" s="64"/>
      <c r="L653" s="69"/>
      <c r="M653" s="65"/>
      <c r="N653" s="69"/>
      <c r="O653" s="64"/>
      <c r="P653" s="69"/>
      <c r="Q653" s="64"/>
      <c r="R653" s="69"/>
      <c r="S653" s="64"/>
      <c r="T653" s="69"/>
      <c r="U653" s="64"/>
      <c r="V653" s="69"/>
      <c r="W653" s="65"/>
      <c r="X653" s="69"/>
      <c r="Y653" s="64"/>
      <c r="Z653" s="69"/>
      <c r="AA653" s="64"/>
      <c r="AB653" s="69"/>
      <c r="AC653" s="64"/>
      <c r="AD653" s="69"/>
      <c r="AE653" s="65"/>
      <c r="AF653" s="69"/>
      <c r="AG653" s="65"/>
      <c r="AH653" s="69"/>
      <c r="AI653" s="64"/>
      <c r="AJ653" s="69"/>
      <c r="AK653" s="64"/>
      <c r="AL653" s="69"/>
      <c r="AM653" s="64"/>
      <c r="AN653" s="69"/>
      <c r="AO653" s="64"/>
      <c r="AP653" s="69"/>
      <c r="AQ653" s="64"/>
      <c r="AR653" s="69"/>
      <c r="AS653" s="64"/>
      <c r="AT653" s="69"/>
      <c r="AU653" s="64"/>
      <c r="AV653" s="69"/>
      <c r="AW653" s="64"/>
      <c r="AX653" s="69"/>
      <c r="AY653" s="64"/>
      <c r="AZ653" s="69"/>
      <c r="BA653" s="64"/>
      <c r="BB653" s="69"/>
      <c r="BC653" s="64"/>
      <c r="BD653" s="69"/>
      <c r="BE653" s="64"/>
      <c r="BF653" s="69"/>
      <c r="BG653" s="64"/>
      <c r="BH653" s="69"/>
      <c r="BI653" s="64"/>
      <c r="BJ653" s="69"/>
      <c r="BK653" s="64"/>
      <c r="BL653" s="69"/>
      <c r="BM653" s="64"/>
      <c r="BN653" s="69"/>
      <c r="BO653" s="64"/>
      <c r="BP653" s="69"/>
      <c r="BQ653" s="64"/>
      <c r="BR653" s="69"/>
      <c r="BS653" s="64"/>
      <c r="BT653" s="69"/>
      <c r="BU653" t="b">
        <f t="shared" si="10"/>
        <v>0</v>
      </c>
    </row>
    <row r="654" spans="1:73" x14ac:dyDescent="0.25">
      <c r="A654" s="28"/>
      <c r="B654" s="29"/>
      <c r="C654" s="29"/>
      <c r="D654" s="30"/>
      <c r="E654" s="29"/>
      <c r="F654" s="30"/>
      <c r="G654" s="29"/>
      <c r="H654" s="69"/>
      <c r="I654" s="64"/>
      <c r="J654" s="69"/>
      <c r="K654" s="64"/>
      <c r="L654" s="69"/>
      <c r="M654" s="65"/>
      <c r="N654" s="69"/>
      <c r="O654" s="64"/>
      <c r="P654" s="69"/>
      <c r="Q654" s="64"/>
      <c r="R654" s="69"/>
      <c r="S654" s="64"/>
      <c r="T654" s="69"/>
      <c r="U654" s="64"/>
      <c r="V654" s="69"/>
      <c r="W654" s="65"/>
      <c r="X654" s="69"/>
      <c r="Y654" s="64"/>
      <c r="Z654" s="69"/>
      <c r="AA654" s="64"/>
      <c r="AB654" s="69"/>
      <c r="AC654" s="64"/>
      <c r="AD654" s="69"/>
      <c r="AE654" s="65"/>
      <c r="AF654" s="69"/>
      <c r="AG654" s="65"/>
      <c r="AH654" s="69"/>
      <c r="AI654" s="64"/>
      <c r="AJ654" s="69"/>
      <c r="AK654" s="64"/>
      <c r="AL654" s="69"/>
      <c r="AM654" s="64"/>
      <c r="AN654" s="69"/>
      <c r="AO654" s="64"/>
      <c r="AP654" s="69"/>
      <c r="AQ654" s="64"/>
      <c r="AR654" s="69"/>
      <c r="AS654" s="64"/>
      <c r="AT654" s="69"/>
      <c r="AU654" s="64"/>
      <c r="AV654" s="69"/>
      <c r="AW654" s="64"/>
      <c r="AX654" s="69"/>
      <c r="AY654" s="64"/>
      <c r="AZ654" s="69"/>
      <c r="BA654" s="64"/>
      <c r="BB654" s="69"/>
      <c r="BC654" s="64"/>
      <c r="BD654" s="69"/>
      <c r="BE654" s="64"/>
      <c r="BF654" s="69"/>
      <c r="BG654" s="64"/>
      <c r="BH654" s="69"/>
      <c r="BI654" s="64"/>
      <c r="BJ654" s="69"/>
      <c r="BK654" s="64"/>
      <c r="BL654" s="69"/>
      <c r="BM654" s="64"/>
      <c r="BN654" s="69"/>
      <c r="BO654" s="64"/>
      <c r="BP654" s="69"/>
      <c r="BQ654" s="64"/>
      <c r="BR654" s="69"/>
      <c r="BS654" s="64"/>
      <c r="BT654" s="69"/>
      <c r="BU654" t="b">
        <f t="shared" si="10"/>
        <v>0</v>
      </c>
    </row>
    <row r="655" spans="1:73" x14ac:dyDescent="0.25">
      <c r="A655" s="28"/>
      <c r="B655" s="29"/>
      <c r="C655" s="29"/>
      <c r="D655" s="30"/>
      <c r="E655" s="29"/>
      <c r="F655" s="30"/>
      <c r="G655" s="29"/>
      <c r="H655" s="69"/>
      <c r="I655" s="64"/>
      <c r="J655" s="69"/>
      <c r="K655" s="64"/>
      <c r="L655" s="69"/>
      <c r="M655" s="65"/>
      <c r="N655" s="69"/>
      <c r="O655" s="64"/>
      <c r="P655" s="69"/>
      <c r="Q655" s="64"/>
      <c r="R655" s="69"/>
      <c r="S655" s="64"/>
      <c r="T655" s="69"/>
      <c r="U655" s="64"/>
      <c r="V655" s="69"/>
      <c r="W655" s="65"/>
      <c r="X655" s="69"/>
      <c r="Y655" s="64"/>
      <c r="Z655" s="69"/>
      <c r="AA655" s="64"/>
      <c r="AB655" s="69"/>
      <c r="AC655" s="64"/>
      <c r="AD655" s="69"/>
      <c r="AE655" s="65"/>
      <c r="AF655" s="69"/>
      <c r="AG655" s="65"/>
      <c r="AH655" s="69"/>
      <c r="AI655" s="64"/>
      <c r="AJ655" s="69"/>
      <c r="AK655" s="64"/>
      <c r="AL655" s="69"/>
      <c r="AM655" s="64"/>
      <c r="AN655" s="69"/>
      <c r="AO655" s="64"/>
      <c r="AP655" s="69"/>
      <c r="AQ655" s="64"/>
      <c r="AR655" s="69"/>
      <c r="AS655" s="64"/>
      <c r="AT655" s="69"/>
      <c r="AU655" s="64"/>
      <c r="AV655" s="69"/>
      <c r="AW655" s="64"/>
      <c r="AX655" s="69"/>
      <c r="AY655" s="64"/>
      <c r="AZ655" s="69"/>
      <c r="BA655" s="64"/>
      <c r="BB655" s="69"/>
      <c r="BC655" s="64"/>
      <c r="BD655" s="69"/>
      <c r="BE655" s="64"/>
      <c r="BF655" s="69"/>
      <c r="BG655" s="64"/>
      <c r="BH655" s="69"/>
      <c r="BI655" s="64"/>
      <c r="BJ655" s="69"/>
      <c r="BK655" s="64"/>
      <c r="BL655" s="69"/>
      <c r="BM655" s="64"/>
      <c r="BN655" s="69"/>
      <c r="BO655" s="64"/>
      <c r="BP655" s="69"/>
      <c r="BQ655" s="64"/>
      <c r="BR655" s="69"/>
      <c r="BS655" s="64"/>
      <c r="BT655" s="69"/>
      <c r="BU655" t="b">
        <f t="shared" si="10"/>
        <v>0</v>
      </c>
    </row>
    <row r="656" spans="1:73" x14ac:dyDescent="0.25">
      <c r="A656" s="28"/>
      <c r="B656" s="29"/>
      <c r="C656" s="29"/>
      <c r="D656" s="30"/>
      <c r="E656" s="29"/>
      <c r="F656" s="30"/>
      <c r="G656" s="29"/>
      <c r="H656" s="69"/>
      <c r="I656" s="64"/>
      <c r="J656" s="69"/>
      <c r="K656" s="64"/>
      <c r="L656" s="69"/>
      <c r="M656" s="65"/>
      <c r="N656" s="69"/>
      <c r="O656" s="64"/>
      <c r="P656" s="69"/>
      <c r="Q656" s="64"/>
      <c r="R656" s="69"/>
      <c r="S656" s="64"/>
      <c r="T656" s="69"/>
      <c r="U656" s="64"/>
      <c r="V656" s="69"/>
      <c r="W656" s="65"/>
      <c r="X656" s="69"/>
      <c r="Y656" s="64"/>
      <c r="Z656" s="69"/>
      <c r="AA656" s="64"/>
      <c r="AB656" s="69"/>
      <c r="AC656" s="64"/>
      <c r="AD656" s="69"/>
      <c r="AE656" s="65"/>
      <c r="AF656" s="69"/>
      <c r="AG656" s="65"/>
      <c r="AH656" s="69"/>
      <c r="AI656" s="64"/>
      <c r="AJ656" s="69"/>
      <c r="AK656" s="64"/>
      <c r="AL656" s="69"/>
      <c r="AM656" s="64"/>
      <c r="AN656" s="69"/>
      <c r="AO656" s="64"/>
      <c r="AP656" s="69"/>
      <c r="AQ656" s="64"/>
      <c r="AR656" s="69"/>
      <c r="AS656" s="64"/>
      <c r="AT656" s="69"/>
      <c r="AU656" s="64"/>
      <c r="AV656" s="69"/>
      <c r="AW656" s="64"/>
      <c r="AX656" s="69"/>
      <c r="AY656" s="64"/>
      <c r="AZ656" s="69"/>
      <c r="BA656" s="64"/>
      <c r="BB656" s="69"/>
      <c r="BC656" s="64"/>
      <c r="BD656" s="69"/>
      <c r="BE656" s="64"/>
      <c r="BF656" s="69"/>
      <c r="BG656" s="64"/>
      <c r="BH656" s="69"/>
      <c r="BI656" s="64"/>
      <c r="BJ656" s="69"/>
      <c r="BK656" s="64"/>
      <c r="BL656" s="69"/>
      <c r="BM656" s="64"/>
      <c r="BN656" s="69"/>
      <c r="BO656" s="64"/>
      <c r="BP656" s="69"/>
      <c r="BQ656" s="64"/>
      <c r="BR656" s="69"/>
      <c r="BS656" s="64"/>
      <c r="BT656" s="69"/>
      <c r="BU656" t="b">
        <f t="shared" si="10"/>
        <v>0</v>
      </c>
    </row>
    <row r="657" spans="1:73" x14ac:dyDescent="0.25">
      <c r="A657" s="28"/>
      <c r="B657" s="29"/>
      <c r="C657" s="29"/>
      <c r="D657" s="30"/>
      <c r="E657" s="29"/>
      <c r="F657" s="30"/>
      <c r="G657" s="29"/>
      <c r="H657" s="69"/>
      <c r="I657" s="64"/>
      <c r="J657" s="69"/>
      <c r="K657" s="64"/>
      <c r="L657" s="69"/>
      <c r="M657" s="65"/>
      <c r="N657" s="69"/>
      <c r="O657" s="64"/>
      <c r="P657" s="69"/>
      <c r="Q657" s="64"/>
      <c r="R657" s="69"/>
      <c r="S657" s="64"/>
      <c r="T657" s="69"/>
      <c r="U657" s="64"/>
      <c r="V657" s="69"/>
      <c r="W657" s="65"/>
      <c r="X657" s="69"/>
      <c r="Y657" s="64"/>
      <c r="Z657" s="69"/>
      <c r="AA657" s="64"/>
      <c r="AB657" s="69"/>
      <c r="AC657" s="64"/>
      <c r="AD657" s="69"/>
      <c r="AE657" s="65"/>
      <c r="AF657" s="69"/>
      <c r="AG657" s="65"/>
      <c r="AH657" s="69"/>
      <c r="AI657" s="64"/>
      <c r="AJ657" s="69"/>
      <c r="AK657" s="64"/>
      <c r="AL657" s="69"/>
      <c r="AM657" s="64"/>
      <c r="AN657" s="69"/>
      <c r="AO657" s="64"/>
      <c r="AP657" s="69"/>
      <c r="AQ657" s="64"/>
      <c r="AR657" s="69"/>
      <c r="AS657" s="64"/>
      <c r="AT657" s="69"/>
      <c r="AU657" s="64"/>
      <c r="AV657" s="69"/>
      <c r="AW657" s="64"/>
      <c r="AX657" s="69"/>
      <c r="AY657" s="64"/>
      <c r="AZ657" s="69"/>
      <c r="BA657" s="64"/>
      <c r="BB657" s="69"/>
      <c r="BC657" s="64"/>
      <c r="BD657" s="69"/>
      <c r="BE657" s="64"/>
      <c r="BF657" s="69"/>
      <c r="BG657" s="64"/>
      <c r="BH657" s="69"/>
      <c r="BI657" s="64"/>
      <c r="BJ657" s="69"/>
      <c r="BK657" s="64"/>
      <c r="BL657" s="69"/>
      <c r="BM657" s="64"/>
      <c r="BN657" s="69"/>
      <c r="BO657" s="64"/>
      <c r="BP657" s="69"/>
      <c r="BQ657" s="64"/>
      <c r="BR657" s="69"/>
      <c r="BS657" s="64"/>
      <c r="BT657" s="69"/>
      <c r="BU657" t="b">
        <f t="shared" si="10"/>
        <v>0</v>
      </c>
    </row>
    <row r="658" spans="1:73" x14ac:dyDescent="0.25">
      <c r="A658" s="28"/>
      <c r="B658" s="29"/>
      <c r="C658" s="29"/>
      <c r="D658" s="30"/>
      <c r="E658" s="29"/>
      <c r="F658" s="30"/>
      <c r="G658" s="29"/>
      <c r="H658" s="69"/>
      <c r="I658" s="64"/>
      <c r="J658" s="69"/>
      <c r="K658" s="64"/>
      <c r="L658" s="69"/>
      <c r="M658" s="65"/>
      <c r="N658" s="69"/>
      <c r="O658" s="64"/>
      <c r="P658" s="69"/>
      <c r="Q658" s="64"/>
      <c r="R658" s="69"/>
      <c r="S658" s="64"/>
      <c r="T658" s="69"/>
      <c r="U658" s="64"/>
      <c r="V658" s="69"/>
      <c r="W658" s="65"/>
      <c r="X658" s="69"/>
      <c r="Y658" s="64"/>
      <c r="Z658" s="69"/>
      <c r="AA658" s="64"/>
      <c r="AB658" s="69"/>
      <c r="AC658" s="64"/>
      <c r="AD658" s="69"/>
      <c r="AE658" s="65"/>
      <c r="AF658" s="69"/>
      <c r="AG658" s="65"/>
      <c r="AH658" s="69"/>
      <c r="AI658" s="64"/>
      <c r="AJ658" s="69"/>
      <c r="AK658" s="64"/>
      <c r="AL658" s="69"/>
      <c r="AM658" s="64"/>
      <c r="AN658" s="69"/>
      <c r="AO658" s="64"/>
      <c r="AP658" s="69"/>
      <c r="AQ658" s="64"/>
      <c r="AR658" s="69"/>
      <c r="AS658" s="64"/>
      <c r="AT658" s="69"/>
      <c r="AU658" s="64"/>
      <c r="AV658" s="69"/>
      <c r="AW658" s="64"/>
      <c r="AX658" s="69"/>
      <c r="AY658" s="64"/>
      <c r="AZ658" s="69"/>
      <c r="BA658" s="64"/>
      <c r="BB658" s="69"/>
      <c r="BC658" s="64"/>
      <c r="BD658" s="69"/>
      <c r="BE658" s="64"/>
      <c r="BF658" s="69"/>
      <c r="BG658" s="64"/>
      <c r="BH658" s="69"/>
      <c r="BI658" s="64"/>
      <c r="BJ658" s="69"/>
      <c r="BK658" s="64"/>
      <c r="BL658" s="69"/>
      <c r="BM658" s="64"/>
      <c r="BN658" s="69"/>
      <c r="BO658" s="64"/>
      <c r="BP658" s="69"/>
      <c r="BQ658" s="64"/>
      <c r="BR658" s="69"/>
      <c r="BS658" s="64"/>
      <c r="BT658" s="69"/>
      <c r="BU658" t="b">
        <f t="shared" si="10"/>
        <v>0</v>
      </c>
    </row>
    <row r="659" spans="1:73" x14ac:dyDescent="0.25">
      <c r="A659" s="28"/>
      <c r="B659" s="29"/>
      <c r="C659" s="29"/>
      <c r="D659" s="30"/>
      <c r="E659" s="29"/>
      <c r="F659" s="30"/>
      <c r="G659" s="29"/>
      <c r="H659" s="69"/>
      <c r="I659" s="64"/>
      <c r="J659" s="69"/>
      <c r="K659" s="64"/>
      <c r="L659" s="69"/>
      <c r="M659" s="65"/>
      <c r="N659" s="69"/>
      <c r="O659" s="64"/>
      <c r="P659" s="69"/>
      <c r="Q659" s="64"/>
      <c r="R659" s="69"/>
      <c r="S659" s="64"/>
      <c r="T659" s="69"/>
      <c r="U659" s="64"/>
      <c r="V659" s="69"/>
      <c r="W659" s="65"/>
      <c r="X659" s="69"/>
      <c r="Y659" s="64"/>
      <c r="Z659" s="69"/>
      <c r="AA659" s="64"/>
      <c r="AB659" s="69"/>
      <c r="AC659" s="64"/>
      <c r="AD659" s="69"/>
      <c r="AE659" s="65"/>
      <c r="AF659" s="69"/>
      <c r="AG659" s="65"/>
      <c r="AH659" s="69"/>
      <c r="AI659" s="64"/>
      <c r="AJ659" s="69"/>
      <c r="AK659" s="64"/>
      <c r="AL659" s="69"/>
      <c r="AM659" s="64"/>
      <c r="AN659" s="69"/>
      <c r="AO659" s="64"/>
      <c r="AP659" s="69"/>
      <c r="AQ659" s="64"/>
      <c r="AR659" s="69"/>
      <c r="AS659" s="64"/>
      <c r="AT659" s="69"/>
      <c r="AU659" s="64"/>
      <c r="AV659" s="69"/>
      <c r="AW659" s="64"/>
      <c r="AX659" s="69"/>
      <c r="AY659" s="64"/>
      <c r="AZ659" s="69"/>
      <c r="BA659" s="64"/>
      <c r="BB659" s="69"/>
      <c r="BC659" s="64"/>
      <c r="BD659" s="69"/>
      <c r="BE659" s="64"/>
      <c r="BF659" s="69"/>
      <c r="BG659" s="64"/>
      <c r="BH659" s="69"/>
      <c r="BI659" s="64"/>
      <c r="BJ659" s="69"/>
      <c r="BK659" s="64"/>
      <c r="BL659" s="69"/>
      <c r="BM659" s="64"/>
      <c r="BN659" s="69"/>
      <c r="BO659" s="64"/>
      <c r="BP659" s="69"/>
      <c r="BQ659" s="64"/>
      <c r="BR659" s="69"/>
      <c r="BS659" s="64"/>
      <c r="BT659" s="69"/>
      <c r="BU659" t="b">
        <f t="shared" si="10"/>
        <v>0</v>
      </c>
    </row>
    <row r="660" spans="1:73" x14ac:dyDescent="0.25">
      <c r="A660" s="28"/>
      <c r="B660" s="29"/>
      <c r="C660" s="29"/>
      <c r="D660" s="30"/>
      <c r="E660" s="29"/>
      <c r="F660" s="30"/>
      <c r="G660" s="29"/>
      <c r="H660" s="69"/>
      <c r="I660" s="64"/>
      <c r="J660" s="69"/>
      <c r="K660" s="64"/>
      <c r="L660" s="69"/>
      <c r="M660" s="65"/>
      <c r="N660" s="69"/>
      <c r="O660" s="64"/>
      <c r="P660" s="69"/>
      <c r="Q660" s="64"/>
      <c r="R660" s="69"/>
      <c r="S660" s="64"/>
      <c r="T660" s="69"/>
      <c r="U660" s="64"/>
      <c r="V660" s="69"/>
      <c r="W660" s="65"/>
      <c r="X660" s="69"/>
      <c r="Y660" s="64"/>
      <c r="Z660" s="69"/>
      <c r="AA660" s="64"/>
      <c r="AB660" s="69"/>
      <c r="AC660" s="64"/>
      <c r="AD660" s="69"/>
      <c r="AE660" s="65"/>
      <c r="AF660" s="69"/>
      <c r="AG660" s="65"/>
      <c r="AH660" s="69"/>
      <c r="AI660" s="64"/>
      <c r="AJ660" s="69"/>
      <c r="AK660" s="64"/>
      <c r="AL660" s="69"/>
      <c r="AM660" s="64"/>
      <c r="AN660" s="69"/>
      <c r="AO660" s="64"/>
      <c r="AP660" s="69"/>
      <c r="AQ660" s="64"/>
      <c r="AR660" s="69"/>
      <c r="AS660" s="64"/>
      <c r="AT660" s="69"/>
      <c r="AU660" s="64"/>
      <c r="AV660" s="69"/>
      <c r="AW660" s="64"/>
      <c r="AX660" s="69"/>
      <c r="AY660" s="64"/>
      <c r="AZ660" s="69"/>
      <c r="BA660" s="64"/>
      <c r="BB660" s="69"/>
      <c r="BC660" s="64"/>
      <c r="BD660" s="69"/>
      <c r="BE660" s="64"/>
      <c r="BF660" s="69"/>
      <c r="BG660" s="64"/>
      <c r="BH660" s="69"/>
      <c r="BI660" s="64"/>
      <c r="BJ660" s="69"/>
      <c r="BK660" s="64"/>
      <c r="BL660" s="69"/>
      <c r="BM660" s="64"/>
      <c r="BN660" s="69"/>
      <c r="BO660" s="64"/>
      <c r="BP660" s="69"/>
      <c r="BQ660" s="64"/>
      <c r="BR660" s="69"/>
      <c r="BS660" s="64"/>
      <c r="BT660" s="69"/>
      <c r="BU660" t="b">
        <f t="shared" si="10"/>
        <v>0</v>
      </c>
    </row>
    <row r="661" spans="1:73" x14ac:dyDescent="0.25">
      <c r="A661" s="28"/>
      <c r="B661" s="29"/>
      <c r="C661" s="29"/>
      <c r="D661" s="30"/>
      <c r="E661" s="29"/>
      <c r="F661" s="30"/>
      <c r="G661" s="29"/>
      <c r="H661" s="69"/>
      <c r="I661" s="64"/>
      <c r="J661" s="69"/>
      <c r="K661" s="64"/>
      <c r="L661" s="69"/>
      <c r="M661" s="65"/>
      <c r="N661" s="69"/>
      <c r="O661" s="64"/>
      <c r="P661" s="69"/>
      <c r="Q661" s="64"/>
      <c r="R661" s="69"/>
      <c r="S661" s="64"/>
      <c r="T661" s="69"/>
      <c r="U661" s="64"/>
      <c r="V661" s="69"/>
      <c r="W661" s="65"/>
      <c r="X661" s="69"/>
      <c r="Y661" s="64"/>
      <c r="Z661" s="69"/>
      <c r="AA661" s="64"/>
      <c r="AB661" s="69"/>
      <c r="AC661" s="64"/>
      <c r="AD661" s="69"/>
      <c r="AE661" s="65"/>
      <c r="AF661" s="69"/>
      <c r="AG661" s="65"/>
      <c r="AH661" s="69"/>
      <c r="AI661" s="64"/>
      <c r="AJ661" s="69"/>
      <c r="AK661" s="64"/>
      <c r="AL661" s="69"/>
      <c r="AM661" s="64"/>
      <c r="AN661" s="69"/>
      <c r="AO661" s="64"/>
      <c r="AP661" s="69"/>
      <c r="AQ661" s="64"/>
      <c r="AR661" s="69"/>
      <c r="AS661" s="64"/>
      <c r="AT661" s="69"/>
      <c r="AU661" s="64"/>
      <c r="AV661" s="69"/>
      <c r="AW661" s="64"/>
      <c r="AX661" s="69"/>
      <c r="AY661" s="64"/>
      <c r="AZ661" s="69"/>
      <c r="BA661" s="64"/>
      <c r="BB661" s="69"/>
      <c r="BC661" s="64"/>
      <c r="BD661" s="69"/>
      <c r="BE661" s="64"/>
      <c r="BF661" s="69"/>
      <c r="BG661" s="64"/>
      <c r="BH661" s="69"/>
      <c r="BI661" s="64"/>
      <c r="BJ661" s="69"/>
      <c r="BK661" s="64"/>
      <c r="BL661" s="69"/>
      <c r="BM661" s="64"/>
      <c r="BN661" s="69"/>
      <c r="BO661" s="64"/>
      <c r="BP661" s="69"/>
      <c r="BQ661" s="64"/>
      <c r="BR661" s="69"/>
      <c r="BS661" s="64"/>
      <c r="BT661" s="69"/>
      <c r="BU661" t="b">
        <f t="shared" si="10"/>
        <v>0</v>
      </c>
    </row>
    <row r="662" spans="1:73" x14ac:dyDescent="0.25">
      <c r="A662" s="28"/>
      <c r="B662" s="29"/>
      <c r="C662" s="29"/>
      <c r="D662" s="30"/>
      <c r="E662" s="29"/>
      <c r="F662" s="30"/>
      <c r="G662" s="29"/>
      <c r="H662" s="69"/>
      <c r="I662" s="64"/>
      <c r="J662" s="69"/>
      <c r="K662" s="64"/>
      <c r="L662" s="69"/>
      <c r="M662" s="65"/>
      <c r="N662" s="69"/>
      <c r="O662" s="64"/>
      <c r="P662" s="69"/>
      <c r="Q662" s="64"/>
      <c r="R662" s="69"/>
      <c r="S662" s="64"/>
      <c r="T662" s="69"/>
      <c r="U662" s="64"/>
      <c r="V662" s="69"/>
      <c r="W662" s="65"/>
      <c r="X662" s="69"/>
      <c r="Y662" s="64"/>
      <c r="Z662" s="69"/>
      <c r="AA662" s="64"/>
      <c r="AB662" s="69"/>
      <c r="AC662" s="64"/>
      <c r="AD662" s="69"/>
      <c r="AE662" s="65"/>
      <c r="AF662" s="69"/>
      <c r="AG662" s="65"/>
      <c r="AH662" s="69"/>
      <c r="AI662" s="64"/>
      <c r="AJ662" s="69"/>
      <c r="AK662" s="64"/>
      <c r="AL662" s="69"/>
      <c r="AM662" s="64"/>
      <c r="AN662" s="69"/>
      <c r="AO662" s="64"/>
      <c r="AP662" s="69"/>
      <c r="AQ662" s="64"/>
      <c r="AR662" s="69"/>
      <c r="AS662" s="64"/>
      <c r="AT662" s="69"/>
      <c r="AU662" s="64"/>
      <c r="AV662" s="69"/>
      <c r="AW662" s="64"/>
      <c r="AX662" s="69"/>
      <c r="AY662" s="64"/>
      <c r="AZ662" s="69"/>
      <c r="BA662" s="64"/>
      <c r="BB662" s="69"/>
      <c r="BC662" s="64"/>
      <c r="BD662" s="69"/>
      <c r="BE662" s="64"/>
      <c r="BF662" s="69"/>
      <c r="BG662" s="64"/>
      <c r="BH662" s="69"/>
      <c r="BI662" s="64"/>
      <c r="BJ662" s="69"/>
      <c r="BK662" s="64"/>
      <c r="BL662" s="69"/>
      <c r="BM662" s="64"/>
      <c r="BN662" s="69"/>
      <c r="BO662" s="64"/>
      <c r="BP662" s="69"/>
      <c r="BQ662" s="64"/>
      <c r="BR662" s="69"/>
      <c r="BS662" s="64"/>
      <c r="BT662" s="69"/>
      <c r="BU662" t="b">
        <f t="shared" si="10"/>
        <v>0</v>
      </c>
    </row>
    <row r="663" spans="1:73" x14ac:dyDescent="0.25">
      <c r="A663" s="28"/>
      <c r="B663" s="29"/>
      <c r="C663" s="29"/>
      <c r="D663" s="30"/>
      <c r="E663" s="29"/>
      <c r="F663" s="30"/>
      <c r="G663" s="29"/>
      <c r="H663" s="69"/>
      <c r="I663" s="64"/>
      <c r="J663" s="69"/>
      <c r="K663" s="64"/>
      <c r="L663" s="69"/>
      <c r="M663" s="65"/>
      <c r="N663" s="69"/>
      <c r="O663" s="64"/>
      <c r="P663" s="69"/>
      <c r="Q663" s="64"/>
      <c r="R663" s="69"/>
      <c r="S663" s="64"/>
      <c r="T663" s="69"/>
      <c r="U663" s="64"/>
      <c r="V663" s="69"/>
      <c r="W663" s="65"/>
      <c r="X663" s="69"/>
      <c r="Y663" s="64"/>
      <c r="Z663" s="69"/>
      <c r="AA663" s="64"/>
      <c r="AB663" s="69"/>
      <c r="AC663" s="64"/>
      <c r="AD663" s="69"/>
      <c r="AE663" s="65"/>
      <c r="AF663" s="69"/>
      <c r="AG663" s="65"/>
      <c r="AH663" s="69"/>
      <c r="AI663" s="64"/>
      <c r="AJ663" s="69"/>
      <c r="AK663" s="64"/>
      <c r="AL663" s="69"/>
      <c r="AM663" s="64"/>
      <c r="AN663" s="69"/>
      <c r="AO663" s="64"/>
      <c r="AP663" s="69"/>
      <c r="AQ663" s="64"/>
      <c r="AR663" s="69"/>
      <c r="AS663" s="64"/>
      <c r="AT663" s="69"/>
      <c r="AU663" s="64"/>
      <c r="AV663" s="69"/>
      <c r="AW663" s="64"/>
      <c r="AX663" s="69"/>
      <c r="AY663" s="64"/>
      <c r="AZ663" s="69"/>
      <c r="BA663" s="64"/>
      <c r="BB663" s="69"/>
      <c r="BC663" s="64"/>
      <c r="BD663" s="69"/>
      <c r="BE663" s="64"/>
      <c r="BF663" s="69"/>
      <c r="BG663" s="64"/>
      <c r="BH663" s="69"/>
      <c r="BI663" s="64"/>
      <c r="BJ663" s="69"/>
      <c r="BK663" s="64"/>
      <c r="BL663" s="69"/>
      <c r="BM663" s="64"/>
      <c r="BN663" s="69"/>
      <c r="BO663" s="64"/>
      <c r="BP663" s="69"/>
      <c r="BQ663" s="64"/>
      <c r="BR663" s="69"/>
      <c r="BS663" s="64"/>
      <c r="BT663" s="69"/>
      <c r="BU663" t="b">
        <f t="shared" si="10"/>
        <v>0</v>
      </c>
    </row>
    <row r="664" spans="1:73" x14ac:dyDescent="0.25">
      <c r="A664" s="28"/>
      <c r="B664" s="29"/>
      <c r="C664" s="29"/>
      <c r="D664" s="30"/>
      <c r="E664" s="29"/>
      <c r="F664" s="30"/>
      <c r="G664" s="29"/>
      <c r="H664" s="69"/>
      <c r="I664" s="64"/>
      <c r="J664" s="69"/>
      <c r="K664" s="64"/>
      <c r="L664" s="69"/>
      <c r="M664" s="65"/>
      <c r="N664" s="69"/>
      <c r="O664" s="64"/>
      <c r="P664" s="69"/>
      <c r="Q664" s="64"/>
      <c r="R664" s="69"/>
      <c r="S664" s="64"/>
      <c r="T664" s="69"/>
      <c r="U664" s="64"/>
      <c r="V664" s="69"/>
      <c r="W664" s="65"/>
      <c r="X664" s="69"/>
      <c r="Y664" s="64"/>
      <c r="Z664" s="69"/>
      <c r="AA664" s="64"/>
      <c r="AB664" s="69"/>
      <c r="AC664" s="64"/>
      <c r="AD664" s="69"/>
      <c r="AE664" s="65"/>
      <c r="AF664" s="69"/>
      <c r="AG664" s="65"/>
      <c r="AH664" s="69"/>
      <c r="AI664" s="64"/>
      <c r="AJ664" s="69"/>
      <c r="AK664" s="64"/>
      <c r="AL664" s="69"/>
      <c r="AM664" s="64"/>
      <c r="AN664" s="69"/>
      <c r="AO664" s="64"/>
      <c r="AP664" s="69"/>
      <c r="AQ664" s="64"/>
      <c r="AR664" s="69"/>
      <c r="AS664" s="64"/>
      <c r="AT664" s="69"/>
      <c r="AU664" s="64"/>
      <c r="AV664" s="69"/>
      <c r="AW664" s="64"/>
      <c r="AX664" s="69"/>
      <c r="AY664" s="64"/>
      <c r="AZ664" s="69"/>
      <c r="BA664" s="64"/>
      <c r="BB664" s="69"/>
      <c r="BC664" s="64"/>
      <c r="BD664" s="69"/>
      <c r="BE664" s="64"/>
      <c r="BF664" s="69"/>
      <c r="BG664" s="64"/>
      <c r="BH664" s="69"/>
      <c r="BI664" s="64"/>
      <c r="BJ664" s="69"/>
      <c r="BK664" s="64"/>
      <c r="BL664" s="69"/>
      <c r="BM664" s="64"/>
      <c r="BN664" s="69"/>
      <c r="BO664" s="64"/>
      <c r="BP664" s="69"/>
      <c r="BQ664" s="64"/>
      <c r="BR664" s="69"/>
      <c r="BS664" s="64"/>
      <c r="BT664" s="69"/>
      <c r="BU664" t="b">
        <f t="shared" si="10"/>
        <v>0</v>
      </c>
    </row>
    <row r="665" spans="1:73" x14ac:dyDescent="0.25">
      <c r="A665" s="28"/>
      <c r="B665" s="29"/>
      <c r="C665" s="29"/>
      <c r="D665" s="30"/>
      <c r="E665" s="29"/>
      <c r="F665" s="30"/>
      <c r="G665" s="29"/>
      <c r="H665" s="69"/>
      <c r="I665" s="64"/>
      <c r="J665" s="69"/>
      <c r="K665" s="64"/>
      <c r="L665" s="69"/>
      <c r="M665" s="65"/>
      <c r="N665" s="69"/>
      <c r="O665" s="64"/>
      <c r="P665" s="69"/>
      <c r="Q665" s="64"/>
      <c r="R665" s="69"/>
      <c r="S665" s="64"/>
      <c r="T665" s="69"/>
      <c r="U665" s="64"/>
      <c r="V665" s="69"/>
      <c r="W665" s="65"/>
      <c r="X665" s="69"/>
      <c r="Y665" s="64"/>
      <c r="Z665" s="69"/>
      <c r="AA665" s="64"/>
      <c r="AB665" s="69"/>
      <c r="AC665" s="64"/>
      <c r="AD665" s="69"/>
      <c r="AE665" s="65"/>
      <c r="AF665" s="69"/>
      <c r="AG665" s="65"/>
      <c r="AH665" s="69"/>
      <c r="AI665" s="64"/>
      <c r="AJ665" s="69"/>
      <c r="AK665" s="64"/>
      <c r="AL665" s="69"/>
      <c r="AM665" s="64"/>
      <c r="AN665" s="69"/>
      <c r="AO665" s="64"/>
      <c r="AP665" s="69"/>
      <c r="AQ665" s="64"/>
      <c r="AR665" s="69"/>
      <c r="AS665" s="64"/>
      <c r="AT665" s="69"/>
      <c r="AU665" s="64"/>
      <c r="AV665" s="69"/>
      <c r="AW665" s="64"/>
      <c r="AX665" s="69"/>
      <c r="AY665" s="64"/>
      <c r="AZ665" s="69"/>
      <c r="BA665" s="64"/>
      <c r="BB665" s="69"/>
      <c r="BC665" s="64"/>
      <c r="BD665" s="69"/>
      <c r="BE665" s="64"/>
      <c r="BF665" s="69"/>
      <c r="BG665" s="64"/>
      <c r="BH665" s="69"/>
      <c r="BI665" s="64"/>
      <c r="BJ665" s="69"/>
      <c r="BK665" s="64"/>
      <c r="BL665" s="69"/>
      <c r="BM665" s="64"/>
      <c r="BN665" s="69"/>
      <c r="BO665" s="64"/>
      <c r="BP665" s="69"/>
      <c r="BQ665" s="64"/>
      <c r="BR665" s="69"/>
      <c r="BS665" s="64"/>
      <c r="BT665" s="69"/>
      <c r="BU665" t="b">
        <f t="shared" si="10"/>
        <v>0</v>
      </c>
    </row>
    <row r="666" spans="1:73" x14ac:dyDescent="0.25">
      <c r="A666" s="28"/>
      <c r="B666" s="29"/>
      <c r="C666" s="29"/>
      <c r="D666" s="30"/>
      <c r="E666" s="29"/>
      <c r="F666" s="30"/>
      <c r="G666" s="29"/>
      <c r="H666" s="69"/>
      <c r="I666" s="64"/>
      <c r="J666" s="69"/>
      <c r="K666" s="64"/>
      <c r="L666" s="69"/>
      <c r="M666" s="65"/>
      <c r="N666" s="69"/>
      <c r="O666" s="64"/>
      <c r="P666" s="69"/>
      <c r="Q666" s="64"/>
      <c r="R666" s="69"/>
      <c r="S666" s="64"/>
      <c r="T666" s="69"/>
      <c r="U666" s="64"/>
      <c r="V666" s="69"/>
      <c r="W666" s="65"/>
      <c r="X666" s="69"/>
      <c r="Y666" s="64"/>
      <c r="Z666" s="69"/>
      <c r="AA666" s="64"/>
      <c r="AB666" s="69"/>
      <c r="AC666" s="64"/>
      <c r="AD666" s="69"/>
      <c r="AE666" s="65"/>
      <c r="AF666" s="69"/>
      <c r="AG666" s="65"/>
      <c r="AH666" s="69"/>
      <c r="AI666" s="64"/>
      <c r="AJ666" s="69"/>
      <c r="AK666" s="64"/>
      <c r="AL666" s="69"/>
      <c r="AM666" s="64"/>
      <c r="AN666" s="69"/>
      <c r="AO666" s="64"/>
      <c r="AP666" s="69"/>
      <c r="AQ666" s="64"/>
      <c r="AR666" s="69"/>
      <c r="AS666" s="64"/>
      <c r="AT666" s="69"/>
      <c r="AU666" s="64"/>
      <c r="AV666" s="69"/>
      <c r="AW666" s="64"/>
      <c r="AX666" s="69"/>
      <c r="AY666" s="64"/>
      <c r="AZ666" s="69"/>
      <c r="BA666" s="64"/>
      <c r="BB666" s="69"/>
      <c r="BC666" s="64"/>
      <c r="BD666" s="69"/>
      <c r="BE666" s="64"/>
      <c r="BF666" s="69"/>
      <c r="BG666" s="64"/>
      <c r="BH666" s="69"/>
      <c r="BI666" s="64"/>
      <c r="BJ666" s="69"/>
      <c r="BK666" s="64"/>
      <c r="BL666" s="69"/>
      <c r="BM666" s="64"/>
      <c r="BN666" s="69"/>
      <c r="BO666" s="64"/>
      <c r="BP666" s="69"/>
      <c r="BQ666" s="64"/>
      <c r="BR666" s="69"/>
      <c r="BS666" s="64"/>
      <c r="BT666" s="69"/>
      <c r="BU666" t="b">
        <f t="shared" si="10"/>
        <v>0</v>
      </c>
    </row>
    <row r="667" spans="1:73" x14ac:dyDescent="0.25">
      <c r="A667" s="28"/>
      <c r="B667" s="29"/>
      <c r="C667" s="29"/>
      <c r="D667" s="30"/>
      <c r="E667" s="29"/>
      <c r="F667" s="30"/>
      <c r="G667" s="29"/>
      <c r="H667" s="69"/>
      <c r="I667" s="64"/>
      <c r="J667" s="69"/>
      <c r="K667" s="64"/>
      <c r="L667" s="69"/>
      <c r="M667" s="65"/>
      <c r="N667" s="69"/>
      <c r="O667" s="64"/>
      <c r="P667" s="69"/>
      <c r="Q667" s="64"/>
      <c r="R667" s="69"/>
      <c r="S667" s="64"/>
      <c r="T667" s="69"/>
      <c r="U667" s="64"/>
      <c r="V667" s="69"/>
      <c r="W667" s="65"/>
      <c r="X667" s="69"/>
      <c r="Y667" s="64"/>
      <c r="Z667" s="69"/>
      <c r="AA667" s="64"/>
      <c r="AB667" s="69"/>
      <c r="AC667" s="64"/>
      <c r="AD667" s="69"/>
      <c r="AE667" s="65"/>
      <c r="AF667" s="69"/>
      <c r="AG667" s="65"/>
      <c r="AH667" s="69"/>
      <c r="AI667" s="64"/>
      <c r="AJ667" s="69"/>
      <c r="AK667" s="64"/>
      <c r="AL667" s="69"/>
      <c r="AM667" s="64"/>
      <c r="AN667" s="69"/>
      <c r="AO667" s="64"/>
      <c r="AP667" s="69"/>
      <c r="AQ667" s="64"/>
      <c r="AR667" s="69"/>
      <c r="AS667" s="64"/>
      <c r="AT667" s="69"/>
      <c r="AU667" s="64"/>
      <c r="AV667" s="69"/>
      <c r="AW667" s="64"/>
      <c r="AX667" s="69"/>
      <c r="AY667" s="64"/>
      <c r="AZ667" s="69"/>
      <c r="BA667" s="64"/>
      <c r="BB667" s="69"/>
      <c r="BC667" s="64"/>
      <c r="BD667" s="69"/>
      <c r="BE667" s="64"/>
      <c r="BF667" s="69"/>
      <c r="BG667" s="64"/>
      <c r="BH667" s="69"/>
      <c r="BI667" s="64"/>
      <c r="BJ667" s="69"/>
      <c r="BK667" s="64"/>
      <c r="BL667" s="69"/>
      <c r="BM667" s="64"/>
      <c r="BN667" s="69"/>
      <c r="BO667" s="64"/>
      <c r="BP667" s="69"/>
      <c r="BQ667" s="64"/>
      <c r="BR667" s="69"/>
      <c r="BS667" s="64"/>
      <c r="BT667" s="69"/>
      <c r="BU667" t="b">
        <f t="shared" si="10"/>
        <v>0</v>
      </c>
    </row>
    <row r="668" spans="1:73" x14ac:dyDescent="0.25">
      <c r="A668" s="28"/>
      <c r="B668" s="29"/>
      <c r="C668" s="29"/>
      <c r="D668" s="30"/>
      <c r="E668" s="29"/>
      <c r="F668" s="30"/>
      <c r="G668" s="29"/>
      <c r="H668" s="69"/>
      <c r="I668" s="64"/>
      <c r="J668" s="69"/>
      <c r="K668" s="64"/>
      <c r="L668" s="69"/>
      <c r="M668" s="65"/>
      <c r="N668" s="69"/>
      <c r="O668" s="64"/>
      <c r="P668" s="69"/>
      <c r="Q668" s="64"/>
      <c r="R668" s="69"/>
      <c r="S668" s="64"/>
      <c r="T668" s="69"/>
      <c r="U668" s="64"/>
      <c r="V668" s="69"/>
      <c r="W668" s="65"/>
      <c r="X668" s="69"/>
      <c r="Y668" s="64"/>
      <c r="Z668" s="69"/>
      <c r="AA668" s="64"/>
      <c r="AB668" s="69"/>
      <c r="AC668" s="64"/>
      <c r="AD668" s="69"/>
      <c r="AE668" s="65"/>
      <c r="AF668" s="69"/>
      <c r="AG668" s="65"/>
      <c r="AH668" s="69"/>
      <c r="AI668" s="64"/>
      <c r="AJ668" s="69"/>
      <c r="AK668" s="64"/>
      <c r="AL668" s="69"/>
      <c r="AM668" s="64"/>
      <c r="AN668" s="69"/>
      <c r="AO668" s="64"/>
      <c r="AP668" s="69"/>
      <c r="AQ668" s="64"/>
      <c r="AR668" s="69"/>
      <c r="AS668" s="64"/>
      <c r="AT668" s="69"/>
      <c r="AU668" s="64"/>
      <c r="AV668" s="69"/>
      <c r="AW668" s="64"/>
      <c r="AX668" s="69"/>
      <c r="AY668" s="64"/>
      <c r="AZ668" s="69"/>
      <c r="BA668" s="64"/>
      <c r="BB668" s="69"/>
      <c r="BC668" s="64"/>
      <c r="BD668" s="69"/>
      <c r="BE668" s="64"/>
      <c r="BF668" s="69"/>
      <c r="BG668" s="64"/>
      <c r="BH668" s="69"/>
      <c r="BI668" s="64"/>
      <c r="BJ668" s="69"/>
      <c r="BK668" s="64"/>
      <c r="BL668" s="69"/>
      <c r="BM668" s="64"/>
      <c r="BN668" s="69"/>
      <c r="BO668" s="64"/>
      <c r="BP668" s="69"/>
      <c r="BQ668" s="64"/>
      <c r="BR668" s="69"/>
      <c r="BS668" s="64"/>
      <c r="BT668" s="69"/>
      <c r="BU668" t="b">
        <f t="shared" si="10"/>
        <v>0</v>
      </c>
    </row>
    <row r="669" spans="1:73" x14ac:dyDescent="0.25">
      <c r="A669" s="28"/>
      <c r="B669" s="29"/>
      <c r="C669" s="29"/>
      <c r="D669" s="30"/>
      <c r="E669" s="29"/>
      <c r="F669" s="30"/>
      <c r="G669" s="29"/>
      <c r="H669" s="69"/>
      <c r="I669" s="64"/>
      <c r="J669" s="69"/>
      <c r="K669" s="64"/>
      <c r="L669" s="69"/>
      <c r="M669" s="65"/>
      <c r="N669" s="69"/>
      <c r="O669" s="64"/>
      <c r="P669" s="69"/>
      <c r="Q669" s="64"/>
      <c r="R669" s="69"/>
      <c r="S669" s="64"/>
      <c r="T669" s="69"/>
      <c r="U669" s="64"/>
      <c r="V669" s="69"/>
      <c r="W669" s="65"/>
      <c r="X669" s="69"/>
      <c r="Y669" s="64"/>
      <c r="Z669" s="69"/>
      <c r="AA669" s="64"/>
      <c r="AB669" s="69"/>
      <c r="AC669" s="64"/>
      <c r="AD669" s="69"/>
      <c r="AE669" s="65"/>
      <c r="AF669" s="69"/>
      <c r="AG669" s="65"/>
      <c r="AH669" s="69"/>
      <c r="AI669" s="64"/>
      <c r="AJ669" s="69"/>
      <c r="AK669" s="64"/>
      <c r="AL669" s="69"/>
      <c r="AM669" s="64"/>
      <c r="AN669" s="69"/>
      <c r="AO669" s="64"/>
      <c r="AP669" s="69"/>
      <c r="AQ669" s="64"/>
      <c r="AR669" s="69"/>
      <c r="AS669" s="64"/>
      <c r="AT669" s="69"/>
      <c r="AU669" s="64"/>
      <c r="AV669" s="69"/>
      <c r="AW669" s="64"/>
      <c r="AX669" s="69"/>
      <c r="AY669" s="64"/>
      <c r="AZ669" s="69"/>
      <c r="BA669" s="64"/>
      <c r="BB669" s="69"/>
      <c r="BC669" s="64"/>
      <c r="BD669" s="69"/>
      <c r="BE669" s="64"/>
      <c r="BF669" s="69"/>
      <c r="BG669" s="64"/>
      <c r="BH669" s="69"/>
      <c r="BI669" s="64"/>
      <c r="BJ669" s="69"/>
      <c r="BK669" s="64"/>
      <c r="BL669" s="69"/>
      <c r="BM669" s="64"/>
      <c r="BN669" s="69"/>
      <c r="BO669" s="64"/>
      <c r="BP669" s="69"/>
      <c r="BQ669" s="64"/>
      <c r="BR669" s="69"/>
      <c r="BS669" s="64"/>
      <c r="BT669" s="69"/>
      <c r="BU669" t="b">
        <f t="shared" si="10"/>
        <v>0</v>
      </c>
    </row>
    <row r="670" spans="1:73" x14ac:dyDescent="0.25">
      <c r="A670" s="28"/>
      <c r="B670" s="29"/>
      <c r="C670" s="29"/>
      <c r="D670" s="30"/>
      <c r="E670" s="29"/>
      <c r="F670" s="30"/>
      <c r="G670" s="29"/>
      <c r="H670" s="69"/>
      <c r="I670" s="64"/>
      <c r="J670" s="69"/>
      <c r="K670" s="64"/>
      <c r="L670" s="69"/>
      <c r="M670" s="65"/>
      <c r="N670" s="69"/>
      <c r="O670" s="64"/>
      <c r="P670" s="69"/>
      <c r="Q670" s="64"/>
      <c r="R670" s="69"/>
      <c r="S670" s="64"/>
      <c r="T670" s="69"/>
      <c r="U670" s="64"/>
      <c r="V670" s="69"/>
      <c r="W670" s="65"/>
      <c r="X670" s="69"/>
      <c r="Y670" s="64"/>
      <c r="Z670" s="69"/>
      <c r="AA670" s="64"/>
      <c r="AB670" s="69"/>
      <c r="AC670" s="64"/>
      <c r="AD670" s="69"/>
      <c r="AE670" s="65"/>
      <c r="AF670" s="69"/>
      <c r="AG670" s="65"/>
      <c r="AH670" s="69"/>
      <c r="AI670" s="64"/>
      <c r="AJ670" s="69"/>
      <c r="AK670" s="64"/>
      <c r="AL670" s="69"/>
      <c r="AM670" s="64"/>
      <c r="AN670" s="69"/>
      <c r="AO670" s="64"/>
      <c r="AP670" s="69"/>
      <c r="AQ670" s="64"/>
      <c r="AR670" s="69"/>
      <c r="AS670" s="64"/>
      <c r="AT670" s="69"/>
      <c r="AU670" s="64"/>
      <c r="AV670" s="69"/>
      <c r="AW670" s="64"/>
      <c r="AX670" s="69"/>
      <c r="AY670" s="64"/>
      <c r="AZ670" s="69"/>
      <c r="BA670" s="64"/>
      <c r="BB670" s="69"/>
      <c r="BC670" s="64"/>
      <c r="BD670" s="69"/>
      <c r="BE670" s="64"/>
      <c r="BF670" s="69"/>
      <c r="BG670" s="64"/>
      <c r="BH670" s="69"/>
      <c r="BI670" s="64"/>
      <c r="BJ670" s="69"/>
      <c r="BK670" s="64"/>
      <c r="BL670" s="69"/>
      <c r="BM670" s="64"/>
      <c r="BN670" s="69"/>
      <c r="BO670" s="64"/>
      <c r="BP670" s="69"/>
      <c r="BQ670" s="64"/>
      <c r="BR670" s="69"/>
      <c r="BS670" s="64"/>
      <c r="BT670" s="69"/>
      <c r="BU670" t="b">
        <f t="shared" si="10"/>
        <v>0</v>
      </c>
    </row>
    <row r="671" spans="1:73" x14ac:dyDescent="0.25">
      <c r="A671" s="28"/>
      <c r="B671" s="29"/>
      <c r="C671" s="29"/>
      <c r="D671" s="30"/>
      <c r="E671" s="29"/>
      <c r="F671" s="30"/>
      <c r="G671" s="29"/>
      <c r="H671" s="69"/>
      <c r="I671" s="64"/>
      <c r="J671" s="69"/>
      <c r="K671" s="64"/>
      <c r="L671" s="69"/>
      <c r="M671" s="65"/>
      <c r="N671" s="69"/>
      <c r="O671" s="64"/>
      <c r="P671" s="69"/>
      <c r="Q671" s="64"/>
      <c r="R671" s="69"/>
      <c r="S671" s="64"/>
      <c r="T671" s="69"/>
      <c r="U671" s="64"/>
      <c r="V671" s="69"/>
      <c r="W671" s="65"/>
      <c r="X671" s="69"/>
      <c r="Y671" s="64"/>
      <c r="Z671" s="69"/>
      <c r="AA671" s="64"/>
      <c r="AB671" s="69"/>
      <c r="AC671" s="64"/>
      <c r="AD671" s="69"/>
      <c r="AE671" s="65"/>
      <c r="AF671" s="69"/>
      <c r="AG671" s="65"/>
      <c r="AH671" s="69"/>
      <c r="AI671" s="64"/>
      <c r="AJ671" s="69"/>
      <c r="AK671" s="64"/>
      <c r="AL671" s="69"/>
      <c r="AM671" s="64"/>
      <c r="AN671" s="69"/>
      <c r="AO671" s="64"/>
      <c r="AP671" s="69"/>
      <c r="AQ671" s="64"/>
      <c r="AR671" s="69"/>
      <c r="AS671" s="64"/>
      <c r="AT671" s="69"/>
      <c r="AU671" s="64"/>
      <c r="AV671" s="69"/>
      <c r="AW671" s="64"/>
      <c r="AX671" s="69"/>
      <c r="AY671" s="64"/>
      <c r="AZ671" s="69"/>
      <c r="BA671" s="64"/>
      <c r="BB671" s="69"/>
      <c r="BC671" s="64"/>
      <c r="BD671" s="69"/>
      <c r="BE671" s="64"/>
      <c r="BF671" s="69"/>
      <c r="BG671" s="64"/>
      <c r="BH671" s="69"/>
      <c r="BI671" s="64"/>
      <c r="BJ671" s="69"/>
      <c r="BK671" s="64"/>
      <c r="BL671" s="69"/>
      <c r="BM671" s="64"/>
      <c r="BN671" s="69"/>
      <c r="BO671" s="64"/>
      <c r="BP671" s="69"/>
      <c r="BQ671" s="64"/>
      <c r="BR671" s="69"/>
      <c r="BS671" s="64"/>
      <c r="BT671" s="69"/>
      <c r="BU671" t="b">
        <f t="shared" si="10"/>
        <v>0</v>
      </c>
    </row>
    <row r="672" spans="1:73" x14ac:dyDescent="0.25">
      <c r="A672" s="28"/>
      <c r="B672" s="29"/>
      <c r="C672" s="29"/>
      <c r="D672" s="30"/>
      <c r="E672" s="29"/>
      <c r="F672" s="30"/>
      <c r="G672" s="29"/>
      <c r="H672" s="69"/>
      <c r="I672" s="64"/>
      <c r="J672" s="69"/>
      <c r="K672" s="64"/>
      <c r="L672" s="69"/>
      <c r="M672" s="65"/>
      <c r="N672" s="69"/>
      <c r="O672" s="64"/>
      <c r="P672" s="69"/>
      <c r="Q672" s="64"/>
      <c r="R672" s="69"/>
      <c r="S672" s="64"/>
      <c r="T672" s="69"/>
      <c r="U672" s="64"/>
      <c r="V672" s="69"/>
      <c r="W672" s="65"/>
      <c r="X672" s="69"/>
      <c r="Y672" s="64"/>
      <c r="Z672" s="69"/>
      <c r="AA672" s="64"/>
      <c r="AB672" s="69"/>
      <c r="AC672" s="64"/>
      <c r="AD672" s="69"/>
      <c r="AE672" s="65"/>
      <c r="AF672" s="69"/>
      <c r="AG672" s="65"/>
      <c r="AH672" s="69"/>
      <c r="AI672" s="64"/>
      <c r="AJ672" s="69"/>
      <c r="AK672" s="64"/>
      <c r="AL672" s="69"/>
      <c r="AM672" s="64"/>
      <c r="AN672" s="69"/>
      <c r="AO672" s="64"/>
      <c r="AP672" s="69"/>
      <c r="AQ672" s="64"/>
      <c r="AR672" s="69"/>
      <c r="AS672" s="64"/>
      <c r="AT672" s="69"/>
      <c r="AU672" s="64"/>
      <c r="AV672" s="69"/>
      <c r="AW672" s="64"/>
      <c r="AX672" s="69"/>
      <c r="AY672" s="64"/>
      <c r="AZ672" s="69"/>
      <c r="BA672" s="64"/>
      <c r="BB672" s="69"/>
      <c r="BC672" s="64"/>
      <c r="BD672" s="69"/>
      <c r="BE672" s="64"/>
      <c r="BF672" s="69"/>
      <c r="BG672" s="64"/>
      <c r="BH672" s="69"/>
      <c r="BI672" s="64"/>
      <c r="BJ672" s="69"/>
      <c r="BK672" s="64"/>
      <c r="BL672" s="69"/>
      <c r="BM672" s="64"/>
      <c r="BN672" s="69"/>
      <c r="BO672" s="64"/>
      <c r="BP672" s="69"/>
      <c r="BQ672" s="64"/>
      <c r="BR672" s="69"/>
      <c r="BS672" s="64"/>
      <c r="BT672" s="69"/>
      <c r="BU672" t="b">
        <f t="shared" si="10"/>
        <v>0</v>
      </c>
    </row>
    <row r="673" spans="1:73" x14ac:dyDescent="0.25">
      <c r="A673" s="28"/>
      <c r="B673" s="29"/>
      <c r="C673" s="29"/>
      <c r="D673" s="30"/>
      <c r="E673" s="29"/>
      <c r="F673" s="30"/>
      <c r="G673" s="29"/>
      <c r="H673" s="69"/>
      <c r="I673" s="64"/>
      <c r="J673" s="69"/>
      <c r="K673" s="64"/>
      <c r="L673" s="69"/>
      <c r="M673" s="65"/>
      <c r="N673" s="69"/>
      <c r="O673" s="64"/>
      <c r="P673" s="69"/>
      <c r="Q673" s="64"/>
      <c r="R673" s="69"/>
      <c r="S673" s="64"/>
      <c r="T673" s="69"/>
      <c r="U673" s="64"/>
      <c r="V673" s="69"/>
      <c r="W673" s="65"/>
      <c r="X673" s="69"/>
      <c r="Y673" s="64"/>
      <c r="Z673" s="69"/>
      <c r="AA673" s="64"/>
      <c r="AB673" s="69"/>
      <c r="AC673" s="64"/>
      <c r="AD673" s="69"/>
      <c r="AE673" s="65"/>
      <c r="AF673" s="69"/>
      <c r="AG673" s="65"/>
      <c r="AH673" s="69"/>
      <c r="AI673" s="64"/>
      <c r="AJ673" s="69"/>
      <c r="AK673" s="64"/>
      <c r="AL673" s="69"/>
      <c r="AM673" s="64"/>
      <c r="AN673" s="69"/>
      <c r="AO673" s="64"/>
      <c r="AP673" s="69"/>
      <c r="AQ673" s="64"/>
      <c r="AR673" s="69"/>
      <c r="AS673" s="64"/>
      <c r="AT673" s="69"/>
      <c r="AU673" s="64"/>
      <c r="AV673" s="69"/>
      <c r="AW673" s="64"/>
      <c r="AX673" s="69"/>
      <c r="AY673" s="64"/>
      <c r="AZ673" s="69"/>
      <c r="BA673" s="64"/>
      <c r="BB673" s="69"/>
      <c r="BC673" s="64"/>
      <c r="BD673" s="69"/>
      <c r="BE673" s="64"/>
      <c r="BF673" s="69"/>
      <c r="BG673" s="64"/>
      <c r="BH673" s="69"/>
      <c r="BI673" s="64"/>
      <c r="BJ673" s="69"/>
      <c r="BK673" s="64"/>
      <c r="BL673" s="69"/>
      <c r="BM673" s="64"/>
      <c r="BN673" s="69"/>
      <c r="BO673" s="64"/>
      <c r="BP673" s="69"/>
      <c r="BQ673" s="64"/>
      <c r="BR673" s="69"/>
      <c r="BS673" s="64"/>
      <c r="BT673" s="69"/>
      <c r="BU673" t="b">
        <f t="shared" si="10"/>
        <v>0</v>
      </c>
    </row>
    <row r="674" spans="1:73" x14ac:dyDescent="0.25">
      <c r="A674" s="28"/>
      <c r="B674" s="29"/>
      <c r="C674" s="29"/>
      <c r="D674" s="30"/>
      <c r="E674" s="29"/>
      <c r="F674" s="30"/>
      <c r="G674" s="29"/>
      <c r="H674" s="69"/>
      <c r="I674" s="64"/>
      <c r="J674" s="69"/>
      <c r="K674" s="64"/>
      <c r="L674" s="69"/>
      <c r="M674" s="65"/>
      <c r="N674" s="69"/>
      <c r="O674" s="64"/>
      <c r="P674" s="69"/>
      <c r="Q674" s="64"/>
      <c r="R674" s="69"/>
      <c r="S674" s="64"/>
      <c r="T674" s="69"/>
      <c r="U674" s="64"/>
      <c r="V674" s="69"/>
      <c r="W674" s="65"/>
      <c r="X674" s="69"/>
      <c r="Y674" s="64"/>
      <c r="Z674" s="69"/>
      <c r="AA674" s="64"/>
      <c r="AB674" s="69"/>
      <c r="AC674" s="64"/>
      <c r="AD674" s="69"/>
      <c r="AE674" s="65"/>
      <c r="AF674" s="69"/>
      <c r="AG674" s="65"/>
      <c r="AH674" s="69"/>
      <c r="AI674" s="64"/>
      <c r="AJ674" s="69"/>
      <c r="AK674" s="64"/>
      <c r="AL674" s="69"/>
      <c r="AM674" s="64"/>
      <c r="AN674" s="69"/>
      <c r="AO674" s="64"/>
      <c r="AP674" s="69"/>
      <c r="AQ674" s="64"/>
      <c r="AR674" s="69"/>
      <c r="AS674" s="64"/>
      <c r="AT674" s="69"/>
      <c r="AU674" s="64"/>
      <c r="AV674" s="69"/>
      <c r="AW674" s="64"/>
      <c r="AX674" s="69"/>
      <c r="AY674" s="64"/>
      <c r="AZ674" s="69"/>
      <c r="BA674" s="64"/>
      <c r="BB674" s="69"/>
      <c r="BC674" s="64"/>
      <c r="BD674" s="69"/>
      <c r="BE674" s="64"/>
      <c r="BF674" s="69"/>
      <c r="BG674" s="64"/>
      <c r="BH674" s="69"/>
      <c r="BI674" s="64"/>
      <c r="BJ674" s="69"/>
      <c r="BK674" s="64"/>
      <c r="BL674" s="69"/>
      <c r="BM674" s="64"/>
      <c r="BN674" s="69"/>
      <c r="BO674" s="64"/>
      <c r="BP674" s="69"/>
      <c r="BQ674" s="64"/>
      <c r="BR674" s="69"/>
      <c r="BS674" s="64"/>
      <c r="BT674" s="69"/>
      <c r="BU674" t="b">
        <f t="shared" si="10"/>
        <v>0</v>
      </c>
    </row>
    <row r="675" spans="1:73" x14ac:dyDescent="0.25">
      <c r="A675" s="28"/>
      <c r="B675" s="29"/>
      <c r="C675" s="29"/>
      <c r="D675" s="30"/>
      <c r="E675" s="29"/>
      <c r="F675" s="30"/>
      <c r="G675" s="29"/>
      <c r="H675" s="69"/>
      <c r="I675" s="64"/>
      <c r="J675" s="69"/>
      <c r="K675" s="64"/>
      <c r="L675" s="69"/>
      <c r="M675" s="65"/>
      <c r="N675" s="69"/>
      <c r="O675" s="64"/>
      <c r="P675" s="69"/>
      <c r="Q675" s="64"/>
      <c r="R675" s="69"/>
      <c r="S675" s="64"/>
      <c r="T675" s="69"/>
      <c r="U675" s="64"/>
      <c r="V675" s="69"/>
      <c r="W675" s="65"/>
      <c r="X675" s="69"/>
      <c r="Y675" s="64"/>
      <c r="Z675" s="69"/>
      <c r="AA675" s="64"/>
      <c r="AB675" s="69"/>
      <c r="AC675" s="64"/>
      <c r="AD675" s="69"/>
      <c r="AE675" s="65"/>
      <c r="AF675" s="69"/>
      <c r="AG675" s="65"/>
      <c r="AH675" s="69"/>
      <c r="AI675" s="64"/>
      <c r="AJ675" s="69"/>
      <c r="AK675" s="64"/>
      <c r="AL675" s="69"/>
      <c r="AM675" s="64"/>
      <c r="AN675" s="69"/>
      <c r="AO675" s="64"/>
      <c r="AP675" s="69"/>
      <c r="AQ675" s="64"/>
      <c r="AR675" s="69"/>
      <c r="AS675" s="64"/>
      <c r="AT675" s="69"/>
      <c r="AU675" s="64"/>
      <c r="AV675" s="69"/>
      <c r="AW675" s="64"/>
      <c r="AX675" s="69"/>
      <c r="AY675" s="64"/>
      <c r="AZ675" s="69"/>
      <c r="BA675" s="64"/>
      <c r="BB675" s="69"/>
      <c r="BC675" s="64"/>
      <c r="BD675" s="69"/>
      <c r="BE675" s="64"/>
      <c r="BF675" s="69"/>
      <c r="BG675" s="64"/>
      <c r="BH675" s="69"/>
      <c r="BI675" s="64"/>
      <c r="BJ675" s="69"/>
      <c r="BK675" s="64"/>
      <c r="BL675" s="69"/>
      <c r="BM675" s="64"/>
      <c r="BN675" s="69"/>
      <c r="BO675" s="64"/>
      <c r="BP675" s="69"/>
      <c r="BQ675" s="64"/>
      <c r="BR675" s="69"/>
      <c r="BS675" s="64"/>
      <c r="BT675" s="69"/>
      <c r="BU675" t="b">
        <f t="shared" si="10"/>
        <v>0</v>
      </c>
    </row>
    <row r="676" spans="1:73" x14ac:dyDescent="0.25">
      <c r="A676" s="28"/>
      <c r="B676" s="29"/>
      <c r="C676" s="29"/>
      <c r="D676" s="30"/>
      <c r="E676" s="29"/>
      <c r="F676" s="30"/>
      <c r="G676" s="29"/>
      <c r="H676" s="69"/>
      <c r="I676" s="64"/>
      <c r="J676" s="69"/>
      <c r="K676" s="64"/>
      <c r="L676" s="69"/>
      <c r="M676" s="65"/>
      <c r="N676" s="69"/>
      <c r="O676" s="64"/>
      <c r="P676" s="69"/>
      <c r="Q676" s="64"/>
      <c r="R676" s="69"/>
      <c r="S676" s="64"/>
      <c r="T676" s="69"/>
      <c r="U676" s="64"/>
      <c r="V676" s="69"/>
      <c r="W676" s="65"/>
      <c r="X676" s="69"/>
      <c r="Y676" s="64"/>
      <c r="Z676" s="69"/>
      <c r="AA676" s="64"/>
      <c r="AB676" s="69"/>
      <c r="AC676" s="64"/>
      <c r="AD676" s="69"/>
      <c r="AE676" s="65"/>
      <c r="AF676" s="69"/>
      <c r="AG676" s="65"/>
      <c r="AH676" s="69"/>
      <c r="AI676" s="64"/>
      <c r="AJ676" s="69"/>
      <c r="AK676" s="64"/>
      <c r="AL676" s="69"/>
      <c r="AM676" s="64"/>
      <c r="AN676" s="69"/>
      <c r="AO676" s="64"/>
      <c r="AP676" s="69"/>
      <c r="AQ676" s="64"/>
      <c r="AR676" s="69"/>
      <c r="AS676" s="64"/>
      <c r="AT676" s="69"/>
      <c r="AU676" s="64"/>
      <c r="AV676" s="69"/>
      <c r="AW676" s="64"/>
      <c r="AX676" s="69"/>
      <c r="AY676" s="64"/>
      <c r="AZ676" s="69"/>
      <c r="BA676" s="64"/>
      <c r="BB676" s="69"/>
      <c r="BC676" s="64"/>
      <c r="BD676" s="69"/>
      <c r="BE676" s="64"/>
      <c r="BF676" s="69"/>
      <c r="BG676" s="64"/>
      <c r="BH676" s="69"/>
      <c r="BI676" s="64"/>
      <c r="BJ676" s="69"/>
      <c r="BK676" s="64"/>
      <c r="BL676" s="69"/>
      <c r="BM676" s="64"/>
      <c r="BN676" s="69"/>
      <c r="BO676" s="64"/>
      <c r="BP676" s="69"/>
      <c r="BQ676" s="64"/>
      <c r="BR676" s="69"/>
      <c r="BS676" s="64"/>
      <c r="BT676" s="69"/>
      <c r="BU676" t="b">
        <f t="shared" si="10"/>
        <v>0</v>
      </c>
    </row>
    <row r="677" spans="1:73" x14ac:dyDescent="0.25">
      <c r="A677" s="28"/>
      <c r="B677" s="29"/>
      <c r="C677" s="29"/>
      <c r="D677" s="30"/>
      <c r="E677" s="29"/>
      <c r="F677" s="30"/>
      <c r="G677" s="29"/>
      <c r="H677" s="69"/>
      <c r="I677" s="64"/>
      <c r="J677" s="69"/>
      <c r="K677" s="64"/>
      <c r="L677" s="69"/>
      <c r="M677" s="65"/>
      <c r="N677" s="69"/>
      <c r="O677" s="64"/>
      <c r="P677" s="69"/>
      <c r="Q677" s="64"/>
      <c r="R677" s="69"/>
      <c r="S677" s="64"/>
      <c r="T677" s="69"/>
      <c r="U677" s="64"/>
      <c r="V677" s="69"/>
      <c r="W677" s="65"/>
      <c r="X677" s="69"/>
      <c r="Y677" s="64"/>
      <c r="Z677" s="69"/>
      <c r="AA677" s="64"/>
      <c r="AB677" s="69"/>
      <c r="AC677" s="64"/>
      <c r="AD677" s="69"/>
      <c r="AE677" s="65"/>
      <c r="AF677" s="69"/>
      <c r="AG677" s="65"/>
      <c r="AH677" s="69"/>
      <c r="AI677" s="64"/>
      <c r="AJ677" s="69"/>
      <c r="AK677" s="64"/>
      <c r="AL677" s="69"/>
      <c r="AM677" s="64"/>
      <c r="AN677" s="69"/>
      <c r="AO677" s="64"/>
      <c r="AP677" s="69"/>
      <c r="AQ677" s="64"/>
      <c r="AR677" s="69"/>
      <c r="AS677" s="64"/>
      <c r="AT677" s="69"/>
      <c r="AU677" s="64"/>
      <c r="AV677" s="69"/>
      <c r="AW677" s="64"/>
      <c r="AX677" s="69"/>
      <c r="AY677" s="64"/>
      <c r="AZ677" s="69"/>
      <c r="BA677" s="64"/>
      <c r="BB677" s="69"/>
      <c r="BC677" s="64"/>
      <c r="BD677" s="69"/>
      <c r="BE677" s="64"/>
      <c r="BF677" s="69"/>
      <c r="BG677" s="64"/>
      <c r="BH677" s="69"/>
      <c r="BI677" s="64"/>
      <c r="BJ677" s="69"/>
      <c r="BK677" s="64"/>
      <c r="BL677" s="69"/>
      <c r="BM677" s="64"/>
      <c r="BN677" s="69"/>
      <c r="BO677" s="64"/>
      <c r="BP677" s="69"/>
      <c r="BQ677" s="64"/>
      <c r="BR677" s="69"/>
      <c r="BS677" s="64"/>
      <c r="BT677" s="69"/>
      <c r="BU677" t="b">
        <f t="shared" ref="BU677:BU740" si="11">NOT(AND(BR677="",BP677="",BN677="",BL677="",BJ677="",BH677="",BF677="",BD677="",BB677="",AZ677="",AX677="",AV677="",AT677="",AR677="",AP677="",AN677="",AL677="",AJ677="",AH677="",AF677="",AD677="",AB677="",Z677="",X677="",V677="",T677="",R677="",P677="",N677="", L677="",J677=""))</f>
        <v>0</v>
      </c>
    </row>
    <row r="678" spans="1:73" x14ac:dyDescent="0.25">
      <c r="A678" s="28"/>
      <c r="B678" s="29"/>
      <c r="C678" s="29"/>
      <c r="D678" s="30"/>
      <c r="E678" s="29"/>
      <c r="F678" s="30"/>
      <c r="G678" s="29"/>
      <c r="H678" s="69"/>
      <c r="I678" s="64"/>
      <c r="J678" s="69"/>
      <c r="K678" s="64"/>
      <c r="L678" s="69"/>
      <c r="M678" s="65"/>
      <c r="N678" s="69"/>
      <c r="O678" s="64"/>
      <c r="P678" s="69"/>
      <c r="Q678" s="64"/>
      <c r="R678" s="69"/>
      <c r="S678" s="64"/>
      <c r="T678" s="69"/>
      <c r="U678" s="64"/>
      <c r="V678" s="69"/>
      <c r="W678" s="65"/>
      <c r="X678" s="69"/>
      <c r="Y678" s="64"/>
      <c r="Z678" s="69"/>
      <c r="AA678" s="64"/>
      <c r="AB678" s="69"/>
      <c r="AC678" s="64"/>
      <c r="AD678" s="69"/>
      <c r="AE678" s="65"/>
      <c r="AF678" s="69"/>
      <c r="AG678" s="65"/>
      <c r="AH678" s="69"/>
      <c r="AI678" s="64"/>
      <c r="AJ678" s="69"/>
      <c r="AK678" s="64"/>
      <c r="AL678" s="69"/>
      <c r="AM678" s="64"/>
      <c r="AN678" s="69"/>
      <c r="AO678" s="64"/>
      <c r="AP678" s="69"/>
      <c r="AQ678" s="64"/>
      <c r="AR678" s="69"/>
      <c r="AS678" s="64"/>
      <c r="AT678" s="69"/>
      <c r="AU678" s="64"/>
      <c r="AV678" s="69"/>
      <c r="AW678" s="64"/>
      <c r="AX678" s="69"/>
      <c r="AY678" s="64"/>
      <c r="AZ678" s="69"/>
      <c r="BA678" s="64"/>
      <c r="BB678" s="69"/>
      <c r="BC678" s="64"/>
      <c r="BD678" s="69"/>
      <c r="BE678" s="64"/>
      <c r="BF678" s="69"/>
      <c r="BG678" s="64"/>
      <c r="BH678" s="69"/>
      <c r="BI678" s="64"/>
      <c r="BJ678" s="69"/>
      <c r="BK678" s="64"/>
      <c r="BL678" s="69"/>
      <c r="BM678" s="64"/>
      <c r="BN678" s="69"/>
      <c r="BO678" s="64"/>
      <c r="BP678" s="69"/>
      <c r="BQ678" s="64"/>
      <c r="BR678" s="69"/>
      <c r="BS678" s="64"/>
      <c r="BT678" s="69"/>
      <c r="BU678" t="b">
        <f t="shared" si="11"/>
        <v>0</v>
      </c>
    </row>
    <row r="679" spans="1:73" x14ac:dyDescent="0.25">
      <c r="A679" s="28"/>
      <c r="B679" s="29"/>
      <c r="C679" s="29"/>
      <c r="D679" s="30"/>
      <c r="E679" s="29"/>
      <c r="F679" s="30"/>
      <c r="G679" s="29"/>
      <c r="H679" s="69"/>
      <c r="I679" s="64"/>
      <c r="J679" s="69"/>
      <c r="K679" s="64"/>
      <c r="L679" s="69"/>
      <c r="M679" s="65"/>
      <c r="N679" s="69"/>
      <c r="O679" s="64"/>
      <c r="P679" s="69"/>
      <c r="Q679" s="64"/>
      <c r="R679" s="69"/>
      <c r="S679" s="64"/>
      <c r="T679" s="69"/>
      <c r="U679" s="64"/>
      <c r="V679" s="69"/>
      <c r="W679" s="65"/>
      <c r="X679" s="69"/>
      <c r="Y679" s="64"/>
      <c r="Z679" s="69"/>
      <c r="AA679" s="64"/>
      <c r="AB679" s="69"/>
      <c r="AC679" s="64"/>
      <c r="AD679" s="69"/>
      <c r="AE679" s="65"/>
      <c r="AF679" s="69"/>
      <c r="AG679" s="65"/>
      <c r="AH679" s="69"/>
      <c r="AI679" s="64"/>
      <c r="AJ679" s="69"/>
      <c r="AK679" s="64"/>
      <c r="AL679" s="69"/>
      <c r="AM679" s="64"/>
      <c r="AN679" s="69"/>
      <c r="AO679" s="64"/>
      <c r="AP679" s="69"/>
      <c r="AQ679" s="64"/>
      <c r="AR679" s="69"/>
      <c r="AS679" s="64"/>
      <c r="AT679" s="69"/>
      <c r="AU679" s="64"/>
      <c r="AV679" s="69"/>
      <c r="AW679" s="64"/>
      <c r="AX679" s="69"/>
      <c r="AY679" s="64"/>
      <c r="AZ679" s="69"/>
      <c r="BA679" s="64"/>
      <c r="BB679" s="69"/>
      <c r="BC679" s="64"/>
      <c r="BD679" s="69"/>
      <c r="BE679" s="64"/>
      <c r="BF679" s="69"/>
      <c r="BG679" s="64"/>
      <c r="BH679" s="69"/>
      <c r="BI679" s="64"/>
      <c r="BJ679" s="69"/>
      <c r="BK679" s="64"/>
      <c r="BL679" s="69"/>
      <c r="BM679" s="64"/>
      <c r="BN679" s="69"/>
      <c r="BO679" s="64"/>
      <c r="BP679" s="69"/>
      <c r="BQ679" s="64"/>
      <c r="BR679" s="69"/>
      <c r="BS679" s="64"/>
      <c r="BT679" s="69"/>
      <c r="BU679" t="b">
        <f t="shared" si="11"/>
        <v>0</v>
      </c>
    </row>
    <row r="680" spans="1:73" x14ac:dyDescent="0.25">
      <c r="A680" s="28"/>
      <c r="B680" s="29"/>
      <c r="C680" s="29"/>
      <c r="D680" s="30"/>
      <c r="E680" s="29"/>
      <c r="F680" s="30"/>
      <c r="G680" s="29"/>
      <c r="H680" s="69"/>
      <c r="I680" s="64"/>
      <c r="J680" s="69"/>
      <c r="K680" s="64"/>
      <c r="L680" s="69"/>
      <c r="M680" s="65"/>
      <c r="N680" s="69"/>
      <c r="O680" s="64"/>
      <c r="P680" s="69"/>
      <c r="Q680" s="64"/>
      <c r="R680" s="69"/>
      <c r="S680" s="64"/>
      <c r="T680" s="69"/>
      <c r="U680" s="64"/>
      <c r="V680" s="69"/>
      <c r="W680" s="65"/>
      <c r="X680" s="69"/>
      <c r="Y680" s="64"/>
      <c r="Z680" s="69"/>
      <c r="AA680" s="64"/>
      <c r="AB680" s="69"/>
      <c r="AC680" s="64"/>
      <c r="AD680" s="69"/>
      <c r="AE680" s="65"/>
      <c r="AF680" s="69"/>
      <c r="AG680" s="65"/>
      <c r="AH680" s="69"/>
      <c r="AI680" s="64"/>
      <c r="AJ680" s="69"/>
      <c r="AK680" s="64"/>
      <c r="AL680" s="69"/>
      <c r="AM680" s="64"/>
      <c r="AN680" s="69"/>
      <c r="AO680" s="64"/>
      <c r="AP680" s="69"/>
      <c r="AQ680" s="64"/>
      <c r="AR680" s="69"/>
      <c r="AS680" s="64"/>
      <c r="AT680" s="69"/>
      <c r="AU680" s="64"/>
      <c r="AV680" s="69"/>
      <c r="AW680" s="64"/>
      <c r="AX680" s="69"/>
      <c r="AY680" s="64"/>
      <c r="AZ680" s="69"/>
      <c r="BA680" s="64"/>
      <c r="BB680" s="69"/>
      <c r="BC680" s="64"/>
      <c r="BD680" s="69"/>
      <c r="BE680" s="64"/>
      <c r="BF680" s="69"/>
      <c r="BG680" s="64"/>
      <c r="BH680" s="69"/>
      <c r="BI680" s="64"/>
      <c r="BJ680" s="69"/>
      <c r="BK680" s="64"/>
      <c r="BL680" s="69"/>
      <c r="BM680" s="64"/>
      <c r="BN680" s="69"/>
      <c r="BO680" s="64"/>
      <c r="BP680" s="69"/>
      <c r="BQ680" s="64"/>
      <c r="BR680" s="69"/>
      <c r="BS680" s="64"/>
      <c r="BT680" s="69"/>
      <c r="BU680" t="b">
        <f t="shared" si="11"/>
        <v>0</v>
      </c>
    </row>
    <row r="681" spans="1:73" x14ac:dyDescent="0.25">
      <c r="A681" s="28"/>
      <c r="B681" s="29"/>
      <c r="C681" s="29"/>
      <c r="D681" s="30"/>
      <c r="E681" s="29"/>
      <c r="F681" s="30"/>
      <c r="G681" s="29"/>
      <c r="H681" s="69"/>
      <c r="I681" s="64"/>
      <c r="J681" s="69"/>
      <c r="K681" s="64"/>
      <c r="L681" s="69"/>
      <c r="M681" s="65"/>
      <c r="N681" s="69"/>
      <c r="O681" s="64"/>
      <c r="P681" s="69"/>
      <c r="Q681" s="64"/>
      <c r="R681" s="69"/>
      <c r="S681" s="64"/>
      <c r="T681" s="69"/>
      <c r="U681" s="64"/>
      <c r="V681" s="69"/>
      <c r="W681" s="65"/>
      <c r="X681" s="69"/>
      <c r="Y681" s="64"/>
      <c r="Z681" s="69"/>
      <c r="AA681" s="64"/>
      <c r="AB681" s="69"/>
      <c r="AC681" s="64"/>
      <c r="AD681" s="69"/>
      <c r="AE681" s="65"/>
      <c r="AF681" s="69"/>
      <c r="AG681" s="65"/>
      <c r="AH681" s="69"/>
      <c r="AI681" s="64"/>
      <c r="AJ681" s="69"/>
      <c r="AK681" s="64"/>
      <c r="AL681" s="69"/>
      <c r="AM681" s="64"/>
      <c r="AN681" s="69"/>
      <c r="AO681" s="64"/>
      <c r="AP681" s="69"/>
      <c r="AQ681" s="64"/>
      <c r="AR681" s="69"/>
      <c r="AS681" s="64"/>
      <c r="AT681" s="69"/>
      <c r="AU681" s="64"/>
      <c r="AV681" s="69"/>
      <c r="AW681" s="64"/>
      <c r="AX681" s="69"/>
      <c r="AY681" s="64"/>
      <c r="AZ681" s="69"/>
      <c r="BA681" s="64"/>
      <c r="BB681" s="69"/>
      <c r="BC681" s="64"/>
      <c r="BD681" s="69"/>
      <c r="BE681" s="64"/>
      <c r="BF681" s="69"/>
      <c r="BG681" s="64"/>
      <c r="BH681" s="69"/>
      <c r="BI681" s="64"/>
      <c r="BJ681" s="69"/>
      <c r="BK681" s="64"/>
      <c r="BL681" s="69"/>
      <c r="BM681" s="64"/>
      <c r="BN681" s="69"/>
      <c r="BO681" s="64"/>
      <c r="BP681" s="69"/>
      <c r="BQ681" s="64"/>
      <c r="BR681" s="69"/>
      <c r="BS681" s="64"/>
      <c r="BT681" s="69"/>
      <c r="BU681" t="b">
        <f t="shared" si="11"/>
        <v>0</v>
      </c>
    </row>
    <row r="682" spans="1:73" x14ac:dyDescent="0.25">
      <c r="A682" s="28"/>
      <c r="B682" s="29"/>
      <c r="C682" s="29"/>
      <c r="D682" s="30"/>
      <c r="E682" s="29"/>
      <c r="F682" s="30"/>
      <c r="G682" s="29"/>
      <c r="H682" s="69"/>
      <c r="I682" s="64"/>
      <c r="J682" s="69"/>
      <c r="K682" s="64"/>
      <c r="L682" s="69"/>
      <c r="M682" s="65"/>
      <c r="N682" s="69"/>
      <c r="O682" s="64"/>
      <c r="P682" s="69"/>
      <c r="Q682" s="64"/>
      <c r="R682" s="69"/>
      <c r="S682" s="64"/>
      <c r="T682" s="69"/>
      <c r="U682" s="64"/>
      <c r="V682" s="69"/>
      <c r="W682" s="65"/>
      <c r="X682" s="69"/>
      <c r="Y682" s="64"/>
      <c r="Z682" s="69"/>
      <c r="AA682" s="64"/>
      <c r="AB682" s="69"/>
      <c r="AC682" s="64"/>
      <c r="AD682" s="69"/>
      <c r="AE682" s="65"/>
      <c r="AF682" s="69"/>
      <c r="AG682" s="65"/>
      <c r="AH682" s="69"/>
      <c r="AI682" s="64"/>
      <c r="AJ682" s="69"/>
      <c r="AK682" s="64"/>
      <c r="AL682" s="69"/>
      <c r="AM682" s="64"/>
      <c r="AN682" s="69"/>
      <c r="AO682" s="64"/>
      <c r="AP682" s="69"/>
      <c r="AQ682" s="64"/>
      <c r="AR682" s="69"/>
      <c r="AS682" s="64"/>
      <c r="AT682" s="69"/>
      <c r="AU682" s="64"/>
      <c r="AV682" s="69"/>
      <c r="AW682" s="64"/>
      <c r="AX682" s="69"/>
      <c r="AY682" s="64"/>
      <c r="AZ682" s="69"/>
      <c r="BA682" s="64"/>
      <c r="BB682" s="69"/>
      <c r="BC682" s="64"/>
      <c r="BD682" s="69"/>
      <c r="BE682" s="64"/>
      <c r="BF682" s="69"/>
      <c r="BG682" s="64"/>
      <c r="BH682" s="69"/>
      <c r="BI682" s="64"/>
      <c r="BJ682" s="69"/>
      <c r="BK682" s="64"/>
      <c r="BL682" s="69"/>
      <c r="BM682" s="64"/>
      <c r="BN682" s="69"/>
      <c r="BO682" s="64"/>
      <c r="BP682" s="69"/>
      <c r="BQ682" s="64"/>
      <c r="BR682" s="69"/>
      <c r="BS682" s="64"/>
      <c r="BT682" s="69"/>
      <c r="BU682" t="b">
        <f t="shared" si="11"/>
        <v>0</v>
      </c>
    </row>
    <row r="683" spans="1:73" x14ac:dyDescent="0.25">
      <c r="A683" s="28"/>
      <c r="B683" s="29"/>
      <c r="C683" s="29"/>
      <c r="D683" s="30"/>
      <c r="E683" s="29"/>
      <c r="F683" s="30"/>
      <c r="G683" s="29"/>
      <c r="H683" s="69"/>
      <c r="I683" s="64"/>
      <c r="J683" s="69"/>
      <c r="K683" s="64"/>
      <c r="L683" s="69"/>
      <c r="M683" s="65"/>
      <c r="N683" s="69"/>
      <c r="O683" s="64"/>
      <c r="P683" s="69"/>
      <c r="Q683" s="64"/>
      <c r="R683" s="69"/>
      <c r="S683" s="64"/>
      <c r="T683" s="69"/>
      <c r="U683" s="64"/>
      <c r="V683" s="69"/>
      <c r="W683" s="65"/>
      <c r="X683" s="69"/>
      <c r="Y683" s="64"/>
      <c r="Z683" s="69"/>
      <c r="AA683" s="64"/>
      <c r="AB683" s="69"/>
      <c r="AC683" s="64"/>
      <c r="AD683" s="69"/>
      <c r="AE683" s="65"/>
      <c r="AF683" s="69"/>
      <c r="AG683" s="65"/>
      <c r="AH683" s="69"/>
      <c r="AI683" s="64"/>
      <c r="AJ683" s="69"/>
      <c r="AK683" s="64"/>
      <c r="AL683" s="69"/>
      <c r="AM683" s="64"/>
      <c r="AN683" s="69"/>
      <c r="AO683" s="64"/>
      <c r="AP683" s="69"/>
      <c r="AQ683" s="64"/>
      <c r="AR683" s="69"/>
      <c r="AS683" s="64"/>
      <c r="AT683" s="69"/>
      <c r="AU683" s="64"/>
      <c r="AV683" s="69"/>
      <c r="AW683" s="64"/>
      <c r="AX683" s="69"/>
      <c r="AY683" s="64"/>
      <c r="AZ683" s="69"/>
      <c r="BA683" s="64"/>
      <c r="BB683" s="69"/>
      <c r="BC683" s="64"/>
      <c r="BD683" s="69"/>
      <c r="BE683" s="64"/>
      <c r="BF683" s="69"/>
      <c r="BG683" s="64"/>
      <c r="BH683" s="69"/>
      <c r="BI683" s="64"/>
      <c r="BJ683" s="69"/>
      <c r="BK683" s="64"/>
      <c r="BL683" s="69"/>
      <c r="BM683" s="64"/>
      <c r="BN683" s="69"/>
      <c r="BO683" s="64"/>
      <c r="BP683" s="69"/>
      <c r="BQ683" s="64"/>
      <c r="BR683" s="69"/>
      <c r="BS683" s="64"/>
      <c r="BT683" s="69"/>
      <c r="BU683" t="b">
        <f t="shared" si="11"/>
        <v>0</v>
      </c>
    </row>
    <row r="684" spans="1:73" x14ac:dyDescent="0.25">
      <c r="A684" s="28"/>
      <c r="B684" s="29"/>
      <c r="C684" s="29"/>
      <c r="D684" s="30"/>
      <c r="E684" s="29"/>
      <c r="F684" s="30"/>
      <c r="G684" s="29"/>
      <c r="H684" s="69"/>
      <c r="I684" s="64"/>
      <c r="J684" s="69"/>
      <c r="K684" s="64"/>
      <c r="L684" s="69"/>
      <c r="M684" s="65"/>
      <c r="N684" s="69"/>
      <c r="O684" s="64"/>
      <c r="P684" s="69"/>
      <c r="Q684" s="64"/>
      <c r="R684" s="69"/>
      <c r="S684" s="64"/>
      <c r="T684" s="69"/>
      <c r="U684" s="64"/>
      <c r="V684" s="69"/>
      <c r="W684" s="65"/>
      <c r="X684" s="69"/>
      <c r="Y684" s="64"/>
      <c r="Z684" s="69"/>
      <c r="AA684" s="64"/>
      <c r="AB684" s="69"/>
      <c r="AC684" s="64"/>
      <c r="AD684" s="69"/>
      <c r="AE684" s="65"/>
      <c r="AF684" s="69"/>
      <c r="AG684" s="65"/>
      <c r="AH684" s="69"/>
      <c r="AI684" s="64"/>
      <c r="AJ684" s="69"/>
      <c r="AK684" s="64"/>
      <c r="AL684" s="69"/>
      <c r="AM684" s="64"/>
      <c r="AN684" s="69"/>
      <c r="AO684" s="64"/>
      <c r="AP684" s="69"/>
      <c r="AQ684" s="64"/>
      <c r="AR684" s="69"/>
      <c r="AS684" s="64"/>
      <c r="AT684" s="69"/>
      <c r="AU684" s="64"/>
      <c r="AV684" s="69"/>
      <c r="AW684" s="64"/>
      <c r="AX684" s="69"/>
      <c r="AY684" s="64"/>
      <c r="AZ684" s="69"/>
      <c r="BA684" s="64"/>
      <c r="BB684" s="69"/>
      <c r="BC684" s="64"/>
      <c r="BD684" s="69"/>
      <c r="BE684" s="64"/>
      <c r="BF684" s="69"/>
      <c r="BG684" s="64"/>
      <c r="BH684" s="69"/>
      <c r="BI684" s="64"/>
      <c r="BJ684" s="69"/>
      <c r="BK684" s="64"/>
      <c r="BL684" s="69"/>
      <c r="BM684" s="64"/>
      <c r="BN684" s="69"/>
      <c r="BO684" s="64"/>
      <c r="BP684" s="69"/>
      <c r="BQ684" s="64"/>
      <c r="BR684" s="69"/>
      <c r="BS684" s="64"/>
      <c r="BT684" s="69"/>
      <c r="BU684" t="b">
        <f t="shared" si="11"/>
        <v>0</v>
      </c>
    </row>
    <row r="685" spans="1:73" x14ac:dyDescent="0.25">
      <c r="A685" s="28"/>
      <c r="B685" s="29"/>
      <c r="C685" s="29"/>
      <c r="D685" s="30"/>
      <c r="E685" s="29"/>
      <c r="F685" s="30"/>
      <c r="G685" s="29"/>
      <c r="H685" s="69"/>
      <c r="I685" s="64"/>
      <c r="J685" s="69"/>
      <c r="K685" s="64"/>
      <c r="L685" s="69"/>
      <c r="M685" s="65"/>
      <c r="N685" s="69"/>
      <c r="O685" s="64"/>
      <c r="P685" s="69"/>
      <c r="Q685" s="64"/>
      <c r="R685" s="69"/>
      <c r="S685" s="64"/>
      <c r="T685" s="69"/>
      <c r="U685" s="64"/>
      <c r="V685" s="69"/>
      <c r="W685" s="65"/>
      <c r="X685" s="69"/>
      <c r="Y685" s="64"/>
      <c r="Z685" s="69"/>
      <c r="AA685" s="64"/>
      <c r="AB685" s="69"/>
      <c r="AC685" s="64"/>
      <c r="AD685" s="69"/>
      <c r="AE685" s="65"/>
      <c r="AF685" s="69"/>
      <c r="AG685" s="65"/>
      <c r="AH685" s="69"/>
      <c r="AI685" s="64"/>
      <c r="AJ685" s="69"/>
      <c r="AK685" s="64"/>
      <c r="AL685" s="69"/>
      <c r="AM685" s="64"/>
      <c r="AN685" s="69"/>
      <c r="AO685" s="64"/>
      <c r="AP685" s="69"/>
      <c r="AQ685" s="64"/>
      <c r="AR685" s="69"/>
      <c r="AS685" s="64"/>
      <c r="AT685" s="69"/>
      <c r="AU685" s="64"/>
      <c r="AV685" s="69"/>
      <c r="AW685" s="64"/>
      <c r="AX685" s="69"/>
      <c r="AY685" s="64"/>
      <c r="AZ685" s="69"/>
      <c r="BA685" s="64"/>
      <c r="BB685" s="69"/>
      <c r="BC685" s="64"/>
      <c r="BD685" s="69"/>
      <c r="BE685" s="64"/>
      <c r="BF685" s="69"/>
      <c r="BG685" s="64"/>
      <c r="BH685" s="69"/>
      <c r="BI685" s="64"/>
      <c r="BJ685" s="69"/>
      <c r="BK685" s="64"/>
      <c r="BL685" s="69"/>
      <c r="BM685" s="64"/>
      <c r="BN685" s="69"/>
      <c r="BO685" s="64"/>
      <c r="BP685" s="69"/>
      <c r="BQ685" s="64"/>
      <c r="BR685" s="69"/>
      <c r="BS685" s="64"/>
      <c r="BT685" s="69"/>
      <c r="BU685" t="b">
        <f t="shared" si="11"/>
        <v>0</v>
      </c>
    </row>
    <row r="686" spans="1:73" x14ac:dyDescent="0.25">
      <c r="A686" s="28"/>
      <c r="B686" s="29"/>
      <c r="C686" s="29"/>
      <c r="D686" s="30"/>
      <c r="E686" s="29"/>
      <c r="F686" s="30"/>
      <c r="G686" s="29"/>
      <c r="H686" s="69"/>
      <c r="I686" s="64"/>
      <c r="J686" s="69"/>
      <c r="K686" s="64"/>
      <c r="L686" s="69"/>
      <c r="M686" s="65"/>
      <c r="N686" s="69"/>
      <c r="O686" s="64"/>
      <c r="P686" s="69"/>
      <c r="Q686" s="64"/>
      <c r="R686" s="69"/>
      <c r="S686" s="64"/>
      <c r="T686" s="69"/>
      <c r="U686" s="64"/>
      <c r="V686" s="69"/>
      <c r="W686" s="65"/>
      <c r="X686" s="69"/>
      <c r="Y686" s="64"/>
      <c r="Z686" s="69"/>
      <c r="AA686" s="64"/>
      <c r="AB686" s="69"/>
      <c r="AC686" s="64"/>
      <c r="AD686" s="69"/>
      <c r="AE686" s="65"/>
      <c r="AF686" s="69"/>
      <c r="AG686" s="65"/>
      <c r="AH686" s="69"/>
      <c r="AI686" s="64"/>
      <c r="AJ686" s="69"/>
      <c r="AK686" s="64"/>
      <c r="AL686" s="69"/>
      <c r="AM686" s="64"/>
      <c r="AN686" s="69"/>
      <c r="AO686" s="64"/>
      <c r="AP686" s="69"/>
      <c r="AQ686" s="64"/>
      <c r="AR686" s="69"/>
      <c r="AS686" s="64"/>
      <c r="AT686" s="69"/>
      <c r="AU686" s="64"/>
      <c r="AV686" s="69"/>
      <c r="AW686" s="64"/>
      <c r="AX686" s="69"/>
      <c r="AY686" s="64"/>
      <c r="AZ686" s="69"/>
      <c r="BA686" s="64"/>
      <c r="BB686" s="69"/>
      <c r="BC686" s="64"/>
      <c r="BD686" s="69"/>
      <c r="BE686" s="64"/>
      <c r="BF686" s="69"/>
      <c r="BG686" s="64"/>
      <c r="BH686" s="69"/>
      <c r="BI686" s="64"/>
      <c r="BJ686" s="69"/>
      <c r="BK686" s="64"/>
      <c r="BL686" s="69"/>
      <c r="BM686" s="64"/>
      <c r="BN686" s="69"/>
      <c r="BO686" s="64"/>
      <c r="BP686" s="69"/>
      <c r="BQ686" s="64"/>
      <c r="BR686" s="69"/>
      <c r="BS686" s="64"/>
      <c r="BT686" s="69"/>
      <c r="BU686" t="b">
        <f t="shared" si="11"/>
        <v>0</v>
      </c>
    </row>
    <row r="687" spans="1:73" x14ac:dyDescent="0.25">
      <c r="A687" s="28"/>
      <c r="B687" s="29"/>
      <c r="C687" s="29"/>
      <c r="D687" s="30"/>
      <c r="E687" s="29"/>
      <c r="F687" s="30"/>
      <c r="G687" s="29"/>
      <c r="H687" s="69"/>
      <c r="I687" s="64"/>
      <c r="J687" s="69"/>
      <c r="K687" s="64"/>
      <c r="L687" s="69"/>
      <c r="M687" s="65"/>
      <c r="N687" s="69"/>
      <c r="O687" s="64"/>
      <c r="P687" s="69"/>
      <c r="Q687" s="64"/>
      <c r="R687" s="69"/>
      <c r="S687" s="64"/>
      <c r="T687" s="69"/>
      <c r="U687" s="64"/>
      <c r="V687" s="69"/>
      <c r="W687" s="65"/>
      <c r="X687" s="69"/>
      <c r="Y687" s="64"/>
      <c r="Z687" s="69"/>
      <c r="AA687" s="64"/>
      <c r="AB687" s="69"/>
      <c r="AC687" s="64"/>
      <c r="AD687" s="69"/>
      <c r="AE687" s="65"/>
      <c r="AF687" s="69"/>
      <c r="AG687" s="65"/>
      <c r="AH687" s="69"/>
      <c r="AI687" s="64"/>
      <c r="AJ687" s="69"/>
      <c r="AK687" s="64"/>
      <c r="AL687" s="69"/>
      <c r="AM687" s="64"/>
      <c r="AN687" s="69"/>
      <c r="AO687" s="64"/>
      <c r="AP687" s="69"/>
      <c r="AQ687" s="64"/>
      <c r="AR687" s="69"/>
      <c r="AS687" s="64"/>
      <c r="AT687" s="69"/>
      <c r="AU687" s="64"/>
      <c r="AV687" s="69"/>
      <c r="AW687" s="64"/>
      <c r="AX687" s="69"/>
      <c r="AY687" s="64"/>
      <c r="AZ687" s="69"/>
      <c r="BA687" s="64"/>
      <c r="BB687" s="69"/>
      <c r="BC687" s="64"/>
      <c r="BD687" s="69"/>
      <c r="BE687" s="64"/>
      <c r="BF687" s="69"/>
      <c r="BG687" s="64"/>
      <c r="BH687" s="69"/>
      <c r="BI687" s="64"/>
      <c r="BJ687" s="69"/>
      <c r="BK687" s="64"/>
      <c r="BL687" s="69"/>
      <c r="BM687" s="64"/>
      <c r="BN687" s="69"/>
      <c r="BO687" s="64"/>
      <c r="BP687" s="69"/>
      <c r="BQ687" s="64"/>
      <c r="BR687" s="69"/>
      <c r="BS687" s="64"/>
      <c r="BT687" s="69"/>
      <c r="BU687" t="b">
        <f t="shared" si="11"/>
        <v>0</v>
      </c>
    </row>
    <row r="688" spans="1:73" x14ac:dyDescent="0.25">
      <c r="A688" s="28"/>
      <c r="B688" s="29"/>
      <c r="C688" s="29"/>
      <c r="D688" s="30"/>
      <c r="E688" s="29"/>
      <c r="F688" s="30"/>
      <c r="G688" s="29"/>
      <c r="H688" s="69"/>
      <c r="I688" s="64"/>
      <c r="J688" s="69"/>
      <c r="K688" s="64"/>
      <c r="L688" s="69"/>
      <c r="M688" s="65"/>
      <c r="N688" s="69"/>
      <c r="O688" s="64"/>
      <c r="P688" s="69"/>
      <c r="Q688" s="64"/>
      <c r="R688" s="69"/>
      <c r="S688" s="64"/>
      <c r="T688" s="69"/>
      <c r="U688" s="64"/>
      <c r="V688" s="69"/>
      <c r="W688" s="65"/>
      <c r="X688" s="69"/>
      <c r="Y688" s="64"/>
      <c r="Z688" s="69"/>
      <c r="AA688" s="64"/>
      <c r="AB688" s="69"/>
      <c r="AC688" s="64"/>
      <c r="AD688" s="69"/>
      <c r="AE688" s="65"/>
      <c r="AF688" s="69"/>
      <c r="AG688" s="65"/>
      <c r="AH688" s="69"/>
      <c r="AI688" s="64"/>
      <c r="AJ688" s="69"/>
      <c r="AK688" s="64"/>
      <c r="AL688" s="69"/>
      <c r="AM688" s="64"/>
      <c r="AN688" s="69"/>
      <c r="AO688" s="64"/>
      <c r="AP688" s="69"/>
      <c r="AQ688" s="64"/>
      <c r="AR688" s="69"/>
      <c r="AS688" s="64"/>
      <c r="AT688" s="69"/>
      <c r="AU688" s="64"/>
      <c r="AV688" s="69"/>
      <c r="AW688" s="64"/>
      <c r="AX688" s="69"/>
      <c r="AY688" s="64"/>
      <c r="AZ688" s="69"/>
      <c r="BA688" s="64"/>
      <c r="BB688" s="69"/>
      <c r="BC688" s="64"/>
      <c r="BD688" s="69"/>
      <c r="BE688" s="64"/>
      <c r="BF688" s="69"/>
      <c r="BG688" s="64"/>
      <c r="BH688" s="69"/>
      <c r="BI688" s="64"/>
      <c r="BJ688" s="69"/>
      <c r="BK688" s="64"/>
      <c r="BL688" s="69"/>
      <c r="BM688" s="64"/>
      <c r="BN688" s="69"/>
      <c r="BO688" s="64"/>
      <c r="BP688" s="69"/>
      <c r="BQ688" s="64"/>
      <c r="BR688" s="69"/>
      <c r="BS688" s="64"/>
      <c r="BT688" s="69"/>
      <c r="BU688" t="b">
        <f t="shared" si="11"/>
        <v>0</v>
      </c>
    </row>
    <row r="689" spans="1:73" x14ac:dyDescent="0.25">
      <c r="A689" s="28"/>
      <c r="B689" s="29"/>
      <c r="C689" s="29"/>
      <c r="D689" s="30"/>
      <c r="E689" s="29"/>
      <c r="F689" s="30"/>
      <c r="G689" s="29"/>
      <c r="H689" s="69"/>
      <c r="I689" s="64"/>
      <c r="J689" s="69"/>
      <c r="K689" s="64"/>
      <c r="L689" s="69"/>
      <c r="M689" s="65"/>
      <c r="N689" s="69"/>
      <c r="O689" s="64"/>
      <c r="P689" s="69"/>
      <c r="Q689" s="64"/>
      <c r="R689" s="69"/>
      <c r="S689" s="64"/>
      <c r="T689" s="69"/>
      <c r="U689" s="64"/>
      <c r="V689" s="69"/>
      <c r="W689" s="65"/>
      <c r="X689" s="69"/>
      <c r="Y689" s="64"/>
      <c r="Z689" s="69"/>
      <c r="AA689" s="64"/>
      <c r="AB689" s="69"/>
      <c r="AC689" s="64"/>
      <c r="AD689" s="69"/>
      <c r="AE689" s="65"/>
      <c r="AF689" s="69"/>
      <c r="AG689" s="65"/>
      <c r="AH689" s="69"/>
      <c r="AI689" s="64"/>
      <c r="AJ689" s="69"/>
      <c r="AK689" s="64"/>
      <c r="AL689" s="69"/>
      <c r="AM689" s="64"/>
      <c r="AN689" s="69"/>
      <c r="AO689" s="64"/>
      <c r="AP689" s="69"/>
      <c r="AQ689" s="64"/>
      <c r="AR689" s="69"/>
      <c r="AS689" s="64"/>
      <c r="AT689" s="69"/>
      <c r="AU689" s="64"/>
      <c r="AV689" s="69"/>
      <c r="AW689" s="64"/>
      <c r="AX689" s="69"/>
      <c r="AY689" s="64"/>
      <c r="AZ689" s="69"/>
      <c r="BA689" s="64"/>
      <c r="BB689" s="69"/>
      <c r="BC689" s="64"/>
      <c r="BD689" s="69"/>
      <c r="BE689" s="64"/>
      <c r="BF689" s="69"/>
      <c r="BG689" s="64"/>
      <c r="BH689" s="69"/>
      <c r="BI689" s="64"/>
      <c r="BJ689" s="69"/>
      <c r="BK689" s="64"/>
      <c r="BL689" s="69"/>
      <c r="BM689" s="64"/>
      <c r="BN689" s="69"/>
      <c r="BO689" s="64"/>
      <c r="BP689" s="69"/>
      <c r="BQ689" s="64"/>
      <c r="BR689" s="69"/>
      <c r="BS689" s="64"/>
      <c r="BT689" s="69"/>
      <c r="BU689" t="b">
        <f t="shared" si="11"/>
        <v>0</v>
      </c>
    </row>
    <row r="690" spans="1:73" x14ac:dyDescent="0.25">
      <c r="A690" s="28"/>
      <c r="B690" s="29"/>
      <c r="C690" s="29"/>
      <c r="D690" s="30"/>
      <c r="E690" s="29"/>
      <c r="F690" s="30"/>
      <c r="G690" s="29"/>
      <c r="H690" s="69"/>
      <c r="I690" s="64"/>
      <c r="J690" s="69"/>
      <c r="K690" s="64"/>
      <c r="L690" s="69"/>
      <c r="M690" s="65"/>
      <c r="N690" s="69"/>
      <c r="O690" s="64"/>
      <c r="P690" s="69"/>
      <c r="Q690" s="64"/>
      <c r="R690" s="69"/>
      <c r="S690" s="64"/>
      <c r="T690" s="69"/>
      <c r="U690" s="64"/>
      <c r="V690" s="69"/>
      <c r="W690" s="65"/>
      <c r="X690" s="69"/>
      <c r="Y690" s="64"/>
      <c r="Z690" s="69"/>
      <c r="AA690" s="64"/>
      <c r="AB690" s="69"/>
      <c r="AC690" s="64"/>
      <c r="AD690" s="69"/>
      <c r="AE690" s="65"/>
      <c r="AF690" s="69"/>
      <c r="AG690" s="65"/>
      <c r="AH690" s="69"/>
      <c r="AI690" s="64"/>
      <c r="AJ690" s="69"/>
      <c r="AK690" s="64"/>
      <c r="AL690" s="69"/>
      <c r="AM690" s="64"/>
      <c r="AN690" s="69"/>
      <c r="AO690" s="64"/>
      <c r="AP690" s="69"/>
      <c r="AQ690" s="64"/>
      <c r="AR690" s="69"/>
      <c r="AS690" s="64"/>
      <c r="AT690" s="69"/>
      <c r="AU690" s="64"/>
      <c r="AV690" s="69"/>
      <c r="AW690" s="64"/>
      <c r="AX690" s="69"/>
      <c r="AY690" s="64"/>
      <c r="AZ690" s="69"/>
      <c r="BA690" s="64"/>
      <c r="BB690" s="69"/>
      <c r="BC690" s="64"/>
      <c r="BD690" s="69"/>
      <c r="BE690" s="64"/>
      <c r="BF690" s="69"/>
      <c r="BG690" s="64"/>
      <c r="BH690" s="69"/>
      <c r="BI690" s="64"/>
      <c r="BJ690" s="69"/>
      <c r="BK690" s="64"/>
      <c r="BL690" s="69"/>
      <c r="BM690" s="64"/>
      <c r="BN690" s="69"/>
      <c r="BO690" s="64"/>
      <c r="BP690" s="69"/>
      <c r="BQ690" s="64"/>
      <c r="BR690" s="69"/>
      <c r="BS690" s="64"/>
      <c r="BT690" s="69"/>
      <c r="BU690" t="b">
        <f t="shared" si="11"/>
        <v>0</v>
      </c>
    </row>
    <row r="691" spans="1:73" x14ac:dyDescent="0.25">
      <c r="A691" s="28"/>
      <c r="B691" s="29"/>
      <c r="C691" s="29"/>
      <c r="D691" s="30"/>
      <c r="E691" s="29"/>
      <c r="F691" s="30"/>
      <c r="G691" s="29"/>
      <c r="H691" s="69"/>
      <c r="I691" s="64"/>
      <c r="J691" s="69"/>
      <c r="K691" s="64"/>
      <c r="L691" s="69"/>
      <c r="M691" s="65"/>
      <c r="N691" s="69"/>
      <c r="O691" s="64"/>
      <c r="P691" s="69"/>
      <c r="Q691" s="64"/>
      <c r="R691" s="69"/>
      <c r="S691" s="64"/>
      <c r="T691" s="69"/>
      <c r="U691" s="64"/>
      <c r="V691" s="69"/>
      <c r="W691" s="65"/>
      <c r="X691" s="69"/>
      <c r="Y691" s="64"/>
      <c r="Z691" s="69"/>
      <c r="AA691" s="64"/>
      <c r="AB691" s="69"/>
      <c r="AC691" s="64"/>
      <c r="AD691" s="69"/>
      <c r="AE691" s="65"/>
      <c r="AF691" s="69"/>
      <c r="AG691" s="65"/>
      <c r="AH691" s="69"/>
      <c r="AI691" s="64"/>
      <c r="AJ691" s="69"/>
      <c r="AK691" s="64"/>
      <c r="AL691" s="69"/>
      <c r="AM691" s="64"/>
      <c r="AN691" s="69"/>
      <c r="AO691" s="64"/>
      <c r="AP691" s="69"/>
      <c r="AQ691" s="64"/>
      <c r="AR691" s="69"/>
      <c r="AS691" s="64"/>
      <c r="AT691" s="69"/>
      <c r="AU691" s="64"/>
      <c r="AV691" s="69"/>
      <c r="AW691" s="64"/>
      <c r="AX691" s="69"/>
      <c r="AY691" s="64"/>
      <c r="AZ691" s="69"/>
      <c r="BA691" s="64"/>
      <c r="BB691" s="69"/>
      <c r="BC691" s="64"/>
      <c r="BD691" s="69"/>
      <c r="BE691" s="64"/>
      <c r="BF691" s="69"/>
      <c r="BG691" s="64"/>
      <c r="BH691" s="69"/>
      <c r="BI691" s="64"/>
      <c r="BJ691" s="69"/>
      <c r="BK691" s="64"/>
      <c r="BL691" s="69"/>
      <c r="BM691" s="64"/>
      <c r="BN691" s="69"/>
      <c r="BO691" s="64"/>
      <c r="BP691" s="69"/>
      <c r="BQ691" s="64"/>
      <c r="BR691" s="69"/>
      <c r="BS691" s="64"/>
      <c r="BT691" s="69"/>
      <c r="BU691" t="b">
        <f t="shared" si="11"/>
        <v>0</v>
      </c>
    </row>
    <row r="692" spans="1:73" x14ac:dyDescent="0.25">
      <c r="A692" s="28"/>
      <c r="B692" s="29"/>
      <c r="C692" s="29"/>
      <c r="D692" s="30"/>
      <c r="E692" s="29"/>
      <c r="F692" s="30"/>
      <c r="G692" s="29"/>
      <c r="H692" s="69"/>
      <c r="I692" s="64"/>
      <c r="J692" s="69"/>
      <c r="K692" s="64"/>
      <c r="L692" s="69"/>
      <c r="M692" s="65"/>
      <c r="N692" s="69"/>
      <c r="O692" s="64"/>
      <c r="P692" s="69"/>
      <c r="Q692" s="64"/>
      <c r="R692" s="69"/>
      <c r="S692" s="64"/>
      <c r="T692" s="69"/>
      <c r="U692" s="64"/>
      <c r="V692" s="69"/>
      <c r="W692" s="65"/>
      <c r="X692" s="69"/>
      <c r="Y692" s="64"/>
      <c r="Z692" s="69"/>
      <c r="AA692" s="64"/>
      <c r="AB692" s="69"/>
      <c r="AC692" s="64"/>
      <c r="AD692" s="69"/>
      <c r="AE692" s="65"/>
      <c r="AF692" s="69"/>
      <c r="AG692" s="65"/>
      <c r="AH692" s="69"/>
      <c r="AI692" s="64"/>
      <c r="AJ692" s="69"/>
      <c r="AK692" s="64"/>
      <c r="AL692" s="69"/>
      <c r="AM692" s="64"/>
      <c r="AN692" s="69"/>
      <c r="AO692" s="64"/>
      <c r="AP692" s="69"/>
      <c r="AQ692" s="64"/>
      <c r="AR692" s="69"/>
      <c r="AS692" s="64"/>
      <c r="AT692" s="69"/>
      <c r="AU692" s="64"/>
      <c r="AV692" s="69"/>
      <c r="AW692" s="64"/>
      <c r="AX692" s="69"/>
      <c r="AY692" s="64"/>
      <c r="AZ692" s="69"/>
      <c r="BA692" s="64"/>
      <c r="BB692" s="69"/>
      <c r="BC692" s="64"/>
      <c r="BD692" s="69"/>
      <c r="BE692" s="64"/>
      <c r="BF692" s="69"/>
      <c r="BG692" s="64"/>
      <c r="BH692" s="69"/>
      <c r="BI692" s="64"/>
      <c r="BJ692" s="69"/>
      <c r="BK692" s="64"/>
      <c r="BL692" s="69"/>
      <c r="BM692" s="64"/>
      <c r="BN692" s="69"/>
      <c r="BO692" s="64"/>
      <c r="BP692" s="69"/>
      <c r="BQ692" s="64"/>
      <c r="BR692" s="69"/>
      <c r="BS692" s="64"/>
      <c r="BT692" s="69"/>
      <c r="BU692" t="b">
        <f t="shared" si="11"/>
        <v>0</v>
      </c>
    </row>
    <row r="693" spans="1:73" x14ac:dyDescent="0.25">
      <c r="A693" s="28"/>
      <c r="B693" s="29"/>
      <c r="C693" s="29"/>
      <c r="D693" s="30"/>
      <c r="E693" s="29"/>
      <c r="F693" s="30"/>
      <c r="G693" s="29"/>
      <c r="H693" s="69"/>
      <c r="I693" s="64"/>
      <c r="J693" s="69"/>
      <c r="K693" s="64"/>
      <c r="L693" s="69"/>
      <c r="M693" s="65"/>
      <c r="N693" s="69"/>
      <c r="O693" s="64"/>
      <c r="P693" s="69"/>
      <c r="Q693" s="64"/>
      <c r="R693" s="69"/>
      <c r="S693" s="64"/>
      <c r="T693" s="69"/>
      <c r="U693" s="64"/>
      <c r="V693" s="69"/>
      <c r="W693" s="65"/>
      <c r="X693" s="69"/>
      <c r="Y693" s="64"/>
      <c r="Z693" s="69"/>
      <c r="AA693" s="64"/>
      <c r="AB693" s="69"/>
      <c r="AC693" s="64"/>
      <c r="AD693" s="69"/>
      <c r="AE693" s="65"/>
      <c r="AF693" s="69"/>
      <c r="AG693" s="65"/>
      <c r="AH693" s="69"/>
      <c r="AI693" s="64"/>
      <c r="AJ693" s="69"/>
      <c r="AK693" s="64"/>
      <c r="AL693" s="69"/>
      <c r="AM693" s="64"/>
      <c r="AN693" s="69"/>
      <c r="AO693" s="64"/>
      <c r="AP693" s="69"/>
      <c r="AQ693" s="64"/>
      <c r="AR693" s="69"/>
      <c r="AS693" s="64"/>
      <c r="AT693" s="69"/>
      <c r="AU693" s="64"/>
      <c r="AV693" s="69"/>
      <c r="AW693" s="64"/>
      <c r="AX693" s="69"/>
      <c r="AY693" s="64"/>
      <c r="AZ693" s="69"/>
      <c r="BA693" s="64"/>
      <c r="BB693" s="69"/>
      <c r="BC693" s="64"/>
      <c r="BD693" s="69"/>
      <c r="BE693" s="64"/>
      <c r="BF693" s="69"/>
      <c r="BG693" s="64"/>
      <c r="BH693" s="69"/>
      <c r="BI693" s="64"/>
      <c r="BJ693" s="69"/>
      <c r="BK693" s="64"/>
      <c r="BL693" s="69"/>
      <c r="BM693" s="64"/>
      <c r="BN693" s="69"/>
      <c r="BO693" s="64"/>
      <c r="BP693" s="69"/>
      <c r="BQ693" s="64"/>
      <c r="BR693" s="69"/>
      <c r="BS693" s="64"/>
      <c r="BT693" s="69"/>
      <c r="BU693" t="b">
        <f t="shared" si="11"/>
        <v>0</v>
      </c>
    </row>
    <row r="694" spans="1:73" x14ac:dyDescent="0.25">
      <c r="A694" s="28"/>
      <c r="B694" s="29"/>
      <c r="C694" s="29"/>
      <c r="D694" s="30"/>
      <c r="E694" s="29"/>
      <c r="F694" s="30"/>
      <c r="G694" s="29"/>
      <c r="H694" s="69"/>
      <c r="I694" s="64"/>
      <c r="J694" s="69"/>
      <c r="K694" s="64"/>
      <c r="L694" s="69"/>
      <c r="M694" s="65"/>
      <c r="N694" s="69"/>
      <c r="O694" s="64"/>
      <c r="P694" s="69"/>
      <c r="Q694" s="64"/>
      <c r="R694" s="69"/>
      <c r="S694" s="64"/>
      <c r="T694" s="69"/>
      <c r="U694" s="64"/>
      <c r="V694" s="69"/>
      <c r="W694" s="65"/>
      <c r="X694" s="69"/>
      <c r="Y694" s="64"/>
      <c r="Z694" s="69"/>
      <c r="AA694" s="64"/>
      <c r="AB694" s="69"/>
      <c r="AC694" s="64"/>
      <c r="AD694" s="69"/>
      <c r="AE694" s="65"/>
      <c r="AF694" s="69"/>
      <c r="AG694" s="65"/>
      <c r="AH694" s="69"/>
      <c r="AI694" s="64"/>
      <c r="AJ694" s="69"/>
      <c r="AK694" s="64"/>
      <c r="AL694" s="69"/>
      <c r="AM694" s="64"/>
      <c r="AN694" s="69"/>
      <c r="AO694" s="64"/>
      <c r="AP694" s="69"/>
      <c r="AQ694" s="64"/>
      <c r="AR694" s="69"/>
      <c r="AS694" s="64"/>
      <c r="AT694" s="69"/>
      <c r="AU694" s="64"/>
      <c r="AV694" s="69"/>
      <c r="AW694" s="64"/>
      <c r="AX694" s="69"/>
      <c r="AY694" s="64"/>
      <c r="AZ694" s="69"/>
      <c r="BA694" s="64"/>
      <c r="BB694" s="69"/>
      <c r="BC694" s="64"/>
      <c r="BD694" s="69"/>
      <c r="BE694" s="64"/>
      <c r="BF694" s="69"/>
      <c r="BG694" s="64"/>
      <c r="BH694" s="69"/>
      <c r="BI694" s="64"/>
      <c r="BJ694" s="69"/>
      <c r="BK694" s="64"/>
      <c r="BL694" s="69"/>
      <c r="BM694" s="64"/>
      <c r="BN694" s="69"/>
      <c r="BO694" s="64"/>
      <c r="BP694" s="69"/>
      <c r="BQ694" s="64"/>
      <c r="BR694" s="69"/>
      <c r="BS694" s="64"/>
      <c r="BT694" s="69"/>
      <c r="BU694" t="b">
        <f t="shared" si="11"/>
        <v>0</v>
      </c>
    </row>
    <row r="695" spans="1:73" x14ac:dyDescent="0.25">
      <c r="A695" s="28"/>
      <c r="B695" s="29"/>
      <c r="C695" s="29"/>
      <c r="D695" s="30"/>
      <c r="E695" s="29"/>
      <c r="F695" s="30"/>
      <c r="G695" s="29"/>
      <c r="H695" s="69"/>
      <c r="I695" s="64"/>
      <c r="J695" s="69"/>
      <c r="K695" s="64"/>
      <c r="L695" s="69"/>
      <c r="M695" s="65"/>
      <c r="N695" s="69"/>
      <c r="O695" s="64"/>
      <c r="P695" s="69"/>
      <c r="Q695" s="64"/>
      <c r="R695" s="69"/>
      <c r="S695" s="64"/>
      <c r="T695" s="69"/>
      <c r="U695" s="64"/>
      <c r="V695" s="69"/>
      <c r="W695" s="65"/>
      <c r="X695" s="69"/>
      <c r="Y695" s="64"/>
      <c r="Z695" s="69"/>
      <c r="AA695" s="64"/>
      <c r="AB695" s="69"/>
      <c r="AC695" s="64"/>
      <c r="AD695" s="69"/>
      <c r="AE695" s="65"/>
      <c r="AF695" s="69"/>
      <c r="AG695" s="65"/>
      <c r="AH695" s="69"/>
      <c r="AI695" s="64"/>
      <c r="AJ695" s="69"/>
      <c r="AK695" s="64"/>
      <c r="AL695" s="69"/>
      <c r="AM695" s="64"/>
      <c r="AN695" s="69"/>
      <c r="AO695" s="64"/>
      <c r="AP695" s="69"/>
      <c r="AQ695" s="64"/>
      <c r="AR695" s="69"/>
      <c r="AS695" s="64"/>
      <c r="AT695" s="69"/>
      <c r="AU695" s="64"/>
      <c r="AV695" s="69"/>
      <c r="AW695" s="64"/>
      <c r="AX695" s="69"/>
      <c r="AY695" s="64"/>
      <c r="AZ695" s="69"/>
      <c r="BA695" s="64"/>
      <c r="BB695" s="69"/>
      <c r="BC695" s="64"/>
      <c r="BD695" s="69"/>
      <c r="BE695" s="64"/>
      <c r="BF695" s="69"/>
      <c r="BG695" s="64"/>
      <c r="BH695" s="69"/>
      <c r="BI695" s="64"/>
      <c r="BJ695" s="69"/>
      <c r="BK695" s="64"/>
      <c r="BL695" s="69"/>
      <c r="BM695" s="64"/>
      <c r="BN695" s="69"/>
      <c r="BO695" s="64"/>
      <c r="BP695" s="69"/>
      <c r="BQ695" s="64"/>
      <c r="BR695" s="69"/>
      <c r="BS695" s="64"/>
      <c r="BT695" s="69"/>
      <c r="BU695" t="b">
        <f t="shared" si="11"/>
        <v>0</v>
      </c>
    </row>
    <row r="696" spans="1:73" x14ac:dyDescent="0.25">
      <c r="A696" s="28"/>
      <c r="B696" s="29"/>
      <c r="C696" s="29"/>
      <c r="D696" s="30"/>
      <c r="E696" s="29"/>
      <c r="F696" s="30"/>
      <c r="G696" s="29"/>
      <c r="H696" s="69"/>
      <c r="I696" s="64"/>
      <c r="J696" s="69"/>
      <c r="K696" s="64"/>
      <c r="L696" s="69"/>
      <c r="M696" s="65"/>
      <c r="N696" s="69"/>
      <c r="O696" s="64"/>
      <c r="P696" s="69"/>
      <c r="Q696" s="64"/>
      <c r="R696" s="69"/>
      <c r="S696" s="64"/>
      <c r="T696" s="69"/>
      <c r="U696" s="64"/>
      <c r="V696" s="69"/>
      <c r="W696" s="65"/>
      <c r="X696" s="69"/>
      <c r="Y696" s="64"/>
      <c r="Z696" s="69"/>
      <c r="AA696" s="64"/>
      <c r="AB696" s="69"/>
      <c r="AC696" s="64"/>
      <c r="AD696" s="69"/>
      <c r="AE696" s="65"/>
      <c r="AF696" s="69"/>
      <c r="AG696" s="65"/>
      <c r="AH696" s="69"/>
      <c r="AI696" s="64"/>
      <c r="AJ696" s="69"/>
      <c r="AK696" s="64"/>
      <c r="AL696" s="69"/>
      <c r="AM696" s="64"/>
      <c r="AN696" s="69"/>
      <c r="AO696" s="64"/>
      <c r="AP696" s="69"/>
      <c r="AQ696" s="64"/>
      <c r="AR696" s="69"/>
      <c r="AS696" s="64"/>
      <c r="AT696" s="69"/>
      <c r="AU696" s="64"/>
      <c r="AV696" s="69"/>
      <c r="AW696" s="64"/>
      <c r="AX696" s="69"/>
      <c r="AY696" s="64"/>
      <c r="AZ696" s="69"/>
      <c r="BA696" s="64"/>
      <c r="BB696" s="69"/>
      <c r="BC696" s="64"/>
      <c r="BD696" s="69"/>
      <c r="BE696" s="64"/>
      <c r="BF696" s="69"/>
      <c r="BG696" s="64"/>
      <c r="BH696" s="69"/>
      <c r="BI696" s="64"/>
      <c r="BJ696" s="69"/>
      <c r="BK696" s="64"/>
      <c r="BL696" s="69"/>
      <c r="BM696" s="64"/>
      <c r="BN696" s="69"/>
      <c r="BO696" s="64"/>
      <c r="BP696" s="69"/>
      <c r="BQ696" s="64"/>
      <c r="BR696" s="69"/>
      <c r="BS696" s="64"/>
      <c r="BT696" s="69"/>
      <c r="BU696" t="b">
        <f t="shared" si="11"/>
        <v>0</v>
      </c>
    </row>
    <row r="697" spans="1:73" x14ac:dyDescent="0.25">
      <c r="A697" s="28"/>
      <c r="B697" s="29"/>
      <c r="C697" s="29"/>
      <c r="D697" s="30"/>
      <c r="E697" s="29"/>
      <c r="F697" s="30"/>
      <c r="G697" s="29"/>
      <c r="H697" s="69"/>
      <c r="I697" s="64"/>
      <c r="J697" s="69"/>
      <c r="K697" s="64"/>
      <c r="L697" s="69"/>
      <c r="M697" s="65"/>
      <c r="N697" s="69"/>
      <c r="O697" s="64"/>
      <c r="P697" s="69"/>
      <c r="Q697" s="64"/>
      <c r="R697" s="69"/>
      <c r="S697" s="64"/>
      <c r="T697" s="69"/>
      <c r="U697" s="64"/>
      <c r="V697" s="69"/>
      <c r="W697" s="65"/>
      <c r="X697" s="69"/>
      <c r="Y697" s="64"/>
      <c r="Z697" s="69"/>
      <c r="AA697" s="64"/>
      <c r="AB697" s="69"/>
      <c r="AC697" s="64"/>
      <c r="AD697" s="69"/>
      <c r="AE697" s="65"/>
      <c r="AF697" s="69"/>
      <c r="AG697" s="65"/>
      <c r="AH697" s="69"/>
      <c r="AI697" s="64"/>
      <c r="AJ697" s="69"/>
      <c r="AK697" s="64"/>
      <c r="AL697" s="69"/>
      <c r="AM697" s="64"/>
      <c r="AN697" s="69"/>
      <c r="AO697" s="64"/>
      <c r="AP697" s="69"/>
      <c r="AQ697" s="64"/>
      <c r="AR697" s="69"/>
      <c r="AS697" s="64"/>
      <c r="AT697" s="69"/>
      <c r="AU697" s="64"/>
      <c r="AV697" s="69"/>
      <c r="AW697" s="64"/>
      <c r="AX697" s="69"/>
      <c r="AY697" s="64"/>
      <c r="AZ697" s="69"/>
      <c r="BA697" s="64"/>
      <c r="BB697" s="69"/>
      <c r="BC697" s="64"/>
      <c r="BD697" s="69"/>
      <c r="BE697" s="64"/>
      <c r="BF697" s="69"/>
      <c r="BG697" s="64"/>
      <c r="BH697" s="69"/>
      <c r="BI697" s="64"/>
      <c r="BJ697" s="69"/>
      <c r="BK697" s="64"/>
      <c r="BL697" s="69"/>
      <c r="BM697" s="64"/>
      <c r="BN697" s="69"/>
      <c r="BO697" s="64"/>
      <c r="BP697" s="69"/>
      <c r="BQ697" s="64"/>
      <c r="BR697" s="69"/>
      <c r="BS697" s="64"/>
      <c r="BT697" s="69"/>
      <c r="BU697" t="b">
        <f t="shared" si="11"/>
        <v>0</v>
      </c>
    </row>
    <row r="698" spans="1:73" x14ac:dyDescent="0.25">
      <c r="A698" s="28"/>
      <c r="B698" s="29"/>
      <c r="C698" s="29"/>
      <c r="D698" s="30"/>
      <c r="E698" s="29"/>
      <c r="F698" s="30"/>
      <c r="G698" s="29"/>
      <c r="H698" s="69"/>
      <c r="I698" s="64"/>
      <c r="J698" s="69"/>
      <c r="K698" s="64"/>
      <c r="L698" s="69"/>
      <c r="M698" s="65"/>
      <c r="N698" s="69"/>
      <c r="O698" s="64"/>
      <c r="P698" s="69"/>
      <c r="Q698" s="64"/>
      <c r="R698" s="69"/>
      <c r="S698" s="64"/>
      <c r="T698" s="69"/>
      <c r="U698" s="64"/>
      <c r="V698" s="69"/>
      <c r="W698" s="65"/>
      <c r="X698" s="69"/>
      <c r="Y698" s="64"/>
      <c r="Z698" s="69"/>
      <c r="AA698" s="64"/>
      <c r="AB698" s="69"/>
      <c r="AC698" s="64"/>
      <c r="AD698" s="69"/>
      <c r="AE698" s="65"/>
      <c r="AF698" s="69"/>
      <c r="AG698" s="65"/>
      <c r="AH698" s="69"/>
      <c r="AI698" s="64"/>
      <c r="AJ698" s="69"/>
      <c r="AK698" s="64"/>
      <c r="AL698" s="69"/>
      <c r="AM698" s="64"/>
      <c r="AN698" s="69"/>
      <c r="AO698" s="64"/>
      <c r="AP698" s="69"/>
      <c r="AQ698" s="64"/>
      <c r="AR698" s="69"/>
      <c r="AS698" s="64"/>
      <c r="AT698" s="69"/>
      <c r="AU698" s="64"/>
      <c r="AV698" s="69"/>
      <c r="AW698" s="64"/>
      <c r="AX698" s="69"/>
      <c r="AY698" s="64"/>
      <c r="AZ698" s="69"/>
      <c r="BA698" s="64"/>
      <c r="BB698" s="69"/>
      <c r="BC698" s="64"/>
      <c r="BD698" s="69"/>
      <c r="BE698" s="64"/>
      <c r="BF698" s="69"/>
      <c r="BG698" s="64"/>
      <c r="BH698" s="69"/>
      <c r="BI698" s="64"/>
      <c r="BJ698" s="69"/>
      <c r="BK698" s="64"/>
      <c r="BL698" s="69"/>
      <c r="BM698" s="64"/>
      <c r="BN698" s="69"/>
      <c r="BO698" s="64"/>
      <c r="BP698" s="69"/>
      <c r="BQ698" s="64"/>
      <c r="BR698" s="69"/>
      <c r="BS698" s="64"/>
      <c r="BT698" s="69"/>
      <c r="BU698" t="b">
        <f t="shared" si="11"/>
        <v>0</v>
      </c>
    </row>
    <row r="699" spans="1:73" x14ac:dyDescent="0.25">
      <c r="A699" s="28"/>
      <c r="B699" s="29"/>
      <c r="C699" s="29"/>
      <c r="D699" s="30"/>
      <c r="E699" s="29"/>
      <c r="F699" s="30"/>
      <c r="G699" s="29"/>
      <c r="H699" s="69"/>
      <c r="I699" s="64"/>
      <c r="J699" s="69"/>
      <c r="K699" s="64"/>
      <c r="L699" s="69"/>
      <c r="M699" s="65"/>
      <c r="N699" s="69"/>
      <c r="O699" s="64"/>
      <c r="P699" s="69"/>
      <c r="Q699" s="64"/>
      <c r="R699" s="69"/>
      <c r="S699" s="64"/>
      <c r="T699" s="69"/>
      <c r="U699" s="64"/>
      <c r="V699" s="69"/>
      <c r="W699" s="65"/>
      <c r="X699" s="69"/>
      <c r="Y699" s="64"/>
      <c r="Z699" s="69"/>
      <c r="AA699" s="64"/>
      <c r="AB699" s="69"/>
      <c r="AC699" s="64"/>
      <c r="AD699" s="69"/>
      <c r="AE699" s="65"/>
      <c r="AF699" s="69"/>
      <c r="AG699" s="65"/>
      <c r="AH699" s="69"/>
      <c r="AI699" s="64"/>
      <c r="AJ699" s="69"/>
      <c r="AK699" s="64"/>
      <c r="AL699" s="69"/>
      <c r="AM699" s="64"/>
      <c r="AN699" s="69"/>
      <c r="AO699" s="64"/>
      <c r="AP699" s="69"/>
      <c r="AQ699" s="64"/>
      <c r="AR699" s="69"/>
      <c r="AS699" s="64"/>
      <c r="AT699" s="69"/>
      <c r="AU699" s="64"/>
      <c r="AV699" s="69"/>
      <c r="AW699" s="64"/>
      <c r="AX699" s="69"/>
      <c r="AY699" s="64"/>
      <c r="AZ699" s="69"/>
      <c r="BA699" s="64"/>
      <c r="BB699" s="69"/>
      <c r="BC699" s="64"/>
      <c r="BD699" s="69"/>
      <c r="BE699" s="64"/>
      <c r="BF699" s="69"/>
      <c r="BG699" s="64"/>
      <c r="BH699" s="69"/>
      <c r="BI699" s="64"/>
      <c r="BJ699" s="69"/>
      <c r="BK699" s="64"/>
      <c r="BL699" s="69"/>
      <c r="BM699" s="64"/>
      <c r="BN699" s="69"/>
      <c r="BO699" s="64"/>
      <c r="BP699" s="69"/>
      <c r="BQ699" s="64"/>
      <c r="BR699" s="69"/>
      <c r="BS699" s="64"/>
      <c r="BT699" s="69"/>
      <c r="BU699" t="b">
        <f t="shared" si="11"/>
        <v>0</v>
      </c>
    </row>
    <row r="700" spans="1:73" x14ac:dyDescent="0.25">
      <c r="A700" s="28"/>
      <c r="B700" s="29"/>
      <c r="C700" s="29"/>
      <c r="D700" s="30"/>
      <c r="E700" s="29"/>
      <c r="F700" s="30"/>
      <c r="G700" s="29"/>
      <c r="H700" s="69"/>
      <c r="I700" s="64"/>
      <c r="J700" s="69"/>
      <c r="K700" s="64"/>
      <c r="L700" s="69"/>
      <c r="M700" s="65"/>
      <c r="N700" s="69"/>
      <c r="O700" s="64"/>
      <c r="P700" s="69"/>
      <c r="Q700" s="64"/>
      <c r="R700" s="69"/>
      <c r="S700" s="64"/>
      <c r="T700" s="69"/>
      <c r="U700" s="64"/>
      <c r="V700" s="69"/>
      <c r="W700" s="65"/>
      <c r="X700" s="69"/>
      <c r="Y700" s="64"/>
      <c r="Z700" s="69"/>
      <c r="AA700" s="64"/>
      <c r="AB700" s="69"/>
      <c r="AC700" s="64"/>
      <c r="AD700" s="69"/>
      <c r="AE700" s="65"/>
      <c r="AF700" s="69"/>
      <c r="AG700" s="65"/>
      <c r="AH700" s="69"/>
      <c r="AI700" s="64"/>
      <c r="AJ700" s="69"/>
      <c r="AK700" s="64"/>
      <c r="AL700" s="69"/>
      <c r="AM700" s="64"/>
      <c r="AN700" s="69"/>
      <c r="AO700" s="64"/>
      <c r="AP700" s="69"/>
      <c r="AQ700" s="64"/>
      <c r="AR700" s="69"/>
      <c r="AS700" s="64"/>
      <c r="AT700" s="69"/>
      <c r="AU700" s="64"/>
      <c r="AV700" s="69"/>
      <c r="AW700" s="64"/>
      <c r="AX700" s="69"/>
      <c r="AY700" s="64"/>
      <c r="AZ700" s="69"/>
      <c r="BA700" s="64"/>
      <c r="BB700" s="69"/>
      <c r="BC700" s="64"/>
      <c r="BD700" s="69"/>
      <c r="BE700" s="64"/>
      <c r="BF700" s="69"/>
      <c r="BG700" s="64"/>
      <c r="BH700" s="69"/>
      <c r="BI700" s="64"/>
      <c r="BJ700" s="69"/>
      <c r="BK700" s="64"/>
      <c r="BL700" s="69"/>
      <c r="BM700" s="64"/>
      <c r="BN700" s="69"/>
      <c r="BO700" s="64"/>
      <c r="BP700" s="69"/>
      <c r="BQ700" s="64"/>
      <c r="BR700" s="69"/>
      <c r="BS700" s="64"/>
      <c r="BT700" s="69"/>
      <c r="BU700" t="b">
        <f t="shared" si="11"/>
        <v>0</v>
      </c>
    </row>
    <row r="701" spans="1:73" x14ac:dyDescent="0.25">
      <c r="A701" s="28"/>
      <c r="B701" s="29"/>
      <c r="C701" s="29"/>
      <c r="D701" s="30"/>
      <c r="E701" s="29"/>
      <c r="F701" s="30"/>
      <c r="G701" s="29"/>
      <c r="H701" s="69"/>
      <c r="I701" s="64"/>
      <c r="J701" s="69"/>
      <c r="K701" s="64"/>
      <c r="L701" s="69"/>
      <c r="M701" s="65"/>
      <c r="N701" s="69"/>
      <c r="O701" s="64"/>
      <c r="P701" s="69"/>
      <c r="Q701" s="64"/>
      <c r="R701" s="69"/>
      <c r="S701" s="64"/>
      <c r="T701" s="69"/>
      <c r="U701" s="64"/>
      <c r="V701" s="69"/>
      <c r="W701" s="65"/>
      <c r="X701" s="69"/>
      <c r="Y701" s="64"/>
      <c r="Z701" s="69"/>
      <c r="AA701" s="64"/>
      <c r="AB701" s="69"/>
      <c r="AC701" s="64"/>
      <c r="AD701" s="69"/>
      <c r="AE701" s="65"/>
      <c r="AF701" s="69"/>
      <c r="AG701" s="65"/>
      <c r="AH701" s="69"/>
      <c r="AI701" s="64"/>
      <c r="AJ701" s="69"/>
      <c r="AK701" s="64"/>
      <c r="AL701" s="69"/>
      <c r="AM701" s="64"/>
      <c r="AN701" s="69"/>
      <c r="AO701" s="64"/>
      <c r="AP701" s="69"/>
      <c r="AQ701" s="64"/>
      <c r="AR701" s="69"/>
      <c r="AS701" s="64"/>
      <c r="AT701" s="69"/>
      <c r="AU701" s="64"/>
      <c r="AV701" s="69"/>
      <c r="AW701" s="64"/>
      <c r="AX701" s="69"/>
      <c r="AY701" s="64"/>
      <c r="AZ701" s="69"/>
      <c r="BA701" s="64"/>
      <c r="BB701" s="69"/>
      <c r="BC701" s="64"/>
      <c r="BD701" s="69"/>
      <c r="BE701" s="64"/>
      <c r="BF701" s="69"/>
      <c r="BG701" s="64"/>
      <c r="BH701" s="69"/>
      <c r="BI701" s="64"/>
      <c r="BJ701" s="69"/>
      <c r="BK701" s="64"/>
      <c r="BL701" s="69"/>
      <c r="BM701" s="64"/>
      <c r="BN701" s="69"/>
      <c r="BO701" s="64"/>
      <c r="BP701" s="69"/>
      <c r="BQ701" s="64"/>
      <c r="BR701" s="69"/>
      <c r="BS701" s="64"/>
      <c r="BT701" s="69"/>
      <c r="BU701" t="b">
        <f t="shared" si="11"/>
        <v>0</v>
      </c>
    </row>
    <row r="702" spans="1:73" x14ac:dyDescent="0.25">
      <c r="A702" s="28"/>
      <c r="B702" s="29"/>
      <c r="C702" s="29"/>
      <c r="D702" s="30"/>
      <c r="E702" s="29"/>
      <c r="F702" s="30"/>
      <c r="G702" s="29"/>
      <c r="H702" s="69"/>
      <c r="I702" s="64"/>
      <c r="J702" s="69"/>
      <c r="K702" s="64"/>
      <c r="L702" s="69"/>
      <c r="M702" s="65"/>
      <c r="N702" s="69"/>
      <c r="O702" s="64"/>
      <c r="P702" s="69"/>
      <c r="Q702" s="64"/>
      <c r="R702" s="69"/>
      <c r="S702" s="64"/>
      <c r="T702" s="69"/>
      <c r="U702" s="64"/>
      <c r="V702" s="69"/>
      <c r="W702" s="65"/>
      <c r="X702" s="69"/>
      <c r="Y702" s="64"/>
      <c r="Z702" s="69"/>
      <c r="AA702" s="64"/>
      <c r="AB702" s="69"/>
      <c r="AC702" s="64"/>
      <c r="AD702" s="69"/>
      <c r="AE702" s="65"/>
      <c r="AF702" s="69"/>
      <c r="AG702" s="65"/>
      <c r="AH702" s="69"/>
      <c r="AI702" s="64"/>
      <c r="AJ702" s="69"/>
      <c r="AK702" s="64"/>
      <c r="AL702" s="69"/>
      <c r="AM702" s="64"/>
      <c r="AN702" s="69"/>
      <c r="AO702" s="64"/>
      <c r="AP702" s="69"/>
      <c r="AQ702" s="64"/>
      <c r="AR702" s="69"/>
      <c r="AS702" s="64"/>
      <c r="AT702" s="69"/>
      <c r="AU702" s="64"/>
      <c r="AV702" s="69"/>
      <c r="AW702" s="64"/>
      <c r="AX702" s="69"/>
      <c r="AY702" s="64"/>
      <c r="AZ702" s="69"/>
      <c r="BA702" s="64"/>
      <c r="BB702" s="69"/>
      <c r="BC702" s="64"/>
      <c r="BD702" s="69"/>
      <c r="BE702" s="64"/>
      <c r="BF702" s="69"/>
      <c r="BG702" s="64"/>
      <c r="BH702" s="69"/>
      <c r="BI702" s="64"/>
      <c r="BJ702" s="69"/>
      <c r="BK702" s="64"/>
      <c r="BL702" s="69"/>
      <c r="BM702" s="64"/>
      <c r="BN702" s="69"/>
      <c r="BO702" s="64"/>
      <c r="BP702" s="69"/>
      <c r="BQ702" s="64"/>
      <c r="BR702" s="69"/>
      <c r="BS702" s="64"/>
      <c r="BT702" s="69"/>
      <c r="BU702" t="b">
        <f t="shared" si="11"/>
        <v>0</v>
      </c>
    </row>
    <row r="703" spans="1:73" x14ac:dyDescent="0.25">
      <c r="A703" s="28"/>
      <c r="B703" s="29"/>
      <c r="C703" s="29"/>
      <c r="D703" s="30"/>
      <c r="E703" s="29"/>
      <c r="F703" s="30"/>
      <c r="G703" s="29"/>
      <c r="H703" s="69"/>
      <c r="I703" s="64"/>
      <c r="J703" s="69"/>
      <c r="K703" s="64"/>
      <c r="L703" s="69"/>
      <c r="M703" s="65"/>
      <c r="N703" s="69"/>
      <c r="O703" s="64"/>
      <c r="P703" s="69"/>
      <c r="Q703" s="64"/>
      <c r="R703" s="69"/>
      <c r="S703" s="64"/>
      <c r="T703" s="69"/>
      <c r="U703" s="64"/>
      <c r="V703" s="69"/>
      <c r="W703" s="65"/>
      <c r="X703" s="69"/>
      <c r="Y703" s="64"/>
      <c r="Z703" s="69"/>
      <c r="AA703" s="64"/>
      <c r="AB703" s="69"/>
      <c r="AC703" s="64"/>
      <c r="AD703" s="69"/>
      <c r="AE703" s="65"/>
      <c r="AF703" s="69"/>
      <c r="AG703" s="65"/>
      <c r="AH703" s="69"/>
      <c r="AI703" s="64"/>
      <c r="AJ703" s="69"/>
      <c r="AK703" s="64"/>
      <c r="AL703" s="69"/>
      <c r="AM703" s="64"/>
      <c r="AN703" s="69"/>
      <c r="AO703" s="64"/>
      <c r="AP703" s="69"/>
      <c r="AQ703" s="64"/>
      <c r="AR703" s="69"/>
      <c r="AS703" s="64"/>
      <c r="AT703" s="69"/>
      <c r="AU703" s="64"/>
      <c r="AV703" s="69"/>
      <c r="AW703" s="64"/>
      <c r="AX703" s="69"/>
      <c r="AY703" s="64"/>
      <c r="AZ703" s="69"/>
      <c r="BA703" s="64"/>
      <c r="BB703" s="69"/>
      <c r="BC703" s="64"/>
      <c r="BD703" s="69"/>
      <c r="BE703" s="64"/>
      <c r="BF703" s="69"/>
      <c r="BG703" s="64"/>
      <c r="BH703" s="69"/>
      <c r="BI703" s="64"/>
      <c r="BJ703" s="69"/>
      <c r="BK703" s="64"/>
      <c r="BL703" s="69"/>
      <c r="BM703" s="64"/>
      <c r="BN703" s="69"/>
      <c r="BO703" s="64"/>
      <c r="BP703" s="69"/>
      <c r="BQ703" s="64"/>
      <c r="BR703" s="69"/>
      <c r="BS703" s="64"/>
      <c r="BT703" s="69"/>
      <c r="BU703" t="b">
        <f t="shared" si="11"/>
        <v>0</v>
      </c>
    </row>
    <row r="704" spans="1:73" x14ac:dyDescent="0.25">
      <c r="A704" s="28"/>
      <c r="B704" s="29"/>
      <c r="C704" s="29"/>
      <c r="D704" s="30"/>
      <c r="E704" s="29"/>
      <c r="F704" s="30"/>
      <c r="G704" s="29"/>
      <c r="H704" s="69"/>
      <c r="I704" s="64"/>
      <c r="J704" s="69"/>
      <c r="K704" s="64"/>
      <c r="L704" s="69"/>
      <c r="M704" s="65"/>
      <c r="N704" s="69"/>
      <c r="O704" s="64"/>
      <c r="P704" s="69"/>
      <c r="Q704" s="64"/>
      <c r="R704" s="69"/>
      <c r="S704" s="64"/>
      <c r="T704" s="69"/>
      <c r="U704" s="64"/>
      <c r="V704" s="69"/>
      <c r="W704" s="65"/>
      <c r="X704" s="69"/>
      <c r="Y704" s="64"/>
      <c r="Z704" s="69"/>
      <c r="AA704" s="64"/>
      <c r="AB704" s="69"/>
      <c r="AC704" s="64"/>
      <c r="AD704" s="69"/>
      <c r="AE704" s="65"/>
      <c r="AF704" s="69"/>
      <c r="AG704" s="65"/>
      <c r="AH704" s="69"/>
      <c r="AI704" s="64"/>
      <c r="AJ704" s="69"/>
      <c r="AK704" s="64"/>
      <c r="AL704" s="69"/>
      <c r="AM704" s="64"/>
      <c r="AN704" s="69"/>
      <c r="AO704" s="64"/>
      <c r="AP704" s="69"/>
      <c r="AQ704" s="64"/>
      <c r="AR704" s="69"/>
      <c r="AS704" s="64"/>
      <c r="AT704" s="69"/>
      <c r="AU704" s="64"/>
      <c r="AV704" s="69"/>
      <c r="AW704" s="64"/>
      <c r="AX704" s="69"/>
      <c r="AY704" s="64"/>
      <c r="AZ704" s="69"/>
      <c r="BA704" s="64"/>
      <c r="BB704" s="69"/>
      <c r="BC704" s="64"/>
      <c r="BD704" s="69"/>
      <c r="BE704" s="64"/>
      <c r="BF704" s="69"/>
      <c r="BG704" s="64"/>
      <c r="BH704" s="69"/>
      <c r="BI704" s="64"/>
      <c r="BJ704" s="69"/>
      <c r="BK704" s="64"/>
      <c r="BL704" s="69"/>
      <c r="BM704" s="64"/>
      <c r="BN704" s="69"/>
      <c r="BO704" s="64"/>
      <c r="BP704" s="69"/>
      <c r="BQ704" s="64"/>
      <c r="BR704" s="69"/>
      <c r="BS704" s="64"/>
      <c r="BT704" s="69"/>
      <c r="BU704" t="b">
        <f t="shared" si="11"/>
        <v>0</v>
      </c>
    </row>
    <row r="705" spans="1:73" x14ac:dyDescent="0.25">
      <c r="A705" s="28"/>
      <c r="B705" s="29"/>
      <c r="C705" s="29"/>
      <c r="D705" s="30"/>
      <c r="E705" s="29"/>
      <c r="F705" s="30"/>
      <c r="G705" s="29"/>
      <c r="H705" s="69"/>
      <c r="I705" s="64"/>
      <c r="J705" s="69"/>
      <c r="K705" s="64"/>
      <c r="L705" s="69"/>
      <c r="M705" s="65"/>
      <c r="N705" s="69"/>
      <c r="O705" s="64"/>
      <c r="P705" s="69"/>
      <c r="Q705" s="64"/>
      <c r="R705" s="69"/>
      <c r="S705" s="64"/>
      <c r="T705" s="69"/>
      <c r="U705" s="64"/>
      <c r="V705" s="69"/>
      <c r="W705" s="65"/>
      <c r="X705" s="69"/>
      <c r="Y705" s="64"/>
      <c r="Z705" s="69"/>
      <c r="AA705" s="64"/>
      <c r="AB705" s="69"/>
      <c r="AC705" s="64"/>
      <c r="AD705" s="69"/>
      <c r="AE705" s="65"/>
      <c r="AF705" s="69"/>
      <c r="AG705" s="65"/>
      <c r="AH705" s="69"/>
      <c r="AI705" s="64"/>
      <c r="AJ705" s="69"/>
      <c r="AK705" s="64"/>
      <c r="AL705" s="69"/>
      <c r="AM705" s="64"/>
      <c r="AN705" s="69"/>
      <c r="AO705" s="64"/>
      <c r="AP705" s="69"/>
      <c r="AQ705" s="64"/>
      <c r="AR705" s="69"/>
      <c r="AS705" s="64"/>
      <c r="AT705" s="69"/>
      <c r="AU705" s="64"/>
      <c r="AV705" s="69"/>
      <c r="AW705" s="64"/>
      <c r="AX705" s="69"/>
      <c r="AY705" s="64"/>
      <c r="AZ705" s="69"/>
      <c r="BA705" s="64"/>
      <c r="BB705" s="69"/>
      <c r="BC705" s="64"/>
      <c r="BD705" s="69"/>
      <c r="BE705" s="64"/>
      <c r="BF705" s="69"/>
      <c r="BG705" s="64"/>
      <c r="BH705" s="69"/>
      <c r="BI705" s="64"/>
      <c r="BJ705" s="69"/>
      <c r="BK705" s="64"/>
      <c r="BL705" s="69"/>
      <c r="BM705" s="64"/>
      <c r="BN705" s="69"/>
      <c r="BO705" s="64"/>
      <c r="BP705" s="69"/>
      <c r="BQ705" s="64"/>
      <c r="BR705" s="69"/>
      <c r="BS705" s="64"/>
      <c r="BT705" s="69"/>
      <c r="BU705" t="b">
        <f t="shared" si="11"/>
        <v>0</v>
      </c>
    </row>
    <row r="706" spans="1:73" x14ac:dyDescent="0.25">
      <c r="A706" s="28"/>
      <c r="B706" s="29"/>
      <c r="C706" s="29"/>
      <c r="D706" s="30"/>
      <c r="E706" s="29"/>
      <c r="F706" s="30"/>
      <c r="G706" s="29"/>
      <c r="H706" s="69"/>
      <c r="I706" s="64"/>
      <c r="J706" s="69"/>
      <c r="K706" s="64"/>
      <c r="L706" s="69"/>
      <c r="M706" s="65"/>
      <c r="N706" s="69"/>
      <c r="O706" s="64"/>
      <c r="P706" s="69"/>
      <c r="Q706" s="64"/>
      <c r="R706" s="69"/>
      <c r="S706" s="64"/>
      <c r="T706" s="69"/>
      <c r="U706" s="64"/>
      <c r="V706" s="69"/>
      <c r="W706" s="65"/>
      <c r="X706" s="69"/>
      <c r="Y706" s="64"/>
      <c r="Z706" s="69"/>
      <c r="AA706" s="64"/>
      <c r="AB706" s="69"/>
      <c r="AC706" s="64"/>
      <c r="AD706" s="69"/>
      <c r="AE706" s="65"/>
      <c r="AF706" s="69"/>
      <c r="AG706" s="65"/>
      <c r="AH706" s="69"/>
      <c r="AI706" s="64"/>
      <c r="AJ706" s="69"/>
      <c r="AK706" s="64"/>
      <c r="AL706" s="69"/>
      <c r="AM706" s="64"/>
      <c r="AN706" s="69"/>
      <c r="AO706" s="64"/>
      <c r="AP706" s="69"/>
      <c r="AQ706" s="64"/>
      <c r="AR706" s="69"/>
      <c r="AS706" s="64"/>
      <c r="AT706" s="69"/>
      <c r="AU706" s="64"/>
      <c r="AV706" s="69"/>
      <c r="AW706" s="64"/>
      <c r="AX706" s="69"/>
      <c r="AY706" s="64"/>
      <c r="AZ706" s="69"/>
      <c r="BA706" s="64"/>
      <c r="BB706" s="69"/>
      <c r="BC706" s="64"/>
      <c r="BD706" s="69"/>
      <c r="BE706" s="64"/>
      <c r="BF706" s="69"/>
      <c r="BG706" s="64"/>
      <c r="BH706" s="69"/>
      <c r="BI706" s="64"/>
      <c r="BJ706" s="69"/>
      <c r="BK706" s="64"/>
      <c r="BL706" s="69"/>
      <c r="BM706" s="64"/>
      <c r="BN706" s="69"/>
      <c r="BO706" s="64"/>
      <c r="BP706" s="69"/>
      <c r="BQ706" s="64"/>
      <c r="BR706" s="69"/>
      <c r="BS706" s="64"/>
      <c r="BT706" s="69"/>
      <c r="BU706" t="b">
        <f t="shared" si="11"/>
        <v>0</v>
      </c>
    </row>
    <row r="707" spans="1:73" x14ac:dyDescent="0.25">
      <c r="A707" s="28"/>
      <c r="B707" s="29"/>
      <c r="C707" s="29"/>
      <c r="D707" s="30"/>
      <c r="E707" s="29"/>
      <c r="F707" s="30"/>
      <c r="G707" s="29"/>
      <c r="H707" s="69"/>
      <c r="I707" s="64"/>
      <c r="J707" s="69"/>
      <c r="K707" s="64"/>
      <c r="L707" s="69"/>
      <c r="M707" s="65"/>
      <c r="N707" s="69"/>
      <c r="O707" s="64"/>
      <c r="P707" s="69"/>
      <c r="Q707" s="64"/>
      <c r="R707" s="69"/>
      <c r="S707" s="64"/>
      <c r="T707" s="69"/>
      <c r="U707" s="64"/>
      <c r="V707" s="69"/>
      <c r="W707" s="65"/>
      <c r="X707" s="69"/>
      <c r="Y707" s="64"/>
      <c r="Z707" s="69"/>
      <c r="AA707" s="64"/>
      <c r="AB707" s="69"/>
      <c r="AC707" s="64"/>
      <c r="AD707" s="69"/>
      <c r="AE707" s="65"/>
      <c r="AF707" s="69"/>
      <c r="AG707" s="65"/>
      <c r="AH707" s="69"/>
      <c r="AI707" s="64"/>
      <c r="AJ707" s="69"/>
      <c r="AK707" s="64"/>
      <c r="AL707" s="69"/>
      <c r="AM707" s="64"/>
      <c r="AN707" s="69"/>
      <c r="AO707" s="64"/>
      <c r="AP707" s="69"/>
      <c r="AQ707" s="64"/>
      <c r="AR707" s="69"/>
      <c r="AS707" s="64"/>
      <c r="AT707" s="69"/>
      <c r="AU707" s="64"/>
      <c r="AV707" s="69"/>
      <c r="AW707" s="64"/>
      <c r="AX707" s="69"/>
      <c r="AY707" s="64"/>
      <c r="AZ707" s="69"/>
      <c r="BA707" s="64"/>
      <c r="BB707" s="69"/>
      <c r="BC707" s="64"/>
      <c r="BD707" s="69"/>
      <c r="BE707" s="64"/>
      <c r="BF707" s="69"/>
      <c r="BG707" s="64"/>
      <c r="BH707" s="69"/>
      <c r="BI707" s="64"/>
      <c r="BJ707" s="69"/>
      <c r="BK707" s="64"/>
      <c r="BL707" s="69"/>
      <c r="BM707" s="64"/>
      <c r="BN707" s="69"/>
      <c r="BO707" s="64"/>
      <c r="BP707" s="69"/>
      <c r="BQ707" s="64"/>
      <c r="BR707" s="69"/>
      <c r="BS707" s="64"/>
      <c r="BT707" s="69"/>
      <c r="BU707" t="b">
        <f t="shared" si="11"/>
        <v>0</v>
      </c>
    </row>
    <row r="708" spans="1:73" x14ac:dyDescent="0.25">
      <c r="A708" s="28"/>
      <c r="B708" s="29"/>
      <c r="C708" s="29"/>
      <c r="D708" s="30"/>
      <c r="E708" s="29"/>
      <c r="F708" s="30"/>
      <c r="G708" s="29"/>
      <c r="H708" s="69"/>
      <c r="I708" s="64"/>
      <c r="J708" s="69"/>
      <c r="K708" s="64"/>
      <c r="L708" s="69"/>
      <c r="M708" s="65"/>
      <c r="N708" s="69"/>
      <c r="O708" s="64"/>
      <c r="P708" s="69"/>
      <c r="Q708" s="64"/>
      <c r="R708" s="69"/>
      <c r="S708" s="64"/>
      <c r="T708" s="69"/>
      <c r="U708" s="64"/>
      <c r="V708" s="69"/>
      <c r="W708" s="65"/>
      <c r="X708" s="69"/>
      <c r="Y708" s="64"/>
      <c r="Z708" s="69"/>
      <c r="AA708" s="64"/>
      <c r="AB708" s="69"/>
      <c r="AC708" s="64"/>
      <c r="AD708" s="69"/>
      <c r="AE708" s="65"/>
      <c r="AF708" s="69"/>
      <c r="AG708" s="65"/>
      <c r="AH708" s="69"/>
      <c r="AI708" s="64"/>
      <c r="AJ708" s="69"/>
      <c r="AK708" s="64"/>
      <c r="AL708" s="69"/>
      <c r="AM708" s="64"/>
      <c r="AN708" s="69"/>
      <c r="AO708" s="64"/>
      <c r="AP708" s="69"/>
      <c r="AQ708" s="64"/>
      <c r="AR708" s="69"/>
      <c r="AS708" s="64"/>
      <c r="AT708" s="69"/>
      <c r="AU708" s="64"/>
      <c r="AV708" s="69"/>
      <c r="AW708" s="64"/>
      <c r="AX708" s="69"/>
      <c r="AY708" s="64"/>
      <c r="AZ708" s="69"/>
      <c r="BA708" s="64"/>
      <c r="BB708" s="69"/>
      <c r="BC708" s="64"/>
      <c r="BD708" s="69"/>
      <c r="BE708" s="64"/>
      <c r="BF708" s="69"/>
      <c r="BG708" s="64"/>
      <c r="BH708" s="69"/>
      <c r="BI708" s="64"/>
      <c r="BJ708" s="69"/>
      <c r="BK708" s="64"/>
      <c r="BL708" s="69"/>
      <c r="BM708" s="64"/>
      <c r="BN708" s="69"/>
      <c r="BO708" s="64"/>
      <c r="BP708" s="69"/>
      <c r="BQ708" s="64"/>
      <c r="BR708" s="69"/>
      <c r="BS708" s="64"/>
      <c r="BT708" s="69"/>
      <c r="BU708" t="b">
        <f t="shared" si="11"/>
        <v>0</v>
      </c>
    </row>
    <row r="709" spans="1:73" x14ac:dyDescent="0.25">
      <c r="A709" s="28"/>
      <c r="B709" s="29"/>
      <c r="C709" s="29"/>
      <c r="D709" s="30"/>
      <c r="E709" s="29"/>
      <c r="F709" s="30"/>
      <c r="G709" s="29"/>
      <c r="H709" s="69"/>
      <c r="I709" s="64"/>
      <c r="J709" s="69"/>
      <c r="K709" s="64"/>
      <c r="L709" s="69"/>
      <c r="M709" s="65"/>
      <c r="N709" s="69"/>
      <c r="O709" s="64"/>
      <c r="P709" s="69"/>
      <c r="Q709" s="64"/>
      <c r="R709" s="69"/>
      <c r="S709" s="64"/>
      <c r="T709" s="69"/>
      <c r="U709" s="64"/>
      <c r="V709" s="69"/>
      <c r="W709" s="65"/>
      <c r="X709" s="69"/>
      <c r="Y709" s="64"/>
      <c r="Z709" s="69"/>
      <c r="AA709" s="64"/>
      <c r="AB709" s="69"/>
      <c r="AC709" s="64"/>
      <c r="AD709" s="69"/>
      <c r="AE709" s="65"/>
      <c r="AF709" s="69"/>
      <c r="AG709" s="65"/>
      <c r="AH709" s="69"/>
      <c r="AI709" s="64"/>
      <c r="AJ709" s="69"/>
      <c r="AK709" s="64"/>
      <c r="AL709" s="69"/>
      <c r="AM709" s="64"/>
      <c r="AN709" s="69"/>
      <c r="AO709" s="64"/>
      <c r="AP709" s="69"/>
      <c r="AQ709" s="64"/>
      <c r="AR709" s="69"/>
      <c r="AS709" s="64"/>
      <c r="AT709" s="69"/>
      <c r="AU709" s="64"/>
      <c r="AV709" s="69"/>
      <c r="AW709" s="64"/>
      <c r="AX709" s="69"/>
      <c r="AY709" s="64"/>
      <c r="AZ709" s="69"/>
      <c r="BA709" s="64"/>
      <c r="BB709" s="69"/>
      <c r="BC709" s="64"/>
      <c r="BD709" s="69"/>
      <c r="BE709" s="64"/>
      <c r="BF709" s="69"/>
      <c r="BG709" s="64"/>
      <c r="BH709" s="69"/>
      <c r="BI709" s="64"/>
      <c r="BJ709" s="69"/>
      <c r="BK709" s="64"/>
      <c r="BL709" s="69"/>
      <c r="BM709" s="64"/>
      <c r="BN709" s="69"/>
      <c r="BO709" s="64"/>
      <c r="BP709" s="69"/>
      <c r="BQ709" s="64"/>
      <c r="BR709" s="69"/>
      <c r="BS709" s="64"/>
      <c r="BT709" s="69"/>
      <c r="BU709" t="b">
        <f t="shared" si="11"/>
        <v>0</v>
      </c>
    </row>
    <row r="710" spans="1:73" x14ac:dyDescent="0.25">
      <c r="A710" s="28"/>
      <c r="B710" s="29"/>
      <c r="C710" s="29"/>
      <c r="D710" s="30"/>
      <c r="E710" s="29"/>
      <c r="F710" s="30"/>
      <c r="G710" s="29"/>
      <c r="H710" s="69"/>
      <c r="I710" s="64"/>
      <c r="J710" s="69"/>
      <c r="K710" s="64"/>
      <c r="L710" s="69"/>
      <c r="M710" s="65"/>
      <c r="N710" s="69"/>
      <c r="O710" s="64"/>
      <c r="P710" s="69"/>
      <c r="Q710" s="64"/>
      <c r="R710" s="69"/>
      <c r="S710" s="64"/>
      <c r="T710" s="69"/>
      <c r="U710" s="64"/>
      <c r="V710" s="69"/>
      <c r="W710" s="65"/>
      <c r="X710" s="69"/>
      <c r="Y710" s="64"/>
      <c r="Z710" s="69"/>
      <c r="AA710" s="64"/>
      <c r="AB710" s="69"/>
      <c r="AC710" s="64"/>
      <c r="AD710" s="69"/>
      <c r="AE710" s="65"/>
      <c r="AF710" s="69"/>
      <c r="AG710" s="65"/>
      <c r="AH710" s="69"/>
      <c r="AI710" s="64"/>
      <c r="AJ710" s="69"/>
      <c r="AK710" s="64"/>
      <c r="AL710" s="69"/>
      <c r="AM710" s="64"/>
      <c r="AN710" s="69"/>
      <c r="AO710" s="64"/>
      <c r="AP710" s="69"/>
      <c r="AQ710" s="64"/>
      <c r="AR710" s="69"/>
      <c r="AS710" s="64"/>
      <c r="AT710" s="69"/>
      <c r="AU710" s="64"/>
      <c r="AV710" s="69"/>
      <c r="AW710" s="64"/>
      <c r="AX710" s="69"/>
      <c r="AY710" s="64"/>
      <c r="AZ710" s="69"/>
      <c r="BA710" s="64"/>
      <c r="BB710" s="69"/>
      <c r="BC710" s="64"/>
      <c r="BD710" s="69"/>
      <c r="BE710" s="64"/>
      <c r="BF710" s="69"/>
      <c r="BG710" s="64"/>
      <c r="BH710" s="69"/>
      <c r="BI710" s="64"/>
      <c r="BJ710" s="69"/>
      <c r="BK710" s="64"/>
      <c r="BL710" s="69"/>
      <c r="BM710" s="64"/>
      <c r="BN710" s="69"/>
      <c r="BO710" s="64"/>
      <c r="BP710" s="69"/>
      <c r="BQ710" s="64"/>
      <c r="BR710" s="69"/>
      <c r="BS710" s="64"/>
      <c r="BT710" s="69"/>
      <c r="BU710" t="b">
        <f t="shared" si="11"/>
        <v>0</v>
      </c>
    </row>
    <row r="711" spans="1:73" x14ac:dyDescent="0.25">
      <c r="A711" s="28"/>
      <c r="B711" s="29"/>
      <c r="C711" s="29"/>
      <c r="D711" s="30"/>
      <c r="E711" s="29"/>
      <c r="F711" s="30"/>
      <c r="G711" s="29"/>
      <c r="H711" s="69"/>
      <c r="I711" s="64"/>
      <c r="J711" s="69"/>
      <c r="K711" s="64"/>
      <c r="L711" s="69"/>
      <c r="M711" s="65"/>
      <c r="N711" s="69"/>
      <c r="O711" s="64"/>
      <c r="P711" s="69"/>
      <c r="Q711" s="64"/>
      <c r="R711" s="69"/>
      <c r="S711" s="64"/>
      <c r="T711" s="69"/>
      <c r="U711" s="64"/>
      <c r="V711" s="69"/>
      <c r="W711" s="65"/>
      <c r="X711" s="69"/>
      <c r="Y711" s="64"/>
      <c r="Z711" s="69"/>
      <c r="AA711" s="64"/>
      <c r="AB711" s="69"/>
      <c r="AC711" s="64"/>
      <c r="AD711" s="69"/>
      <c r="AE711" s="65"/>
      <c r="AF711" s="69"/>
      <c r="AG711" s="65"/>
      <c r="AH711" s="69"/>
      <c r="AI711" s="64"/>
      <c r="AJ711" s="69"/>
      <c r="AK711" s="64"/>
      <c r="AL711" s="69"/>
      <c r="AM711" s="64"/>
      <c r="AN711" s="69"/>
      <c r="AO711" s="64"/>
      <c r="AP711" s="69"/>
      <c r="AQ711" s="64"/>
      <c r="AR711" s="69"/>
      <c r="AS711" s="64"/>
      <c r="AT711" s="69"/>
      <c r="AU711" s="64"/>
      <c r="AV711" s="69"/>
      <c r="AW711" s="64"/>
      <c r="AX711" s="69"/>
      <c r="AY711" s="64"/>
      <c r="AZ711" s="69"/>
      <c r="BA711" s="64"/>
      <c r="BB711" s="69"/>
      <c r="BC711" s="64"/>
      <c r="BD711" s="69"/>
      <c r="BE711" s="64"/>
      <c r="BF711" s="69"/>
      <c r="BG711" s="64"/>
      <c r="BH711" s="69"/>
      <c r="BI711" s="64"/>
      <c r="BJ711" s="69"/>
      <c r="BK711" s="64"/>
      <c r="BL711" s="69"/>
      <c r="BM711" s="64"/>
      <c r="BN711" s="69"/>
      <c r="BO711" s="64"/>
      <c r="BP711" s="69"/>
      <c r="BQ711" s="64"/>
      <c r="BR711" s="69"/>
      <c r="BS711" s="64"/>
      <c r="BT711" s="69"/>
      <c r="BU711" t="b">
        <f t="shared" si="11"/>
        <v>0</v>
      </c>
    </row>
    <row r="712" spans="1:73" x14ac:dyDescent="0.25">
      <c r="A712" s="28"/>
      <c r="B712" s="29"/>
      <c r="C712" s="29"/>
      <c r="D712" s="30"/>
      <c r="E712" s="29"/>
      <c r="F712" s="30"/>
      <c r="G712" s="29"/>
      <c r="H712" s="69"/>
      <c r="I712" s="64"/>
      <c r="J712" s="69"/>
      <c r="K712" s="64"/>
      <c r="L712" s="69"/>
      <c r="M712" s="65"/>
      <c r="N712" s="69"/>
      <c r="O712" s="64"/>
      <c r="P712" s="69"/>
      <c r="Q712" s="64"/>
      <c r="R712" s="69"/>
      <c r="S712" s="64"/>
      <c r="T712" s="69"/>
      <c r="U712" s="64"/>
      <c r="V712" s="69"/>
      <c r="W712" s="65"/>
      <c r="X712" s="69"/>
      <c r="Y712" s="64"/>
      <c r="Z712" s="69"/>
      <c r="AA712" s="64"/>
      <c r="AB712" s="69"/>
      <c r="AC712" s="64"/>
      <c r="AD712" s="69"/>
      <c r="AE712" s="65"/>
      <c r="AF712" s="69"/>
      <c r="AG712" s="65"/>
      <c r="AH712" s="69"/>
      <c r="AI712" s="64"/>
      <c r="AJ712" s="69"/>
      <c r="AK712" s="64"/>
      <c r="AL712" s="69"/>
      <c r="AM712" s="64"/>
      <c r="AN712" s="69"/>
      <c r="AO712" s="64"/>
      <c r="AP712" s="69"/>
      <c r="AQ712" s="64"/>
      <c r="AR712" s="69"/>
      <c r="AS712" s="64"/>
      <c r="AT712" s="69"/>
      <c r="AU712" s="64"/>
      <c r="AV712" s="69"/>
      <c r="AW712" s="64"/>
      <c r="AX712" s="69"/>
      <c r="AY712" s="64"/>
      <c r="AZ712" s="69"/>
      <c r="BA712" s="64"/>
      <c r="BB712" s="69"/>
      <c r="BC712" s="64"/>
      <c r="BD712" s="69"/>
      <c r="BE712" s="64"/>
      <c r="BF712" s="69"/>
      <c r="BG712" s="64"/>
      <c r="BH712" s="69"/>
      <c r="BI712" s="64"/>
      <c r="BJ712" s="69"/>
      <c r="BK712" s="64"/>
      <c r="BL712" s="69"/>
      <c r="BM712" s="64"/>
      <c r="BN712" s="69"/>
      <c r="BO712" s="64"/>
      <c r="BP712" s="69"/>
      <c r="BQ712" s="64"/>
      <c r="BR712" s="69"/>
      <c r="BS712" s="64"/>
      <c r="BT712" s="69"/>
      <c r="BU712" t="b">
        <f t="shared" si="11"/>
        <v>0</v>
      </c>
    </row>
    <row r="713" spans="1:73" x14ac:dyDescent="0.25">
      <c r="A713" s="28"/>
      <c r="B713" s="29"/>
      <c r="C713" s="29"/>
      <c r="D713" s="30"/>
      <c r="E713" s="29"/>
      <c r="F713" s="30"/>
      <c r="G713" s="29"/>
      <c r="H713" s="69"/>
      <c r="I713" s="64"/>
      <c r="J713" s="69"/>
      <c r="K713" s="64"/>
      <c r="L713" s="69"/>
      <c r="M713" s="65"/>
      <c r="N713" s="69"/>
      <c r="O713" s="64"/>
      <c r="P713" s="69"/>
      <c r="Q713" s="64"/>
      <c r="R713" s="69"/>
      <c r="S713" s="64"/>
      <c r="T713" s="69"/>
      <c r="U713" s="64"/>
      <c r="V713" s="69"/>
      <c r="W713" s="65"/>
      <c r="X713" s="69"/>
      <c r="Y713" s="64"/>
      <c r="Z713" s="69"/>
      <c r="AA713" s="64"/>
      <c r="AB713" s="69"/>
      <c r="AC713" s="64"/>
      <c r="AD713" s="69"/>
      <c r="AE713" s="65"/>
      <c r="AF713" s="69"/>
      <c r="AG713" s="65"/>
      <c r="AH713" s="69"/>
      <c r="AI713" s="64"/>
      <c r="AJ713" s="69"/>
      <c r="AK713" s="64"/>
      <c r="AL713" s="69"/>
      <c r="AM713" s="64"/>
      <c r="AN713" s="69"/>
      <c r="AO713" s="64"/>
      <c r="AP713" s="69"/>
      <c r="AQ713" s="64"/>
      <c r="AR713" s="69"/>
      <c r="AS713" s="64"/>
      <c r="AT713" s="69"/>
      <c r="AU713" s="64"/>
      <c r="AV713" s="69"/>
      <c r="AW713" s="64"/>
      <c r="AX713" s="69"/>
      <c r="AY713" s="64"/>
      <c r="AZ713" s="69"/>
      <c r="BA713" s="64"/>
      <c r="BB713" s="69"/>
      <c r="BC713" s="64"/>
      <c r="BD713" s="69"/>
      <c r="BE713" s="64"/>
      <c r="BF713" s="69"/>
      <c r="BG713" s="64"/>
      <c r="BH713" s="69"/>
      <c r="BI713" s="64"/>
      <c r="BJ713" s="69"/>
      <c r="BK713" s="64"/>
      <c r="BL713" s="69"/>
      <c r="BM713" s="64"/>
      <c r="BN713" s="69"/>
      <c r="BO713" s="64"/>
      <c r="BP713" s="69"/>
      <c r="BQ713" s="64"/>
      <c r="BR713" s="69"/>
      <c r="BS713" s="64"/>
      <c r="BT713" s="69"/>
      <c r="BU713" t="b">
        <f t="shared" si="11"/>
        <v>0</v>
      </c>
    </row>
    <row r="714" spans="1:73" x14ac:dyDescent="0.25">
      <c r="A714" s="28"/>
      <c r="B714" s="29"/>
      <c r="C714" s="29"/>
      <c r="D714" s="30"/>
      <c r="E714" s="29"/>
      <c r="F714" s="30"/>
      <c r="G714" s="29"/>
      <c r="H714" s="69"/>
      <c r="I714" s="64"/>
      <c r="J714" s="69"/>
      <c r="K714" s="64"/>
      <c r="L714" s="69"/>
      <c r="M714" s="65"/>
      <c r="N714" s="69"/>
      <c r="O714" s="64"/>
      <c r="P714" s="69"/>
      <c r="Q714" s="64"/>
      <c r="R714" s="69"/>
      <c r="S714" s="64"/>
      <c r="T714" s="69"/>
      <c r="U714" s="64"/>
      <c r="V714" s="69"/>
      <c r="W714" s="65"/>
      <c r="X714" s="69"/>
      <c r="Y714" s="64"/>
      <c r="Z714" s="69"/>
      <c r="AA714" s="64"/>
      <c r="AB714" s="69"/>
      <c r="AC714" s="64"/>
      <c r="AD714" s="69"/>
      <c r="AE714" s="65"/>
      <c r="AF714" s="69"/>
      <c r="AG714" s="65"/>
      <c r="AH714" s="69"/>
      <c r="AI714" s="64"/>
      <c r="AJ714" s="69"/>
      <c r="AK714" s="64"/>
      <c r="AL714" s="69"/>
      <c r="AM714" s="64"/>
      <c r="AN714" s="69"/>
      <c r="AO714" s="64"/>
      <c r="AP714" s="69"/>
      <c r="AQ714" s="64"/>
      <c r="AR714" s="69"/>
      <c r="AS714" s="64"/>
      <c r="AT714" s="69"/>
      <c r="AU714" s="64"/>
      <c r="AV714" s="69"/>
      <c r="AW714" s="64"/>
      <c r="AX714" s="69"/>
      <c r="AY714" s="64"/>
      <c r="AZ714" s="69"/>
      <c r="BA714" s="64"/>
      <c r="BB714" s="69"/>
      <c r="BC714" s="64"/>
      <c r="BD714" s="69"/>
      <c r="BE714" s="64"/>
      <c r="BF714" s="69"/>
      <c r="BG714" s="64"/>
      <c r="BH714" s="69"/>
      <c r="BI714" s="64"/>
      <c r="BJ714" s="69"/>
      <c r="BK714" s="64"/>
      <c r="BL714" s="69"/>
      <c r="BM714" s="64"/>
      <c r="BN714" s="69"/>
      <c r="BO714" s="64"/>
      <c r="BP714" s="69"/>
      <c r="BQ714" s="64"/>
      <c r="BR714" s="69"/>
      <c r="BS714" s="64"/>
      <c r="BT714" s="69"/>
      <c r="BU714" t="b">
        <f t="shared" si="11"/>
        <v>0</v>
      </c>
    </row>
    <row r="715" spans="1:73" x14ac:dyDescent="0.25">
      <c r="A715" s="28"/>
      <c r="B715" s="29"/>
      <c r="C715" s="29"/>
      <c r="D715" s="30"/>
      <c r="E715" s="29"/>
      <c r="F715" s="30"/>
      <c r="G715" s="29"/>
      <c r="H715" s="69"/>
      <c r="I715" s="64"/>
      <c r="J715" s="69"/>
      <c r="K715" s="64"/>
      <c r="L715" s="69"/>
      <c r="M715" s="65"/>
      <c r="N715" s="69"/>
      <c r="O715" s="64"/>
      <c r="P715" s="69"/>
      <c r="Q715" s="64"/>
      <c r="R715" s="69"/>
      <c r="S715" s="64"/>
      <c r="T715" s="69"/>
      <c r="U715" s="64"/>
      <c r="V715" s="69"/>
      <c r="W715" s="65"/>
      <c r="X715" s="69"/>
      <c r="Y715" s="64"/>
      <c r="Z715" s="69"/>
      <c r="AA715" s="64"/>
      <c r="AB715" s="69"/>
      <c r="AC715" s="64"/>
      <c r="AD715" s="69"/>
      <c r="AE715" s="65"/>
      <c r="AF715" s="69"/>
      <c r="AG715" s="65"/>
      <c r="AH715" s="69"/>
      <c r="AI715" s="64"/>
      <c r="AJ715" s="69"/>
      <c r="AK715" s="64"/>
      <c r="AL715" s="69"/>
      <c r="AM715" s="64"/>
      <c r="AN715" s="69"/>
      <c r="AO715" s="64"/>
      <c r="AP715" s="69"/>
      <c r="AQ715" s="64"/>
      <c r="AR715" s="69"/>
      <c r="AS715" s="64"/>
      <c r="AT715" s="69"/>
      <c r="AU715" s="64"/>
      <c r="AV715" s="69"/>
      <c r="AW715" s="64"/>
      <c r="AX715" s="69"/>
      <c r="AY715" s="64"/>
      <c r="AZ715" s="69"/>
      <c r="BA715" s="64"/>
      <c r="BB715" s="69"/>
      <c r="BC715" s="64"/>
      <c r="BD715" s="69"/>
      <c r="BE715" s="64"/>
      <c r="BF715" s="69"/>
      <c r="BG715" s="64"/>
      <c r="BH715" s="69"/>
      <c r="BI715" s="64"/>
      <c r="BJ715" s="69"/>
      <c r="BK715" s="64"/>
      <c r="BL715" s="69"/>
      <c r="BM715" s="64"/>
      <c r="BN715" s="69"/>
      <c r="BO715" s="64"/>
      <c r="BP715" s="69"/>
      <c r="BQ715" s="64"/>
      <c r="BR715" s="69"/>
      <c r="BS715" s="64"/>
      <c r="BT715" s="69"/>
      <c r="BU715" t="b">
        <f t="shared" si="11"/>
        <v>0</v>
      </c>
    </row>
    <row r="716" spans="1:73" x14ac:dyDescent="0.25">
      <c r="A716" s="28"/>
      <c r="B716" s="29"/>
      <c r="C716" s="29"/>
      <c r="D716" s="30"/>
      <c r="E716" s="29"/>
      <c r="F716" s="30"/>
      <c r="G716" s="29"/>
      <c r="H716" s="69"/>
      <c r="I716" s="64"/>
      <c r="J716" s="69"/>
      <c r="K716" s="64"/>
      <c r="L716" s="69"/>
      <c r="M716" s="65"/>
      <c r="N716" s="69"/>
      <c r="O716" s="64"/>
      <c r="P716" s="69"/>
      <c r="Q716" s="64"/>
      <c r="R716" s="69"/>
      <c r="S716" s="64"/>
      <c r="T716" s="69"/>
      <c r="U716" s="64"/>
      <c r="V716" s="69"/>
      <c r="W716" s="65"/>
      <c r="X716" s="69"/>
      <c r="Y716" s="64"/>
      <c r="Z716" s="69"/>
      <c r="AA716" s="64"/>
      <c r="AB716" s="69"/>
      <c r="AC716" s="64"/>
      <c r="AD716" s="69"/>
      <c r="AE716" s="65"/>
      <c r="AF716" s="69"/>
      <c r="AG716" s="65"/>
      <c r="AH716" s="69"/>
      <c r="AI716" s="64"/>
      <c r="AJ716" s="69"/>
      <c r="AK716" s="64"/>
      <c r="AL716" s="69"/>
      <c r="AM716" s="64"/>
      <c r="AN716" s="69"/>
      <c r="AO716" s="64"/>
      <c r="AP716" s="69"/>
      <c r="AQ716" s="64"/>
      <c r="AR716" s="69"/>
      <c r="AS716" s="64"/>
      <c r="AT716" s="69"/>
      <c r="AU716" s="64"/>
      <c r="AV716" s="69"/>
      <c r="AW716" s="64"/>
      <c r="AX716" s="69"/>
      <c r="AY716" s="64"/>
      <c r="AZ716" s="69"/>
      <c r="BA716" s="64"/>
      <c r="BB716" s="69"/>
      <c r="BC716" s="64"/>
      <c r="BD716" s="69"/>
      <c r="BE716" s="64"/>
      <c r="BF716" s="69"/>
      <c r="BG716" s="64"/>
      <c r="BH716" s="69"/>
      <c r="BI716" s="64"/>
      <c r="BJ716" s="69"/>
      <c r="BK716" s="64"/>
      <c r="BL716" s="69"/>
      <c r="BM716" s="64"/>
      <c r="BN716" s="69"/>
      <c r="BO716" s="64"/>
      <c r="BP716" s="69"/>
      <c r="BQ716" s="64"/>
      <c r="BR716" s="69"/>
      <c r="BS716" s="64"/>
      <c r="BT716" s="69"/>
      <c r="BU716" t="b">
        <f t="shared" si="11"/>
        <v>0</v>
      </c>
    </row>
    <row r="717" spans="1:73" x14ac:dyDescent="0.25">
      <c r="A717" s="28"/>
      <c r="B717" s="29"/>
      <c r="C717" s="29"/>
      <c r="D717" s="30"/>
      <c r="E717" s="29"/>
      <c r="F717" s="30"/>
      <c r="G717" s="29"/>
      <c r="H717" s="69"/>
      <c r="I717" s="64"/>
      <c r="J717" s="69"/>
      <c r="K717" s="64"/>
      <c r="L717" s="69"/>
      <c r="M717" s="65"/>
      <c r="N717" s="69"/>
      <c r="O717" s="64"/>
      <c r="P717" s="69"/>
      <c r="Q717" s="64"/>
      <c r="R717" s="69"/>
      <c r="S717" s="64"/>
      <c r="T717" s="69"/>
      <c r="U717" s="64"/>
      <c r="V717" s="69"/>
      <c r="W717" s="65"/>
      <c r="X717" s="69"/>
      <c r="Y717" s="64"/>
      <c r="Z717" s="69"/>
      <c r="AA717" s="64"/>
      <c r="AB717" s="69"/>
      <c r="AC717" s="64"/>
      <c r="AD717" s="69"/>
      <c r="AE717" s="65"/>
      <c r="AF717" s="69"/>
      <c r="AG717" s="65"/>
      <c r="AH717" s="69"/>
      <c r="AI717" s="64"/>
      <c r="AJ717" s="69"/>
      <c r="AK717" s="64"/>
      <c r="AL717" s="69"/>
      <c r="AM717" s="64"/>
      <c r="AN717" s="69"/>
      <c r="AO717" s="64"/>
      <c r="AP717" s="69"/>
      <c r="AQ717" s="64"/>
      <c r="AR717" s="69"/>
      <c r="AS717" s="64"/>
      <c r="AT717" s="69"/>
      <c r="AU717" s="64"/>
      <c r="AV717" s="69"/>
      <c r="AW717" s="64"/>
      <c r="AX717" s="69"/>
      <c r="AY717" s="64"/>
      <c r="AZ717" s="69"/>
      <c r="BA717" s="64"/>
      <c r="BB717" s="69"/>
      <c r="BC717" s="64"/>
      <c r="BD717" s="69"/>
      <c r="BE717" s="64"/>
      <c r="BF717" s="69"/>
      <c r="BG717" s="64"/>
      <c r="BH717" s="69"/>
      <c r="BI717" s="64"/>
      <c r="BJ717" s="69"/>
      <c r="BK717" s="64"/>
      <c r="BL717" s="69"/>
      <c r="BM717" s="64"/>
      <c r="BN717" s="69"/>
      <c r="BO717" s="64"/>
      <c r="BP717" s="69"/>
      <c r="BQ717" s="64"/>
      <c r="BR717" s="69"/>
      <c r="BS717" s="64"/>
      <c r="BT717" s="69"/>
      <c r="BU717" t="b">
        <f t="shared" si="11"/>
        <v>0</v>
      </c>
    </row>
    <row r="718" spans="1:73" x14ac:dyDescent="0.25">
      <c r="A718" s="28"/>
      <c r="B718" s="29"/>
      <c r="C718" s="29"/>
      <c r="D718" s="30"/>
      <c r="E718" s="29"/>
      <c r="F718" s="30"/>
      <c r="G718" s="29"/>
      <c r="H718" s="69"/>
      <c r="I718" s="64"/>
      <c r="J718" s="69"/>
      <c r="K718" s="64"/>
      <c r="L718" s="69"/>
      <c r="M718" s="65"/>
      <c r="N718" s="69"/>
      <c r="O718" s="64"/>
      <c r="P718" s="69"/>
      <c r="Q718" s="64"/>
      <c r="R718" s="69"/>
      <c r="S718" s="64"/>
      <c r="T718" s="69"/>
      <c r="U718" s="64"/>
      <c r="V718" s="69"/>
      <c r="W718" s="65"/>
      <c r="X718" s="69"/>
      <c r="Y718" s="64"/>
      <c r="Z718" s="69"/>
      <c r="AA718" s="64"/>
      <c r="AB718" s="69"/>
      <c r="AC718" s="64"/>
      <c r="AD718" s="69"/>
      <c r="AE718" s="65"/>
      <c r="AF718" s="69"/>
      <c r="AG718" s="65"/>
      <c r="AH718" s="69"/>
      <c r="AI718" s="64"/>
      <c r="AJ718" s="69"/>
      <c r="AK718" s="64"/>
      <c r="AL718" s="69"/>
      <c r="AM718" s="64"/>
      <c r="AN718" s="69"/>
      <c r="AO718" s="64"/>
      <c r="AP718" s="69"/>
      <c r="AQ718" s="64"/>
      <c r="AR718" s="69"/>
      <c r="AS718" s="64"/>
      <c r="AT718" s="69"/>
      <c r="AU718" s="64"/>
      <c r="AV718" s="69"/>
      <c r="AW718" s="64"/>
      <c r="AX718" s="69"/>
      <c r="AY718" s="64"/>
      <c r="AZ718" s="69"/>
      <c r="BA718" s="64"/>
      <c r="BB718" s="69"/>
      <c r="BC718" s="64"/>
      <c r="BD718" s="69"/>
      <c r="BE718" s="64"/>
      <c r="BF718" s="69"/>
      <c r="BG718" s="64"/>
      <c r="BH718" s="69"/>
      <c r="BI718" s="64"/>
      <c r="BJ718" s="69"/>
      <c r="BK718" s="64"/>
      <c r="BL718" s="69"/>
      <c r="BM718" s="64"/>
      <c r="BN718" s="69"/>
      <c r="BO718" s="64"/>
      <c r="BP718" s="69"/>
      <c r="BQ718" s="64"/>
      <c r="BR718" s="69"/>
      <c r="BS718" s="64"/>
      <c r="BT718" s="69"/>
      <c r="BU718" t="b">
        <f t="shared" si="11"/>
        <v>0</v>
      </c>
    </row>
    <row r="719" spans="1:73" x14ac:dyDescent="0.25">
      <c r="A719" s="28"/>
      <c r="B719" s="29"/>
      <c r="C719" s="29"/>
      <c r="D719" s="30"/>
      <c r="E719" s="29"/>
      <c r="F719" s="30"/>
      <c r="G719" s="29"/>
      <c r="H719" s="69"/>
      <c r="I719" s="64"/>
      <c r="J719" s="69"/>
      <c r="K719" s="64"/>
      <c r="L719" s="69"/>
      <c r="M719" s="65"/>
      <c r="N719" s="69"/>
      <c r="O719" s="64"/>
      <c r="P719" s="69"/>
      <c r="Q719" s="64"/>
      <c r="R719" s="69"/>
      <c r="S719" s="64"/>
      <c r="T719" s="69"/>
      <c r="U719" s="64"/>
      <c r="V719" s="69"/>
      <c r="W719" s="65"/>
      <c r="X719" s="69"/>
      <c r="Y719" s="64"/>
      <c r="Z719" s="69"/>
      <c r="AA719" s="64"/>
      <c r="AB719" s="69"/>
      <c r="AC719" s="64"/>
      <c r="AD719" s="69"/>
      <c r="AE719" s="65"/>
      <c r="AF719" s="69"/>
      <c r="AG719" s="65"/>
      <c r="AH719" s="69"/>
      <c r="AI719" s="64"/>
      <c r="AJ719" s="69"/>
      <c r="AK719" s="64"/>
      <c r="AL719" s="69"/>
      <c r="AM719" s="64"/>
      <c r="AN719" s="69"/>
      <c r="AO719" s="64"/>
      <c r="AP719" s="69"/>
      <c r="AQ719" s="64"/>
      <c r="AR719" s="69"/>
      <c r="AS719" s="64"/>
      <c r="AT719" s="69"/>
      <c r="AU719" s="64"/>
      <c r="AV719" s="69"/>
      <c r="AW719" s="64"/>
      <c r="AX719" s="69"/>
      <c r="AY719" s="64"/>
      <c r="AZ719" s="69"/>
      <c r="BA719" s="64"/>
      <c r="BB719" s="69"/>
      <c r="BC719" s="64"/>
      <c r="BD719" s="69"/>
      <c r="BE719" s="64"/>
      <c r="BF719" s="69"/>
      <c r="BG719" s="64"/>
      <c r="BH719" s="69"/>
      <c r="BI719" s="64"/>
      <c r="BJ719" s="69"/>
      <c r="BK719" s="64"/>
      <c r="BL719" s="69"/>
      <c r="BM719" s="64"/>
      <c r="BN719" s="69"/>
      <c r="BO719" s="64"/>
      <c r="BP719" s="69"/>
      <c r="BQ719" s="64"/>
      <c r="BR719" s="69"/>
      <c r="BS719" s="64"/>
      <c r="BT719" s="69"/>
      <c r="BU719" t="b">
        <f t="shared" si="11"/>
        <v>0</v>
      </c>
    </row>
    <row r="720" spans="1:73" x14ac:dyDescent="0.25">
      <c r="A720" s="28"/>
      <c r="B720" s="29"/>
      <c r="C720" s="29"/>
      <c r="D720" s="30"/>
      <c r="E720" s="29"/>
      <c r="F720" s="30"/>
      <c r="G720" s="29"/>
      <c r="H720" s="69"/>
      <c r="I720" s="64"/>
      <c r="J720" s="69"/>
      <c r="K720" s="64"/>
      <c r="L720" s="69"/>
      <c r="M720" s="65"/>
      <c r="N720" s="69"/>
      <c r="O720" s="64"/>
      <c r="P720" s="69"/>
      <c r="Q720" s="64"/>
      <c r="R720" s="69"/>
      <c r="S720" s="64"/>
      <c r="T720" s="69"/>
      <c r="U720" s="64"/>
      <c r="V720" s="69"/>
      <c r="W720" s="65"/>
      <c r="X720" s="69"/>
      <c r="Y720" s="64"/>
      <c r="Z720" s="69"/>
      <c r="AA720" s="64"/>
      <c r="AB720" s="69"/>
      <c r="AC720" s="64"/>
      <c r="AD720" s="69"/>
      <c r="AE720" s="65"/>
      <c r="AF720" s="69"/>
      <c r="AG720" s="65"/>
      <c r="AH720" s="69"/>
      <c r="AI720" s="64"/>
      <c r="AJ720" s="69"/>
      <c r="AK720" s="64"/>
      <c r="AL720" s="69"/>
      <c r="AM720" s="64"/>
      <c r="AN720" s="69"/>
      <c r="AO720" s="64"/>
      <c r="AP720" s="69"/>
      <c r="AQ720" s="64"/>
      <c r="AR720" s="69"/>
      <c r="AS720" s="64"/>
      <c r="AT720" s="69"/>
      <c r="AU720" s="64"/>
      <c r="AV720" s="69"/>
      <c r="AW720" s="64"/>
      <c r="AX720" s="69"/>
      <c r="AY720" s="64"/>
      <c r="AZ720" s="69"/>
      <c r="BA720" s="64"/>
      <c r="BB720" s="69"/>
      <c r="BC720" s="64"/>
      <c r="BD720" s="69"/>
      <c r="BE720" s="64"/>
      <c r="BF720" s="69"/>
      <c r="BG720" s="64"/>
      <c r="BH720" s="69"/>
      <c r="BI720" s="64"/>
      <c r="BJ720" s="69"/>
      <c r="BK720" s="64"/>
      <c r="BL720" s="69"/>
      <c r="BM720" s="64"/>
      <c r="BN720" s="69"/>
      <c r="BO720" s="64"/>
      <c r="BP720" s="69"/>
      <c r="BQ720" s="64"/>
      <c r="BR720" s="69"/>
      <c r="BS720" s="64"/>
      <c r="BT720" s="69"/>
      <c r="BU720" t="b">
        <f t="shared" si="11"/>
        <v>0</v>
      </c>
    </row>
    <row r="721" spans="1:73" x14ac:dyDescent="0.25">
      <c r="A721" s="28"/>
      <c r="B721" s="29"/>
      <c r="C721" s="29"/>
      <c r="D721" s="30"/>
      <c r="E721" s="29"/>
      <c r="F721" s="30"/>
      <c r="G721" s="29"/>
      <c r="H721" s="69"/>
      <c r="I721" s="64"/>
      <c r="J721" s="69"/>
      <c r="K721" s="64"/>
      <c r="L721" s="69"/>
      <c r="M721" s="65"/>
      <c r="N721" s="69"/>
      <c r="O721" s="64"/>
      <c r="P721" s="69"/>
      <c r="Q721" s="64"/>
      <c r="R721" s="69"/>
      <c r="S721" s="64"/>
      <c r="T721" s="69"/>
      <c r="U721" s="64"/>
      <c r="V721" s="69"/>
      <c r="W721" s="65"/>
      <c r="X721" s="69"/>
      <c r="Y721" s="64"/>
      <c r="Z721" s="69"/>
      <c r="AA721" s="64"/>
      <c r="AB721" s="69"/>
      <c r="AC721" s="64"/>
      <c r="AD721" s="69"/>
      <c r="AE721" s="65"/>
      <c r="AF721" s="69"/>
      <c r="AG721" s="65"/>
      <c r="AH721" s="69"/>
      <c r="AI721" s="64"/>
      <c r="AJ721" s="69"/>
      <c r="AK721" s="64"/>
      <c r="AL721" s="69"/>
      <c r="AM721" s="64"/>
      <c r="AN721" s="69"/>
      <c r="AO721" s="64"/>
      <c r="AP721" s="69"/>
      <c r="AQ721" s="64"/>
      <c r="AR721" s="69"/>
      <c r="AS721" s="64"/>
      <c r="AT721" s="69"/>
      <c r="AU721" s="64"/>
      <c r="AV721" s="69"/>
      <c r="AW721" s="64"/>
      <c r="AX721" s="69"/>
      <c r="AY721" s="64"/>
      <c r="AZ721" s="69"/>
      <c r="BA721" s="64"/>
      <c r="BB721" s="69"/>
      <c r="BC721" s="64"/>
      <c r="BD721" s="69"/>
      <c r="BE721" s="64"/>
      <c r="BF721" s="69"/>
      <c r="BG721" s="64"/>
      <c r="BH721" s="69"/>
      <c r="BI721" s="64"/>
      <c r="BJ721" s="69"/>
      <c r="BK721" s="64"/>
      <c r="BL721" s="69"/>
      <c r="BM721" s="64"/>
      <c r="BN721" s="69"/>
      <c r="BO721" s="64"/>
      <c r="BP721" s="69"/>
      <c r="BQ721" s="64"/>
      <c r="BR721" s="69"/>
      <c r="BS721" s="64"/>
      <c r="BT721" s="69"/>
      <c r="BU721" t="b">
        <f t="shared" si="11"/>
        <v>0</v>
      </c>
    </row>
    <row r="722" spans="1:73" x14ac:dyDescent="0.25">
      <c r="A722" s="28"/>
      <c r="B722" s="29"/>
      <c r="C722" s="29"/>
      <c r="D722" s="30"/>
      <c r="E722" s="29"/>
      <c r="F722" s="30"/>
      <c r="G722" s="29"/>
      <c r="H722" s="69"/>
      <c r="I722" s="64"/>
      <c r="J722" s="69"/>
      <c r="K722" s="64"/>
      <c r="L722" s="69"/>
      <c r="M722" s="65"/>
      <c r="N722" s="69"/>
      <c r="O722" s="64"/>
      <c r="P722" s="69"/>
      <c r="Q722" s="64"/>
      <c r="R722" s="69"/>
      <c r="S722" s="64"/>
      <c r="T722" s="69"/>
      <c r="U722" s="64"/>
      <c r="V722" s="69"/>
      <c r="W722" s="65"/>
      <c r="X722" s="69"/>
      <c r="Y722" s="64"/>
      <c r="Z722" s="69"/>
      <c r="AA722" s="64"/>
      <c r="AB722" s="69"/>
      <c r="AC722" s="64"/>
      <c r="AD722" s="69"/>
      <c r="AE722" s="65"/>
      <c r="AF722" s="69"/>
      <c r="AG722" s="65"/>
      <c r="AH722" s="69"/>
      <c r="AI722" s="64"/>
      <c r="AJ722" s="69"/>
      <c r="AK722" s="64"/>
      <c r="AL722" s="69"/>
      <c r="AM722" s="64"/>
      <c r="AN722" s="69"/>
      <c r="AO722" s="64"/>
      <c r="AP722" s="69"/>
      <c r="AQ722" s="64"/>
      <c r="AR722" s="69"/>
      <c r="AS722" s="64"/>
      <c r="AT722" s="69"/>
      <c r="AU722" s="64"/>
      <c r="AV722" s="69"/>
      <c r="AW722" s="64"/>
      <c r="AX722" s="69"/>
      <c r="AY722" s="64"/>
      <c r="AZ722" s="69"/>
      <c r="BA722" s="64"/>
      <c r="BB722" s="69"/>
      <c r="BC722" s="64"/>
      <c r="BD722" s="69"/>
      <c r="BE722" s="64"/>
      <c r="BF722" s="69"/>
      <c r="BG722" s="64"/>
      <c r="BH722" s="69"/>
      <c r="BI722" s="64"/>
      <c r="BJ722" s="69"/>
      <c r="BK722" s="64"/>
      <c r="BL722" s="69"/>
      <c r="BM722" s="64"/>
      <c r="BN722" s="69"/>
      <c r="BO722" s="64"/>
      <c r="BP722" s="69"/>
      <c r="BQ722" s="64"/>
      <c r="BR722" s="69"/>
      <c r="BS722" s="64"/>
      <c r="BT722" s="69"/>
      <c r="BU722" t="b">
        <f t="shared" si="11"/>
        <v>0</v>
      </c>
    </row>
    <row r="723" spans="1:73" x14ac:dyDescent="0.25">
      <c r="A723" s="28"/>
      <c r="B723" s="29"/>
      <c r="C723" s="29"/>
      <c r="D723" s="30"/>
      <c r="E723" s="29"/>
      <c r="F723" s="30"/>
      <c r="G723" s="29"/>
      <c r="H723" s="69"/>
      <c r="I723" s="64"/>
      <c r="J723" s="69"/>
      <c r="K723" s="64"/>
      <c r="L723" s="69"/>
      <c r="M723" s="65"/>
      <c r="N723" s="69"/>
      <c r="O723" s="64"/>
      <c r="P723" s="69"/>
      <c r="Q723" s="64"/>
      <c r="R723" s="69"/>
      <c r="S723" s="64"/>
      <c r="T723" s="69"/>
      <c r="U723" s="64"/>
      <c r="V723" s="69"/>
      <c r="W723" s="65"/>
      <c r="X723" s="69"/>
      <c r="Y723" s="64"/>
      <c r="Z723" s="69"/>
      <c r="AA723" s="64"/>
      <c r="AB723" s="69"/>
      <c r="AC723" s="64"/>
      <c r="AD723" s="69"/>
      <c r="AE723" s="65"/>
      <c r="AF723" s="69"/>
      <c r="AG723" s="65"/>
      <c r="AH723" s="69"/>
      <c r="AI723" s="64"/>
      <c r="AJ723" s="69"/>
      <c r="AK723" s="64"/>
      <c r="AL723" s="69"/>
      <c r="AM723" s="64"/>
      <c r="AN723" s="69"/>
      <c r="AO723" s="64"/>
      <c r="AP723" s="69"/>
      <c r="AQ723" s="64"/>
      <c r="AR723" s="69"/>
      <c r="AS723" s="64"/>
      <c r="AT723" s="69"/>
      <c r="AU723" s="64"/>
      <c r="AV723" s="69"/>
      <c r="AW723" s="64"/>
      <c r="AX723" s="69"/>
      <c r="AY723" s="64"/>
      <c r="AZ723" s="69"/>
      <c r="BA723" s="64"/>
      <c r="BB723" s="69"/>
      <c r="BC723" s="64"/>
      <c r="BD723" s="69"/>
      <c r="BE723" s="64"/>
      <c r="BF723" s="69"/>
      <c r="BG723" s="64"/>
      <c r="BH723" s="69"/>
      <c r="BI723" s="64"/>
      <c r="BJ723" s="69"/>
      <c r="BK723" s="64"/>
      <c r="BL723" s="69"/>
      <c r="BM723" s="64"/>
      <c r="BN723" s="69"/>
      <c r="BO723" s="64"/>
      <c r="BP723" s="69"/>
      <c r="BQ723" s="64"/>
      <c r="BR723" s="69"/>
      <c r="BS723" s="64"/>
      <c r="BT723" s="69"/>
      <c r="BU723" t="b">
        <f t="shared" si="11"/>
        <v>0</v>
      </c>
    </row>
    <row r="724" spans="1:73" x14ac:dyDescent="0.25">
      <c r="A724" s="28"/>
      <c r="B724" s="29"/>
      <c r="C724" s="29"/>
      <c r="D724" s="30"/>
      <c r="E724" s="29"/>
      <c r="F724" s="30"/>
      <c r="G724" s="29"/>
      <c r="H724" s="69"/>
      <c r="I724" s="64"/>
      <c r="J724" s="69"/>
      <c r="K724" s="64"/>
      <c r="L724" s="69"/>
      <c r="M724" s="65"/>
      <c r="N724" s="69"/>
      <c r="O724" s="64"/>
      <c r="P724" s="69"/>
      <c r="Q724" s="64"/>
      <c r="R724" s="69"/>
      <c r="S724" s="64"/>
      <c r="T724" s="69"/>
      <c r="U724" s="64"/>
      <c r="V724" s="69"/>
      <c r="W724" s="65"/>
      <c r="X724" s="69"/>
      <c r="Y724" s="64"/>
      <c r="Z724" s="69"/>
      <c r="AA724" s="64"/>
      <c r="AB724" s="69"/>
      <c r="AC724" s="64"/>
      <c r="AD724" s="69"/>
      <c r="AE724" s="65"/>
      <c r="AF724" s="69"/>
      <c r="AG724" s="65"/>
      <c r="AH724" s="69"/>
      <c r="AI724" s="64"/>
      <c r="AJ724" s="69"/>
      <c r="AK724" s="64"/>
      <c r="AL724" s="69"/>
      <c r="AM724" s="64"/>
      <c r="AN724" s="69"/>
      <c r="AO724" s="64"/>
      <c r="AP724" s="69"/>
      <c r="AQ724" s="64"/>
      <c r="AR724" s="69"/>
      <c r="AS724" s="64"/>
      <c r="AT724" s="69"/>
      <c r="AU724" s="64"/>
      <c r="AV724" s="69"/>
      <c r="AW724" s="64"/>
      <c r="AX724" s="69"/>
      <c r="AY724" s="64"/>
      <c r="AZ724" s="69"/>
      <c r="BA724" s="64"/>
      <c r="BB724" s="69"/>
      <c r="BC724" s="64"/>
      <c r="BD724" s="69"/>
      <c r="BE724" s="64"/>
      <c r="BF724" s="69"/>
      <c r="BG724" s="64"/>
      <c r="BH724" s="69"/>
      <c r="BI724" s="64"/>
      <c r="BJ724" s="69"/>
      <c r="BK724" s="64"/>
      <c r="BL724" s="69"/>
      <c r="BM724" s="64"/>
      <c r="BN724" s="69"/>
      <c r="BO724" s="64"/>
      <c r="BP724" s="69"/>
      <c r="BQ724" s="64"/>
      <c r="BR724" s="69"/>
      <c r="BS724" s="64"/>
      <c r="BT724" s="69"/>
      <c r="BU724" t="b">
        <f t="shared" si="11"/>
        <v>0</v>
      </c>
    </row>
    <row r="725" spans="1:73" x14ac:dyDescent="0.25">
      <c r="A725" s="28"/>
      <c r="B725" s="29"/>
      <c r="C725" s="29"/>
      <c r="D725" s="30"/>
      <c r="E725" s="29"/>
      <c r="F725" s="30"/>
      <c r="G725" s="29"/>
      <c r="H725" s="69"/>
      <c r="I725" s="64"/>
      <c r="J725" s="69"/>
      <c r="K725" s="64"/>
      <c r="L725" s="69"/>
      <c r="M725" s="65"/>
      <c r="N725" s="69"/>
      <c r="O725" s="64"/>
      <c r="P725" s="69"/>
      <c r="Q725" s="64"/>
      <c r="R725" s="69"/>
      <c r="S725" s="64"/>
      <c r="T725" s="69"/>
      <c r="U725" s="64"/>
      <c r="V725" s="69"/>
      <c r="W725" s="65"/>
      <c r="X725" s="69"/>
      <c r="Y725" s="64"/>
      <c r="Z725" s="69"/>
      <c r="AA725" s="64"/>
      <c r="AB725" s="69"/>
      <c r="AC725" s="64"/>
      <c r="AD725" s="69"/>
      <c r="AE725" s="65"/>
      <c r="AF725" s="69"/>
      <c r="AG725" s="65"/>
      <c r="AH725" s="69"/>
      <c r="AI725" s="64"/>
      <c r="AJ725" s="69"/>
      <c r="AK725" s="64"/>
      <c r="AL725" s="69"/>
      <c r="AM725" s="64"/>
      <c r="AN725" s="69"/>
      <c r="AO725" s="64"/>
      <c r="AP725" s="69"/>
      <c r="AQ725" s="64"/>
      <c r="AR725" s="69"/>
      <c r="AS725" s="64"/>
      <c r="AT725" s="69"/>
      <c r="AU725" s="64"/>
      <c r="AV725" s="69"/>
      <c r="AW725" s="64"/>
      <c r="AX725" s="69"/>
      <c r="AY725" s="64"/>
      <c r="AZ725" s="69"/>
      <c r="BA725" s="64"/>
      <c r="BB725" s="69"/>
      <c r="BC725" s="64"/>
      <c r="BD725" s="69"/>
      <c r="BE725" s="64"/>
      <c r="BF725" s="69"/>
      <c r="BG725" s="64"/>
      <c r="BH725" s="69"/>
      <c r="BI725" s="64"/>
      <c r="BJ725" s="69"/>
      <c r="BK725" s="64"/>
      <c r="BL725" s="69"/>
      <c r="BM725" s="64"/>
      <c r="BN725" s="69"/>
      <c r="BO725" s="64"/>
      <c r="BP725" s="69"/>
      <c r="BQ725" s="64"/>
      <c r="BR725" s="69"/>
      <c r="BS725" s="64"/>
      <c r="BT725" s="69"/>
      <c r="BU725" t="b">
        <f t="shared" si="11"/>
        <v>0</v>
      </c>
    </row>
    <row r="726" spans="1:73" x14ac:dyDescent="0.25">
      <c r="A726" s="28"/>
      <c r="B726" s="29"/>
      <c r="C726" s="29"/>
      <c r="D726" s="30"/>
      <c r="E726" s="29"/>
      <c r="F726" s="30"/>
      <c r="G726" s="29"/>
      <c r="H726" s="69"/>
      <c r="I726" s="64"/>
      <c r="J726" s="69"/>
      <c r="K726" s="64"/>
      <c r="L726" s="69"/>
      <c r="M726" s="65"/>
      <c r="N726" s="69"/>
      <c r="O726" s="64"/>
      <c r="P726" s="69"/>
      <c r="Q726" s="64"/>
      <c r="R726" s="69"/>
      <c r="S726" s="64"/>
      <c r="T726" s="69"/>
      <c r="U726" s="64"/>
      <c r="V726" s="69"/>
      <c r="W726" s="65"/>
      <c r="X726" s="69"/>
      <c r="Y726" s="64"/>
      <c r="Z726" s="69"/>
      <c r="AA726" s="64"/>
      <c r="AB726" s="69"/>
      <c r="AC726" s="64"/>
      <c r="AD726" s="69"/>
      <c r="AE726" s="65"/>
      <c r="AF726" s="69"/>
      <c r="AG726" s="65"/>
      <c r="AH726" s="69"/>
      <c r="AI726" s="64"/>
      <c r="AJ726" s="69"/>
      <c r="AK726" s="64"/>
      <c r="AL726" s="69"/>
      <c r="AM726" s="64"/>
      <c r="AN726" s="69"/>
      <c r="AO726" s="64"/>
      <c r="AP726" s="69"/>
      <c r="AQ726" s="64"/>
      <c r="AR726" s="69"/>
      <c r="AS726" s="64"/>
      <c r="AT726" s="69"/>
      <c r="AU726" s="64"/>
      <c r="AV726" s="69"/>
      <c r="AW726" s="64"/>
      <c r="AX726" s="69"/>
      <c r="AY726" s="64"/>
      <c r="AZ726" s="69"/>
      <c r="BA726" s="64"/>
      <c r="BB726" s="69"/>
      <c r="BC726" s="64"/>
      <c r="BD726" s="69"/>
      <c r="BE726" s="64"/>
      <c r="BF726" s="69"/>
      <c r="BG726" s="64"/>
      <c r="BH726" s="69"/>
      <c r="BI726" s="64"/>
      <c r="BJ726" s="69"/>
      <c r="BK726" s="64"/>
      <c r="BL726" s="69"/>
      <c r="BM726" s="64"/>
      <c r="BN726" s="69"/>
      <c r="BO726" s="64"/>
      <c r="BP726" s="69"/>
      <c r="BQ726" s="64"/>
      <c r="BR726" s="69"/>
      <c r="BS726" s="64"/>
      <c r="BT726" s="69"/>
      <c r="BU726" t="b">
        <f t="shared" si="11"/>
        <v>0</v>
      </c>
    </row>
    <row r="727" spans="1:73" x14ac:dyDescent="0.25">
      <c r="A727" s="28"/>
      <c r="B727" s="29"/>
      <c r="C727" s="29"/>
      <c r="D727" s="30"/>
      <c r="E727" s="29"/>
      <c r="F727" s="30"/>
      <c r="G727" s="29"/>
      <c r="H727" s="69"/>
      <c r="I727" s="64"/>
      <c r="J727" s="69"/>
      <c r="K727" s="64"/>
      <c r="L727" s="69"/>
      <c r="M727" s="65"/>
      <c r="N727" s="69"/>
      <c r="O727" s="64"/>
      <c r="P727" s="69"/>
      <c r="Q727" s="64"/>
      <c r="R727" s="69"/>
      <c r="S727" s="64"/>
      <c r="T727" s="69"/>
      <c r="U727" s="64"/>
      <c r="V727" s="69"/>
      <c r="W727" s="65"/>
      <c r="X727" s="69"/>
      <c r="Y727" s="64"/>
      <c r="Z727" s="69"/>
      <c r="AA727" s="64"/>
      <c r="AB727" s="69"/>
      <c r="AC727" s="64"/>
      <c r="AD727" s="69"/>
      <c r="AE727" s="65"/>
      <c r="AF727" s="69"/>
      <c r="AG727" s="65"/>
      <c r="AH727" s="69"/>
      <c r="AI727" s="64"/>
      <c r="AJ727" s="69"/>
      <c r="AK727" s="64"/>
      <c r="AL727" s="69"/>
      <c r="AM727" s="64"/>
      <c r="AN727" s="69"/>
      <c r="AO727" s="64"/>
      <c r="AP727" s="69"/>
      <c r="AQ727" s="64"/>
      <c r="AR727" s="69"/>
      <c r="AS727" s="64"/>
      <c r="AT727" s="69"/>
      <c r="AU727" s="64"/>
      <c r="AV727" s="69"/>
      <c r="AW727" s="64"/>
      <c r="AX727" s="69"/>
      <c r="AY727" s="64"/>
      <c r="AZ727" s="69"/>
      <c r="BA727" s="64"/>
      <c r="BB727" s="69"/>
      <c r="BC727" s="64"/>
      <c r="BD727" s="69"/>
      <c r="BE727" s="64"/>
      <c r="BF727" s="69"/>
      <c r="BG727" s="64"/>
      <c r="BH727" s="69"/>
      <c r="BI727" s="64"/>
      <c r="BJ727" s="69"/>
      <c r="BK727" s="64"/>
      <c r="BL727" s="69"/>
      <c r="BM727" s="64"/>
      <c r="BN727" s="69"/>
      <c r="BO727" s="64"/>
      <c r="BP727" s="69"/>
      <c r="BQ727" s="64"/>
      <c r="BR727" s="69"/>
      <c r="BS727" s="64"/>
      <c r="BT727" s="69"/>
      <c r="BU727" t="b">
        <f t="shared" si="11"/>
        <v>0</v>
      </c>
    </row>
    <row r="728" spans="1:73" x14ac:dyDescent="0.25">
      <c r="A728" s="28"/>
      <c r="B728" s="29"/>
      <c r="C728" s="29"/>
      <c r="D728" s="30"/>
      <c r="E728" s="29"/>
      <c r="F728" s="30"/>
      <c r="G728" s="29"/>
      <c r="H728" s="69"/>
      <c r="I728" s="64"/>
      <c r="J728" s="69"/>
      <c r="K728" s="64"/>
      <c r="L728" s="69"/>
      <c r="M728" s="65"/>
      <c r="N728" s="69"/>
      <c r="O728" s="64"/>
      <c r="P728" s="69"/>
      <c r="Q728" s="64"/>
      <c r="R728" s="69"/>
      <c r="S728" s="64"/>
      <c r="T728" s="69"/>
      <c r="U728" s="64"/>
      <c r="V728" s="69"/>
      <c r="W728" s="65"/>
      <c r="X728" s="69"/>
      <c r="Y728" s="64"/>
      <c r="Z728" s="69"/>
      <c r="AA728" s="64"/>
      <c r="AB728" s="69"/>
      <c r="AC728" s="64"/>
      <c r="AD728" s="69"/>
      <c r="AE728" s="65"/>
      <c r="AF728" s="69"/>
      <c r="AG728" s="65"/>
      <c r="AH728" s="69"/>
      <c r="AI728" s="64"/>
      <c r="AJ728" s="69"/>
      <c r="AK728" s="64"/>
      <c r="AL728" s="69"/>
      <c r="AM728" s="64"/>
      <c r="AN728" s="69"/>
      <c r="AO728" s="64"/>
      <c r="AP728" s="69"/>
      <c r="AQ728" s="64"/>
      <c r="AR728" s="69"/>
      <c r="AS728" s="64"/>
      <c r="AT728" s="69"/>
      <c r="AU728" s="64"/>
      <c r="AV728" s="69"/>
      <c r="AW728" s="64"/>
      <c r="AX728" s="69"/>
      <c r="AY728" s="64"/>
      <c r="AZ728" s="69"/>
      <c r="BA728" s="64"/>
      <c r="BB728" s="69"/>
      <c r="BC728" s="64"/>
      <c r="BD728" s="69"/>
      <c r="BE728" s="64"/>
      <c r="BF728" s="69"/>
      <c r="BG728" s="64"/>
      <c r="BH728" s="69"/>
      <c r="BI728" s="64"/>
      <c r="BJ728" s="69"/>
      <c r="BK728" s="64"/>
      <c r="BL728" s="69"/>
      <c r="BM728" s="64"/>
      <c r="BN728" s="69"/>
      <c r="BO728" s="64"/>
      <c r="BP728" s="69"/>
      <c r="BQ728" s="64"/>
      <c r="BR728" s="69"/>
      <c r="BS728" s="64"/>
      <c r="BT728" s="69"/>
      <c r="BU728" t="b">
        <f t="shared" si="11"/>
        <v>0</v>
      </c>
    </row>
    <row r="729" spans="1:73" x14ac:dyDescent="0.25">
      <c r="A729" s="28"/>
      <c r="B729" s="29"/>
      <c r="C729" s="29"/>
      <c r="D729" s="30"/>
      <c r="E729" s="29"/>
      <c r="F729" s="30"/>
      <c r="G729" s="29"/>
      <c r="H729" s="69"/>
      <c r="I729" s="64"/>
      <c r="J729" s="69"/>
      <c r="K729" s="64"/>
      <c r="L729" s="69"/>
      <c r="M729" s="65"/>
      <c r="N729" s="69"/>
      <c r="O729" s="64"/>
      <c r="P729" s="69"/>
      <c r="Q729" s="64"/>
      <c r="R729" s="69"/>
      <c r="S729" s="64"/>
      <c r="T729" s="69"/>
      <c r="U729" s="64"/>
      <c r="V729" s="69"/>
      <c r="W729" s="65"/>
      <c r="X729" s="69"/>
      <c r="Y729" s="64"/>
      <c r="Z729" s="69"/>
      <c r="AA729" s="64"/>
      <c r="AB729" s="69"/>
      <c r="AC729" s="64"/>
      <c r="AD729" s="69"/>
      <c r="AE729" s="65"/>
      <c r="AF729" s="69"/>
      <c r="AG729" s="65"/>
      <c r="AH729" s="69"/>
      <c r="AI729" s="64"/>
      <c r="AJ729" s="69"/>
      <c r="AK729" s="64"/>
      <c r="AL729" s="69"/>
      <c r="AM729" s="64"/>
      <c r="AN729" s="69"/>
      <c r="AO729" s="64"/>
      <c r="AP729" s="69"/>
      <c r="AQ729" s="64"/>
      <c r="AR729" s="69"/>
      <c r="AS729" s="64"/>
      <c r="AT729" s="69"/>
      <c r="AU729" s="64"/>
      <c r="AV729" s="69"/>
      <c r="AW729" s="64"/>
      <c r="AX729" s="69"/>
      <c r="AY729" s="64"/>
      <c r="AZ729" s="69"/>
      <c r="BA729" s="64"/>
      <c r="BB729" s="69"/>
      <c r="BC729" s="64"/>
      <c r="BD729" s="69"/>
      <c r="BE729" s="64"/>
      <c r="BF729" s="69"/>
      <c r="BG729" s="64"/>
      <c r="BH729" s="69"/>
      <c r="BI729" s="64"/>
      <c r="BJ729" s="69"/>
      <c r="BK729" s="64"/>
      <c r="BL729" s="69"/>
      <c r="BM729" s="64"/>
      <c r="BN729" s="69"/>
      <c r="BO729" s="64"/>
      <c r="BP729" s="69"/>
      <c r="BQ729" s="64"/>
      <c r="BR729" s="69"/>
      <c r="BS729" s="64"/>
      <c r="BT729" s="69"/>
      <c r="BU729" t="b">
        <f t="shared" si="11"/>
        <v>0</v>
      </c>
    </row>
    <row r="730" spans="1:73" x14ac:dyDescent="0.25">
      <c r="A730" s="28"/>
      <c r="B730" s="29"/>
      <c r="C730" s="29"/>
      <c r="D730" s="30"/>
      <c r="E730" s="29"/>
      <c r="F730" s="30"/>
      <c r="G730" s="29"/>
      <c r="H730" s="69"/>
      <c r="I730" s="64"/>
      <c r="J730" s="69"/>
      <c r="K730" s="64"/>
      <c r="L730" s="69"/>
      <c r="M730" s="65"/>
      <c r="N730" s="69"/>
      <c r="O730" s="64"/>
      <c r="P730" s="69"/>
      <c r="Q730" s="64"/>
      <c r="R730" s="69"/>
      <c r="S730" s="64"/>
      <c r="T730" s="69"/>
      <c r="U730" s="64"/>
      <c r="V730" s="69"/>
      <c r="W730" s="65"/>
      <c r="X730" s="69"/>
      <c r="Y730" s="64"/>
      <c r="Z730" s="69"/>
      <c r="AA730" s="64"/>
      <c r="AB730" s="69"/>
      <c r="AC730" s="64"/>
      <c r="AD730" s="69"/>
      <c r="AE730" s="65"/>
      <c r="AF730" s="69"/>
      <c r="AG730" s="65"/>
      <c r="AH730" s="69"/>
      <c r="AI730" s="64"/>
      <c r="AJ730" s="69"/>
      <c r="AK730" s="64"/>
      <c r="AL730" s="69"/>
      <c r="AM730" s="64"/>
      <c r="AN730" s="69"/>
      <c r="AO730" s="64"/>
      <c r="AP730" s="69"/>
      <c r="AQ730" s="64"/>
      <c r="AR730" s="69"/>
      <c r="AS730" s="64"/>
      <c r="AT730" s="69"/>
      <c r="AU730" s="64"/>
      <c r="AV730" s="69"/>
      <c r="AW730" s="64"/>
      <c r="AX730" s="69"/>
      <c r="AY730" s="64"/>
      <c r="AZ730" s="69"/>
      <c r="BA730" s="64"/>
      <c r="BB730" s="69"/>
      <c r="BC730" s="64"/>
      <c r="BD730" s="69"/>
      <c r="BE730" s="64"/>
      <c r="BF730" s="69"/>
      <c r="BG730" s="64"/>
      <c r="BH730" s="69"/>
      <c r="BI730" s="64"/>
      <c r="BJ730" s="69"/>
      <c r="BK730" s="64"/>
      <c r="BL730" s="69"/>
      <c r="BM730" s="64"/>
      <c r="BN730" s="69"/>
      <c r="BO730" s="64"/>
      <c r="BP730" s="69"/>
      <c r="BQ730" s="64"/>
      <c r="BR730" s="69"/>
      <c r="BS730" s="64"/>
      <c r="BT730" s="69"/>
      <c r="BU730" t="b">
        <f t="shared" si="11"/>
        <v>0</v>
      </c>
    </row>
    <row r="731" spans="1:73" x14ac:dyDescent="0.25">
      <c r="A731" s="28"/>
      <c r="B731" s="29"/>
      <c r="C731" s="29"/>
      <c r="D731" s="30"/>
      <c r="E731" s="29"/>
      <c r="F731" s="30"/>
      <c r="G731" s="29"/>
      <c r="H731" s="69"/>
      <c r="I731" s="64"/>
      <c r="J731" s="69"/>
      <c r="K731" s="64"/>
      <c r="L731" s="69"/>
      <c r="M731" s="65"/>
      <c r="N731" s="69"/>
      <c r="O731" s="64"/>
      <c r="P731" s="69"/>
      <c r="Q731" s="64"/>
      <c r="R731" s="69"/>
      <c r="S731" s="64"/>
      <c r="T731" s="69"/>
      <c r="U731" s="64"/>
      <c r="V731" s="69"/>
      <c r="W731" s="65"/>
      <c r="X731" s="69"/>
      <c r="Y731" s="64"/>
      <c r="Z731" s="69"/>
      <c r="AA731" s="64"/>
      <c r="AB731" s="69"/>
      <c r="AC731" s="64"/>
      <c r="AD731" s="69"/>
      <c r="AE731" s="65"/>
      <c r="AF731" s="69"/>
      <c r="AG731" s="65"/>
      <c r="AH731" s="69"/>
      <c r="AI731" s="64"/>
      <c r="AJ731" s="69"/>
      <c r="AK731" s="64"/>
      <c r="AL731" s="69"/>
      <c r="AM731" s="64"/>
      <c r="AN731" s="69"/>
      <c r="AO731" s="64"/>
      <c r="AP731" s="69"/>
      <c r="AQ731" s="64"/>
      <c r="AR731" s="69"/>
      <c r="AS731" s="64"/>
      <c r="AT731" s="69"/>
      <c r="AU731" s="64"/>
      <c r="AV731" s="69"/>
      <c r="AW731" s="64"/>
      <c r="AX731" s="69"/>
      <c r="AY731" s="64"/>
      <c r="AZ731" s="69"/>
      <c r="BA731" s="64"/>
      <c r="BB731" s="69"/>
      <c r="BC731" s="64"/>
      <c r="BD731" s="69"/>
      <c r="BE731" s="64"/>
      <c r="BF731" s="69"/>
      <c r="BG731" s="64"/>
      <c r="BH731" s="69"/>
      <c r="BI731" s="64"/>
      <c r="BJ731" s="69"/>
      <c r="BK731" s="64"/>
      <c r="BL731" s="69"/>
      <c r="BM731" s="64"/>
      <c r="BN731" s="69"/>
      <c r="BO731" s="64"/>
      <c r="BP731" s="69"/>
      <c r="BQ731" s="64"/>
      <c r="BR731" s="69"/>
      <c r="BS731" s="64"/>
      <c r="BT731" s="69"/>
      <c r="BU731" t="b">
        <f t="shared" si="11"/>
        <v>0</v>
      </c>
    </row>
    <row r="732" spans="1:73" x14ac:dyDescent="0.25">
      <c r="A732" s="28"/>
      <c r="B732" s="29"/>
      <c r="C732" s="29"/>
      <c r="D732" s="30"/>
      <c r="E732" s="29"/>
      <c r="F732" s="30"/>
      <c r="G732" s="29"/>
      <c r="H732" s="69"/>
      <c r="I732" s="64"/>
      <c r="J732" s="69"/>
      <c r="K732" s="64"/>
      <c r="L732" s="69"/>
      <c r="M732" s="65"/>
      <c r="N732" s="69"/>
      <c r="O732" s="64"/>
      <c r="P732" s="69"/>
      <c r="Q732" s="64"/>
      <c r="R732" s="69"/>
      <c r="S732" s="64"/>
      <c r="T732" s="69"/>
      <c r="U732" s="64"/>
      <c r="V732" s="69"/>
      <c r="W732" s="65"/>
      <c r="X732" s="69"/>
      <c r="Y732" s="64"/>
      <c r="Z732" s="69"/>
      <c r="AA732" s="64"/>
      <c r="AB732" s="69"/>
      <c r="AC732" s="64"/>
      <c r="AD732" s="69"/>
      <c r="AE732" s="65"/>
      <c r="AF732" s="69"/>
      <c r="AG732" s="65"/>
      <c r="AH732" s="69"/>
      <c r="AI732" s="64"/>
      <c r="AJ732" s="69"/>
      <c r="AK732" s="64"/>
      <c r="AL732" s="69"/>
      <c r="AM732" s="64"/>
      <c r="AN732" s="69"/>
      <c r="AO732" s="64"/>
      <c r="AP732" s="69"/>
      <c r="AQ732" s="64"/>
      <c r="AR732" s="69"/>
      <c r="AS732" s="64"/>
      <c r="AT732" s="69"/>
      <c r="AU732" s="64"/>
      <c r="AV732" s="69"/>
      <c r="AW732" s="64"/>
      <c r="AX732" s="69"/>
      <c r="AY732" s="64"/>
      <c r="AZ732" s="69"/>
      <c r="BA732" s="64"/>
      <c r="BB732" s="69"/>
      <c r="BC732" s="64"/>
      <c r="BD732" s="69"/>
      <c r="BE732" s="64"/>
      <c r="BF732" s="69"/>
      <c r="BG732" s="64"/>
      <c r="BH732" s="69"/>
      <c r="BI732" s="64"/>
      <c r="BJ732" s="69"/>
      <c r="BK732" s="64"/>
      <c r="BL732" s="69"/>
      <c r="BM732" s="64"/>
      <c r="BN732" s="69"/>
      <c r="BO732" s="64"/>
      <c r="BP732" s="69"/>
      <c r="BQ732" s="64"/>
      <c r="BR732" s="69"/>
      <c r="BS732" s="64"/>
      <c r="BT732" s="69"/>
      <c r="BU732" t="b">
        <f t="shared" si="11"/>
        <v>0</v>
      </c>
    </row>
    <row r="733" spans="1:73" x14ac:dyDescent="0.25">
      <c r="A733" s="28"/>
      <c r="B733" s="29"/>
      <c r="C733" s="29"/>
      <c r="D733" s="30"/>
      <c r="E733" s="29"/>
      <c r="F733" s="30"/>
      <c r="G733" s="29"/>
      <c r="H733" s="69"/>
      <c r="I733" s="64"/>
      <c r="J733" s="69"/>
      <c r="K733" s="64"/>
      <c r="L733" s="69"/>
      <c r="M733" s="65"/>
      <c r="N733" s="69"/>
      <c r="O733" s="64"/>
      <c r="P733" s="69"/>
      <c r="Q733" s="64"/>
      <c r="R733" s="69"/>
      <c r="S733" s="64"/>
      <c r="T733" s="69"/>
      <c r="U733" s="64"/>
      <c r="V733" s="69"/>
      <c r="W733" s="65"/>
      <c r="X733" s="69"/>
      <c r="Y733" s="64"/>
      <c r="Z733" s="69"/>
      <c r="AA733" s="64"/>
      <c r="AB733" s="69"/>
      <c r="AC733" s="64"/>
      <c r="AD733" s="69"/>
      <c r="AE733" s="65"/>
      <c r="AF733" s="69"/>
      <c r="AG733" s="65"/>
      <c r="AH733" s="69"/>
      <c r="AI733" s="64"/>
      <c r="AJ733" s="69"/>
      <c r="AK733" s="64"/>
      <c r="AL733" s="69"/>
      <c r="AM733" s="64"/>
      <c r="AN733" s="69"/>
      <c r="AO733" s="64"/>
      <c r="AP733" s="69"/>
      <c r="AQ733" s="64"/>
      <c r="AR733" s="69"/>
      <c r="AS733" s="64"/>
      <c r="AT733" s="69"/>
      <c r="AU733" s="64"/>
      <c r="AV733" s="69"/>
      <c r="AW733" s="64"/>
      <c r="AX733" s="69"/>
      <c r="AY733" s="64"/>
      <c r="AZ733" s="69"/>
      <c r="BA733" s="64"/>
      <c r="BB733" s="69"/>
      <c r="BC733" s="64"/>
      <c r="BD733" s="69"/>
      <c r="BE733" s="64"/>
      <c r="BF733" s="69"/>
      <c r="BG733" s="64"/>
      <c r="BH733" s="69"/>
      <c r="BI733" s="64"/>
      <c r="BJ733" s="69"/>
      <c r="BK733" s="64"/>
      <c r="BL733" s="69"/>
      <c r="BM733" s="64"/>
      <c r="BN733" s="69"/>
      <c r="BO733" s="64"/>
      <c r="BP733" s="69"/>
      <c r="BQ733" s="64"/>
      <c r="BR733" s="69"/>
      <c r="BS733" s="64"/>
      <c r="BT733" s="69"/>
      <c r="BU733" t="b">
        <f t="shared" si="11"/>
        <v>0</v>
      </c>
    </row>
    <row r="734" spans="1:73" x14ac:dyDescent="0.25">
      <c r="A734" s="28"/>
      <c r="B734" s="29"/>
      <c r="C734" s="29"/>
      <c r="D734" s="30"/>
      <c r="E734" s="29"/>
      <c r="F734" s="30"/>
      <c r="G734" s="29"/>
      <c r="H734" s="69"/>
      <c r="I734" s="64"/>
      <c r="J734" s="69"/>
      <c r="K734" s="64"/>
      <c r="L734" s="69"/>
      <c r="M734" s="65"/>
      <c r="N734" s="69"/>
      <c r="O734" s="64"/>
      <c r="P734" s="69"/>
      <c r="Q734" s="64"/>
      <c r="R734" s="69"/>
      <c r="S734" s="64"/>
      <c r="T734" s="69"/>
      <c r="U734" s="64"/>
      <c r="V734" s="69"/>
      <c r="W734" s="65"/>
      <c r="X734" s="69"/>
      <c r="Y734" s="64"/>
      <c r="Z734" s="69"/>
      <c r="AA734" s="64"/>
      <c r="AB734" s="69"/>
      <c r="AC734" s="64"/>
      <c r="AD734" s="69"/>
      <c r="AE734" s="65"/>
      <c r="AF734" s="69"/>
      <c r="AG734" s="65"/>
      <c r="AH734" s="69"/>
      <c r="AI734" s="64"/>
      <c r="AJ734" s="69"/>
      <c r="AK734" s="64"/>
      <c r="AL734" s="69"/>
      <c r="AM734" s="64"/>
      <c r="AN734" s="69"/>
      <c r="AO734" s="64"/>
      <c r="AP734" s="69"/>
      <c r="AQ734" s="64"/>
      <c r="AR734" s="69"/>
      <c r="AS734" s="64"/>
      <c r="AT734" s="69"/>
      <c r="AU734" s="64"/>
      <c r="AV734" s="69"/>
      <c r="AW734" s="64"/>
      <c r="AX734" s="69"/>
      <c r="AY734" s="64"/>
      <c r="AZ734" s="69"/>
      <c r="BA734" s="64"/>
      <c r="BB734" s="69"/>
      <c r="BC734" s="64"/>
      <c r="BD734" s="69"/>
      <c r="BE734" s="64"/>
      <c r="BF734" s="69"/>
      <c r="BG734" s="64"/>
      <c r="BH734" s="69"/>
      <c r="BI734" s="64"/>
      <c r="BJ734" s="69"/>
      <c r="BK734" s="64"/>
      <c r="BL734" s="69"/>
      <c r="BM734" s="64"/>
      <c r="BN734" s="69"/>
      <c r="BO734" s="64"/>
      <c r="BP734" s="69"/>
      <c r="BQ734" s="64"/>
      <c r="BR734" s="69"/>
      <c r="BS734" s="64"/>
      <c r="BT734" s="69"/>
      <c r="BU734" t="b">
        <f t="shared" si="11"/>
        <v>0</v>
      </c>
    </row>
    <row r="735" spans="1:73" x14ac:dyDescent="0.25">
      <c r="A735" s="28"/>
      <c r="B735" s="29"/>
      <c r="C735" s="29"/>
      <c r="D735" s="30"/>
      <c r="E735" s="29"/>
      <c r="F735" s="30"/>
      <c r="G735" s="29"/>
      <c r="H735" s="69"/>
      <c r="I735" s="64"/>
      <c r="J735" s="69"/>
      <c r="K735" s="64"/>
      <c r="L735" s="69"/>
      <c r="M735" s="65"/>
      <c r="N735" s="69"/>
      <c r="O735" s="64"/>
      <c r="P735" s="69"/>
      <c r="Q735" s="64"/>
      <c r="R735" s="69"/>
      <c r="S735" s="64"/>
      <c r="T735" s="69"/>
      <c r="U735" s="64"/>
      <c r="V735" s="69"/>
      <c r="W735" s="65"/>
      <c r="X735" s="69"/>
      <c r="Y735" s="64"/>
      <c r="Z735" s="69"/>
      <c r="AA735" s="64"/>
      <c r="AB735" s="69"/>
      <c r="AC735" s="64"/>
      <c r="AD735" s="69"/>
      <c r="AE735" s="65"/>
      <c r="AF735" s="69"/>
      <c r="AG735" s="65"/>
      <c r="AH735" s="69"/>
      <c r="AI735" s="64"/>
      <c r="AJ735" s="69"/>
      <c r="AK735" s="64"/>
      <c r="AL735" s="69"/>
      <c r="AM735" s="64"/>
      <c r="AN735" s="69"/>
      <c r="AO735" s="64"/>
      <c r="AP735" s="69"/>
      <c r="AQ735" s="64"/>
      <c r="AR735" s="69"/>
      <c r="AS735" s="64"/>
      <c r="AT735" s="69"/>
      <c r="AU735" s="64"/>
      <c r="AV735" s="69"/>
      <c r="AW735" s="64"/>
      <c r="AX735" s="69"/>
      <c r="AY735" s="64"/>
      <c r="AZ735" s="69"/>
      <c r="BA735" s="64"/>
      <c r="BB735" s="69"/>
      <c r="BC735" s="64"/>
      <c r="BD735" s="69"/>
      <c r="BE735" s="64"/>
      <c r="BF735" s="69"/>
      <c r="BG735" s="64"/>
      <c r="BH735" s="69"/>
      <c r="BI735" s="64"/>
      <c r="BJ735" s="69"/>
      <c r="BK735" s="64"/>
      <c r="BL735" s="69"/>
      <c r="BM735" s="64"/>
      <c r="BN735" s="69"/>
      <c r="BO735" s="64"/>
      <c r="BP735" s="69"/>
      <c r="BQ735" s="64"/>
      <c r="BR735" s="69"/>
      <c r="BS735" s="64"/>
      <c r="BT735" s="69"/>
      <c r="BU735" t="b">
        <f t="shared" si="11"/>
        <v>0</v>
      </c>
    </row>
    <row r="736" spans="1:73" x14ac:dyDescent="0.25">
      <c r="A736" s="28"/>
      <c r="B736" s="29"/>
      <c r="C736" s="29"/>
      <c r="D736" s="30"/>
      <c r="E736" s="29"/>
      <c r="F736" s="30"/>
      <c r="G736" s="29"/>
      <c r="H736" s="69"/>
      <c r="I736" s="64"/>
      <c r="J736" s="69"/>
      <c r="K736" s="64"/>
      <c r="L736" s="69"/>
      <c r="M736" s="65"/>
      <c r="N736" s="69"/>
      <c r="O736" s="64"/>
      <c r="P736" s="69"/>
      <c r="Q736" s="64"/>
      <c r="R736" s="69"/>
      <c r="S736" s="64"/>
      <c r="T736" s="69"/>
      <c r="U736" s="64"/>
      <c r="V736" s="69"/>
      <c r="W736" s="65"/>
      <c r="X736" s="69"/>
      <c r="Y736" s="64"/>
      <c r="Z736" s="69"/>
      <c r="AA736" s="64"/>
      <c r="AB736" s="69"/>
      <c r="AC736" s="64"/>
      <c r="AD736" s="69"/>
      <c r="AE736" s="65"/>
      <c r="AF736" s="69"/>
      <c r="AG736" s="65"/>
      <c r="AH736" s="69"/>
      <c r="AI736" s="64"/>
      <c r="AJ736" s="69"/>
      <c r="AK736" s="64"/>
      <c r="AL736" s="69"/>
      <c r="AM736" s="64"/>
      <c r="AN736" s="69"/>
      <c r="AO736" s="64"/>
      <c r="AP736" s="69"/>
      <c r="AQ736" s="64"/>
      <c r="AR736" s="69"/>
      <c r="AS736" s="64"/>
      <c r="AT736" s="69"/>
      <c r="AU736" s="64"/>
      <c r="AV736" s="69"/>
      <c r="AW736" s="64"/>
      <c r="AX736" s="69"/>
      <c r="AY736" s="64"/>
      <c r="AZ736" s="69"/>
      <c r="BA736" s="64"/>
      <c r="BB736" s="69"/>
      <c r="BC736" s="64"/>
      <c r="BD736" s="69"/>
      <c r="BE736" s="64"/>
      <c r="BF736" s="69"/>
      <c r="BG736" s="64"/>
      <c r="BH736" s="69"/>
      <c r="BI736" s="64"/>
      <c r="BJ736" s="69"/>
      <c r="BK736" s="64"/>
      <c r="BL736" s="69"/>
      <c r="BM736" s="64"/>
      <c r="BN736" s="69"/>
      <c r="BO736" s="64"/>
      <c r="BP736" s="69"/>
      <c r="BQ736" s="64"/>
      <c r="BR736" s="69"/>
      <c r="BS736" s="64"/>
      <c r="BT736" s="69"/>
      <c r="BU736" t="b">
        <f t="shared" si="11"/>
        <v>0</v>
      </c>
    </row>
    <row r="737" spans="1:73" x14ac:dyDescent="0.25">
      <c r="A737" s="28"/>
      <c r="B737" s="29"/>
      <c r="C737" s="29"/>
      <c r="D737" s="30"/>
      <c r="E737" s="29"/>
      <c r="F737" s="30"/>
      <c r="G737" s="29"/>
      <c r="H737" s="69"/>
      <c r="I737" s="64"/>
      <c r="J737" s="69"/>
      <c r="K737" s="64"/>
      <c r="L737" s="69"/>
      <c r="M737" s="65"/>
      <c r="N737" s="69"/>
      <c r="O737" s="64"/>
      <c r="P737" s="69"/>
      <c r="Q737" s="64"/>
      <c r="R737" s="69"/>
      <c r="S737" s="64"/>
      <c r="T737" s="69"/>
      <c r="U737" s="64"/>
      <c r="V737" s="69"/>
      <c r="W737" s="65"/>
      <c r="X737" s="69"/>
      <c r="Y737" s="64"/>
      <c r="Z737" s="69"/>
      <c r="AA737" s="64"/>
      <c r="AB737" s="69"/>
      <c r="AC737" s="64"/>
      <c r="AD737" s="69"/>
      <c r="AE737" s="65"/>
      <c r="AF737" s="69"/>
      <c r="AG737" s="65"/>
      <c r="AH737" s="69"/>
      <c r="AI737" s="64"/>
      <c r="AJ737" s="69"/>
      <c r="AK737" s="64"/>
      <c r="AL737" s="69"/>
      <c r="AM737" s="64"/>
      <c r="AN737" s="69"/>
      <c r="AO737" s="64"/>
      <c r="AP737" s="69"/>
      <c r="AQ737" s="64"/>
      <c r="AR737" s="69"/>
      <c r="AS737" s="64"/>
      <c r="AT737" s="69"/>
      <c r="AU737" s="64"/>
      <c r="AV737" s="69"/>
      <c r="AW737" s="64"/>
      <c r="AX737" s="69"/>
      <c r="AY737" s="64"/>
      <c r="AZ737" s="69"/>
      <c r="BA737" s="64"/>
      <c r="BB737" s="69"/>
      <c r="BC737" s="64"/>
      <c r="BD737" s="69"/>
      <c r="BE737" s="64"/>
      <c r="BF737" s="69"/>
      <c r="BG737" s="64"/>
      <c r="BH737" s="69"/>
      <c r="BI737" s="64"/>
      <c r="BJ737" s="69"/>
      <c r="BK737" s="64"/>
      <c r="BL737" s="69"/>
      <c r="BM737" s="64"/>
      <c r="BN737" s="69"/>
      <c r="BO737" s="64"/>
      <c r="BP737" s="69"/>
      <c r="BQ737" s="64"/>
      <c r="BR737" s="69"/>
      <c r="BS737" s="64"/>
      <c r="BT737" s="69"/>
      <c r="BU737" t="b">
        <f t="shared" si="11"/>
        <v>0</v>
      </c>
    </row>
    <row r="738" spans="1:73" x14ac:dyDescent="0.25">
      <c r="A738" s="28"/>
      <c r="B738" s="29"/>
      <c r="C738" s="29"/>
      <c r="D738" s="30"/>
      <c r="E738" s="29"/>
      <c r="F738" s="30"/>
      <c r="G738" s="29"/>
      <c r="H738" s="69"/>
      <c r="I738" s="64"/>
      <c r="J738" s="69"/>
      <c r="K738" s="64"/>
      <c r="L738" s="69"/>
      <c r="M738" s="65"/>
      <c r="N738" s="69"/>
      <c r="O738" s="64"/>
      <c r="P738" s="69"/>
      <c r="Q738" s="64"/>
      <c r="R738" s="69"/>
      <c r="S738" s="64"/>
      <c r="T738" s="69"/>
      <c r="U738" s="64"/>
      <c r="V738" s="69"/>
      <c r="W738" s="65"/>
      <c r="X738" s="69"/>
      <c r="Y738" s="64"/>
      <c r="Z738" s="69"/>
      <c r="AA738" s="64"/>
      <c r="AB738" s="69"/>
      <c r="AC738" s="64"/>
      <c r="AD738" s="69"/>
      <c r="AE738" s="65"/>
      <c r="AF738" s="69"/>
      <c r="AG738" s="65"/>
      <c r="AH738" s="69"/>
      <c r="AI738" s="64"/>
      <c r="AJ738" s="69"/>
      <c r="AK738" s="64"/>
      <c r="AL738" s="69"/>
      <c r="AM738" s="64"/>
      <c r="AN738" s="69"/>
      <c r="AO738" s="64"/>
      <c r="AP738" s="69"/>
      <c r="AQ738" s="64"/>
      <c r="AR738" s="69"/>
      <c r="AS738" s="64"/>
      <c r="AT738" s="69"/>
      <c r="AU738" s="64"/>
      <c r="AV738" s="69"/>
      <c r="AW738" s="64"/>
      <c r="AX738" s="69"/>
      <c r="AY738" s="64"/>
      <c r="AZ738" s="69"/>
      <c r="BA738" s="64"/>
      <c r="BB738" s="69"/>
      <c r="BC738" s="64"/>
      <c r="BD738" s="69"/>
      <c r="BE738" s="64"/>
      <c r="BF738" s="69"/>
      <c r="BG738" s="64"/>
      <c r="BH738" s="69"/>
      <c r="BI738" s="64"/>
      <c r="BJ738" s="69"/>
      <c r="BK738" s="64"/>
      <c r="BL738" s="69"/>
      <c r="BM738" s="64"/>
      <c r="BN738" s="69"/>
      <c r="BO738" s="64"/>
      <c r="BP738" s="69"/>
      <c r="BQ738" s="64"/>
      <c r="BR738" s="69"/>
      <c r="BS738" s="64"/>
      <c r="BT738" s="69"/>
      <c r="BU738" t="b">
        <f t="shared" si="11"/>
        <v>0</v>
      </c>
    </row>
    <row r="739" spans="1:73" x14ac:dyDescent="0.25">
      <c r="A739" s="28"/>
      <c r="B739" s="29"/>
      <c r="C739" s="29"/>
      <c r="D739" s="30"/>
      <c r="E739" s="29"/>
      <c r="F739" s="30"/>
      <c r="G739" s="29"/>
      <c r="H739" s="69"/>
      <c r="I739" s="64"/>
      <c r="J739" s="69"/>
      <c r="K739" s="64"/>
      <c r="L739" s="69"/>
      <c r="M739" s="65"/>
      <c r="N739" s="69"/>
      <c r="O739" s="64"/>
      <c r="P739" s="69"/>
      <c r="Q739" s="64"/>
      <c r="R739" s="69"/>
      <c r="S739" s="64"/>
      <c r="T739" s="69"/>
      <c r="U739" s="64"/>
      <c r="V739" s="69"/>
      <c r="W739" s="65"/>
      <c r="X739" s="69"/>
      <c r="Y739" s="64"/>
      <c r="Z739" s="69"/>
      <c r="AA739" s="64"/>
      <c r="AB739" s="69"/>
      <c r="AC739" s="64"/>
      <c r="AD739" s="69"/>
      <c r="AE739" s="65"/>
      <c r="AF739" s="69"/>
      <c r="AG739" s="65"/>
      <c r="AH739" s="69"/>
      <c r="AI739" s="64"/>
      <c r="AJ739" s="69"/>
      <c r="AK739" s="64"/>
      <c r="AL739" s="69"/>
      <c r="AM739" s="64"/>
      <c r="AN739" s="69"/>
      <c r="AO739" s="64"/>
      <c r="AP739" s="69"/>
      <c r="AQ739" s="64"/>
      <c r="AR739" s="69"/>
      <c r="AS739" s="64"/>
      <c r="AT739" s="69"/>
      <c r="AU739" s="64"/>
      <c r="AV739" s="69"/>
      <c r="AW739" s="64"/>
      <c r="AX739" s="69"/>
      <c r="AY739" s="64"/>
      <c r="AZ739" s="69"/>
      <c r="BA739" s="64"/>
      <c r="BB739" s="69"/>
      <c r="BC739" s="64"/>
      <c r="BD739" s="69"/>
      <c r="BE739" s="64"/>
      <c r="BF739" s="69"/>
      <c r="BG739" s="64"/>
      <c r="BH739" s="69"/>
      <c r="BI739" s="64"/>
      <c r="BJ739" s="69"/>
      <c r="BK739" s="64"/>
      <c r="BL739" s="69"/>
      <c r="BM739" s="64"/>
      <c r="BN739" s="69"/>
      <c r="BO739" s="64"/>
      <c r="BP739" s="69"/>
      <c r="BQ739" s="64"/>
      <c r="BR739" s="69"/>
      <c r="BS739" s="64"/>
      <c r="BT739" s="69"/>
      <c r="BU739" t="b">
        <f t="shared" si="11"/>
        <v>0</v>
      </c>
    </row>
    <row r="740" spans="1:73" x14ac:dyDescent="0.25">
      <c r="A740" s="28"/>
      <c r="B740" s="29"/>
      <c r="C740" s="29"/>
      <c r="D740" s="30"/>
      <c r="E740" s="29"/>
      <c r="F740" s="30"/>
      <c r="G740" s="29"/>
      <c r="H740" s="69"/>
      <c r="I740" s="64"/>
      <c r="J740" s="69"/>
      <c r="K740" s="64"/>
      <c r="L740" s="69"/>
      <c r="M740" s="65"/>
      <c r="N740" s="69"/>
      <c r="O740" s="64"/>
      <c r="P740" s="69"/>
      <c r="Q740" s="64"/>
      <c r="R740" s="69"/>
      <c r="S740" s="64"/>
      <c r="T740" s="69"/>
      <c r="U740" s="64"/>
      <c r="V740" s="69"/>
      <c r="W740" s="65"/>
      <c r="X740" s="69"/>
      <c r="Y740" s="64"/>
      <c r="Z740" s="69"/>
      <c r="AA740" s="64"/>
      <c r="AB740" s="69"/>
      <c r="AC740" s="64"/>
      <c r="AD740" s="69"/>
      <c r="AE740" s="65"/>
      <c r="AF740" s="69"/>
      <c r="AG740" s="65"/>
      <c r="AH740" s="69"/>
      <c r="AI740" s="64"/>
      <c r="AJ740" s="69"/>
      <c r="AK740" s="64"/>
      <c r="AL740" s="69"/>
      <c r="AM740" s="64"/>
      <c r="AN740" s="69"/>
      <c r="AO740" s="64"/>
      <c r="AP740" s="69"/>
      <c r="AQ740" s="64"/>
      <c r="AR740" s="69"/>
      <c r="AS740" s="64"/>
      <c r="AT740" s="69"/>
      <c r="AU740" s="64"/>
      <c r="AV740" s="69"/>
      <c r="AW740" s="64"/>
      <c r="AX740" s="69"/>
      <c r="AY740" s="64"/>
      <c r="AZ740" s="69"/>
      <c r="BA740" s="64"/>
      <c r="BB740" s="69"/>
      <c r="BC740" s="64"/>
      <c r="BD740" s="69"/>
      <c r="BE740" s="64"/>
      <c r="BF740" s="69"/>
      <c r="BG740" s="64"/>
      <c r="BH740" s="69"/>
      <c r="BI740" s="64"/>
      <c r="BJ740" s="69"/>
      <c r="BK740" s="64"/>
      <c r="BL740" s="69"/>
      <c r="BM740" s="64"/>
      <c r="BN740" s="69"/>
      <c r="BO740" s="64"/>
      <c r="BP740" s="69"/>
      <c r="BQ740" s="64"/>
      <c r="BR740" s="69"/>
      <c r="BS740" s="64"/>
      <c r="BT740" s="69"/>
      <c r="BU740" t="b">
        <f t="shared" si="11"/>
        <v>0</v>
      </c>
    </row>
    <row r="741" spans="1:73" x14ac:dyDescent="0.25">
      <c r="A741" s="28"/>
      <c r="B741" s="29"/>
      <c r="C741" s="29"/>
      <c r="D741" s="30"/>
      <c r="E741" s="29"/>
      <c r="F741" s="30"/>
      <c r="G741" s="29"/>
      <c r="H741" s="69"/>
      <c r="I741" s="64"/>
      <c r="J741" s="69"/>
      <c r="K741" s="64"/>
      <c r="L741" s="69"/>
      <c r="M741" s="65"/>
      <c r="N741" s="69"/>
      <c r="O741" s="64"/>
      <c r="P741" s="69"/>
      <c r="Q741" s="64"/>
      <c r="R741" s="69"/>
      <c r="S741" s="64"/>
      <c r="T741" s="69"/>
      <c r="U741" s="64"/>
      <c r="V741" s="69"/>
      <c r="W741" s="65"/>
      <c r="X741" s="69"/>
      <c r="Y741" s="64"/>
      <c r="Z741" s="69"/>
      <c r="AA741" s="64"/>
      <c r="AB741" s="69"/>
      <c r="AC741" s="64"/>
      <c r="AD741" s="69"/>
      <c r="AE741" s="65"/>
      <c r="AF741" s="69"/>
      <c r="AG741" s="65"/>
      <c r="AH741" s="69"/>
      <c r="AI741" s="64"/>
      <c r="AJ741" s="69"/>
      <c r="AK741" s="64"/>
      <c r="AL741" s="69"/>
      <c r="AM741" s="64"/>
      <c r="AN741" s="69"/>
      <c r="AO741" s="64"/>
      <c r="AP741" s="69"/>
      <c r="AQ741" s="64"/>
      <c r="AR741" s="69"/>
      <c r="AS741" s="64"/>
      <c r="AT741" s="69"/>
      <c r="AU741" s="64"/>
      <c r="AV741" s="69"/>
      <c r="AW741" s="64"/>
      <c r="AX741" s="69"/>
      <c r="AY741" s="64"/>
      <c r="AZ741" s="69"/>
      <c r="BA741" s="64"/>
      <c r="BB741" s="69"/>
      <c r="BC741" s="64"/>
      <c r="BD741" s="69"/>
      <c r="BE741" s="64"/>
      <c r="BF741" s="69"/>
      <c r="BG741" s="64"/>
      <c r="BH741" s="69"/>
      <c r="BI741" s="64"/>
      <c r="BJ741" s="69"/>
      <c r="BK741" s="64"/>
      <c r="BL741" s="69"/>
      <c r="BM741" s="64"/>
      <c r="BN741" s="69"/>
      <c r="BO741" s="64"/>
      <c r="BP741" s="69"/>
      <c r="BQ741" s="64"/>
      <c r="BR741" s="69"/>
      <c r="BS741" s="64"/>
      <c r="BT741" s="69"/>
      <c r="BU741" t="b">
        <f t="shared" ref="BU741:BU804" si="12">NOT(AND(BR741="",BP741="",BN741="",BL741="",BJ741="",BH741="",BF741="",BD741="",BB741="",AZ741="",AX741="",AV741="",AT741="",AR741="",AP741="",AN741="",AL741="",AJ741="",AH741="",AF741="",AD741="",AB741="",Z741="",X741="",V741="",T741="",R741="",P741="",N741="", L741="",J741=""))</f>
        <v>0</v>
      </c>
    </row>
    <row r="742" spans="1:73" x14ac:dyDescent="0.25">
      <c r="A742" s="28"/>
      <c r="B742" s="29"/>
      <c r="C742" s="29"/>
      <c r="D742" s="30"/>
      <c r="E742" s="29"/>
      <c r="F742" s="30"/>
      <c r="G742" s="29"/>
      <c r="H742" s="69"/>
      <c r="I742" s="64"/>
      <c r="J742" s="69"/>
      <c r="K742" s="64"/>
      <c r="L742" s="69"/>
      <c r="M742" s="65"/>
      <c r="N742" s="69"/>
      <c r="O742" s="64"/>
      <c r="P742" s="69"/>
      <c r="Q742" s="64"/>
      <c r="R742" s="69"/>
      <c r="S742" s="64"/>
      <c r="T742" s="69"/>
      <c r="U742" s="64"/>
      <c r="V742" s="69"/>
      <c r="W742" s="65"/>
      <c r="X742" s="69"/>
      <c r="Y742" s="64"/>
      <c r="Z742" s="69"/>
      <c r="AA742" s="64"/>
      <c r="AB742" s="69"/>
      <c r="AC742" s="64"/>
      <c r="AD742" s="69"/>
      <c r="AE742" s="65"/>
      <c r="AF742" s="69"/>
      <c r="AG742" s="65"/>
      <c r="AH742" s="69"/>
      <c r="AI742" s="64"/>
      <c r="AJ742" s="69"/>
      <c r="AK742" s="64"/>
      <c r="AL742" s="69"/>
      <c r="AM742" s="64"/>
      <c r="AN742" s="69"/>
      <c r="AO742" s="64"/>
      <c r="AP742" s="69"/>
      <c r="AQ742" s="64"/>
      <c r="AR742" s="69"/>
      <c r="AS742" s="64"/>
      <c r="AT742" s="69"/>
      <c r="AU742" s="64"/>
      <c r="AV742" s="69"/>
      <c r="AW742" s="64"/>
      <c r="AX742" s="69"/>
      <c r="AY742" s="64"/>
      <c r="AZ742" s="69"/>
      <c r="BA742" s="64"/>
      <c r="BB742" s="69"/>
      <c r="BC742" s="64"/>
      <c r="BD742" s="69"/>
      <c r="BE742" s="64"/>
      <c r="BF742" s="69"/>
      <c r="BG742" s="64"/>
      <c r="BH742" s="69"/>
      <c r="BI742" s="64"/>
      <c r="BJ742" s="69"/>
      <c r="BK742" s="64"/>
      <c r="BL742" s="69"/>
      <c r="BM742" s="64"/>
      <c r="BN742" s="69"/>
      <c r="BO742" s="64"/>
      <c r="BP742" s="69"/>
      <c r="BQ742" s="64"/>
      <c r="BR742" s="69"/>
      <c r="BS742" s="64"/>
      <c r="BT742" s="69"/>
      <c r="BU742" t="b">
        <f t="shared" si="12"/>
        <v>0</v>
      </c>
    </row>
    <row r="743" spans="1:73" x14ac:dyDescent="0.25">
      <c r="A743" s="28"/>
      <c r="B743" s="29"/>
      <c r="C743" s="29"/>
      <c r="D743" s="30"/>
      <c r="E743" s="29"/>
      <c r="F743" s="30"/>
      <c r="G743" s="29"/>
      <c r="H743" s="69"/>
      <c r="I743" s="64"/>
      <c r="J743" s="69"/>
      <c r="K743" s="64"/>
      <c r="L743" s="69"/>
      <c r="M743" s="65"/>
      <c r="N743" s="69"/>
      <c r="O743" s="64"/>
      <c r="P743" s="69"/>
      <c r="Q743" s="64"/>
      <c r="R743" s="69"/>
      <c r="S743" s="64"/>
      <c r="T743" s="69"/>
      <c r="U743" s="64"/>
      <c r="V743" s="69"/>
      <c r="W743" s="65"/>
      <c r="X743" s="69"/>
      <c r="Y743" s="64"/>
      <c r="Z743" s="69"/>
      <c r="AA743" s="64"/>
      <c r="AB743" s="69"/>
      <c r="AC743" s="64"/>
      <c r="AD743" s="69"/>
      <c r="AE743" s="65"/>
      <c r="AF743" s="69"/>
      <c r="AG743" s="65"/>
      <c r="AH743" s="69"/>
      <c r="AI743" s="64"/>
      <c r="AJ743" s="69"/>
      <c r="AK743" s="64"/>
      <c r="AL743" s="69"/>
      <c r="AM743" s="64"/>
      <c r="AN743" s="69"/>
      <c r="AO743" s="64"/>
      <c r="AP743" s="69"/>
      <c r="AQ743" s="64"/>
      <c r="AR743" s="69"/>
      <c r="AS743" s="64"/>
      <c r="AT743" s="69"/>
      <c r="AU743" s="64"/>
      <c r="AV743" s="69"/>
      <c r="AW743" s="64"/>
      <c r="AX743" s="69"/>
      <c r="AY743" s="64"/>
      <c r="AZ743" s="69"/>
      <c r="BA743" s="64"/>
      <c r="BB743" s="69"/>
      <c r="BC743" s="64"/>
      <c r="BD743" s="69"/>
      <c r="BE743" s="64"/>
      <c r="BF743" s="69"/>
      <c r="BG743" s="64"/>
      <c r="BH743" s="69"/>
      <c r="BI743" s="64"/>
      <c r="BJ743" s="69"/>
      <c r="BK743" s="64"/>
      <c r="BL743" s="69"/>
      <c r="BM743" s="64"/>
      <c r="BN743" s="69"/>
      <c r="BO743" s="64"/>
      <c r="BP743" s="69"/>
      <c r="BQ743" s="64"/>
      <c r="BR743" s="69"/>
      <c r="BS743" s="64"/>
      <c r="BT743" s="69"/>
      <c r="BU743" t="b">
        <f t="shared" si="12"/>
        <v>0</v>
      </c>
    </row>
    <row r="744" spans="1:73" x14ac:dyDescent="0.25">
      <c r="A744" s="28"/>
      <c r="B744" s="29"/>
      <c r="C744" s="29"/>
      <c r="D744" s="30"/>
      <c r="E744" s="29"/>
      <c r="F744" s="30"/>
      <c r="G744" s="29"/>
      <c r="H744" s="69"/>
      <c r="I744" s="64"/>
      <c r="J744" s="69"/>
      <c r="K744" s="64"/>
      <c r="L744" s="69"/>
      <c r="M744" s="65"/>
      <c r="N744" s="69"/>
      <c r="O744" s="64"/>
      <c r="P744" s="69"/>
      <c r="Q744" s="64"/>
      <c r="R744" s="69"/>
      <c r="S744" s="64"/>
      <c r="T744" s="69"/>
      <c r="U744" s="64"/>
      <c r="V744" s="69"/>
      <c r="W744" s="65"/>
      <c r="X744" s="69"/>
      <c r="Y744" s="64"/>
      <c r="Z744" s="69"/>
      <c r="AA744" s="64"/>
      <c r="AB744" s="69"/>
      <c r="AC744" s="64"/>
      <c r="AD744" s="69"/>
      <c r="AE744" s="65"/>
      <c r="AF744" s="69"/>
      <c r="AG744" s="65"/>
      <c r="AH744" s="69"/>
      <c r="AI744" s="64"/>
      <c r="AJ744" s="69"/>
      <c r="AK744" s="64"/>
      <c r="AL744" s="69"/>
      <c r="AM744" s="64"/>
      <c r="AN744" s="69"/>
      <c r="AO744" s="64"/>
      <c r="AP744" s="69"/>
      <c r="AQ744" s="64"/>
      <c r="AR744" s="69"/>
      <c r="AS744" s="64"/>
      <c r="AT744" s="69"/>
      <c r="AU744" s="64"/>
      <c r="AV744" s="69"/>
      <c r="AW744" s="64"/>
      <c r="AX744" s="69"/>
      <c r="AY744" s="64"/>
      <c r="AZ744" s="69"/>
      <c r="BA744" s="64"/>
      <c r="BB744" s="69"/>
      <c r="BC744" s="64"/>
      <c r="BD744" s="69"/>
      <c r="BE744" s="64"/>
      <c r="BF744" s="69"/>
      <c r="BG744" s="64"/>
      <c r="BH744" s="69"/>
      <c r="BI744" s="64"/>
      <c r="BJ744" s="69"/>
      <c r="BK744" s="64"/>
      <c r="BL744" s="69"/>
      <c r="BM744" s="64"/>
      <c r="BN744" s="69"/>
      <c r="BO744" s="64"/>
      <c r="BP744" s="69"/>
      <c r="BQ744" s="64"/>
      <c r="BR744" s="69"/>
      <c r="BS744" s="64"/>
      <c r="BT744" s="69"/>
      <c r="BU744" t="b">
        <f t="shared" si="12"/>
        <v>0</v>
      </c>
    </row>
    <row r="745" spans="1:73" x14ac:dyDescent="0.25">
      <c r="A745" s="28"/>
      <c r="B745" s="29"/>
      <c r="C745" s="29"/>
      <c r="D745" s="30"/>
      <c r="E745" s="29"/>
      <c r="F745" s="30"/>
      <c r="G745" s="29"/>
      <c r="H745" s="69"/>
      <c r="I745" s="64"/>
      <c r="J745" s="69"/>
      <c r="K745" s="64"/>
      <c r="L745" s="69"/>
      <c r="M745" s="65"/>
      <c r="N745" s="69"/>
      <c r="O745" s="64"/>
      <c r="P745" s="69"/>
      <c r="Q745" s="64"/>
      <c r="R745" s="69"/>
      <c r="S745" s="64"/>
      <c r="T745" s="69"/>
      <c r="U745" s="64"/>
      <c r="V745" s="69"/>
      <c r="W745" s="65"/>
      <c r="X745" s="69"/>
      <c r="Y745" s="64"/>
      <c r="Z745" s="69"/>
      <c r="AA745" s="64"/>
      <c r="AB745" s="69"/>
      <c r="AC745" s="64"/>
      <c r="AD745" s="69"/>
      <c r="AE745" s="65"/>
      <c r="AF745" s="69"/>
      <c r="AG745" s="65"/>
      <c r="AH745" s="69"/>
      <c r="AI745" s="64"/>
      <c r="AJ745" s="69"/>
      <c r="AK745" s="64"/>
      <c r="AL745" s="69"/>
      <c r="AM745" s="64"/>
      <c r="AN745" s="69"/>
      <c r="AO745" s="64"/>
      <c r="AP745" s="69"/>
      <c r="AQ745" s="64"/>
      <c r="AR745" s="69"/>
      <c r="AS745" s="64"/>
      <c r="AT745" s="69"/>
      <c r="AU745" s="64"/>
      <c r="AV745" s="69"/>
      <c r="AW745" s="64"/>
      <c r="AX745" s="69"/>
      <c r="AY745" s="64"/>
      <c r="AZ745" s="69"/>
      <c r="BA745" s="64"/>
      <c r="BB745" s="69"/>
      <c r="BC745" s="64"/>
      <c r="BD745" s="69"/>
      <c r="BE745" s="64"/>
      <c r="BF745" s="69"/>
      <c r="BG745" s="64"/>
      <c r="BH745" s="69"/>
      <c r="BI745" s="64"/>
      <c r="BJ745" s="69"/>
      <c r="BK745" s="64"/>
      <c r="BL745" s="69"/>
      <c r="BM745" s="64"/>
      <c r="BN745" s="69"/>
      <c r="BO745" s="64"/>
      <c r="BP745" s="69"/>
      <c r="BQ745" s="64"/>
      <c r="BR745" s="69"/>
      <c r="BS745" s="64"/>
      <c r="BT745" s="69"/>
      <c r="BU745" t="b">
        <f t="shared" si="12"/>
        <v>0</v>
      </c>
    </row>
    <row r="746" spans="1:73" x14ac:dyDescent="0.25">
      <c r="A746" s="28"/>
      <c r="B746" s="29"/>
      <c r="C746" s="29"/>
      <c r="D746" s="30"/>
      <c r="E746" s="29"/>
      <c r="F746" s="30"/>
      <c r="G746" s="29"/>
      <c r="H746" s="69"/>
      <c r="I746" s="64"/>
      <c r="J746" s="69"/>
      <c r="K746" s="64"/>
      <c r="L746" s="69"/>
      <c r="M746" s="65"/>
      <c r="N746" s="69"/>
      <c r="O746" s="64"/>
      <c r="P746" s="69"/>
      <c r="Q746" s="64"/>
      <c r="R746" s="69"/>
      <c r="S746" s="64"/>
      <c r="T746" s="69"/>
      <c r="U746" s="64"/>
      <c r="V746" s="69"/>
      <c r="W746" s="65"/>
      <c r="X746" s="69"/>
      <c r="Y746" s="64"/>
      <c r="Z746" s="69"/>
      <c r="AA746" s="64"/>
      <c r="AB746" s="69"/>
      <c r="AC746" s="64"/>
      <c r="AD746" s="69"/>
      <c r="AE746" s="65"/>
      <c r="AF746" s="69"/>
      <c r="AG746" s="65"/>
      <c r="AH746" s="69"/>
      <c r="AI746" s="64"/>
      <c r="AJ746" s="69"/>
      <c r="AK746" s="64"/>
      <c r="AL746" s="69"/>
      <c r="AM746" s="64"/>
      <c r="AN746" s="69"/>
      <c r="AO746" s="64"/>
      <c r="AP746" s="69"/>
      <c r="AQ746" s="64"/>
      <c r="AR746" s="69"/>
      <c r="AS746" s="64"/>
      <c r="AT746" s="69"/>
      <c r="AU746" s="64"/>
      <c r="AV746" s="69"/>
      <c r="AW746" s="64"/>
      <c r="AX746" s="69"/>
      <c r="AY746" s="64"/>
      <c r="AZ746" s="69"/>
      <c r="BA746" s="64"/>
      <c r="BB746" s="69"/>
      <c r="BC746" s="64"/>
      <c r="BD746" s="69"/>
      <c r="BE746" s="64"/>
      <c r="BF746" s="69"/>
      <c r="BG746" s="64"/>
      <c r="BH746" s="69"/>
      <c r="BI746" s="64"/>
      <c r="BJ746" s="69"/>
      <c r="BK746" s="64"/>
      <c r="BL746" s="69"/>
      <c r="BM746" s="64"/>
      <c r="BN746" s="69"/>
      <c r="BO746" s="64"/>
      <c r="BP746" s="69"/>
      <c r="BQ746" s="64"/>
      <c r="BR746" s="69"/>
      <c r="BS746" s="64"/>
      <c r="BT746" s="69"/>
      <c r="BU746" t="b">
        <f t="shared" si="12"/>
        <v>0</v>
      </c>
    </row>
    <row r="747" spans="1:73" x14ac:dyDescent="0.25">
      <c r="A747" s="28"/>
      <c r="B747" s="29"/>
      <c r="C747" s="29"/>
      <c r="D747" s="30"/>
      <c r="E747" s="29"/>
      <c r="F747" s="30"/>
      <c r="G747" s="29"/>
      <c r="H747" s="69"/>
      <c r="I747" s="64"/>
      <c r="J747" s="69"/>
      <c r="K747" s="64"/>
      <c r="L747" s="69"/>
      <c r="M747" s="65"/>
      <c r="N747" s="69"/>
      <c r="O747" s="64"/>
      <c r="P747" s="69"/>
      <c r="Q747" s="64"/>
      <c r="R747" s="69"/>
      <c r="S747" s="64"/>
      <c r="T747" s="69"/>
      <c r="U747" s="64"/>
      <c r="V747" s="69"/>
      <c r="W747" s="65"/>
      <c r="X747" s="69"/>
      <c r="Y747" s="64"/>
      <c r="Z747" s="69"/>
      <c r="AA747" s="64"/>
      <c r="AB747" s="69"/>
      <c r="AC747" s="64"/>
      <c r="AD747" s="69"/>
      <c r="AE747" s="65"/>
      <c r="AF747" s="69"/>
      <c r="AG747" s="65"/>
      <c r="AH747" s="69"/>
      <c r="AI747" s="64"/>
      <c r="AJ747" s="69"/>
      <c r="AK747" s="64"/>
      <c r="AL747" s="69"/>
      <c r="AM747" s="64"/>
      <c r="AN747" s="69"/>
      <c r="AO747" s="64"/>
      <c r="AP747" s="69"/>
      <c r="AQ747" s="64"/>
      <c r="AR747" s="69"/>
      <c r="AS747" s="64"/>
      <c r="AT747" s="69"/>
      <c r="AU747" s="64"/>
      <c r="AV747" s="69"/>
      <c r="AW747" s="64"/>
      <c r="AX747" s="69"/>
      <c r="AY747" s="64"/>
      <c r="AZ747" s="69"/>
      <c r="BA747" s="64"/>
      <c r="BB747" s="69"/>
      <c r="BC747" s="64"/>
      <c r="BD747" s="69"/>
      <c r="BE747" s="64"/>
      <c r="BF747" s="69"/>
      <c r="BG747" s="64"/>
      <c r="BH747" s="69"/>
      <c r="BI747" s="64"/>
      <c r="BJ747" s="69"/>
      <c r="BK747" s="64"/>
      <c r="BL747" s="69"/>
      <c r="BM747" s="64"/>
      <c r="BN747" s="69"/>
      <c r="BO747" s="64"/>
      <c r="BP747" s="69"/>
      <c r="BQ747" s="64"/>
      <c r="BR747" s="69"/>
      <c r="BS747" s="64"/>
      <c r="BT747" s="69"/>
      <c r="BU747" t="b">
        <f t="shared" si="12"/>
        <v>0</v>
      </c>
    </row>
    <row r="748" spans="1:73" x14ac:dyDescent="0.25">
      <c r="A748" s="28"/>
      <c r="B748" s="29"/>
      <c r="C748" s="29"/>
      <c r="D748" s="30"/>
      <c r="E748" s="29"/>
      <c r="F748" s="30"/>
      <c r="G748" s="29"/>
      <c r="H748" s="69"/>
      <c r="I748" s="64"/>
      <c r="J748" s="69"/>
      <c r="K748" s="64"/>
      <c r="L748" s="69"/>
      <c r="M748" s="65"/>
      <c r="N748" s="69"/>
      <c r="O748" s="64"/>
      <c r="P748" s="69"/>
      <c r="Q748" s="64"/>
      <c r="R748" s="69"/>
      <c r="S748" s="64"/>
      <c r="T748" s="69"/>
      <c r="U748" s="64"/>
      <c r="V748" s="69"/>
      <c r="W748" s="65"/>
      <c r="X748" s="69"/>
      <c r="Y748" s="64"/>
      <c r="Z748" s="69"/>
      <c r="AA748" s="64"/>
      <c r="AB748" s="69"/>
      <c r="AC748" s="64"/>
      <c r="AD748" s="69"/>
      <c r="AE748" s="65"/>
      <c r="AF748" s="69"/>
      <c r="AG748" s="65"/>
      <c r="AH748" s="69"/>
      <c r="AI748" s="64"/>
      <c r="AJ748" s="69"/>
      <c r="AK748" s="64"/>
      <c r="AL748" s="69"/>
      <c r="AM748" s="64"/>
      <c r="AN748" s="69"/>
      <c r="AO748" s="64"/>
      <c r="AP748" s="69"/>
      <c r="AQ748" s="64"/>
      <c r="AR748" s="69"/>
      <c r="AS748" s="64"/>
      <c r="AT748" s="69"/>
      <c r="AU748" s="64"/>
      <c r="AV748" s="69"/>
      <c r="AW748" s="64"/>
      <c r="AX748" s="69"/>
      <c r="AY748" s="64"/>
      <c r="AZ748" s="69"/>
      <c r="BA748" s="64"/>
      <c r="BB748" s="69"/>
      <c r="BC748" s="64"/>
      <c r="BD748" s="69"/>
      <c r="BE748" s="64"/>
      <c r="BF748" s="69"/>
      <c r="BG748" s="64"/>
      <c r="BH748" s="69"/>
      <c r="BI748" s="64"/>
      <c r="BJ748" s="69"/>
      <c r="BK748" s="64"/>
      <c r="BL748" s="69"/>
      <c r="BM748" s="64"/>
      <c r="BN748" s="69"/>
      <c r="BO748" s="64"/>
      <c r="BP748" s="69"/>
      <c r="BQ748" s="64"/>
      <c r="BR748" s="69"/>
      <c r="BS748" s="64"/>
      <c r="BT748" s="69"/>
      <c r="BU748" t="b">
        <f t="shared" si="12"/>
        <v>0</v>
      </c>
    </row>
    <row r="749" spans="1:73" x14ac:dyDescent="0.25">
      <c r="A749" s="28"/>
      <c r="B749" s="29"/>
      <c r="C749" s="29"/>
      <c r="D749" s="30"/>
      <c r="E749" s="29"/>
      <c r="F749" s="30"/>
      <c r="G749" s="29"/>
      <c r="H749" s="69"/>
      <c r="I749" s="64"/>
      <c r="J749" s="69"/>
      <c r="K749" s="64"/>
      <c r="L749" s="69"/>
      <c r="M749" s="65"/>
      <c r="N749" s="69"/>
      <c r="O749" s="64"/>
      <c r="P749" s="69"/>
      <c r="Q749" s="64"/>
      <c r="R749" s="69"/>
      <c r="S749" s="64"/>
      <c r="T749" s="69"/>
      <c r="U749" s="64"/>
      <c r="V749" s="69"/>
      <c r="W749" s="65"/>
      <c r="X749" s="69"/>
      <c r="Y749" s="64"/>
      <c r="Z749" s="69"/>
      <c r="AA749" s="64"/>
      <c r="AB749" s="69"/>
      <c r="AC749" s="64"/>
      <c r="AD749" s="69"/>
      <c r="AE749" s="65"/>
      <c r="AF749" s="69"/>
      <c r="AG749" s="65"/>
      <c r="AH749" s="69"/>
      <c r="AI749" s="64"/>
      <c r="AJ749" s="69"/>
      <c r="AK749" s="64"/>
      <c r="AL749" s="69"/>
      <c r="AM749" s="64"/>
      <c r="AN749" s="69"/>
      <c r="AO749" s="64"/>
      <c r="AP749" s="69"/>
      <c r="AQ749" s="64"/>
      <c r="AR749" s="69"/>
      <c r="AS749" s="64"/>
      <c r="AT749" s="69"/>
      <c r="AU749" s="64"/>
      <c r="AV749" s="69"/>
      <c r="AW749" s="64"/>
      <c r="AX749" s="69"/>
      <c r="AY749" s="64"/>
      <c r="AZ749" s="69"/>
      <c r="BA749" s="64"/>
      <c r="BB749" s="69"/>
      <c r="BC749" s="64"/>
      <c r="BD749" s="69"/>
      <c r="BE749" s="64"/>
      <c r="BF749" s="69"/>
      <c r="BG749" s="64"/>
      <c r="BH749" s="69"/>
      <c r="BI749" s="64"/>
      <c r="BJ749" s="69"/>
      <c r="BK749" s="64"/>
      <c r="BL749" s="69"/>
      <c r="BM749" s="64"/>
      <c r="BN749" s="69"/>
      <c r="BO749" s="64"/>
      <c r="BP749" s="69"/>
      <c r="BQ749" s="64"/>
      <c r="BR749" s="69"/>
      <c r="BS749" s="64"/>
      <c r="BT749" s="69"/>
      <c r="BU749" t="b">
        <f t="shared" si="12"/>
        <v>0</v>
      </c>
    </row>
    <row r="750" spans="1:73" x14ac:dyDescent="0.25">
      <c r="A750" s="28"/>
      <c r="B750" s="29"/>
      <c r="C750" s="29"/>
      <c r="D750" s="30"/>
      <c r="E750" s="29"/>
      <c r="F750" s="30"/>
      <c r="G750" s="29"/>
      <c r="H750" s="69"/>
      <c r="I750" s="64"/>
      <c r="J750" s="69"/>
      <c r="K750" s="64"/>
      <c r="L750" s="69"/>
      <c r="M750" s="65"/>
      <c r="N750" s="69"/>
      <c r="O750" s="64"/>
      <c r="P750" s="69"/>
      <c r="Q750" s="64"/>
      <c r="R750" s="69"/>
      <c r="S750" s="64"/>
      <c r="T750" s="69"/>
      <c r="U750" s="64"/>
      <c r="V750" s="69"/>
      <c r="W750" s="65"/>
      <c r="X750" s="69"/>
      <c r="Y750" s="64"/>
      <c r="Z750" s="69"/>
      <c r="AA750" s="64"/>
      <c r="AB750" s="69"/>
      <c r="AC750" s="64"/>
      <c r="AD750" s="69"/>
      <c r="AE750" s="65"/>
      <c r="AF750" s="69"/>
      <c r="AG750" s="65"/>
      <c r="AH750" s="69"/>
      <c r="AI750" s="64"/>
      <c r="AJ750" s="69"/>
      <c r="AK750" s="64"/>
      <c r="AL750" s="69"/>
      <c r="AM750" s="64"/>
      <c r="AN750" s="69"/>
      <c r="AO750" s="64"/>
      <c r="AP750" s="69"/>
      <c r="AQ750" s="64"/>
      <c r="AR750" s="69"/>
      <c r="AS750" s="64"/>
      <c r="AT750" s="69"/>
      <c r="AU750" s="64"/>
      <c r="AV750" s="69"/>
      <c r="AW750" s="64"/>
      <c r="AX750" s="69"/>
      <c r="AY750" s="64"/>
      <c r="AZ750" s="69"/>
      <c r="BA750" s="64"/>
      <c r="BB750" s="69"/>
      <c r="BC750" s="64"/>
      <c r="BD750" s="69"/>
      <c r="BE750" s="64"/>
      <c r="BF750" s="69"/>
      <c r="BG750" s="64"/>
      <c r="BH750" s="69"/>
      <c r="BI750" s="64"/>
      <c r="BJ750" s="69"/>
      <c r="BK750" s="64"/>
      <c r="BL750" s="69"/>
      <c r="BM750" s="64"/>
      <c r="BN750" s="69"/>
      <c r="BO750" s="64"/>
      <c r="BP750" s="69"/>
      <c r="BQ750" s="64"/>
      <c r="BR750" s="69"/>
      <c r="BS750" s="64"/>
      <c r="BT750" s="69"/>
      <c r="BU750" t="b">
        <f t="shared" si="12"/>
        <v>0</v>
      </c>
    </row>
    <row r="751" spans="1:73" x14ac:dyDescent="0.25">
      <c r="A751" s="28"/>
      <c r="B751" s="29"/>
      <c r="C751" s="29"/>
      <c r="D751" s="30"/>
      <c r="E751" s="29"/>
      <c r="F751" s="30"/>
      <c r="G751" s="29"/>
      <c r="H751" s="69"/>
      <c r="I751" s="64"/>
      <c r="J751" s="69"/>
      <c r="K751" s="64"/>
      <c r="L751" s="69"/>
      <c r="M751" s="65"/>
      <c r="N751" s="69"/>
      <c r="O751" s="64"/>
      <c r="P751" s="69"/>
      <c r="Q751" s="64"/>
      <c r="R751" s="69"/>
      <c r="S751" s="64"/>
      <c r="T751" s="69"/>
      <c r="U751" s="64"/>
      <c r="V751" s="69"/>
      <c r="W751" s="65"/>
      <c r="X751" s="69"/>
      <c r="Y751" s="64"/>
      <c r="Z751" s="69"/>
      <c r="AA751" s="64"/>
      <c r="AB751" s="69"/>
      <c r="AC751" s="64"/>
      <c r="AD751" s="69"/>
      <c r="AE751" s="65"/>
      <c r="AF751" s="69"/>
      <c r="AG751" s="65"/>
      <c r="AH751" s="69"/>
      <c r="AI751" s="64"/>
      <c r="AJ751" s="69"/>
      <c r="AK751" s="64"/>
      <c r="AL751" s="69"/>
      <c r="AM751" s="64"/>
      <c r="AN751" s="69"/>
      <c r="AO751" s="64"/>
      <c r="AP751" s="69"/>
      <c r="AQ751" s="64"/>
      <c r="AR751" s="69"/>
      <c r="AS751" s="64"/>
      <c r="AT751" s="69"/>
      <c r="AU751" s="64"/>
      <c r="AV751" s="69"/>
      <c r="AW751" s="64"/>
      <c r="AX751" s="69"/>
      <c r="AY751" s="64"/>
      <c r="AZ751" s="69"/>
      <c r="BA751" s="64"/>
      <c r="BB751" s="69"/>
      <c r="BC751" s="64"/>
      <c r="BD751" s="69"/>
      <c r="BE751" s="64"/>
      <c r="BF751" s="69"/>
      <c r="BG751" s="64"/>
      <c r="BH751" s="69"/>
      <c r="BI751" s="64"/>
      <c r="BJ751" s="69"/>
      <c r="BK751" s="64"/>
      <c r="BL751" s="69"/>
      <c r="BM751" s="64"/>
      <c r="BN751" s="69"/>
      <c r="BO751" s="64"/>
      <c r="BP751" s="69"/>
      <c r="BQ751" s="64"/>
      <c r="BR751" s="69"/>
      <c r="BS751" s="64"/>
      <c r="BT751" s="69"/>
      <c r="BU751" t="b">
        <f t="shared" si="12"/>
        <v>0</v>
      </c>
    </row>
    <row r="752" spans="1:73" x14ac:dyDescent="0.25">
      <c r="A752" s="28"/>
      <c r="B752" s="29"/>
      <c r="C752" s="29"/>
      <c r="D752" s="30"/>
      <c r="E752" s="29"/>
      <c r="F752" s="30"/>
      <c r="G752" s="29"/>
      <c r="H752" s="69"/>
      <c r="I752" s="64"/>
      <c r="J752" s="69"/>
      <c r="K752" s="64"/>
      <c r="L752" s="69"/>
      <c r="M752" s="65"/>
      <c r="N752" s="69"/>
      <c r="O752" s="64"/>
      <c r="P752" s="69"/>
      <c r="Q752" s="64"/>
      <c r="R752" s="69"/>
      <c r="S752" s="64"/>
      <c r="T752" s="69"/>
      <c r="U752" s="64"/>
      <c r="V752" s="69"/>
      <c r="W752" s="65"/>
      <c r="X752" s="69"/>
      <c r="Y752" s="64"/>
      <c r="Z752" s="69"/>
      <c r="AA752" s="64"/>
      <c r="AB752" s="69"/>
      <c r="AC752" s="64"/>
      <c r="AD752" s="69"/>
      <c r="AE752" s="65"/>
      <c r="AF752" s="69"/>
      <c r="AG752" s="65"/>
      <c r="AH752" s="69"/>
      <c r="AI752" s="64"/>
      <c r="AJ752" s="69"/>
      <c r="AK752" s="64"/>
      <c r="AL752" s="69"/>
      <c r="AM752" s="64"/>
      <c r="AN752" s="69"/>
      <c r="AO752" s="64"/>
      <c r="AP752" s="69"/>
      <c r="AQ752" s="64"/>
      <c r="AR752" s="69"/>
      <c r="AS752" s="64"/>
      <c r="AT752" s="69"/>
      <c r="AU752" s="64"/>
      <c r="AV752" s="69"/>
      <c r="AW752" s="64"/>
      <c r="AX752" s="69"/>
      <c r="AY752" s="64"/>
      <c r="AZ752" s="69"/>
      <c r="BA752" s="64"/>
      <c r="BB752" s="69"/>
      <c r="BC752" s="64"/>
      <c r="BD752" s="69"/>
      <c r="BE752" s="64"/>
      <c r="BF752" s="69"/>
      <c r="BG752" s="64"/>
      <c r="BH752" s="69"/>
      <c r="BI752" s="64"/>
      <c r="BJ752" s="69"/>
      <c r="BK752" s="64"/>
      <c r="BL752" s="69"/>
      <c r="BM752" s="64"/>
      <c r="BN752" s="69"/>
      <c r="BO752" s="64"/>
      <c r="BP752" s="69"/>
      <c r="BQ752" s="64"/>
      <c r="BR752" s="69"/>
      <c r="BS752" s="64"/>
      <c r="BT752" s="69"/>
      <c r="BU752" t="b">
        <f t="shared" si="12"/>
        <v>0</v>
      </c>
    </row>
    <row r="753" spans="1:73" x14ac:dyDescent="0.25">
      <c r="A753" s="28"/>
      <c r="B753" s="29"/>
      <c r="C753" s="29"/>
      <c r="D753" s="30"/>
      <c r="E753" s="29"/>
      <c r="F753" s="30"/>
      <c r="G753" s="29"/>
      <c r="H753" s="69"/>
      <c r="I753" s="64"/>
      <c r="J753" s="69"/>
      <c r="K753" s="64"/>
      <c r="L753" s="69"/>
      <c r="M753" s="65"/>
      <c r="N753" s="69"/>
      <c r="O753" s="64"/>
      <c r="P753" s="69"/>
      <c r="Q753" s="64"/>
      <c r="R753" s="69"/>
      <c r="S753" s="64"/>
      <c r="T753" s="69"/>
      <c r="U753" s="64"/>
      <c r="V753" s="69"/>
      <c r="W753" s="65"/>
      <c r="X753" s="69"/>
      <c r="Y753" s="64"/>
      <c r="Z753" s="69"/>
      <c r="AA753" s="64"/>
      <c r="AB753" s="69"/>
      <c r="AC753" s="64"/>
      <c r="AD753" s="69"/>
      <c r="AE753" s="65"/>
      <c r="AF753" s="69"/>
      <c r="AG753" s="65"/>
      <c r="AH753" s="69"/>
      <c r="AI753" s="64"/>
      <c r="AJ753" s="69"/>
      <c r="AK753" s="64"/>
      <c r="AL753" s="69"/>
      <c r="AM753" s="64"/>
      <c r="AN753" s="69"/>
      <c r="AO753" s="64"/>
      <c r="AP753" s="69"/>
      <c r="AQ753" s="64"/>
      <c r="AR753" s="69"/>
      <c r="AS753" s="64"/>
      <c r="AT753" s="69"/>
      <c r="AU753" s="64"/>
      <c r="AV753" s="69"/>
      <c r="AW753" s="64"/>
      <c r="AX753" s="69"/>
      <c r="AY753" s="64"/>
      <c r="AZ753" s="69"/>
      <c r="BA753" s="64"/>
      <c r="BB753" s="69"/>
      <c r="BC753" s="64"/>
      <c r="BD753" s="69"/>
      <c r="BE753" s="64"/>
      <c r="BF753" s="69"/>
      <c r="BG753" s="64"/>
      <c r="BH753" s="69"/>
      <c r="BI753" s="64"/>
      <c r="BJ753" s="69"/>
      <c r="BK753" s="64"/>
      <c r="BL753" s="69"/>
      <c r="BM753" s="64"/>
      <c r="BN753" s="69"/>
      <c r="BO753" s="64"/>
      <c r="BP753" s="69"/>
      <c r="BQ753" s="64"/>
      <c r="BR753" s="69"/>
      <c r="BS753" s="64"/>
      <c r="BT753" s="69"/>
      <c r="BU753" t="b">
        <f t="shared" si="12"/>
        <v>0</v>
      </c>
    </row>
    <row r="754" spans="1:73" x14ac:dyDescent="0.25">
      <c r="A754" s="28"/>
      <c r="B754" s="29"/>
      <c r="C754" s="29"/>
      <c r="D754" s="30"/>
      <c r="E754" s="29"/>
      <c r="F754" s="30"/>
      <c r="G754" s="29"/>
      <c r="H754" s="69"/>
      <c r="I754" s="64"/>
      <c r="J754" s="69"/>
      <c r="K754" s="64"/>
      <c r="L754" s="69"/>
      <c r="M754" s="65"/>
      <c r="N754" s="69"/>
      <c r="O754" s="64"/>
      <c r="P754" s="69"/>
      <c r="Q754" s="64"/>
      <c r="R754" s="69"/>
      <c r="S754" s="64"/>
      <c r="T754" s="69"/>
      <c r="U754" s="64"/>
      <c r="V754" s="69"/>
      <c r="W754" s="65"/>
      <c r="X754" s="69"/>
      <c r="Y754" s="64"/>
      <c r="Z754" s="69"/>
      <c r="AA754" s="64"/>
      <c r="AB754" s="69"/>
      <c r="AC754" s="64"/>
      <c r="AD754" s="69"/>
      <c r="AE754" s="65"/>
      <c r="AF754" s="69"/>
      <c r="AG754" s="65"/>
      <c r="AH754" s="69"/>
      <c r="AI754" s="64"/>
      <c r="AJ754" s="69"/>
      <c r="AK754" s="64"/>
      <c r="AL754" s="69"/>
      <c r="AM754" s="64"/>
      <c r="AN754" s="69"/>
      <c r="AO754" s="64"/>
      <c r="AP754" s="69"/>
      <c r="AQ754" s="64"/>
      <c r="AR754" s="69"/>
      <c r="AS754" s="64"/>
      <c r="AT754" s="69"/>
      <c r="AU754" s="64"/>
      <c r="AV754" s="69"/>
      <c r="AW754" s="64"/>
      <c r="AX754" s="69"/>
      <c r="AY754" s="64"/>
      <c r="AZ754" s="69"/>
      <c r="BA754" s="64"/>
      <c r="BB754" s="69"/>
      <c r="BC754" s="64"/>
      <c r="BD754" s="69"/>
      <c r="BE754" s="64"/>
      <c r="BF754" s="69"/>
      <c r="BG754" s="64"/>
      <c r="BH754" s="69"/>
      <c r="BI754" s="64"/>
      <c r="BJ754" s="69"/>
      <c r="BK754" s="64"/>
      <c r="BL754" s="69"/>
      <c r="BM754" s="64"/>
      <c r="BN754" s="69"/>
      <c r="BO754" s="64"/>
      <c r="BP754" s="69"/>
      <c r="BQ754" s="64"/>
      <c r="BR754" s="69"/>
      <c r="BS754" s="64"/>
      <c r="BT754" s="69"/>
      <c r="BU754" t="b">
        <f t="shared" si="12"/>
        <v>0</v>
      </c>
    </row>
    <row r="755" spans="1:73" x14ac:dyDescent="0.25">
      <c r="A755" s="28"/>
      <c r="B755" s="29"/>
      <c r="C755" s="29"/>
      <c r="D755" s="30"/>
      <c r="E755" s="29"/>
      <c r="F755" s="30"/>
      <c r="G755" s="29"/>
      <c r="H755" s="69"/>
      <c r="I755" s="64"/>
      <c r="J755" s="69"/>
      <c r="K755" s="64"/>
      <c r="L755" s="69"/>
      <c r="M755" s="65"/>
      <c r="N755" s="69"/>
      <c r="O755" s="64"/>
      <c r="P755" s="69"/>
      <c r="Q755" s="64"/>
      <c r="R755" s="69"/>
      <c r="S755" s="64"/>
      <c r="T755" s="69"/>
      <c r="U755" s="64"/>
      <c r="V755" s="69"/>
      <c r="W755" s="65"/>
      <c r="X755" s="69"/>
      <c r="Y755" s="64"/>
      <c r="Z755" s="69"/>
      <c r="AA755" s="64"/>
      <c r="AB755" s="69"/>
      <c r="AC755" s="64"/>
      <c r="AD755" s="69"/>
      <c r="AE755" s="65"/>
      <c r="AF755" s="69"/>
      <c r="AG755" s="65"/>
      <c r="AH755" s="69"/>
      <c r="AI755" s="64"/>
      <c r="AJ755" s="69"/>
      <c r="AK755" s="64"/>
      <c r="AL755" s="69"/>
      <c r="AM755" s="64"/>
      <c r="AN755" s="69"/>
      <c r="AO755" s="64"/>
      <c r="AP755" s="69"/>
      <c r="AQ755" s="64"/>
      <c r="AR755" s="69"/>
      <c r="AS755" s="64"/>
      <c r="AT755" s="69"/>
      <c r="AU755" s="64"/>
      <c r="AV755" s="69"/>
      <c r="AW755" s="64"/>
      <c r="AX755" s="69"/>
      <c r="AY755" s="64"/>
      <c r="AZ755" s="69"/>
      <c r="BA755" s="64"/>
      <c r="BB755" s="69"/>
      <c r="BC755" s="64"/>
      <c r="BD755" s="69"/>
      <c r="BE755" s="64"/>
      <c r="BF755" s="69"/>
      <c r="BG755" s="64"/>
      <c r="BH755" s="69"/>
      <c r="BI755" s="64"/>
      <c r="BJ755" s="69"/>
      <c r="BK755" s="64"/>
      <c r="BL755" s="69"/>
      <c r="BM755" s="64"/>
      <c r="BN755" s="69"/>
      <c r="BO755" s="64"/>
      <c r="BP755" s="69"/>
      <c r="BQ755" s="64"/>
      <c r="BR755" s="69"/>
      <c r="BS755" s="64"/>
      <c r="BT755" s="69"/>
      <c r="BU755" t="b">
        <f t="shared" si="12"/>
        <v>0</v>
      </c>
    </row>
    <row r="756" spans="1:73" x14ac:dyDescent="0.25">
      <c r="A756" s="28"/>
      <c r="B756" s="29"/>
      <c r="C756" s="29"/>
      <c r="D756" s="30"/>
      <c r="E756" s="29"/>
      <c r="F756" s="30"/>
      <c r="G756" s="29"/>
      <c r="H756" s="69"/>
      <c r="I756" s="64"/>
      <c r="J756" s="69"/>
      <c r="K756" s="64"/>
      <c r="L756" s="69"/>
      <c r="M756" s="65"/>
      <c r="N756" s="69"/>
      <c r="O756" s="64"/>
      <c r="P756" s="69"/>
      <c r="Q756" s="64"/>
      <c r="R756" s="69"/>
      <c r="S756" s="64"/>
      <c r="T756" s="69"/>
      <c r="U756" s="64"/>
      <c r="V756" s="69"/>
      <c r="W756" s="65"/>
      <c r="X756" s="69"/>
      <c r="Y756" s="64"/>
      <c r="Z756" s="69"/>
      <c r="AA756" s="64"/>
      <c r="AB756" s="69"/>
      <c r="AC756" s="64"/>
      <c r="AD756" s="69"/>
      <c r="AE756" s="65"/>
      <c r="AF756" s="69"/>
      <c r="AG756" s="65"/>
      <c r="AH756" s="69"/>
      <c r="AI756" s="64"/>
      <c r="AJ756" s="69"/>
      <c r="AK756" s="64"/>
      <c r="AL756" s="69"/>
      <c r="AM756" s="64"/>
      <c r="AN756" s="69"/>
      <c r="AO756" s="64"/>
      <c r="AP756" s="69"/>
      <c r="AQ756" s="64"/>
      <c r="AR756" s="69"/>
      <c r="AS756" s="64"/>
      <c r="AT756" s="69"/>
      <c r="AU756" s="64"/>
      <c r="AV756" s="69"/>
      <c r="AW756" s="64"/>
      <c r="AX756" s="69"/>
      <c r="AY756" s="64"/>
      <c r="AZ756" s="69"/>
      <c r="BA756" s="64"/>
      <c r="BB756" s="69"/>
      <c r="BC756" s="64"/>
      <c r="BD756" s="69"/>
      <c r="BE756" s="64"/>
      <c r="BF756" s="69"/>
      <c r="BG756" s="64"/>
      <c r="BH756" s="69"/>
      <c r="BI756" s="64"/>
      <c r="BJ756" s="69"/>
      <c r="BK756" s="64"/>
      <c r="BL756" s="69"/>
      <c r="BM756" s="64"/>
      <c r="BN756" s="69"/>
      <c r="BO756" s="64"/>
      <c r="BP756" s="69"/>
      <c r="BQ756" s="64"/>
      <c r="BR756" s="69"/>
      <c r="BS756" s="64"/>
      <c r="BT756" s="69"/>
      <c r="BU756" t="b">
        <f t="shared" si="12"/>
        <v>0</v>
      </c>
    </row>
    <row r="757" spans="1:73" x14ac:dyDescent="0.25">
      <c r="A757" s="28"/>
      <c r="B757" s="29"/>
      <c r="C757" s="29"/>
      <c r="D757" s="30"/>
      <c r="E757" s="29"/>
      <c r="F757" s="30"/>
      <c r="G757" s="29"/>
      <c r="H757" s="69"/>
      <c r="I757" s="64"/>
      <c r="J757" s="69"/>
      <c r="K757" s="64"/>
      <c r="L757" s="69"/>
      <c r="M757" s="65"/>
      <c r="N757" s="69"/>
      <c r="O757" s="64"/>
      <c r="P757" s="69"/>
      <c r="Q757" s="64"/>
      <c r="R757" s="69"/>
      <c r="S757" s="64"/>
      <c r="T757" s="69"/>
      <c r="U757" s="64"/>
      <c r="V757" s="69"/>
      <c r="W757" s="65"/>
      <c r="X757" s="69"/>
      <c r="Y757" s="64"/>
      <c r="Z757" s="69"/>
      <c r="AA757" s="64"/>
      <c r="AB757" s="69"/>
      <c r="AC757" s="64"/>
      <c r="AD757" s="69"/>
      <c r="AE757" s="65"/>
      <c r="AF757" s="69"/>
      <c r="AG757" s="65"/>
      <c r="AH757" s="69"/>
      <c r="AI757" s="64"/>
      <c r="AJ757" s="69"/>
      <c r="AK757" s="64"/>
      <c r="AL757" s="69"/>
      <c r="AM757" s="64"/>
      <c r="AN757" s="69"/>
      <c r="AO757" s="64"/>
      <c r="AP757" s="69"/>
      <c r="AQ757" s="64"/>
      <c r="AR757" s="69"/>
      <c r="AS757" s="64"/>
      <c r="AT757" s="69"/>
      <c r="AU757" s="64"/>
      <c r="AV757" s="69"/>
      <c r="AW757" s="64"/>
      <c r="AX757" s="69"/>
      <c r="AY757" s="64"/>
      <c r="AZ757" s="69"/>
      <c r="BA757" s="64"/>
      <c r="BB757" s="69"/>
      <c r="BC757" s="64"/>
      <c r="BD757" s="69"/>
      <c r="BE757" s="64"/>
      <c r="BF757" s="69"/>
      <c r="BG757" s="64"/>
      <c r="BH757" s="69"/>
      <c r="BI757" s="64"/>
      <c r="BJ757" s="69"/>
      <c r="BK757" s="64"/>
      <c r="BL757" s="69"/>
      <c r="BM757" s="64"/>
      <c r="BN757" s="69"/>
      <c r="BO757" s="64"/>
      <c r="BP757" s="69"/>
      <c r="BQ757" s="64"/>
      <c r="BR757" s="69"/>
      <c r="BS757" s="64"/>
      <c r="BT757" s="69"/>
      <c r="BU757" t="b">
        <f t="shared" si="12"/>
        <v>0</v>
      </c>
    </row>
    <row r="758" spans="1:73" x14ac:dyDescent="0.25">
      <c r="A758" s="28"/>
      <c r="B758" s="29"/>
      <c r="C758" s="29"/>
      <c r="D758" s="30"/>
      <c r="E758" s="29"/>
      <c r="F758" s="30"/>
      <c r="G758" s="29"/>
      <c r="H758" s="69"/>
      <c r="I758" s="64"/>
      <c r="J758" s="69"/>
      <c r="K758" s="64"/>
      <c r="L758" s="69"/>
      <c r="M758" s="65"/>
      <c r="N758" s="69"/>
      <c r="O758" s="64"/>
      <c r="P758" s="69"/>
      <c r="Q758" s="64"/>
      <c r="R758" s="69"/>
      <c r="S758" s="64"/>
      <c r="T758" s="69"/>
      <c r="U758" s="64"/>
      <c r="V758" s="69"/>
      <c r="W758" s="65"/>
      <c r="X758" s="69"/>
      <c r="Y758" s="64"/>
      <c r="Z758" s="69"/>
      <c r="AA758" s="64"/>
      <c r="AB758" s="69"/>
      <c r="AC758" s="64"/>
      <c r="AD758" s="69"/>
      <c r="AE758" s="65"/>
      <c r="AF758" s="69"/>
      <c r="AG758" s="65"/>
      <c r="AH758" s="69"/>
      <c r="AI758" s="64"/>
      <c r="AJ758" s="69"/>
      <c r="AK758" s="64"/>
      <c r="AL758" s="69"/>
      <c r="AM758" s="64"/>
      <c r="AN758" s="69"/>
      <c r="AO758" s="64"/>
      <c r="AP758" s="69"/>
      <c r="AQ758" s="64"/>
      <c r="AR758" s="69"/>
      <c r="AS758" s="64"/>
      <c r="AT758" s="69"/>
      <c r="AU758" s="64"/>
      <c r="AV758" s="69"/>
      <c r="AW758" s="64"/>
      <c r="AX758" s="69"/>
      <c r="AY758" s="64"/>
      <c r="AZ758" s="69"/>
      <c r="BA758" s="64"/>
      <c r="BB758" s="69"/>
      <c r="BC758" s="64"/>
      <c r="BD758" s="69"/>
      <c r="BE758" s="64"/>
      <c r="BF758" s="69"/>
      <c r="BG758" s="64"/>
      <c r="BH758" s="69"/>
      <c r="BI758" s="64"/>
      <c r="BJ758" s="69"/>
      <c r="BK758" s="64"/>
      <c r="BL758" s="69"/>
      <c r="BM758" s="64"/>
      <c r="BN758" s="69"/>
      <c r="BO758" s="64"/>
      <c r="BP758" s="69"/>
      <c r="BQ758" s="64"/>
      <c r="BR758" s="69"/>
      <c r="BS758" s="64"/>
      <c r="BT758" s="69"/>
      <c r="BU758" t="b">
        <f t="shared" si="12"/>
        <v>0</v>
      </c>
    </row>
    <row r="759" spans="1:73" x14ac:dyDescent="0.25">
      <c r="A759" s="28"/>
      <c r="B759" s="29"/>
      <c r="C759" s="29"/>
      <c r="D759" s="30"/>
      <c r="E759" s="29"/>
      <c r="F759" s="30"/>
      <c r="G759" s="29"/>
      <c r="H759" s="69"/>
      <c r="I759" s="64"/>
      <c r="J759" s="69"/>
      <c r="K759" s="64"/>
      <c r="L759" s="69"/>
      <c r="M759" s="65"/>
      <c r="N759" s="69"/>
      <c r="O759" s="64"/>
      <c r="P759" s="69"/>
      <c r="Q759" s="64"/>
      <c r="R759" s="69"/>
      <c r="S759" s="64"/>
      <c r="T759" s="69"/>
      <c r="U759" s="64"/>
      <c r="V759" s="69"/>
      <c r="W759" s="65"/>
      <c r="X759" s="69"/>
      <c r="Y759" s="64"/>
      <c r="Z759" s="69"/>
      <c r="AA759" s="64"/>
      <c r="AB759" s="69"/>
      <c r="AC759" s="64"/>
      <c r="AD759" s="69"/>
      <c r="AE759" s="65"/>
      <c r="AF759" s="69"/>
      <c r="AG759" s="65"/>
      <c r="AH759" s="69"/>
      <c r="AI759" s="64"/>
      <c r="AJ759" s="69"/>
      <c r="AK759" s="64"/>
      <c r="AL759" s="69"/>
      <c r="AM759" s="64"/>
      <c r="AN759" s="69"/>
      <c r="AO759" s="64"/>
      <c r="AP759" s="69"/>
      <c r="AQ759" s="64"/>
      <c r="AR759" s="69"/>
      <c r="AS759" s="64"/>
      <c r="AT759" s="69"/>
      <c r="AU759" s="64"/>
      <c r="AV759" s="69"/>
      <c r="AW759" s="64"/>
      <c r="AX759" s="69"/>
      <c r="AY759" s="64"/>
      <c r="AZ759" s="69"/>
      <c r="BA759" s="64"/>
      <c r="BB759" s="69"/>
      <c r="BC759" s="64"/>
      <c r="BD759" s="69"/>
      <c r="BE759" s="64"/>
      <c r="BF759" s="69"/>
      <c r="BG759" s="64"/>
      <c r="BH759" s="69"/>
      <c r="BI759" s="64"/>
      <c r="BJ759" s="69"/>
      <c r="BK759" s="64"/>
      <c r="BL759" s="69"/>
      <c r="BM759" s="64"/>
      <c r="BN759" s="69"/>
      <c r="BO759" s="64"/>
      <c r="BP759" s="69"/>
      <c r="BQ759" s="64"/>
      <c r="BR759" s="69"/>
      <c r="BS759" s="64"/>
      <c r="BT759" s="69"/>
      <c r="BU759" t="b">
        <f t="shared" si="12"/>
        <v>0</v>
      </c>
    </row>
    <row r="760" spans="1:73" x14ac:dyDescent="0.25">
      <c r="A760" s="28"/>
      <c r="B760" s="29"/>
      <c r="C760" s="29"/>
      <c r="D760" s="30"/>
      <c r="E760" s="29"/>
      <c r="F760" s="30"/>
      <c r="G760" s="29"/>
      <c r="H760" s="69"/>
      <c r="I760" s="64"/>
      <c r="J760" s="69"/>
      <c r="K760" s="64"/>
      <c r="L760" s="69"/>
      <c r="M760" s="65"/>
      <c r="N760" s="69"/>
      <c r="O760" s="64"/>
      <c r="P760" s="69"/>
      <c r="Q760" s="64"/>
      <c r="R760" s="69"/>
      <c r="S760" s="64"/>
      <c r="T760" s="69"/>
      <c r="U760" s="64"/>
      <c r="V760" s="69"/>
      <c r="W760" s="65"/>
      <c r="X760" s="69"/>
      <c r="Y760" s="64"/>
      <c r="Z760" s="69"/>
      <c r="AA760" s="64"/>
      <c r="AB760" s="69"/>
      <c r="AC760" s="64"/>
      <c r="AD760" s="69"/>
      <c r="AE760" s="65"/>
      <c r="AF760" s="69"/>
      <c r="AG760" s="65"/>
      <c r="AH760" s="69"/>
      <c r="AI760" s="64"/>
      <c r="AJ760" s="69"/>
      <c r="AK760" s="64"/>
      <c r="AL760" s="69"/>
      <c r="AM760" s="64"/>
      <c r="AN760" s="69"/>
      <c r="AO760" s="64"/>
      <c r="AP760" s="69"/>
      <c r="AQ760" s="64"/>
      <c r="AR760" s="69"/>
      <c r="AS760" s="64"/>
      <c r="AT760" s="69"/>
      <c r="AU760" s="64"/>
      <c r="AV760" s="69"/>
      <c r="AW760" s="64"/>
      <c r="AX760" s="69"/>
      <c r="AY760" s="64"/>
      <c r="AZ760" s="69"/>
      <c r="BA760" s="64"/>
      <c r="BB760" s="69"/>
      <c r="BC760" s="64"/>
      <c r="BD760" s="69"/>
      <c r="BE760" s="64"/>
      <c r="BF760" s="69"/>
      <c r="BG760" s="64"/>
      <c r="BH760" s="69"/>
      <c r="BI760" s="64"/>
      <c r="BJ760" s="69"/>
      <c r="BK760" s="64"/>
      <c r="BL760" s="69"/>
      <c r="BM760" s="64"/>
      <c r="BN760" s="69"/>
      <c r="BO760" s="64"/>
      <c r="BP760" s="69"/>
      <c r="BQ760" s="64"/>
      <c r="BR760" s="69"/>
      <c r="BS760" s="64"/>
      <c r="BT760" s="69"/>
      <c r="BU760" t="b">
        <f t="shared" si="12"/>
        <v>0</v>
      </c>
    </row>
    <row r="761" spans="1:73" x14ac:dyDescent="0.25">
      <c r="A761" s="28"/>
      <c r="B761" s="29"/>
      <c r="C761" s="29"/>
      <c r="D761" s="30"/>
      <c r="E761" s="29"/>
      <c r="F761" s="30"/>
      <c r="G761" s="29"/>
      <c r="H761" s="69"/>
      <c r="I761" s="64"/>
      <c r="J761" s="69"/>
      <c r="K761" s="64"/>
      <c r="L761" s="69"/>
      <c r="M761" s="65"/>
      <c r="N761" s="69"/>
      <c r="O761" s="64"/>
      <c r="P761" s="69"/>
      <c r="Q761" s="64"/>
      <c r="R761" s="69"/>
      <c r="S761" s="64"/>
      <c r="T761" s="69"/>
      <c r="U761" s="64"/>
      <c r="V761" s="69"/>
      <c r="W761" s="65"/>
      <c r="X761" s="69"/>
      <c r="Y761" s="64"/>
      <c r="Z761" s="69"/>
      <c r="AA761" s="64"/>
      <c r="AB761" s="69"/>
      <c r="AC761" s="64"/>
      <c r="AD761" s="69"/>
      <c r="AE761" s="65"/>
      <c r="AF761" s="69"/>
      <c r="AG761" s="65"/>
      <c r="AH761" s="69"/>
      <c r="AI761" s="64"/>
      <c r="AJ761" s="69"/>
      <c r="AK761" s="64"/>
      <c r="AL761" s="69"/>
      <c r="AM761" s="64"/>
      <c r="AN761" s="69"/>
      <c r="AO761" s="64"/>
      <c r="AP761" s="69"/>
      <c r="AQ761" s="64"/>
      <c r="AR761" s="69"/>
      <c r="AS761" s="64"/>
      <c r="AT761" s="69"/>
      <c r="AU761" s="64"/>
      <c r="AV761" s="69"/>
      <c r="AW761" s="64"/>
      <c r="AX761" s="69"/>
      <c r="AY761" s="64"/>
      <c r="AZ761" s="69"/>
      <c r="BA761" s="64"/>
      <c r="BB761" s="69"/>
      <c r="BC761" s="64"/>
      <c r="BD761" s="69"/>
      <c r="BE761" s="64"/>
      <c r="BF761" s="69"/>
      <c r="BG761" s="64"/>
      <c r="BH761" s="69"/>
      <c r="BI761" s="64"/>
      <c r="BJ761" s="69"/>
      <c r="BK761" s="64"/>
      <c r="BL761" s="69"/>
      <c r="BM761" s="64"/>
      <c r="BN761" s="69"/>
      <c r="BO761" s="64"/>
      <c r="BP761" s="69"/>
      <c r="BQ761" s="64"/>
      <c r="BR761" s="69"/>
      <c r="BS761" s="64"/>
      <c r="BT761" s="69"/>
      <c r="BU761" t="b">
        <f t="shared" si="12"/>
        <v>0</v>
      </c>
    </row>
    <row r="762" spans="1:73" x14ac:dyDescent="0.25">
      <c r="A762" s="28"/>
      <c r="B762" s="29"/>
      <c r="C762" s="29"/>
      <c r="D762" s="30"/>
      <c r="E762" s="29"/>
      <c r="F762" s="30"/>
      <c r="G762" s="29"/>
      <c r="H762" s="69"/>
      <c r="I762" s="64"/>
      <c r="J762" s="69"/>
      <c r="K762" s="64"/>
      <c r="L762" s="69"/>
      <c r="M762" s="65"/>
      <c r="N762" s="69"/>
      <c r="O762" s="64"/>
      <c r="P762" s="69"/>
      <c r="Q762" s="64"/>
      <c r="R762" s="69"/>
      <c r="S762" s="64"/>
      <c r="T762" s="69"/>
      <c r="U762" s="64"/>
      <c r="V762" s="69"/>
      <c r="W762" s="65"/>
      <c r="X762" s="69"/>
      <c r="Y762" s="64"/>
      <c r="Z762" s="69"/>
      <c r="AA762" s="64"/>
      <c r="AB762" s="69"/>
      <c r="AC762" s="64"/>
      <c r="AD762" s="69"/>
      <c r="AE762" s="65"/>
      <c r="AF762" s="69"/>
      <c r="AG762" s="65"/>
      <c r="AH762" s="69"/>
      <c r="AI762" s="64"/>
      <c r="AJ762" s="69"/>
      <c r="AK762" s="64"/>
      <c r="AL762" s="69"/>
      <c r="AM762" s="64"/>
      <c r="AN762" s="69"/>
      <c r="AO762" s="64"/>
      <c r="AP762" s="69"/>
      <c r="AQ762" s="64"/>
      <c r="AR762" s="69"/>
      <c r="AS762" s="64"/>
      <c r="AT762" s="69"/>
      <c r="AU762" s="64"/>
      <c r="AV762" s="69"/>
      <c r="AW762" s="64"/>
      <c r="AX762" s="69"/>
      <c r="AY762" s="64"/>
      <c r="AZ762" s="69"/>
      <c r="BA762" s="64"/>
      <c r="BB762" s="69"/>
      <c r="BC762" s="64"/>
      <c r="BD762" s="69"/>
      <c r="BE762" s="64"/>
      <c r="BF762" s="69"/>
      <c r="BG762" s="64"/>
      <c r="BH762" s="69"/>
      <c r="BI762" s="64"/>
      <c r="BJ762" s="69"/>
      <c r="BK762" s="64"/>
      <c r="BL762" s="69"/>
      <c r="BM762" s="64"/>
      <c r="BN762" s="69"/>
      <c r="BO762" s="64"/>
      <c r="BP762" s="69"/>
      <c r="BQ762" s="64"/>
      <c r="BR762" s="69"/>
      <c r="BS762" s="64"/>
      <c r="BT762" s="69"/>
      <c r="BU762" t="b">
        <f t="shared" si="12"/>
        <v>0</v>
      </c>
    </row>
    <row r="763" spans="1:73" x14ac:dyDescent="0.25">
      <c r="A763" s="28"/>
      <c r="B763" s="29"/>
      <c r="C763" s="29"/>
      <c r="D763" s="30"/>
      <c r="E763" s="29"/>
      <c r="F763" s="30"/>
      <c r="G763" s="29"/>
      <c r="H763" s="69"/>
      <c r="I763" s="64"/>
      <c r="J763" s="69"/>
      <c r="K763" s="64"/>
      <c r="L763" s="69"/>
      <c r="M763" s="65"/>
      <c r="N763" s="69"/>
      <c r="O763" s="64"/>
      <c r="P763" s="69"/>
      <c r="Q763" s="64"/>
      <c r="R763" s="69"/>
      <c r="S763" s="64"/>
      <c r="T763" s="69"/>
      <c r="U763" s="64"/>
      <c r="V763" s="69"/>
      <c r="W763" s="65"/>
      <c r="X763" s="69"/>
      <c r="Y763" s="64"/>
      <c r="Z763" s="69"/>
      <c r="AA763" s="64"/>
      <c r="AB763" s="69"/>
      <c r="AC763" s="64"/>
      <c r="AD763" s="69"/>
      <c r="AE763" s="65"/>
      <c r="AF763" s="69"/>
      <c r="AG763" s="65"/>
      <c r="AH763" s="69"/>
      <c r="AI763" s="64"/>
      <c r="AJ763" s="69"/>
      <c r="AK763" s="64"/>
      <c r="AL763" s="69"/>
      <c r="AM763" s="64"/>
      <c r="AN763" s="69"/>
      <c r="AO763" s="64"/>
      <c r="AP763" s="69"/>
      <c r="AQ763" s="64"/>
      <c r="AR763" s="69"/>
      <c r="AS763" s="64"/>
      <c r="AT763" s="69"/>
      <c r="AU763" s="64"/>
      <c r="AV763" s="69"/>
      <c r="AW763" s="64"/>
      <c r="AX763" s="69"/>
      <c r="AY763" s="64"/>
      <c r="AZ763" s="69"/>
      <c r="BA763" s="64"/>
      <c r="BB763" s="69"/>
      <c r="BC763" s="64"/>
      <c r="BD763" s="69"/>
      <c r="BE763" s="64"/>
      <c r="BF763" s="69"/>
      <c r="BG763" s="64"/>
      <c r="BH763" s="69"/>
      <c r="BI763" s="64"/>
      <c r="BJ763" s="69"/>
      <c r="BK763" s="64"/>
      <c r="BL763" s="69"/>
      <c r="BM763" s="64"/>
      <c r="BN763" s="69"/>
      <c r="BO763" s="64"/>
      <c r="BP763" s="69"/>
      <c r="BQ763" s="64"/>
      <c r="BR763" s="69"/>
      <c r="BS763" s="64"/>
      <c r="BT763" s="69"/>
      <c r="BU763" t="b">
        <f t="shared" si="12"/>
        <v>0</v>
      </c>
    </row>
    <row r="764" spans="1:73" x14ac:dyDescent="0.25">
      <c r="A764" s="28"/>
      <c r="B764" s="29"/>
      <c r="C764" s="29"/>
      <c r="D764" s="30"/>
      <c r="E764" s="29"/>
      <c r="F764" s="30"/>
      <c r="G764" s="29"/>
      <c r="H764" s="69"/>
      <c r="I764" s="64"/>
      <c r="J764" s="69"/>
      <c r="K764" s="64"/>
      <c r="L764" s="69"/>
      <c r="M764" s="65"/>
      <c r="N764" s="69"/>
      <c r="O764" s="64"/>
      <c r="P764" s="69"/>
      <c r="Q764" s="64"/>
      <c r="R764" s="69"/>
      <c r="S764" s="64"/>
      <c r="T764" s="69"/>
      <c r="U764" s="64"/>
      <c r="V764" s="69"/>
      <c r="W764" s="65"/>
      <c r="X764" s="69"/>
      <c r="Y764" s="64"/>
      <c r="Z764" s="69"/>
      <c r="AA764" s="64"/>
      <c r="AB764" s="69"/>
      <c r="AC764" s="64"/>
      <c r="AD764" s="69"/>
      <c r="AE764" s="65"/>
      <c r="AF764" s="69"/>
      <c r="AG764" s="65"/>
      <c r="AH764" s="69"/>
      <c r="AI764" s="64"/>
      <c r="AJ764" s="69"/>
      <c r="AK764" s="64"/>
      <c r="AL764" s="69"/>
      <c r="AM764" s="64"/>
      <c r="AN764" s="69"/>
      <c r="AO764" s="64"/>
      <c r="AP764" s="69"/>
      <c r="AQ764" s="64"/>
      <c r="AR764" s="69"/>
      <c r="AS764" s="64"/>
      <c r="AT764" s="69"/>
      <c r="AU764" s="64"/>
      <c r="AV764" s="69"/>
      <c r="AW764" s="64"/>
      <c r="AX764" s="69"/>
      <c r="AY764" s="64"/>
      <c r="AZ764" s="69"/>
      <c r="BA764" s="64"/>
      <c r="BB764" s="69"/>
      <c r="BC764" s="64"/>
      <c r="BD764" s="69"/>
      <c r="BE764" s="64"/>
      <c r="BF764" s="69"/>
      <c r="BG764" s="64"/>
      <c r="BH764" s="69"/>
      <c r="BI764" s="64"/>
      <c r="BJ764" s="69"/>
      <c r="BK764" s="64"/>
      <c r="BL764" s="69"/>
      <c r="BM764" s="64"/>
      <c r="BN764" s="69"/>
      <c r="BO764" s="64"/>
      <c r="BP764" s="69"/>
      <c r="BQ764" s="64"/>
      <c r="BR764" s="69"/>
      <c r="BS764" s="64"/>
      <c r="BT764" s="69"/>
      <c r="BU764" t="b">
        <f t="shared" si="12"/>
        <v>0</v>
      </c>
    </row>
    <row r="765" spans="1:73" x14ac:dyDescent="0.25">
      <c r="A765" s="28"/>
      <c r="B765" s="29"/>
      <c r="C765" s="29"/>
      <c r="D765" s="30"/>
      <c r="E765" s="29"/>
      <c r="F765" s="30"/>
      <c r="G765" s="29"/>
      <c r="H765" s="69"/>
      <c r="I765" s="64"/>
      <c r="J765" s="69"/>
      <c r="K765" s="64"/>
      <c r="L765" s="69"/>
      <c r="M765" s="65"/>
      <c r="N765" s="69"/>
      <c r="O765" s="64"/>
      <c r="P765" s="69"/>
      <c r="Q765" s="64"/>
      <c r="R765" s="69"/>
      <c r="S765" s="64"/>
      <c r="T765" s="69"/>
      <c r="U765" s="64"/>
      <c r="V765" s="69"/>
      <c r="W765" s="65"/>
      <c r="X765" s="69"/>
      <c r="Y765" s="64"/>
      <c r="Z765" s="69"/>
      <c r="AA765" s="64"/>
      <c r="AB765" s="69"/>
      <c r="AC765" s="64"/>
      <c r="AD765" s="69"/>
      <c r="AE765" s="65"/>
      <c r="AF765" s="69"/>
      <c r="AG765" s="65"/>
      <c r="AH765" s="69"/>
      <c r="AI765" s="64"/>
      <c r="AJ765" s="69"/>
      <c r="AK765" s="64"/>
      <c r="AL765" s="69"/>
      <c r="AM765" s="64"/>
      <c r="AN765" s="69"/>
      <c r="AO765" s="64"/>
      <c r="AP765" s="69"/>
      <c r="AQ765" s="64"/>
      <c r="AR765" s="69"/>
      <c r="AS765" s="64"/>
      <c r="AT765" s="69"/>
      <c r="AU765" s="64"/>
      <c r="AV765" s="69"/>
      <c r="AW765" s="64"/>
      <c r="AX765" s="69"/>
      <c r="AY765" s="64"/>
      <c r="AZ765" s="69"/>
      <c r="BA765" s="64"/>
      <c r="BB765" s="69"/>
      <c r="BC765" s="64"/>
      <c r="BD765" s="69"/>
      <c r="BE765" s="64"/>
      <c r="BF765" s="69"/>
      <c r="BG765" s="64"/>
      <c r="BH765" s="69"/>
      <c r="BI765" s="64"/>
      <c r="BJ765" s="69"/>
      <c r="BK765" s="64"/>
      <c r="BL765" s="69"/>
      <c r="BM765" s="64"/>
      <c r="BN765" s="69"/>
      <c r="BO765" s="64"/>
      <c r="BP765" s="69"/>
      <c r="BQ765" s="64"/>
      <c r="BR765" s="69"/>
      <c r="BS765" s="64"/>
      <c r="BT765" s="69"/>
      <c r="BU765" t="b">
        <f t="shared" si="12"/>
        <v>0</v>
      </c>
    </row>
    <row r="766" spans="1:73" x14ac:dyDescent="0.25">
      <c r="A766" s="28"/>
      <c r="B766" s="29"/>
      <c r="C766" s="29"/>
      <c r="D766" s="30"/>
      <c r="E766" s="29"/>
      <c r="F766" s="30"/>
      <c r="G766" s="29"/>
      <c r="H766" s="69"/>
      <c r="I766" s="64"/>
      <c r="J766" s="69"/>
      <c r="K766" s="64"/>
      <c r="L766" s="69"/>
      <c r="M766" s="65"/>
      <c r="N766" s="69"/>
      <c r="O766" s="64"/>
      <c r="P766" s="69"/>
      <c r="Q766" s="64"/>
      <c r="R766" s="69"/>
      <c r="S766" s="64"/>
      <c r="T766" s="69"/>
      <c r="U766" s="64"/>
      <c r="V766" s="69"/>
      <c r="W766" s="65"/>
      <c r="X766" s="69"/>
      <c r="Y766" s="64"/>
      <c r="Z766" s="69"/>
      <c r="AA766" s="64"/>
      <c r="AB766" s="69"/>
      <c r="AC766" s="64"/>
      <c r="AD766" s="69"/>
      <c r="AE766" s="65"/>
      <c r="AF766" s="69"/>
      <c r="AG766" s="65"/>
      <c r="AH766" s="69"/>
      <c r="AI766" s="64"/>
      <c r="AJ766" s="69"/>
      <c r="AK766" s="64"/>
      <c r="AL766" s="69"/>
      <c r="AM766" s="64"/>
      <c r="AN766" s="69"/>
      <c r="AO766" s="64"/>
      <c r="AP766" s="69"/>
      <c r="AQ766" s="64"/>
      <c r="AR766" s="69"/>
      <c r="AS766" s="64"/>
      <c r="AT766" s="69"/>
      <c r="AU766" s="64"/>
      <c r="AV766" s="69"/>
      <c r="AW766" s="64"/>
      <c r="AX766" s="69"/>
      <c r="AY766" s="64"/>
      <c r="AZ766" s="69"/>
      <c r="BA766" s="64"/>
      <c r="BB766" s="69"/>
      <c r="BC766" s="64"/>
      <c r="BD766" s="69"/>
      <c r="BE766" s="64"/>
      <c r="BF766" s="69"/>
      <c r="BG766" s="64"/>
      <c r="BH766" s="69"/>
      <c r="BI766" s="64"/>
      <c r="BJ766" s="69"/>
      <c r="BK766" s="64"/>
      <c r="BL766" s="69"/>
      <c r="BM766" s="64"/>
      <c r="BN766" s="69"/>
      <c r="BO766" s="64"/>
      <c r="BP766" s="69"/>
      <c r="BQ766" s="64"/>
      <c r="BR766" s="69"/>
      <c r="BS766" s="64"/>
      <c r="BT766" s="69"/>
      <c r="BU766" t="b">
        <f t="shared" si="12"/>
        <v>0</v>
      </c>
    </row>
    <row r="767" spans="1:73" x14ac:dyDescent="0.25">
      <c r="A767" s="28"/>
      <c r="B767" s="29"/>
      <c r="C767" s="29"/>
      <c r="D767" s="30"/>
      <c r="E767" s="29"/>
      <c r="F767" s="30"/>
      <c r="G767" s="29"/>
      <c r="H767" s="69"/>
      <c r="I767" s="64"/>
      <c r="J767" s="69"/>
      <c r="K767" s="64"/>
      <c r="L767" s="69"/>
      <c r="M767" s="65"/>
      <c r="N767" s="69"/>
      <c r="O767" s="64"/>
      <c r="P767" s="69"/>
      <c r="Q767" s="64"/>
      <c r="R767" s="69"/>
      <c r="S767" s="64"/>
      <c r="T767" s="69"/>
      <c r="U767" s="64"/>
      <c r="V767" s="69"/>
      <c r="W767" s="65"/>
      <c r="X767" s="69"/>
      <c r="Y767" s="64"/>
      <c r="Z767" s="69"/>
      <c r="AA767" s="64"/>
      <c r="AB767" s="69"/>
      <c r="AC767" s="64"/>
      <c r="AD767" s="69"/>
      <c r="AE767" s="65"/>
      <c r="AF767" s="69"/>
      <c r="AG767" s="65"/>
      <c r="AH767" s="69"/>
      <c r="AI767" s="64"/>
      <c r="AJ767" s="69"/>
      <c r="AK767" s="64"/>
      <c r="AL767" s="69"/>
      <c r="AM767" s="64"/>
      <c r="AN767" s="69"/>
      <c r="AO767" s="64"/>
      <c r="AP767" s="69"/>
      <c r="AQ767" s="64"/>
      <c r="AR767" s="69"/>
      <c r="AS767" s="64"/>
      <c r="AT767" s="69"/>
      <c r="AU767" s="64"/>
      <c r="AV767" s="69"/>
      <c r="AW767" s="64"/>
      <c r="AX767" s="69"/>
      <c r="AY767" s="64"/>
      <c r="AZ767" s="69"/>
      <c r="BA767" s="64"/>
      <c r="BB767" s="69"/>
      <c r="BC767" s="64"/>
      <c r="BD767" s="69"/>
      <c r="BE767" s="64"/>
      <c r="BF767" s="69"/>
      <c r="BG767" s="64"/>
      <c r="BH767" s="69"/>
      <c r="BI767" s="64"/>
      <c r="BJ767" s="69"/>
      <c r="BK767" s="64"/>
      <c r="BL767" s="69"/>
      <c r="BM767" s="64"/>
      <c r="BN767" s="69"/>
      <c r="BO767" s="64"/>
      <c r="BP767" s="69"/>
      <c r="BQ767" s="64"/>
      <c r="BR767" s="69"/>
      <c r="BS767" s="64"/>
      <c r="BT767" s="69"/>
      <c r="BU767" t="b">
        <f t="shared" si="12"/>
        <v>0</v>
      </c>
    </row>
    <row r="768" spans="1:73" x14ac:dyDescent="0.25">
      <c r="A768" s="28"/>
      <c r="B768" s="29"/>
      <c r="C768" s="29"/>
      <c r="D768" s="30"/>
      <c r="E768" s="29"/>
      <c r="F768" s="30"/>
      <c r="G768" s="29"/>
      <c r="H768" s="69"/>
      <c r="I768" s="64"/>
      <c r="J768" s="69"/>
      <c r="K768" s="64"/>
      <c r="L768" s="69"/>
      <c r="M768" s="65"/>
      <c r="N768" s="69"/>
      <c r="O768" s="64"/>
      <c r="P768" s="69"/>
      <c r="Q768" s="64"/>
      <c r="R768" s="69"/>
      <c r="S768" s="64"/>
      <c r="T768" s="69"/>
      <c r="U768" s="64"/>
      <c r="V768" s="69"/>
      <c r="W768" s="65"/>
      <c r="X768" s="69"/>
      <c r="Y768" s="64"/>
      <c r="Z768" s="69"/>
      <c r="AA768" s="64"/>
      <c r="AB768" s="69"/>
      <c r="AC768" s="64"/>
      <c r="AD768" s="69"/>
      <c r="AE768" s="65"/>
      <c r="AF768" s="69"/>
      <c r="AG768" s="65"/>
      <c r="AH768" s="69"/>
      <c r="AI768" s="64"/>
      <c r="AJ768" s="69"/>
      <c r="AK768" s="64"/>
      <c r="AL768" s="69"/>
      <c r="AM768" s="64"/>
      <c r="AN768" s="69"/>
      <c r="AO768" s="64"/>
      <c r="AP768" s="69"/>
      <c r="AQ768" s="64"/>
      <c r="AR768" s="69"/>
      <c r="AS768" s="64"/>
      <c r="AT768" s="69"/>
      <c r="AU768" s="64"/>
      <c r="AV768" s="69"/>
      <c r="AW768" s="64"/>
      <c r="AX768" s="69"/>
      <c r="AY768" s="64"/>
      <c r="AZ768" s="69"/>
      <c r="BA768" s="64"/>
      <c r="BB768" s="69"/>
      <c r="BC768" s="64"/>
      <c r="BD768" s="69"/>
      <c r="BE768" s="64"/>
      <c r="BF768" s="69"/>
      <c r="BG768" s="64"/>
      <c r="BH768" s="69"/>
      <c r="BI768" s="64"/>
      <c r="BJ768" s="69"/>
      <c r="BK768" s="64"/>
      <c r="BL768" s="69"/>
      <c r="BM768" s="64"/>
      <c r="BN768" s="69"/>
      <c r="BO768" s="64"/>
      <c r="BP768" s="69"/>
      <c r="BQ768" s="64"/>
      <c r="BR768" s="69"/>
      <c r="BS768" s="64"/>
      <c r="BT768" s="69"/>
      <c r="BU768" t="b">
        <f t="shared" si="12"/>
        <v>0</v>
      </c>
    </row>
    <row r="769" spans="1:73" x14ac:dyDescent="0.25">
      <c r="A769" s="28"/>
      <c r="B769" s="29"/>
      <c r="C769" s="29"/>
      <c r="D769" s="30"/>
      <c r="E769" s="29"/>
      <c r="F769" s="30"/>
      <c r="G769" s="29"/>
      <c r="H769" s="69"/>
      <c r="I769" s="64"/>
      <c r="J769" s="69"/>
      <c r="K769" s="64"/>
      <c r="L769" s="69"/>
      <c r="M769" s="65"/>
      <c r="N769" s="69"/>
      <c r="O769" s="64"/>
      <c r="P769" s="69"/>
      <c r="Q769" s="64"/>
      <c r="R769" s="69"/>
      <c r="S769" s="64"/>
      <c r="T769" s="69"/>
      <c r="U769" s="64"/>
      <c r="V769" s="69"/>
      <c r="W769" s="65"/>
      <c r="X769" s="69"/>
      <c r="Y769" s="64"/>
      <c r="Z769" s="69"/>
      <c r="AA769" s="64"/>
      <c r="AB769" s="69"/>
      <c r="AC769" s="64"/>
      <c r="AD769" s="69"/>
      <c r="AE769" s="65"/>
      <c r="AF769" s="69"/>
      <c r="AG769" s="65"/>
      <c r="AH769" s="69"/>
      <c r="AI769" s="64"/>
      <c r="AJ769" s="69"/>
      <c r="AK769" s="64"/>
      <c r="AL769" s="69"/>
      <c r="AM769" s="64"/>
      <c r="AN769" s="69"/>
      <c r="AO769" s="64"/>
      <c r="AP769" s="69"/>
      <c r="AQ769" s="64"/>
      <c r="AR769" s="69"/>
      <c r="AS769" s="64"/>
      <c r="AT769" s="69"/>
      <c r="AU769" s="64"/>
      <c r="AV769" s="69"/>
      <c r="AW769" s="64"/>
      <c r="AX769" s="69"/>
      <c r="AY769" s="64"/>
      <c r="AZ769" s="69"/>
      <c r="BA769" s="64"/>
      <c r="BB769" s="69"/>
      <c r="BC769" s="64"/>
      <c r="BD769" s="69"/>
      <c r="BE769" s="64"/>
      <c r="BF769" s="69"/>
      <c r="BG769" s="64"/>
      <c r="BH769" s="69"/>
      <c r="BI769" s="64"/>
      <c r="BJ769" s="69"/>
      <c r="BK769" s="64"/>
      <c r="BL769" s="69"/>
      <c r="BM769" s="64"/>
      <c r="BN769" s="69"/>
      <c r="BO769" s="64"/>
      <c r="BP769" s="69"/>
      <c r="BQ769" s="64"/>
      <c r="BR769" s="69"/>
      <c r="BS769" s="64"/>
      <c r="BT769" s="69"/>
      <c r="BU769" t="b">
        <f t="shared" si="12"/>
        <v>0</v>
      </c>
    </row>
    <row r="770" spans="1:73" x14ac:dyDescent="0.25">
      <c r="A770" s="28"/>
      <c r="B770" s="29"/>
      <c r="C770" s="29"/>
      <c r="D770" s="30"/>
      <c r="E770" s="29"/>
      <c r="F770" s="30"/>
      <c r="G770" s="29"/>
      <c r="H770" s="69"/>
      <c r="I770" s="64"/>
      <c r="J770" s="69"/>
      <c r="K770" s="64"/>
      <c r="L770" s="69"/>
      <c r="M770" s="65"/>
      <c r="N770" s="69"/>
      <c r="O770" s="64"/>
      <c r="P770" s="69"/>
      <c r="Q770" s="64"/>
      <c r="R770" s="69"/>
      <c r="S770" s="64"/>
      <c r="T770" s="69"/>
      <c r="U770" s="64"/>
      <c r="V770" s="69"/>
      <c r="W770" s="65"/>
      <c r="X770" s="69"/>
      <c r="Y770" s="64"/>
      <c r="Z770" s="69"/>
      <c r="AA770" s="64"/>
      <c r="AB770" s="69"/>
      <c r="AC770" s="64"/>
      <c r="AD770" s="69"/>
      <c r="AE770" s="65"/>
      <c r="AF770" s="69"/>
      <c r="AG770" s="65"/>
      <c r="AH770" s="69"/>
      <c r="AI770" s="64"/>
      <c r="AJ770" s="69"/>
      <c r="AK770" s="64"/>
      <c r="AL770" s="69"/>
      <c r="AM770" s="64"/>
      <c r="AN770" s="69"/>
      <c r="AO770" s="64"/>
      <c r="AP770" s="69"/>
      <c r="AQ770" s="64"/>
      <c r="AR770" s="69"/>
      <c r="AS770" s="64"/>
      <c r="AT770" s="69"/>
      <c r="AU770" s="64"/>
      <c r="AV770" s="69"/>
      <c r="AW770" s="64"/>
      <c r="AX770" s="69"/>
      <c r="AY770" s="64"/>
      <c r="AZ770" s="69"/>
      <c r="BA770" s="64"/>
      <c r="BB770" s="69"/>
      <c r="BC770" s="64"/>
      <c r="BD770" s="69"/>
      <c r="BE770" s="64"/>
      <c r="BF770" s="69"/>
      <c r="BG770" s="64"/>
      <c r="BH770" s="69"/>
      <c r="BI770" s="64"/>
      <c r="BJ770" s="69"/>
      <c r="BK770" s="64"/>
      <c r="BL770" s="69"/>
      <c r="BM770" s="64"/>
      <c r="BN770" s="69"/>
      <c r="BO770" s="64"/>
      <c r="BP770" s="69"/>
      <c r="BQ770" s="64"/>
      <c r="BR770" s="69"/>
      <c r="BS770" s="64"/>
      <c r="BT770" s="69"/>
      <c r="BU770" t="b">
        <f t="shared" si="12"/>
        <v>0</v>
      </c>
    </row>
    <row r="771" spans="1:73" x14ac:dyDescent="0.25">
      <c r="A771" s="28"/>
      <c r="B771" s="29"/>
      <c r="C771" s="29"/>
      <c r="D771" s="30"/>
      <c r="E771" s="29"/>
      <c r="F771" s="30"/>
      <c r="G771" s="29"/>
      <c r="H771" s="69"/>
      <c r="I771" s="64"/>
      <c r="J771" s="69"/>
      <c r="K771" s="64"/>
      <c r="L771" s="69"/>
      <c r="M771" s="65"/>
      <c r="N771" s="69"/>
      <c r="O771" s="64"/>
      <c r="P771" s="69"/>
      <c r="Q771" s="64"/>
      <c r="R771" s="69"/>
      <c r="S771" s="64"/>
      <c r="T771" s="69"/>
      <c r="U771" s="64"/>
      <c r="V771" s="69"/>
      <c r="W771" s="65"/>
      <c r="X771" s="69"/>
      <c r="Y771" s="64"/>
      <c r="Z771" s="69"/>
      <c r="AA771" s="64"/>
      <c r="AB771" s="69"/>
      <c r="AC771" s="64"/>
      <c r="AD771" s="69"/>
      <c r="AE771" s="65"/>
      <c r="AF771" s="69"/>
      <c r="AG771" s="65"/>
      <c r="AH771" s="69"/>
      <c r="AI771" s="64"/>
      <c r="AJ771" s="69"/>
      <c r="AK771" s="64"/>
      <c r="AL771" s="69"/>
      <c r="AM771" s="64"/>
      <c r="AN771" s="69"/>
      <c r="AO771" s="64"/>
      <c r="AP771" s="69"/>
      <c r="AQ771" s="64"/>
      <c r="AR771" s="69"/>
      <c r="AS771" s="64"/>
      <c r="AT771" s="69"/>
      <c r="AU771" s="64"/>
      <c r="AV771" s="69"/>
      <c r="AW771" s="64"/>
      <c r="AX771" s="69"/>
      <c r="AY771" s="64"/>
      <c r="AZ771" s="69"/>
      <c r="BA771" s="64"/>
      <c r="BB771" s="69"/>
      <c r="BC771" s="64"/>
      <c r="BD771" s="69"/>
      <c r="BE771" s="64"/>
      <c r="BF771" s="69"/>
      <c r="BG771" s="64"/>
      <c r="BH771" s="69"/>
      <c r="BI771" s="64"/>
      <c r="BJ771" s="69"/>
      <c r="BK771" s="64"/>
      <c r="BL771" s="69"/>
      <c r="BM771" s="64"/>
      <c r="BN771" s="69"/>
      <c r="BO771" s="64"/>
      <c r="BP771" s="69"/>
      <c r="BQ771" s="64"/>
      <c r="BR771" s="69"/>
      <c r="BS771" s="64"/>
      <c r="BT771" s="69"/>
      <c r="BU771" t="b">
        <f t="shared" si="12"/>
        <v>0</v>
      </c>
    </row>
    <row r="772" spans="1:73" x14ac:dyDescent="0.25">
      <c r="A772" s="28"/>
      <c r="B772" s="29"/>
      <c r="C772" s="29"/>
      <c r="D772" s="30"/>
      <c r="E772" s="29"/>
      <c r="F772" s="30"/>
      <c r="G772" s="29"/>
      <c r="H772" s="69"/>
      <c r="I772" s="64"/>
      <c r="J772" s="69"/>
      <c r="K772" s="64"/>
      <c r="L772" s="69"/>
      <c r="M772" s="65"/>
      <c r="N772" s="69"/>
      <c r="O772" s="64"/>
      <c r="P772" s="69"/>
      <c r="Q772" s="64"/>
      <c r="R772" s="69"/>
      <c r="S772" s="64"/>
      <c r="T772" s="69"/>
      <c r="U772" s="64"/>
      <c r="V772" s="69"/>
      <c r="W772" s="65"/>
      <c r="X772" s="69"/>
      <c r="Y772" s="64"/>
      <c r="Z772" s="69"/>
      <c r="AA772" s="64"/>
      <c r="AB772" s="69"/>
      <c r="AC772" s="64"/>
      <c r="AD772" s="69"/>
      <c r="AE772" s="65"/>
      <c r="AF772" s="69"/>
      <c r="AG772" s="65"/>
      <c r="AH772" s="69"/>
      <c r="AI772" s="64"/>
      <c r="AJ772" s="69"/>
      <c r="AK772" s="64"/>
      <c r="AL772" s="69"/>
      <c r="AM772" s="64"/>
      <c r="AN772" s="69"/>
      <c r="AO772" s="64"/>
      <c r="AP772" s="69"/>
      <c r="AQ772" s="64"/>
      <c r="AR772" s="69"/>
      <c r="AS772" s="64"/>
      <c r="AT772" s="69"/>
      <c r="AU772" s="64"/>
      <c r="AV772" s="69"/>
      <c r="AW772" s="64"/>
      <c r="AX772" s="69"/>
      <c r="AY772" s="64"/>
      <c r="AZ772" s="69"/>
      <c r="BA772" s="64"/>
      <c r="BB772" s="69"/>
      <c r="BC772" s="64"/>
      <c r="BD772" s="69"/>
      <c r="BE772" s="64"/>
      <c r="BF772" s="69"/>
      <c r="BG772" s="64"/>
      <c r="BH772" s="69"/>
      <c r="BI772" s="64"/>
      <c r="BJ772" s="69"/>
      <c r="BK772" s="64"/>
      <c r="BL772" s="69"/>
      <c r="BM772" s="64"/>
      <c r="BN772" s="69"/>
      <c r="BO772" s="64"/>
      <c r="BP772" s="69"/>
      <c r="BQ772" s="64"/>
      <c r="BR772" s="69"/>
      <c r="BS772" s="64"/>
      <c r="BT772" s="69"/>
      <c r="BU772" t="b">
        <f t="shared" si="12"/>
        <v>0</v>
      </c>
    </row>
    <row r="773" spans="1:73" x14ac:dyDescent="0.25">
      <c r="A773" s="28"/>
      <c r="B773" s="29"/>
      <c r="C773" s="29"/>
      <c r="D773" s="30"/>
      <c r="E773" s="29"/>
      <c r="F773" s="30"/>
      <c r="G773" s="29"/>
      <c r="H773" s="69"/>
      <c r="I773" s="64"/>
      <c r="J773" s="69"/>
      <c r="K773" s="64"/>
      <c r="L773" s="69"/>
      <c r="M773" s="65"/>
      <c r="N773" s="69"/>
      <c r="O773" s="64"/>
      <c r="P773" s="69"/>
      <c r="Q773" s="64"/>
      <c r="R773" s="69"/>
      <c r="S773" s="64"/>
      <c r="T773" s="69"/>
      <c r="U773" s="64"/>
      <c r="V773" s="69"/>
      <c r="W773" s="65"/>
      <c r="X773" s="69"/>
      <c r="Y773" s="64"/>
      <c r="Z773" s="69"/>
      <c r="AA773" s="64"/>
      <c r="AB773" s="69"/>
      <c r="AC773" s="64"/>
      <c r="AD773" s="69"/>
      <c r="AE773" s="65"/>
      <c r="AF773" s="69"/>
      <c r="AG773" s="65"/>
      <c r="AH773" s="69"/>
      <c r="AI773" s="64"/>
      <c r="AJ773" s="69"/>
      <c r="AK773" s="64"/>
      <c r="AL773" s="69"/>
      <c r="AM773" s="64"/>
      <c r="AN773" s="69"/>
      <c r="AO773" s="64"/>
      <c r="AP773" s="69"/>
      <c r="AQ773" s="64"/>
      <c r="AR773" s="69"/>
      <c r="AS773" s="64"/>
      <c r="AT773" s="69"/>
      <c r="AU773" s="64"/>
      <c r="AV773" s="69"/>
      <c r="AW773" s="64"/>
      <c r="AX773" s="69"/>
      <c r="AY773" s="64"/>
      <c r="AZ773" s="69"/>
      <c r="BA773" s="64"/>
      <c r="BB773" s="69"/>
      <c r="BC773" s="64"/>
      <c r="BD773" s="69"/>
      <c r="BE773" s="64"/>
      <c r="BF773" s="69"/>
      <c r="BG773" s="64"/>
      <c r="BH773" s="69"/>
      <c r="BI773" s="64"/>
      <c r="BJ773" s="69"/>
      <c r="BK773" s="64"/>
      <c r="BL773" s="69"/>
      <c r="BM773" s="64"/>
      <c r="BN773" s="69"/>
      <c r="BO773" s="64"/>
      <c r="BP773" s="69"/>
      <c r="BQ773" s="64"/>
      <c r="BR773" s="69"/>
      <c r="BS773" s="64"/>
      <c r="BT773" s="69"/>
      <c r="BU773" t="b">
        <f t="shared" si="12"/>
        <v>0</v>
      </c>
    </row>
    <row r="774" spans="1:73" x14ac:dyDescent="0.25">
      <c r="A774" s="28"/>
      <c r="B774" s="29"/>
      <c r="C774" s="29"/>
      <c r="D774" s="30"/>
      <c r="E774" s="29"/>
      <c r="F774" s="30"/>
      <c r="G774" s="29"/>
      <c r="H774" s="69"/>
      <c r="I774" s="64"/>
      <c r="J774" s="69"/>
      <c r="K774" s="64"/>
      <c r="L774" s="69"/>
      <c r="M774" s="65"/>
      <c r="N774" s="69"/>
      <c r="O774" s="64"/>
      <c r="P774" s="69"/>
      <c r="Q774" s="64"/>
      <c r="R774" s="69"/>
      <c r="S774" s="64"/>
      <c r="T774" s="69"/>
      <c r="U774" s="64"/>
      <c r="V774" s="69"/>
      <c r="W774" s="65"/>
      <c r="X774" s="69"/>
      <c r="Y774" s="64"/>
      <c r="Z774" s="69"/>
      <c r="AA774" s="64"/>
      <c r="AB774" s="69"/>
      <c r="AC774" s="64"/>
      <c r="AD774" s="69"/>
      <c r="AE774" s="65"/>
      <c r="AF774" s="69"/>
      <c r="AG774" s="65"/>
      <c r="AH774" s="69"/>
      <c r="AI774" s="64"/>
      <c r="AJ774" s="69"/>
      <c r="AK774" s="64"/>
      <c r="AL774" s="69"/>
      <c r="AM774" s="64"/>
      <c r="AN774" s="69"/>
      <c r="AO774" s="64"/>
      <c r="AP774" s="69"/>
      <c r="AQ774" s="64"/>
      <c r="AR774" s="69"/>
      <c r="AS774" s="64"/>
      <c r="AT774" s="69"/>
      <c r="AU774" s="64"/>
      <c r="AV774" s="69"/>
      <c r="AW774" s="64"/>
      <c r="AX774" s="69"/>
      <c r="AY774" s="64"/>
      <c r="AZ774" s="69"/>
      <c r="BA774" s="64"/>
      <c r="BB774" s="69"/>
      <c r="BC774" s="64"/>
      <c r="BD774" s="69"/>
      <c r="BE774" s="64"/>
      <c r="BF774" s="69"/>
      <c r="BG774" s="64"/>
      <c r="BH774" s="69"/>
      <c r="BI774" s="64"/>
      <c r="BJ774" s="69"/>
      <c r="BK774" s="64"/>
      <c r="BL774" s="69"/>
      <c r="BM774" s="64"/>
      <c r="BN774" s="69"/>
      <c r="BO774" s="64"/>
      <c r="BP774" s="69"/>
      <c r="BQ774" s="64"/>
      <c r="BR774" s="69"/>
      <c r="BS774" s="64"/>
      <c r="BT774" s="69"/>
      <c r="BU774" t="b">
        <f t="shared" si="12"/>
        <v>0</v>
      </c>
    </row>
    <row r="775" spans="1:73" x14ac:dyDescent="0.25">
      <c r="A775" s="28"/>
      <c r="B775" s="29"/>
      <c r="C775" s="29"/>
      <c r="D775" s="30"/>
      <c r="E775" s="29"/>
      <c r="F775" s="30"/>
      <c r="G775" s="29"/>
      <c r="H775" s="69"/>
      <c r="I775" s="64"/>
      <c r="J775" s="69"/>
      <c r="K775" s="64"/>
      <c r="L775" s="69"/>
      <c r="M775" s="65"/>
      <c r="N775" s="69"/>
      <c r="O775" s="64"/>
      <c r="P775" s="69"/>
      <c r="Q775" s="64"/>
      <c r="R775" s="69"/>
      <c r="S775" s="64"/>
      <c r="T775" s="69"/>
      <c r="U775" s="64"/>
      <c r="V775" s="69"/>
      <c r="W775" s="65"/>
      <c r="X775" s="69"/>
      <c r="Y775" s="64"/>
      <c r="Z775" s="69"/>
      <c r="AA775" s="64"/>
      <c r="AB775" s="69"/>
      <c r="AC775" s="64"/>
      <c r="AD775" s="69"/>
      <c r="AE775" s="65"/>
      <c r="AF775" s="69"/>
      <c r="AG775" s="65"/>
      <c r="AH775" s="69"/>
      <c r="AI775" s="64"/>
      <c r="AJ775" s="69"/>
      <c r="AK775" s="64"/>
      <c r="AL775" s="69"/>
      <c r="AM775" s="64"/>
      <c r="AN775" s="69"/>
      <c r="AO775" s="64"/>
      <c r="AP775" s="69"/>
      <c r="AQ775" s="64"/>
      <c r="AR775" s="69"/>
      <c r="AS775" s="64"/>
      <c r="AT775" s="69"/>
      <c r="AU775" s="64"/>
      <c r="AV775" s="69"/>
      <c r="AW775" s="64"/>
      <c r="AX775" s="69"/>
      <c r="AY775" s="64"/>
      <c r="AZ775" s="69"/>
      <c r="BA775" s="64"/>
      <c r="BB775" s="69"/>
      <c r="BC775" s="64"/>
      <c r="BD775" s="69"/>
      <c r="BE775" s="64"/>
      <c r="BF775" s="69"/>
      <c r="BG775" s="64"/>
      <c r="BH775" s="69"/>
      <c r="BI775" s="64"/>
      <c r="BJ775" s="69"/>
      <c r="BK775" s="64"/>
      <c r="BL775" s="69"/>
      <c r="BM775" s="64"/>
      <c r="BN775" s="69"/>
      <c r="BO775" s="64"/>
      <c r="BP775" s="69"/>
      <c r="BQ775" s="64"/>
      <c r="BR775" s="69"/>
      <c r="BS775" s="64"/>
      <c r="BT775" s="69"/>
      <c r="BU775" t="b">
        <f t="shared" si="12"/>
        <v>0</v>
      </c>
    </row>
    <row r="776" spans="1:73" x14ac:dyDescent="0.25">
      <c r="A776" s="28"/>
      <c r="B776" s="29"/>
      <c r="C776" s="29"/>
      <c r="D776" s="30"/>
      <c r="E776" s="29"/>
      <c r="F776" s="30"/>
      <c r="G776" s="29"/>
      <c r="H776" s="69"/>
      <c r="I776" s="64"/>
      <c r="J776" s="69"/>
      <c r="K776" s="64"/>
      <c r="L776" s="69"/>
      <c r="M776" s="65"/>
      <c r="N776" s="69"/>
      <c r="O776" s="64"/>
      <c r="P776" s="69"/>
      <c r="Q776" s="64"/>
      <c r="R776" s="69"/>
      <c r="S776" s="64"/>
      <c r="T776" s="69"/>
      <c r="U776" s="64"/>
      <c r="V776" s="69"/>
      <c r="W776" s="65"/>
      <c r="X776" s="69"/>
      <c r="Y776" s="64"/>
      <c r="Z776" s="69"/>
      <c r="AA776" s="64"/>
      <c r="AB776" s="69"/>
      <c r="AC776" s="64"/>
      <c r="AD776" s="69"/>
      <c r="AE776" s="65"/>
      <c r="AF776" s="69"/>
      <c r="AG776" s="65"/>
      <c r="AH776" s="69"/>
      <c r="AI776" s="64"/>
      <c r="AJ776" s="69"/>
      <c r="AK776" s="64"/>
      <c r="AL776" s="69"/>
      <c r="AM776" s="64"/>
      <c r="AN776" s="69"/>
      <c r="AO776" s="64"/>
      <c r="AP776" s="69"/>
      <c r="AQ776" s="64"/>
      <c r="AR776" s="69"/>
      <c r="AS776" s="64"/>
      <c r="AT776" s="69"/>
      <c r="AU776" s="64"/>
      <c r="AV776" s="69"/>
      <c r="AW776" s="64"/>
      <c r="AX776" s="69"/>
      <c r="AY776" s="64"/>
      <c r="AZ776" s="69"/>
      <c r="BA776" s="64"/>
      <c r="BB776" s="69"/>
      <c r="BC776" s="64"/>
      <c r="BD776" s="69"/>
      <c r="BE776" s="64"/>
      <c r="BF776" s="69"/>
      <c r="BG776" s="64"/>
      <c r="BH776" s="69"/>
      <c r="BI776" s="64"/>
      <c r="BJ776" s="69"/>
      <c r="BK776" s="64"/>
      <c r="BL776" s="69"/>
      <c r="BM776" s="64"/>
      <c r="BN776" s="69"/>
      <c r="BO776" s="64"/>
      <c r="BP776" s="69"/>
      <c r="BQ776" s="64"/>
      <c r="BR776" s="69"/>
      <c r="BS776" s="64"/>
      <c r="BT776" s="69"/>
      <c r="BU776" t="b">
        <f t="shared" si="12"/>
        <v>0</v>
      </c>
    </row>
    <row r="777" spans="1:73" x14ac:dyDescent="0.25">
      <c r="A777" s="28"/>
      <c r="B777" s="29"/>
      <c r="C777" s="29"/>
      <c r="D777" s="30"/>
      <c r="E777" s="29"/>
      <c r="F777" s="30"/>
      <c r="G777" s="29"/>
      <c r="H777" s="69"/>
      <c r="I777" s="64"/>
      <c r="J777" s="69"/>
      <c r="K777" s="64"/>
      <c r="L777" s="69"/>
      <c r="M777" s="65"/>
      <c r="N777" s="69"/>
      <c r="O777" s="64"/>
      <c r="P777" s="69"/>
      <c r="Q777" s="64"/>
      <c r="R777" s="69"/>
      <c r="S777" s="64"/>
      <c r="T777" s="69"/>
      <c r="U777" s="64"/>
      <c r="V777" s="69"/>
      <c r="W777" s="65"/>
      <c r="X777" s="69"/>
      <c r="Y777" s="64"/>
      <c r="Z777" s="69"/>
      <c r="AA777" s="64"/>
      <c r="AB777" s="69"/>
      <c r="AC777" s="64"/>
      <c r="AD777" s="69"/>
      <c r="AE777" s="65"/>
      <c r="AF777" s="69"/>
      <c r="AG777" s="65"/>
      <c r="AH777" s="69"/>
      <c r="AI777" s="64"/>
      <c r="AJ777" s="69"/>
      <c r="AK777" s="64"/>
      <c r="AL777" s="69"/>
      <c r="AM777" s="64"/>
      <c r="AN777" s="69"/>
      <c r="AO777" s="64"/>
      <c r="AP777" s="69"/>
      <c r="AQ777" s="64"/>
      <c r="AR777" s="69"/>
      <c r="AS777" s="64"/>
      <c r="AT777" s="69"/>
      <c r="AU777" s="64"/>
      <c r="AV777" s="69"/>
      <c r="AW777" s="64"/>
      <c r="AX777" s="69"/>
      <c r="AY777" s="64"/>
      <c r="AZ777" s="69"/>
      <c r="BA777" s="64"/>
      <c r="BB777" s="69"/>
      <c r="BC777" s="64"/>
      <c r="BD777" s="69"/>
      <c r="BE777" s="64"/>
      <c r="BF777" s="69"/>
      <c r="BG777" s="64"/>
      <c r="BH777" s="69"/>
      <c r="BI777" s="64"/>
      <c r="BJ777" s="69"/>
      <c r="BK777" s="64"/>
      <c r="BL777" s="69"/>
      <c r="BM777" s="64"/>
      <c r="BN777" s="69"/>
      <c r="BO777" s="64"/>
      <c r="BP777" s="69"/>
      <c r="BQ777" s="64"/>
      <c r="BR777" s="69"/>
      <c r="BS777" s="64"/>
      <c r="BT777" s="69"/>
      <c r="BU777" t="b">
        <f t="shared" si="12"/>
        <v>0</v>
      </c>
    </row>
    <row r="778" spans="1:73" x14ac:dyDescent="0.25">
      <c r="A778" s="28"/>
      <c r="B778" s="29"/>
      <c r="C778" s="29"/>
      <c r="D778" s="30"/>
      <c r="E778" s="29"/>
      <c r="F778" s="30"/>
      <c r="G778" s="29"/>
      <c r="H778" s="69"/>
      <c r="I778" s="64"/>
      <c r="J778" s="69"/>
      <c r="K778" s="64"/>
      <c r="L778" s="69"/>
      <c r="M778" s="65"/>
      <c r="N778" s="69"/>
      <c r="O778" s="64"/>
      <c r="P778" s="69"/>
      <c r="Q778" s="64"/>
      <c r="R778" s="69"/>
      <c r="S778" s="64"/>
      <c r="T778" s="69"/>
      <c r="U778" s="64"/>
      <c r="V778" s="69"/>
      <c r="W778" s="65"/>
      <c r="X778" s="69"/>
      <c r="Y778" s="64"/>
      <c r="Z778" s="69"/>
      <c r="AA778" s="64"/>
      <c r="AB778" s="69"/>
      <c r="AC778" s="64"/>
      <c r="AD778" s="69"/>
      <c r="AE778" s="65"/>
      <c r="AF778" s="69"/>
      <c r="AG778" s="65"/>
      <c r="AH778" s="69"/>
      <c r="AI778" s="64"/>
      <c r="AJ778" s="69"/>
      <c r="AK778" s="64"/>
      <c r="AL778" s="69"/>
      <c r="AM778" s="64"/>
      <c r="AN778" s="69"/>
      <c r="AO778" s="64"/>
      <c r="AP778" s="69"/>
      <c r="AQ778" s="64"/>
      <c r="AR778" s="69"/>
      <c r="AS778" s="64"/>
      <c r="AT778" s="69"/>
      <c r="AU778" s="64"/>
      <c r="AV778" s="69"/>
      <c r="AW778" s="64"/>
      <c r="AX778" s="69"/>
      <c r="AY778" s="64"/>
      <c r="AZ778" s="69"/>
      <c r="BA778" s="64"/>
      <c r="BB778" s="69"/>
      <c r="BC778" s="64"/>
      <c r="BD778" s="69"/>
      <c r="BE778" s="64"/>
      <c r="BF778" s="69"/>
      <c r="BG778" s="64"/>
      <c r="BH778" s="69"/>
      <c r="BI778" s="64"/>
      <c r="BJ778" s="69"/>
      <c r="BK778" s="64"/>
      <c r="BL778" s="69"/>
      <c r="BM778" s="64"/>
      <c r="BN778" s="69"/>
      <c r="BO778" s="64"/>
      <c r="BP778" s="69"/>
      <c r="BQ778" s="64"/>
      <c r="BR778" s="69"/>
      <c r="BS778" s="64"/>
      <c r="BT778" s="69"/>
      <c r="BU778" t="b">
        <f t="shared" si="12"/>
        <v>0</v>
      </c>
    </row>
    <row r="779" spans="1:73" x14ac:dyDescent="0.25">
      <c r="A779" s="28"/>
      <c r="B779" s="29"/>
      <c r="C779" s="29"/>
      <c r="D779" s="30"/>
      <c r="E779" s="29"/>
      <c r="F779" s="30"/>
      <c r="G779" s="29"/>
      <c r="H779" s="69"/>
      <c r="I779" s="64"/>
      <c r="J779" s="69"/>
      <c r="K779" s="64"/>
      <c r="L779" s="69"/>
      <c r="M779" s="65"/>
      <c r="N779" s="69"/>
      <c r="O779" s="64"/>
      <c r="P779" s="69"/>
      <c r="Q779" s="64"/>
      <c r="R779" s="69"/>
      <c r="S779" s="64"/>
      <c r="T779" s="69"/>
      <c r="U779" s="64"/>
      <c r="V779" s="69"/>
      <c r="W779" s="65"/>
      <c r="X779" s="69"/>
      <c r="Y779" s="64"/>
      <c r="Z779" s="69"/>
      <c r="AA779" s="64"/>
      <c r="AB779" s="69"/>
      <c r="AC779" s="64"/>
      <c r="AD779" s="69"/>
      <c r="AE779" s="65"/>
      <c r="AF779" s="69"/>
      <c r="AG779" s="65"/>
      <c r="AH779" s="69"/>
      <c r="AI779" s="64"/>
      <c r="AJ779" s="69"/>
      <c r="AK779" s="64"/>
      <c r="AL779" s="69"/>
      <c r="AM779" s="64"/>
      <c r="AN779" s="69"/>
      <c r="AO779" s="64"/>
      <c r="AP779" s="69"/>
      <c r="AQ779" s="64"/>
      <c r="AR779" s="69"/>
      <c r="AS779" s="64"/>
      <c r="AT779" s="69"/>
      <c r="AU779" s="64"/>
      <c r="AV779" s="69"/>
      <c r="AW779" s="64"/>
      <c r="AX779" s="69"/>
      <c r="AY779" s="64"/>
      <c r="AZ779" s="69"/>
      <c r="BA779" s="64"/>
      <c r="BB779" s="69"/>
      <c r="BC779" s="64"/>
      <c r="BD779" s="69"/>
      <c r="BE779" s="64"/>
      <c r="BF779" s="69"/>
      <c r="BG779" s="64"/>
      <c r="BH779" s="69"/>
      <c r="BI779" s="64"/>
      <c r="BJ779" s="69"/>
      <c r="BK779" s="64"/>
      <c r="BL779" s="69"/>
      <c r="BM779" s="64"/>
      <c r="BN779" s="69"/>
      <c r="BO779" s="64"/>
      <c r="BP779" s="69"/>
      <c r="BQ779" s="64"/>
      <c r="BR779" s="69"/>
      <c r="BS779" s="64"/>
      <c r="BT779" s="69"/>
      <c r="BU779" t="b">
        <f t="shared" si="12"/>
        <v>0</v>
      </c>
    </row>
    <row r="780" spans="1:73" x14ac:dyDescent="0.25">
      <c r="A780" s="28"/>
      <c r="B780" s="29"/>
      <c r="C780" s="29"/>
      <c r="D780" s="30"/>
      <c r="E780" s="29"/>
      <c r="F780" s="30"/>
      <c r="G780" s="29"/>
      <c r="H780" s="69"/>
      <c r="I780" s="64"/>
      <c r="J780" s="69"/>
      <c r="K780" s="64"/>
      <c r="L780" s="69"/>
      <c r="M780" s="65"/>
      <c r="N780" s="69"/>
      <c r="O780" s="64"/>
      <c r="P780" s="69"/>
      <c r="Q780" s="64"/>
      <c r="R780" s="69"/>
      <c r="S780" s="64"/>
      <c r="T780" s="69"/>
      <c r="U780" s="64"/>
      <c r="V780" s="69"/>
      <c r="W780" s="65"/>
      <c r="X780" s="69"/>
      <c r="Y780" s="64"/>
      <c r="Z780" s="69"/>
      <c r="AA780" s="64"/>
      <c r="AB780" s="69"/>
      <c r="AC780" s="64"/>
      <c r="AD780" s="69"/>
      <c r="AE780" s="65"/>
      <c r="AF780" s="69"/>
      <c r="AG780" s="65"/>
      <c r="AH780" s="69"/>
      <c r="AI780" s="64"/>
      <c r="AJ780" s="69"/>
      <c r="AK780" s="64"/>
      <c r="AL780" s="69"/>
      <c r="AM780" s="64"/>
      <c r="AN780" s="69"/>
      <c r="AO780" s="64"/>
      <c r="AP780" s="69"/>
      <c r="AQ780" s="64"/>
      <c r="AR780" s="69"/>
      <c r="AS780" s="64"/>
      <c r="AT780" s="69"/>
      <c r="AU780" s="64"/>
      <c r="AV780" s="69"/>
      <c r="AW780" s="64"/>
      <c r="AX780" s="69"/>
      <c r="AY780" s="64"/>
      <c r="AZ780" s="69"/>
      <c r="BA780" s="64"/>
      <c r="BB780" s="69"/>
      <c r="BC780" s="64"/>
      <c r="BD780" s="69"/>
      <c r="BE780" s="64"/>
      <c r="BF780" s="69"/>
      <c r="BG780" s="64"/>
      <c r="BH780" s="69"/>
      <c r="BI780" s="64"/>
      <c r="BJ780" s="69"/>
      <c r="BK780" s="64"/>
      <c r="BL780" s="69"/>
      <c r="BM780" s="64"/>
      <c r="BN780" s="69"/>
      <c r="BO780" s="64"/>
      <c r="BP780" s="69"/>
      <c r="BQ780" s="64"/>
      <c r="BR780" s="69"/>
      <c r="BS780" s="64"/>
      <c r="BT780" s="69"/>
      <c r="BU780" t="b">
        <f t="shared" si="12"/>
        <v>0</v>
      </c>
    </row>
    <row r="781" spans="1:73" x14ac:dyDescent="0.25">
      <c r="A781" s="28"/>
      <c r="B781" s="29"/>
      <c r="C781" s="29"/>
      <c r="D781" s="30"/>
      <c r="E781" s="29"/>
      <c r="F781" s="30"/>
      <c r="G781" s="29"/>
      <c r="H781" s="69"/>
      <c r="I781" s="64"/>
      <c r="J781" s="69"/>
      <c r="K781" s="64"/>
      <c r="L781" s="69"/>
      <c r="M781" s="65"/>
      <c r="N781" s="69"/>
      <c r="O781" s="64"/>
      <c r="P781" s="69"/>
      <c r="Q781" s="64"/>
      <c r="R781" s="69"/>
      <c r="S781" s="64"/>
      <c r="T781" s="69"/>
      <c r="U781" s="64"/>
      <c r="V781" s="69"/>
      <c r="W781" s="65"/>
      <c r="X781" s="69"/>
      <c r="Y781" s="64"/>
      <c r="Z781" s="69"/>
      <c r="AA781" s="64"/>
      <c r="AB781" s="69"/>
      <c r="AC781" s="64"/>
      <c r="AD781" s="69"/>
      <c r="AE781" s="65"/>
      <c r="AF781" s="69"/>
      <c r="AG781" s="65"/>
      <c r="AH781" s="69"/>
      <c r="AI781" s="64"/>
      <c r="AJ781" s="69"/>
      <c r="AK781" s="64"/>
      <c r="AL781" s="69"/>
      <c r="AM781" s="64"/>
      <c r="AN781" s="69"/>
      <c r="AO781" s="64"/>
      <c r="AP781" s="69"/>
      <c r="AQ781" s="64"/>
      <c r="AR781" s="69"/>
      <c r="AS781" s="64"/>
      <c r="AT781" s="69"/>
      <c r="AU781" s="64"/>
      <c r="AV781" s="69"/>
      <c r="AW781" s="64"/>
      <c r="AX781" s="69"/>
      <c r="AY781" s="64"/>
      <c r="AZ781" s="69"/>
      <c r="BA781" s="64"/>
      <c r="BB781" s="69"/>
      <c r="BC781" s="64"/>
      <c r="BD781" s="69"/>
      <c r="BE781" s="64"/>
      <c r="BF781" s="69"/>
      <c r="BG781" s="64"/>
      <c r="BH781" s="69"/>
      <c r="BI781" s="64"/>
      <c r="BJ781" s="69"/>
      <c r="BK781" s="64"/>
      <c r="BL781" s="69"/>
      <c r="BM781" s="64"/>
      <c r="BN781" s="69"/>
      <c r="BO781" s="64"/>
      <c r="BP781" s="69"/>
      <c r="BQ781" s="64"/>
      <c r="BR781" s="69"/>
      <c r="BS781" s="64"/>
      <c r="BT781" s="69"/>
      <c r="BU781" t="b">
        <f t="shared" si="12"/>
        <v>0</v>
      </c>
    </row>
    <row r="782" spans="1:73" x14ac:dyDescent="0.25">
      <c r="A782" s="28"/>
      <c r="B782" s="29"/>
      <c r="C782" s="29"/>
      <c r="D782" s="30"/>
      <c r="E782" s="29"/>
      <c r="F782" s="30"/>
      <c r="G782" s="29"/>
      <c r="H782" s="69"/>
      <c r="I782" s="64"/>
      <c r="J782" s="69"/>
      <c r="K782" s="64"/>
      <c r="L782" s="69"/>
      <c r="M782" s="65"/>
      <c r="N782" s="69"/>
      <c r="O782" s="64"/>
      <c r="P782" s="69"/>
      <c r="Q782" s="64"/>
      <c r="R782" s="69"/>
      <c r="S782" s="64"/>
      <c r="T782" s="69"/>
      <c r="U782" s="64"/>
      <c r="V782" s="69"/>
      <c r="W782" s="65"/>
      <c r="X782" s="69"/>
      <c r="Y782" s="64"/>
      <c r="Z782" s="69"/>
      <c r="AA782" s="64"/>
      <c r="AB782" s="69"/>
      <c r="AC782" s="64"/>
      <c r="AD782" s="69"/>
      <c r="AE782" s="65"/>
      <c r="AF782" s="69"/>
      <c r="AG782" s="65"/>
      <c r="AH782" s="69"/>
      <c r="AI782" s="64"/>
      <c r="AJ782" s="69"/>
      <c r="AK782" s="64"/>
      <c r="AL782" s="69"/>
      <c r="AM782" s="64"/>
      <c r="AN782" s="69"/>
      <c r="AO782" s="64"/>
      <c r="AP782" s="69"/>
      <c r="AQ782" s="64"/>
      <c r="AR782" s="69"/>
      <c r="AS782" s="64"/>
      <c r="AT782" s="69"/>
      <c r="AU782" s="64"/>
      <c r="AV782" s="69"/>
      <c r="AW782" s="64"/>
      <c r="AX782" s="69"/>
      <c r="AY782" s="64"/>
      <c r="AZ782" s="69"/>
      <c r="BA782" s="64"/>
      <c r="BB782" s="69"/>
      <c r="BC782" s="64"/>
      <c r="BD782" s="69"/>
      <c r="BE782" s="64"/>
      <c r="BF782" s="69"/>
      <c r="BG782" s="64"/>
      <c r="BH782" s="69"/>
      <c r="BI782" s="64"/>
      <c r="BJ782" s="69"/>
      <c r="BK782" s="64"/>
      <c r="BL782" s="69"/>
      <c r="BM782" s="64"/>
      <c r="BN782" s="69"/>
      <c r="BO782" s="64"/>
      <c r="BP782" s="69"/>
      <c r="BQ782" s="64"/>
      <c r="BR782" s="69"/>
      <c r="BS782" s="64"/>
      <c r="BT782" s="69"/>
      <c r="BU782" t="b">
        <f t="shared" si="12"/>
        <v>0</v>
      </c>
    </row>
    <row r="783" spans="1:73" x14ac:dyDescent="0.25">
      <c r="A783" s="28"/>
      <c r="B783" s="29"/>
      <c r="C783" s="29"/>
      <c r="D783" s="30"/>
      <c r="E783" s="29"/>
      <c r="F783" s="30"/>
      <c r="G783" s="29"/>
      <c r="H783" s="69"/>
      <c r="I783" s="64"/>
      <c r="J783" s="69"/>
      <c r="K783" s="64"/>
      <c r="L783" s="69"/>
      <c r="M783" s="65"/>
      <c r="N783" s="69"/>
      <c r="O783" s="64"/>
      <c r="P783" s="69"/>
      <c r="Q783" s="64"/>
      <c r="R783" s="69"/>
      <c r="S783" s="64"/>
      <c r="T783" s="69"/>
      <c r="U783" s="64"/>
      <c r="V783" s="69"/>
      <c r="W783" s="65"/>
      <c r="X783" s="69"/>
      <c r="Y783" s="64"/>
      <c r="Z783" s="69"/>
      <c r="AA783" s="64"/>
      <c r="AB783" s="69"/>
      <c r="AC783" s="64"/>
      <c r="AD783" s="69"/>
      <c r="AE783" s="65"/>
      <c r="AF783" s="69"/>
      <c r="AG783" s="65"/>
      <c r="AH783" s="69"/>
      <c r="AI783" s="64"/>
      <c r="AJ783" s="69"/>
      <c r="AK783" s="64"/>
      <c r="AL783" s="69"/>
      <c r="AM783" s="64"/>
      <c r="AN783" s="69"/>
      <c r="AO783" s="64"/>
      <c r="AP783" s="69"/>
      <c r="AQ783" s="64"/>
      <c r="AR783" s="69"/>
      <c r="AS783" s="64"/>
      <c r="AT783" s="69"/>
      <c r="AU783" s="64"/>
      <c r="AV783" s="69"/>
      <c r="AW783" s="64"/>
      <c r="AX783" s="69"/>
      <c r="AY783" s="64"/>
      <c r="AZ783" s="69"/>
      <c r="BA783" s="64"/>
      <c r="BB783" s="69"/>
      <c r="BC783" s="64"/>
      <c r="BD783" s="69"/>
      <c r="BE783" s="64"/>
      <c r="BF783" s="69"/>
      <c r="BG783" s="64"/>
      <c r="BH783" s="69"/>
      <c r="BI783" s="64"/>
      <c r="BJ783" s="69"/>
      <c r="BK783" s="64"/>
      <c r="BL783" s="69"/>
      <c r="BM783" s="64"/>
      <c r="BN783" s="69"/>
      <c r="BO783" s="64"/>
      <c r="BP783" s="69"/>
      <c r="BQ783" s="64"/>
      <c r="BR783" s="69"/>
      <c r="BS783" s="64"/>
      <c r="BT783" s="69"/>
      <c r="BU783" t="b">
        <f t="shared" si="12"/>
        <v>0</v>
      </c>
    </row>
    <row r="784" spans="1:73" x14ac:dyDescent="0.25">
      <c r="A784" s="28"/>
      <c r="B784" s="29"/>
      <c r="C784" s="29"/>
      <c r="D784" s="30"/>
      <c r="E784" s="29"/>
      <c r="F784" s="30"/>
      <c r="G784" s="29"/>
      <c r="H784" s="69"/>
      <c r="I784" s="64"/>
      <c r="J784" s="69"/>
      <c r="K784" s="64"/>
      <c r="L784" s="69"/>
      <c r="M784" s="65"/>
      <c r="N784" s="69"/>
      <c r="O784" s="64"/>
      <c r="P784" s="69"/>
      <c r="Q784" s="64"/>
      <c r="R784" s="69"/>
      <c r="S784" s="64"/>
      <c r="T784" s="69"/>
      <c r="U784" s="64"/>
      <c r="V784" s="69"/>
      <c r="W784" s="65"/>
      <c r="X784" s="69"/>
      <c r="Y784" s="64"/>
      <c r="Z784" s="69"/>
      <c r="AA784" s="64"/>
      <c r="AB784" s="69"/>
      <c r="AC784" s="64"/>
      <c r="AD784" s="69"/>
      <c r="AE784" s="65"/>
      <c r="AF784" s="69"/>
      <c r="AG784" s="65"/>
      <c r="AH784" s="69"/>
      <c r="AI784" s="64"/>
      <c r="AJ784" s="69"/>
      <c r="AK784" s="64"/>
      <c r="AL784" s="69"/>
      <c r="AM784" s="64"/>
      <c r="AN784" s="69"/>
      <c r="AO784" s="64"/>
      <c r="AP784" s="69"/>
      <c r="AQ784" s="64"/>
      <c r="AR784" s="69"/>
      <c r="AS784" s="64"/>
      <c r="AT784" s="69"/>
      <c r="AU784" s="64"/>
      <c r="AV784" s="69"/>
      <c r="AW784" s="64"/>
      <c r="AX784" s="69"/>
      <c r="AY784" s="64"/>
      <c r="AZ784" s="69"/>
      <c r="BA784" s="64"/>
      <c r="BB784" s="69"/>
      <c r="BC784" s="64"/>
      <c r="BD784" s="69"/>
      <c r="BE784" s="64"/>
      <c r="BF784" s="69"/>
      <c r="BG784" s="64"/>
      <c r="BH784" s="69"/>
      <c r="BI784" s="64"/>
      <c r="BJ784" s="69"/>
      <c r="BK784" s="64"/>
      <c r="BL784" s="69"/>
      <c r="BM784" s="64"/>
      <c r="BN784" s="69"/>
      <c r="BO784" s="64"/>
      <c r="BP784" s="69"/>
      <c r="BQ784" s="64"/>
      <c r="BR784" s="69"/>
      <c r="BS784" s="64"/>
      <c r="BT784" s="69"/>
      <c r="BU784" t="b">
        <f t="shared" si="12"/>
        <v>0</v>
      </c>
    </row>
    <row r="785" spans="1:73" x14ac:dyDescent="0.25">
      <c r="A785" s="28"/>
      <c r="B785" s="29"/>
      <c r="C785" s="29"/>
      <c r="D785" s="30"/>
      <c r="E785" s="29"/>
      <c r="F785" s="30"/>
      <c r="G785" s="29"/>
      <c r="H785" s="69"/>
      <c r="I785" s="64"/>
      <c r="J785" s="69"/>
      <c r="K785" s="64"/>
      <c r="L785" s="69"/>
      <c r="M785" s="65"/>
      <c r="N785" s="69"/>
      <c r="O785" s="64"/>
      <c r="P785" s="69"/>
      <c r="Q785" s="64"/>
      <c r="R785" s="69"/>
      <c r="S785" s="64"/>
      <c r="T785" s="69"/>
      <c r="U785" s="64"/>
      <c r="V785" s="69"/>
      <c r="W785" s="65"/>
      <c r="X785" s="69"/>
      <c r="Y785" s="64"/>
      <c r="Z785" s="69"/>
      <c r="AA785" s="64"/>
      <c r="AB785" s="69"/>
      <c r="AC785" s="64"/>
      <c r="AD785" s="69"/>
      <c r="AE785" s="65"/>
      <c r="AF785" s="69"/>
      <c r="AG785" s="65"/>
      <c r="AH785" s="69"/>
      <c r="AI785" s="64"/>
      <c r="AJ785" s="69"/>
      <c r="AK785" s="64"/>
      <c r="AL785" s="69"/>
      <c r="AM785" s="64"/>
      <c r="AN785" s="69"/>
      <c r="AO785" s="64"/>
      <c r="AP785" s="69"/>
      <c r="AQ785" s="64"/>
      <c r="AR785" s="69"/>
      <c r="AS785" s="64"/>
      <c r="AT785" s="69"/>
      <c r="AU785" s="64"/>
      <c r="AV785" s="69"/>
      <c r="AW785" s="64"/>
      <c r="AX785" s="69"/>
      <c r="AY785" s="64"/>
      <c r="AZ785" s="69"/>
      <c r="BA785" s="64"/>
      <c r="BB785" s="69"/>
      <c r="BC785" s="64"/>
      <c r="BD785" s="69"/>
      <c r="BE785" s="64"/>
      <c r="BF785" s="69"/>
      <c r="BG785" s="64"/>
      <c r="BH785" s="69"/>
      <c r="BI785" s="64"/>
      <c r="BJ785" s="69"/>
      <c r="BK785" s="64"/>
      <c r="BL785" s="69"/>
      <c r="BM785" s="64"/>
      <c r="BN785" s="69"/>
      <c r="BO785" s="64"/>
      <c r="BP785" s="69"/>
      <c r="BQ785" s="64"/>
      <c r="BR785" s="69"/>
      <c r="BS785" s="64"/>
      <c r="BT785" s="69"/>
      <c r="BU785" t="b">
        <f t="shared" si="12"/>
        <v>0</v>
      </c>
    </row>
    <row r="786" spans="1:73" x14ac:dyDescent="0.25">
      <c r="A786" s="28"/>
      <c r="B786" s="29"/>
      <c r="C786" s="29"/>
      <c r="D786" s="30"/>
      <c r="E786" s="29"/>
      <c r="F786" s="30"/>
      <c r="G786" s="29"/>
      <c r="H786" s="69"/>
      <c r="I786" s="64"/>
      <c r="J786" s="69"/>
      <c r="K786" s="64"/>
      <c r="L786" s="69"/>
      <c r="M786" s="65"/>
      <c r="N786" s="69"/>
      <c r="O786" s="64"/>
      <c r="P786" s="69"/>
      <c r="Q786" s="64"/>
      <c r="R786" s="69"/>
      <c r="S786" s="64"/>
      <c r="T786" s="69"/>
      <c r="U786" s="64"/>
      <c r="V786" s="69"/>
      <c r="W786" s="65"/>
      <c r="X786" s="69"/>
      <c r="Y786" s="64"/>
      <c r="Z786" s="69"/>
      <c r="AA786" s="64"/>
      <c r="AB786" s="69"/>
      <c r="AC786" s="64"/>
      <c r="AD786" s="69"/>
      <c r="AE786" s="65"/>
      <c r="AF786" s="69"/>
      <c r="AG786" s="65"/>
      <c r="AH786" s="69"/>
      <c r="AI786" s="64"/>
      <c r="AJ786" s="69"/>
      <c r="AK786" s="64"/>
      <c r="AL786" s="69"/>
      <c r="AM786" s="64"/>
      <c r="AN786" s="69"/>
      <c r="AO786" s="64"/>
      <c r="AP786" s="69"/>
      <c r="AQ786" s="64"/>
      <c r="AR786" s="69"/>
      <c r="AS786" s="64"/>
      <c r="AT786" s="69"/>
      <c r="AU786" s="64"/>
      <c r="AV786" s="69"/>
      <c r="AW786" s="64"/>
      <c r="AX786" s="69"/>
      <c r="AY786" s="64"/>
      <c r="AZ786" s="69"/>
      <c r="BA786" s="64"/>
      <c r="BB786" s="69"/>
      <c r="BC786" s="64"/>
      <c r="BD786" s="69"/>
      <c r="BE786" s="64"/>
      <c r="BF786" s="69"/>
      <c r="BG786" s="64"/>
      <c r="BH786" s="69"/>
      <c r="BI786" s="64"/>
      <c r="BJ786" s="69"/>
      <c r="BK786" s="64"/>
      <c r="BL786" s="69"/>
      <c r="BM786" s="64"/>
      <c r="BN786" s="69"/>
      <c r="BO786" s="64"/>
      <c r="BP786" s="69"/>
      <c r="BQ786" s="64"/>
      <c r="BR786" s="69"/>
      <c r="BS786" s="64"/>
      <c r="BT786" s="69"/>
      <c r="BU786" t="b">
        <f t="shared" si="12"/>
        <v>0</v>
      </c>
    </row>
    <row r="787" spans="1:73" x14ac:dyDescent="0.25">
      <c r="A787" s="28"/>
      <c r="B787" s="29"/>
      <c r="C787" s="29"/>
      <c r="D787" s="30"/>
      <c r="E787" s="29"/>
      <c r="F787" s="30"/>
      <c r="G787" s="29"/>
      <c r="H787" s="69"/>
      <c r="I787" s="64"/>
      <c r="J787" s="69"/>
      <c r="K787" s="64"/>
      <c r="L787" s="69"/>
      <c r="M787" s="65"/>
      <c r="N787" s="69"/>
      <c r="O787" s="64"/>
      <c r="P787" s="69"/>
      <c r="Q787" s="64"/>
      <c r="R787" s="69"/>
      <c r="S787" s="64"/>
      <c r="T787" s="69"/>
      <c r="U787" s="64"/>
      <c r="V787" s="69"/>
      <c r="W787" s="65"/>
      <c r="X787" s="69"/>
      <c r="Y787" s="64"/>
      <c r="Z787" s="69"/>
      <c r="AA787" s="64"/>
      <c r="AB787" s="69"/>
      <c r="AC787" s="64"/>
      <c r="AD787" s="69"/>
      <c r="AE787" s="65"/>
      <c r="AF787" s="69"/>
      <c r="AG787" s="65"/>
      <c r="AH787" s="69"/>
      <c r="AI787" s="64"/>
      <c r="AJ787" s="69"/>
      <c r="AK787" s="64"/>
      <c r="AL787" s="69"/>
      <c r="AM787" s="64"/>
      <c r="AN787" s="69"/>
      <c r="AO787" s="64"/>
      <c r="AP787" s="69"/>
      <c r="AQ787" s="64"/>
      <c r="AR787" s="69"/>
      <c r="AS787" s="64"/>
      <c r="AT787" s="69"/>
      <c r="AU787" s="64"/>
      <c r="AV787" s="69"/>
      <c r="AW787" s="64"/>
      <c r="AX787" s="69"/>
      <c r="AY787" s="64"/>
      <c r="AZ787" s="69"/>
      <c r="BA787" s="64"/>
      <c r="BB787" s="69"/>
      <c r="BC787" s="64"/>
      <c r="BD787" s="69"/>
      <c r="BE787" s="64"/>
      <c r="BF787" s="69"/>
      <c r="BG787" s="64"/>
      <c r="BH787" s="69"/>
      <c r="BI787" s="64"/>
      <c r="BJ787" s="69"/>
      <c r="BK787" s="64"/>
      <c r="BL787" s="69"/>
      <c r="BM787" s="64"/>
      <c r="BN787" s="69"/>
      <c r="BO787" s="64"/>
      <c r="BP787" s="69"/>
      <c r="BQ787" s="64"/>
      <c r="BR787" s="69"/>
      <c r="BS787" s="64"/>
      <c r="BT787" s="69"/>
      <c r="BU787" t="b">
        <f t="shared" si="12"/>
        <v>0</v>
      </c>
    </row>
    <row r="788" spans="1:73" x14ac:dyDescent="0.25">
      <c r="A788" s="28"/>
      <c r="B788" s="29"/>
      <c r="C788" s="29"/>
      <c r="D788" s="30"/>
      <c r="E788" s="29"/>
      <c r="F788" s="30"/>
      <c r="G788" s="29"/>
      <c r="H788" s="69"/>
      <c r="I788" s="64"/>
      <c r="J788" s="69"/>
      <c r="K788" s="64"/>
      <c r="L788" s="69"/>
      <c r="M788" s="65"/>
      <c r="N788" s="69"/>
      <c r="O788" s="64"/>
      <c r="P788" s="69"/>
      <c r="Q788" s="64"/>
      <c r="R788" s="69"/>
      <c r="S788" s="64"/>
      <c r="T788" s="69"/>
      <c r="U788" s="64"/>
      <c r="V788" s="69"/>
      <c r="W788" s="65"/>
      <c r="X788" s="69"/>
      <c r="Y788" s="64"/>
      <c r="Z788" s="69"/>
      <c r="AA788" s="64"/>
      <c r="AB788" s="69"/>
      <c r="AC788" s="64"/>
      <c r="AD788" s="69"/>
      <c r="AE788" s="65"/>
      <c r="AF788" s="69"/>
      <c r="AG788" s="65"/>
      <c r="AH788" s="69"/>
      <c r="AI788" s="64"/>
      <c r="AJ788" s="69"/>
      <c r="AK788" s="64"/>
      <c r="AL788" s="69"/>
      <c r="AM788" s="64"/>
      <c r="AN788" s="69"/>
      <c r="AO788" s="64"/>
      <c r="AP788" s="69"/>
      <c r="AQ788" s="64"/>
      <c r="AR788" s="69"/>
      <c r="AS788" s="64"/>
      <c r="AT788" s="69"/>
      <c r="AU788" s="64"/>
      <c r="AV788" s="69"/>
      <c r="AW788" s="64"/>
      <c r="AX788" s="69"/>
      <c r="AY788" s="64"/>
      <c r="AZ788" s="69"/>
      <c r="BA788" s="64"/>
      <c r="BB788" s="69"/>
      <c r="BC788" s="64"/>
      <c r="BD788" s="69"/>
      <c r="BE788" s="64"/>
      <c r="BF788" s="69"/>
      <c r="BG788" s="64"/>
      <c r="BH788" s="69"/>
      <c r="BI788" s="64"/>
      <c r="BJ788" s="69"/>
      <c r="BK788" s="64"/>
      <c r="BL788" s="69"/>
      <c r="BM788" s="64"/>
      <c r="BN788" s="69"/>
      <c r="BO788" s="64"/>
      <c r="BP788" s="69"/>
      <c r="BQ788" s="64"/>
      <c r="BR788" s="69"/>
      <c r="BS788" s="64"/>
      <c r="BT788" s="69"/>
      <c r="BU788" t="b">
        <f t="shared" si="12"/>
        <v>0</v>
      </c>
    </row>
    <row r="789" spans="1:73" x14ac:dyDescent="0.25">
      <c r="A789" s="28"/>
      <c r="B789" s="29"/>
      <c r="C789" s="29"/>
      <c r="D789" s="30"/>
      <c r="E789" s="29"/>
      <c r="F789" s="30"/>
      <c r="G789" s="29"/>
      <c r="H789" s="69"/>
      <c r="I789" s="64"/>
      <c r="J789" s="69"/>
      <c r="K789" s="64"/>
      <c r="L789" s="69"/>
      <c r="M789" s="65"/>
      <c r="N789" s="69"/>
      <c r="O789" s="64"/>
      <c r="P789" s="69"/>
      <c r="Q789" s="64"/>
      <c r="R789" s="69"/>
      <c r="S789" s="64"/>
      <c r="T789" s="69"/>
      <c r="U789" s="64"/>
      <c r="V789" s="69"/>
      <c r="W789" s="65"/>
      <c r="X789" s="69"/>
      <c r="Y789" s="64"/>
      <c r="Z789" s="69"/>
      <c r="AA789" s="64"/>
      <c r="AB789" s="69"/>
      <c r="AC789" s="64"/>
      <c r="AD789" s="69"/>
      <c r="AE789" s="65"/>
      <c r="AF789" s="69"/>
      <c r="AG789" s="65"/>
      <c r="AH789" s="69"/>
      <c r="AI789" s="64"/>
      <c r="AJ789" s="69"/>
      <c r="AK789" s="64"/>
      <c r="AL789" s="69"/>
      <c r="AM789" s="64"/>
      <c r="AN789" s="69"/>
      <c r="AO789" s="64"/>
      <c r="AP789" s="69"/>
      <c r="AQ789" s="64"/>
      <c r="AR789" s="69"/>
      <c r="AS789" s="64"/>
      <c r="AT789" s="69"/>
      <c r="AU789" s="64"/>
      <c r="AV789" s="69"/>
      <c r="AW789" s="64"/>
      <c r="AX789" s="69"/>
      <c r="AY789" s="64"/>
      <c r="AZ789" s="69"/>
      <c r="BA789" s="64"/>
      <c r="BB789" s="69"/>
      <c r="BC789" s="64"/>
      <c r="BD789" s="69"/>
      <c r="BE789" s="64"/>
      <c r="BF789" s="69"/>
      <c r="BG789" s="64"/>
      <c r="BH789" s="69"/>
      <c r="BI789" s="64"/>
      <c r="BJ789" s="69"/>
      <c r="BK789" s="64"/>
      <c r="BL789" s="69"/>
      <c r="BM789" s="64"/>
      <c r="BN789" s="69"/>
      <c r="BO789" s="64"/>
      <c r="BP789" s="69"/>
      <c r="BQ789" s="64"/>
      <c r="BR789" s="69"/>
      <c r="BS789" s="64"/>
      <c r="BT789" s="69"/>
      <c r="BU789" t="b">
        <f t="shared" si="12"/>
        <v>0</v>
      </c>
    </row>
    <row r="790" spans="1:73" x14ac:dyDescent="0.25">
      <c r="A790" s="28"/>
      <c r="B790" s="29"/>
      <c r="C790" s="29"/>
      <c r="D790" s="30"/>
      <c r="E790" s="29"/>
      <c r="F790" s="30"/>
      <c r="G790" s="29"/>
      <c r="H790" s="69"/>
      <c r="I790" s="64"/>
      <c r="J790" s="69"/>
      <c r="K790" s="64"/>
      <c r="L790" s="69"/>
      <c r="M790" s="65"/>
      <c r="N790" s="69"/>
      <c r="O790" s="64"/>
      <c r="P790" s="69"/>
      <c r="Q790" s="64"/>
      <c r="R790" s="69"/>
      <c r="S790" s="64"/>
      <c r="T790" s="69"/>
      <c r="U790" s="64"/>
      <c r="V790" s="69"/>
      <c r="W790" s="65"/>
      <c r="X790" s="69"/>
      <c r="Y790" s="64"/>
      <c r="Z790" s="69"/>
      <c r="AA790" s="64"/>
      <c r="AB790" s="69"/>
      <c r="AC790" s="64"/>
      <c r="AD790" s="69"/>
      <c r="AE790" s="65"/>
      <c r="AF790" s="69"/>
      <c r="AG790" s="65"/>
      <c r="AH790" s="69"/>
      <c r="AI790" s="64"/>
      <c r="AJ790" s="69"/>
      <c r="AK790" s="64"/>
      <c r="AL790" s="69"/>
      <c r="AM790" s="64"/>
      <c r="AN790" s="69"/>
      <c r="AO790" s="64"/>
      <c r="AP790" s="69"/>
      <c r="AQ790" s="64"/>
      <c r="AR790" s="69"/>
      <c r="AS790" s="64"/>
      <c r="AT790" s="69"/>
      <c r="AU790" s="64"/>
      <c r="AV790" s="69"/>
      <c r="AW790" s="64"/>
      <c r="AX790" s="69"/>
      <c r="AY790" s="64"/>
      <c r="AZ790" s="69"/>
      <c r="BA790" s="64"/>
      <c r="BB790" s="69"/>
      <c r="BC790" s="64"/>
      <c r="BD790" s="69"/>
      <c r="BE790" s="64"/>
      <c r="BF790" s="69"/>
      <c r="BG790" s="64"/>
      <c r="BH790" s="69"/>
      <c r="BI790" s="64"/>
      <c r="BJ790" s="69"/>
      <c r="BK790" s="64"/>
      <c r="BL790" s="69"/>
      <c r="BM790" s="64"/>
      <c r="BN790" s="69"/>
      <c r="BO790" s="64"/>
      <c r="BP790" s="69"/>
      <c r="BQ790" s="64"/>
      <c r="BR790" s="69"/>
      <c r="BS790" s="64"/>
      <c r="BT790" s="69"/>
      <c r="BU790" t="b">
        <f t="shared" si="12"/>
        <v>0</v>
      </c>
    </row>
    <row r="791" spans="1:73" x14ac:dyDescent="0.25">
      <c r="A791" s="28"/>
      <c r="B791" s="29"/>
      <c r="C791" s="29"/>
      <c r="D791" s="30"/>
      <c r="E791" s="29"/>
      <c r="F791" s="30"/>
      <c r="G791" s="29"/>
      <c r="H791" s="69"/>
      <c r="I791" s="64"/>
      <c r="J791" s="69"/>
      <c r="K791" s="64"/>
      <c r="L791" s="69"/>
      <c r="M791" s="65"/>
      <c r="N791" s="69"/>
      <c r="O791" s="64"/>
      <c r="P791" s="69"/>
      <c r="Q791" s="64"/>
      <c r="R791" s="69"/>
      <c r="S791" s="64"/>
      <c r="T791" s="69"/>
      <c r="U791" s="64"/>
      <c r="V791" s="69"/>
      <c r="W791" s="65"/>
      <c r="X791" s="69"/>
      <c r="Y791" s="64"/>
      <c r="Z791" s="69"/>
      <c r="AA791" s="64"/>
      <c r="AB791" s="69"/>
      <c r="AC791" s="64"/>
      <c r="AD791" s="69"/>
      <c r="AE791" s="65"/>
      <c r="AF791" s="69"/>
      <c r="AG791" s="65"/>
      <c r="AH791" s="69"/>
      <c r="AI791" s="64"/>
      <c r="AJ791" s="69"/>
      <c r="AK791" s="64"/>
      <c r="AL791" s="69"/>
      <c r="AM791" s="64"/>
      <c r="AN791" s="69"/>
      <c r="AO791" s="64"/>
      <c r="AP791" s="69"/>
      <c r="AQ791" s="64"/>
      <c r="AR791" s="69"/>
      <c r="AS791" s="64"/>
      <c r="AT791" s="69"/>
      <c r="AU791" s="64"/>
      <c r="AV791" s="69"/>
      <c r="AW791" s="64"/>
      <c r="AX791" s="69"/>
      <c r="AY791" s="64"/>
      <c r="AZ791" s="69"/>
      <c r="BA791" s="64"/>
      <c r="BB791" s="69"/>
      <c r="BC791" s="64"/>
      <c r="BD791" s="69"/>
      <c r="BE791" s="64"/>
      <c r="BF791" s="69"/>
      <c r="BG791" s="64"/>
      <c r="BH791" s="69"/>
      <c r="BI791" s="64"/>
      <c r="BJ791" s="69"/>
      <c r="BK791" s="64"/>
      <c r="BL791" s="69"/>
      <c r="BM791" s="64"/>
      <c r="BN791" s="69"/>
      <c r="BO791" s="64"/>
      <c r="BP791" s="69"/>
      <c r="BQ791" s="64"/>
      <c r="BR791" s="69"/>
      <c r="BS791" s="64"/>
      <c r="BT791" s="69"/>
      <c r="BU791" t="b">
        <f t="shared" si="12"/>
        <v>0</v>
      </c>
    </row>
    <row r="792" spans="1:73" x14ac:dyDescent="0.25">
      <c r="A792" s="28"/>
      <c r="B792" s="29"/>
      <c r="C792" s="29"/>
      <c r="D792" s="30"/>
      <c r="E792" s="29"/>
      <c r="F792" s="30"/>
      <c r="G792" s="29"/>
      <c r="H792" s="69"/>
      <c r="I792" s="64"/>
      <c r="J792" s="69"/>
      <c r="K792" s="64"/>
      <c r="L792" s="69"/>
      <c r="M792" s="65"/>
      <c r="N792" s="69"/>
      <c r="O792" s="64"/>
      <c r="P792" s="69"/>
      <c r="Q792" s="64"/>
      <c r="R792" s="69"/>
      <c r="S792" s="64"/>
      <c r="T792" s="69"/>
      <c r="U792" s="64"/>
      <c r="V792" s="69"/>
      <c r="W792" s="65"/>
      <c r="X792" s="69"/>
      <c r="Y792" s="64"/>
      <c r="Z792" s="69"/>
      <c r="AA792" s="64"/>
      <c r="AB792" s="69"/>
      <c r="AC792" s="64"/>
      <c r="AD792" s="69"/>
      <c r="AE792" s="65"/>
      <c r="AF792" s="69"/>
      <c r="AG792" s="65"/>
      <c r="AH792" s="69"/>
      <c r="AI792" s="64"/>
      <c r="AJ792" s="69"/>
      <c r="AK792" s="64"/>
      <c r="AL792" s="69"/>
      <c r="AM792" s="64"/>
      <c r="AN792" s="69"/>
      <c r="AO792" s="64"/>
      <c r="AP792" s="69"/>
      <c r="AQ792" s="64"/>
      <c r="AR792" s="69"/>
      <c r="AS792" s="64"/>
      <c r="AT792" s="69"/>
      <c r="AU792" s="64"/>
      <c r="AV792" s="69"/>
      <c r="AW792" s="64"/>
      <c r="AX792" s="69"/>
      <c r="AY792" s="64"/>
      <c r="AZ792" s="69"/>
      <c r="BA792" s="64"/>
      <c r="BB792" s="69"/>
      <c r="BC792" s="64"/>
      <c r="BD792" s="69"/>
      <c r="BE792" s="64"/>
      <c r="BF792" s="69"/>
      <c r="BG792" s="64"/>
      <c r="BH792" s="69"/>
      <c r="BI792" s="64"/>
      <c r="BJ792" s="69"/>
      <c r="BK792" s="64"/>
      <c r="BL792" s="69"/>
      <c r="BM792" s="64"/>
      <c r="BN792" s="69"/>
      <c r="BO792" s="64"/>
      <c r="BP792" s="69"/>
      <c r="BQ792" s="64"/>
      <c r="BR792" s="69"/>
      <c r="BS792" s="64"/>
      <c r="BT792" s="69"/>
      <c r="BU792" t="b">
        <f t="shared" si="12"/>
        <v>0</v>
      </c>
    </row>
    <row r="793" spans="1:73" x14ac:dyDescent="0.25">
      <c r="A793" s="28"/>
      <c r="B793" s="29"/>
      <c r="C793" s="29"/>
      <c r="D793" s="30"/>
      <c r="E793" s="29"/>
      <c r="F793" s="30"/>
      <c r="G793" s="29"/>
      <c r="H793" s="69"/>
      <c r="I793" s="64"/>
      <c r="J793" s="69"/>
      <c r="K793" s="64"/>
      <c r="L793" s="69"/>
      <c r="M793" s="65"/>
      <c r="N793" s="69"/>
      <c r="O793" s="64"/>
      <c r="P793" s="69"/>
      <c r="Q793" s="64"/>
      <c r="R793" s="69"/>
      <c r="S793" s="64"/>
      <c r="T793" s="69"/>
      <c r="U793" s="64"/>
      <c r="V793" s="69"/>
      <c r="W793" s="65"/>
      <c r="X793" s="69"/>
      <c r="Y793" s="64"/>
      <c r="Z793" s="69"/>
      <c r="AA793" s="64"/>
      <c r="AB793" s="69"/>
      <c r="AC793" s="64"/>
      <c r="AD793" s="69"/>
      <c r="AE793" s="65"/>
      <c r="AF793" s="69"/>
      <c r="AG793" s="65"/>
      <c r="AH793" s="69"/>
      <c r="AI793" s="64"/>
      <c r="AJ793" s="69"/>
      <c r="AK793" s="64"/>
      <c r="AL793" s="69"/>
      <c r="AM793" s="64"/>
      <c r="AN793" s="69"/>
      <c r="AO793" s="64"/>
      <c r="AP793" s="69"/>
      <c r="AQ793" s="64"/>
      <c r="AR793" s="69"/>
      <c r="AS793" s="64"/>
      <c r="AT793" s="69"/>
      <c r="AU793" s="64"/>
      <c r="AV793" s="69"/>
      <c r="AW793" s="64"/>
      <c r="AX793" s="69"/>
      <c r="AY793" s="64"/>
      <c r="AZ793" s="69"/>
      <c r="BA793" s="64"/>
      <c r="BB793" s="69"/>
      <c r="BC793" s="64"/>
      <c r="BD793" s="69"/>
      <c r="BE793" s="64"/>
      <c r="BF793" s="69"/>
      <c r="BG793" s="64"/>
      <c r="BH793" s="69"/>
      <c r="BI793" s="64"/>
      <c r="BJ793" s="69"/>
      <c r="BK793" s="64"/>
      <c r="BL793" s="69"/>
      <c r="BM793" s="64"/>
      <c r="BN793" s="69"/>
      <c r="BO793" s="64"/>
      <c r="BP793" s="69"/>
      <c r="BQ793" s="64"/>
      <c r="BR793" s="69"/>
      <c r="BS793" s="64"/>
      <c r="BT793" s="69"/>
      <c r="BU793" t="b">
        <f t="shared" si="12"/>
        <v>0</v>
      </c>
    </row>
    <row r="794" spans="1:73" x14ac:dyDescent="0.25">
      <c r="A794" s="28"/>
      <c r="B794" s="29"/>
      <c r="C794" s="29"/>
      <c r="D794" s="30"/>
      <c r="E794" s="29"/>
      <c r="F794" s="30"/>
      <c r="G794" s="29"/>
      <c r="H794" s="69"/>
      <c r="I794" s="64"/>
      <c r="J794" s="69"/>
      <c r="K794" s="64"/>
      <c r="L794" s="69"/>
      <c r="M794" s="65"/>
      <c r="N794" s="69"/>
      <c r="O794" s="64"/>
      <c r="P794" s="69"/>
      <c r="Q794" s="64"/>
      <c r="R794" s="69"/>
      <c r="S794" s="64"/>
      <c r="T794" s="69"/>
      <c r="U794" s="64"/>
      <c r="V794" s="69"/>
      <c r="W794" s="65"/>
      <c r="X794" s="69"/>
      <c r="Y794" s="64"/>
      <c r="Z794" s="69"/>
      <c r="AA794" s="64"/>
      <c r="AB794" s="69"/>
      <c r="AC794" s="64"/>
      <c r="AD794" s="69"/>
      <c r="AE794" s="65"/>
      <c r="AF794" s="69"/>
      <c r="AG794" s="65"/>
      <c r="AH794" s="69"/>
      <c r="AI794" s="64"/>
      <c r="AJ794" s="69"/>
      <c r="AK794" s="64"/>
      <c r="AL794" s="69"/>
      <c r="AM794" s="64"/>
      <c r="AN794" s="69"/>
      <c r="AO794" s="64"/>
      <c r="AP794" s="69"/>
      <c r="AQ794" s="64"/>
      <c r="AR794" s="69"/>
      <c r="AS794" s="64"/>
      <c r="AT794" s="69"/>
      <c r="AU794" s="64"/>
      <c r="AV794" s="69"/>
      <c r="AW794" s="64"/>
      <c r="AX794" s="69"/>
      <c r="AY794" s="64"/>
      <c r="AZ794" s="69"/>
      <c r="BA794" s="64"/>
      <c r="BB794" s="69"/>
      <c r="BC794" s="64"/>
      <c r="BD794" s="69"/>
      <c r="BE794" s="64"/>
      <c r="BF794" s="69"/>
      <c r="BG794" s="64"/>
      <c r="BH794" s="69"/>
      <c r="BI794" s="64"/>
      <c r="BJ794" s="69"/>
      <c r="BK794" s="64"/>
      <c r="BL794" s="69"/>
      <c r="BM794" s="64"/>
      <c r="BN794" s="69"/>
      <c r="BO794" s="64"/>
      <c r="BP794" s="69"/>
      <c r="BQ794" s="64"/>
      <c r="BR794" s="69"/>
      <c r="BS794" s="64"/>
      <c r="BT794" s="69"/>
      <c r="BU794" t="b">
        <f t="shared" si="12"/>
        <v>0</v>
      </c>
    </row>
    <row r="795" spans="1:73" x14ac:dyDescent="0.25">
      <c r="A795" s="28"/>
      <c r="B795" s="29"/>
      <c r="C795" s="29"/>
      <c r="D795" s="30"/>
      <c r="E795" s="29"/>
      <c r="F795" s="30"/>
      <c r="G795" s="29"/>
      <c r="H795" s="69"/>
      <c r="I795" s="64"/>
      <c r="J795" s="69"/>
      <c r="K795" s="64"/>
      <c r="L795" s="69"/>
      <c r="M795" s="65"/>
      <c r="N795" s="69"/>
      <c r="O795" s="64"/>
      <c r="P795" s="69"/>
      <c r="Q795" s="64"/>
      <c r="R795" s="69"/>
      <c r="S795" s="64"/>
      <c r="T795" s="69"/>
      <c r="U795" s="64"/>
      <c r="V795" s="69"/>
      <c r="W795" s="65"/>
      <c r="X795" s="69"/>
      <c r="Y795" s="64"/>
      <c r="Z795" s="69"/>
      <c r="AA795" s="64"/>
      <c r="AB795" s="69"/>
      <c r="AC795" s="64"/>
      <c r="AD795" s="69"/>
      <c r="AE795" s="65"/>
      <c r="AF795" s="69"/>
      <c r="AG795" s="65"/>
      <c r="AH795" s="69"/>
      <c r="AI795" s="64"/>
      <c r="AJ795" s="69"/>
      <c r="AK795" s="64"/>
      <c r="AL795" s="69"/>
      <c r="AM795" s="64"/>
      <c r="AN795" s="69"/>
      <c r="AO795" s="64"/>
      <c r="AP795" s="69"/>
      <c r="AQ795" s="64"/>
      <c r="AR795" s="69"/>
      <c r="AS795" s="64"/>
      <c r="AT795" s="69"/>
      <c r="AU795" s="64"/>
      <c r="AV795" s="69"/>
      <c r="AW795" s="64"/>
      <c r="AX795" s="69"/>
      <c r="AY795" s="64"/>
      <c r="AZ795" s="69"/>
      <c r="BA795" s="64"/>
      <c r="BB795" s="69"/>
      <c r="BC795" s="64"/>
      <c r="BD795" s="69"/>
      <c r="BE795" s="64"/>
      <c r="BF795" s="69"/>
      <c r="BG795" s="64"/>
      <c r="BH795" s="69"/>
      <c r="BI795" s="64"/>
      <c r="BJ795" s="69"/>
      <c r="BK795" s="64"/>
      <c r="BL795" s="69"/>
      <c r="BM795" s="64"/>
      <c r="BN795" s="69"/>
      <c r="BO795" s="64"/>
      <c r="BP795" s="69"/>
      <c r="BQ795" s="64"/>
      <c r="BR795" s="69"/>
      <c r="BS795" s="64"/>
      <c r="BT795" s="69"/>
      <c r="BU795" t="b">
        <f t="shared" si="12"/>
        <v>0</v>
      </c>
    </row>
    <row r="796" spans="1:73" x14ac:dyDescent="0.25">
      <c r="A796" s="28"/>
      <c r="B796" s="29"/>
      <c r="C796" s="29"/>
      <c r="D796" s="30"/>
      <c r="E796" s="29"/>
      <c r="F796" s="30"/>
      <c r="G796" s="29"/>
      <c r="H796" s="69"/>
      <c r="I796" s="64"/>
      <c r="J796" s="69"/>
      <c r="K796" s="64"/>
      <c r="L796" s="69"/>
      <c r="M796" s="65"/>
      <c r="N796" s="69"/>
      <c r="O796" s="64"/>
      <c r="P796" s="69"/>
      <c r="Q796" s="64"/>
      <c r="R796" s="69"/>
      <c r="S796" s="64"/>
      <c r="T796" s="69"/>
      <c r="U796" s="64"/>
      <c r="V796" s="69"/>
      <c r="W796" s="65"/>
      <c r="X796" s="69"/>
      <c r="Y796" s="64"/>
      <c r="Z796" s="69"/>
      <c r="AA796" s="64"/>
      <c r="AB796" s="69"/>
      <c r="AC796" s="64"/>
      <c r="AD796" s="69"/>
      <c r="AE796" s="65"/>
      <c r="AF796" s="69"/>
      <c r="AG796" s="65"/>
      <c r="AH796" s="69"/>
      <c r="AI796" s="64"/>
      <c r="AJ796" s="69"/>
      <c r="AK796" s="64"/>
      <c r="AL796" s="69"/>
      <c r="AM796" s="64"/>
      <c r="AN796" s="69"/>
      <c r="AO796" s="64"/>
      <c r="AP796" s="69"/>
      <c r="AQ796" s="64"/>
      <c r="AR796" s="69"/>
      <c r="AS796" s="64"/>
      <c r="AT796" s="69"/>
      <c r="AU796" s="64"/>
      <c r="AV796" s="69"/>
      <c r="AW796" s="64"/>
      <c r="AX796" s="69"/>
      <c r="AY796" s="64"/>
      <c r="AZ796" s="69"/>
      <c r="BA796" s="64"/>
      <c r="BB796" s="69"/>
      <c r="BC796" s="64"/>
      <c r="BD796" s="69"/>
      <c r="BE796" s="64"/>
      <c r="BF796" s="69"/>
      <c r="BG796" s="64"/>
      <c r="BH796" s="69"/>
      <c r="BI796" s="64"/>
      <c r="BJ796" s="69"/>
      <c r="BK796" s="64"/>
      <c r="BL796" s="69"/>
      <c r="BM796" s="64"/>
      <c r="BN796" s="69"/>
      <c r="BO796" s="64"/>
      <c r="BP796" s="69"/>
      <c r="BQ796" s="64"/>
      <c r="BR796" s="69"/>
      <c r="BS796" s="64"/>
      <c r="BT796" s="69"/>
      <c r="BU796" t="b">
        <f t="shared" si="12"/>
        <v>0</v>
      </c>
    </row>
    <row r="797" spans="1:73" x14ac:dyDescent="0.25">
      <c r="A797" s="28"/>
      <c r="B797" s="29"/>
      <c r="C797" s="29"/>
      <c r="D797" s="30"/>
      <c r="E797" s="29"/>
      <c r="F797" s="30"/>
      <c r="G797" s="29"/>
      <c r="H797" s="69"/>
      <c r="I797" s="64"/>
      <c r="J797" s="69"/>
      <c r="K797" s="64"/>
      <c r="L797" s="69"/>
      <c r="M797" s="65"/>
      <c r="N797" s="69"/>
      <c r="O797" s="64"/>
      <c r="P797" s="69"/>
      <c r="Q797" s="64"/>
      <c r="R797" s="69"/>
      <c r="S797" s="64"/>
      <c r="T797" s="69"/>
      <c r="U797" s="64"/>
      <c r="V797" s="69"/>
      <c r="W797" s="65"/>
      <c r="X797" s="69"/>
      <c r="Y797" s="64"/>
      <c r="Z797" s="69"/>
      <c r="AA797" s="64"/>
      <c r="AB797" s="69"/>
      <c r="AC797" s="64"/>
      <c r="AD797" s="69"/>
      <c r="AE797" s="65"/>
      <c r="AF797" s="69"/>
      <c r="AG797" s="65"/>
      <c r="AH797" s="69"/>
      <c r="AI797" s="64"/>
      <c r="AJ797" s="69"/>
      <c r="AK797" s="64"/>
      <c r="AL797" s="69"/>
      <c r="AM797" s="64"/>
      <c r="AN797" s="69"/>
      <c r="AO797" s="64"/>
      <c r="AP797" s="69"/>
      <c r="AQ797" s="64"/>
      <c r="AR797" s="69"/>
      <c r="AS797" s="64"/>
      <c r="AT797" s="69"/>
      <c r="AU797" s="64"/>
      <c r="AV797" s="69"/>
      <c r="AW797" s="64"/>
      <c r="AX797" s="69"/>
      <c r="AY797" s="64"/>
      <c r="AZ797" s="69"/>
      <c r="BA797" s="64"/>
      <c r="BB797" s="69"/>
      <c r="BC797" s="64"/>
      <c r="BD797" s="69"/>
      <c r="BE797" s="64"/>
      <c r="BF797" s="69"/>
      <c r="BG797" s="64"/>
      <c r="BH797" s="69"/>
      <c r="BI797" s="64"/>
      <c r="BJ797" s="69"/>
      <c r="BK797" s="64"/>
      <c r="BL797" s="69"/>
      <c r="BM797" s="64"/>
      <c r="BN797" s="69"/>
      <c r="BO797" s="64"/>
      <c r="BP797" s="69"/>
      <c r="BQ797" s="64"/>
      <c r="BR797" s="69"/>
      <c r="BS797" s="64"/>
      <c r="BT797" s="69"/>
      <c r="BU797" t="b">
        <f t="shared" si="12"/>
        <v>0</v>
      </c>
    </row>
    <row r="798" spans="1:73" x14ac:dyDescent="0.25">
      <c r="A798" s="28"/>
      <c r="B798" s="29"/>
      <c r="C798" s="29"/>
      <c r="D798" s="30"/>
      <c r="E798" s="29"/>
      <c r="F798" s="30"/>
      <c r="G798" s="29"/>
      <c r="H798" s="69"/>
      <c r="I798" s="64"/>
      <c r="J798" s="69"/>
      <c r="K798" s="64"/>
      <c r="L798" s="69"/>
      <c r="M798" s="65"/>
      <c r="N798" s="69"/>
      <c r="O798" s="64"/>
      <c r="P798" s="69"/>
      <c r="Q798" s="64"/>
      <c r="R798" s="69"/>
      <c r="S798" s="64"/>
      <c r="T798" s="69"/>
      <c r="U798" s="64"/>
      <c r="V798" s="69"/>
      <c r="W798" s="65"/>
      <c r="X798" s="69"/>
      <c r="Y798" s="64"/>
      <c r="Z798" s="69"/>
      <c r="AA798" s="64"/>
      <c r="AB798" s="69"/>
      <c r="AC798" s="64"/>
      <c r="AD798" s="69"/>
      <c r="AE798" s="65"/>
      <c r="AF798" s="69"/>
      <c r="AG798" s="65"/>
      <c r="AH798" s="69"/>
      <c r="AI798" s="64"/>
      <c r="AJ798" s="69"/>
      <c r="AK798" s="64"/>
      <c r="AL798" s="69"/>
      <c r="AM798" s="64"/>
      <c r="AN798" s="69"/>
      <c r="AO798" s="64"/>
      <c r="AP798" s="69"/>
      <c r="AQ798" s="64"/>
      <c r="AR798" s="69"/>
      <c r="AS798" s="64"/>
      <c r="AT798" s="69"/>
      <c r="AU798" s="64"/>
      <c r="AV798" s="69"/>
      <c r="AW798" s="64"/>
      <c r="AX798" s="69"/>
      <c r="AY798" s="64"/>
      <c r="AZ798" s="69"/>
      <c r="BA798" s="64"/>
      <c r="BB798" s="69"/>
      <c r="BC798" s="64"/>
      <c r="BD798" s="69"/>
      <c r="BE798" s="64"/>
      <c r="BF798" s="69"/>
      <c r="BG798" s="64"/>
      <c r="BH798" s="69"/>
      <c r="BI798" s="64"/>
      <c r="BJ798" s="69"/>
      <c r="BK798" s="64"/>
      <c r="BL798" s="69"/>
      <c r="BM798" s="64"/>
      <c r="BN798" s="69"/>
      <c r="BO798" s="64"/>
      <c r="BP798" s="69"/>
      <c r="BQ798" s="64"/>
      <c r="BR798" s="69"/>
      <c r="BS798" s="64"/>
      <c r="BT798" s="69"/>
      <c r="BU798" t="b">
        <f t="shared" si="12"/>
        <v>0</v>
      </c>
    </row>
    <row r="799" spans="1:73" x14ac:dyDescent="0.25">
      <c r="A799" s="28"/>
      <c r="B799" s="29"/>
      <c r="C799" s="29"/>
      <c r="D799" s="30"/>
      <c r="E799" s="29"/>
      <c r="F799" s="30"/>
      <c r="G799" s="29"/>
      <c r="H799" s="69"/>
      <c r="I799" s="64"/>
      <c r="J799" s="69"/>
      <c r="K799" s="64"/>
      <c r="L799" s="69"/>
      <c r="M799" s="65"/>
      <c r="N799" s="69"/>
      <c r="O799" s="64"/>
      <c r="P799" s="69"/>
      <c r="Q799" s="64"/>
      <c r="R799" s="69"/>
      <c r="S799" s="64"/>
      <c r="T799" s="69"/>
      <c r="U799" s="64"/>
      <c r="V799" s="69"/>
      <c r="W799" s="65"/>
      <c r="X799" s="69"/>
      <c r="Y799" s="64"/>
      <c r="Z799" s="69"/>
      <c r="AA799" s="64"/>
      <c r="AB799" s="69"/>
      <c r="AC799" s="64"/>
      <c r="AD799" s="69"/>
      <c r="AE799" s="65"/>
      <c r="AF799" s="69"/>
      <c r="AG799" s="65"/>
      <c r="AH799" s="69"/>
      <c r="AI799" s="64"/>
      <c r="AJ799" s="69"/>
      <c r="AK799" s="64"/>
      <c r="AL799" s="69"/>
      <c r="AM799" s="64"/>
      <c r="AN799" s="69"/>
      <c r="AO799" s="64"/>
      <c r="AP799" s="69"/>
      <c r="AQ799" s="64"/>
      <c r="AR799" s="69"/>
      <c r="AS799" s="64"/>
      <c r="AT799" s="69"/>
      <c r="AU799" s="64"/>
      <c r="AV799" s="69"/>
      <c r="AW799" s="64"/>
      <c r="AX799" s="69"/>
      <c r="AY799" s="64"/>
      <c r="AZ799" s="69"/>
      <c r="BA799" s="64"/>
      <c r="BB799" s="69"/>
      <c r="BC799" s="64"/>
      <c r="BD799" s="69"/>
      <c r="BE799" s="64"/>
      <c r="BF799" s="69"/>
      <c r="BG799" s="64"/>
      <c r="BH799" s="69"/>
      <c r="BI799" s="64"/>
      <c r="BJ799" s="69"/>
      <c r="BK799" s="64"/>
      <c r="BL799" s="69"/>
      <c r="BM799" s="64"/>
      <c r="BN799" s="69"/>
      <c r="BO799" s="64"/>
      <c r="BP799" s="69"/>
      <c r="BQ799" s="64"/>
      <c r="BR799" s="69"/>
      <c r="BS799" s="64"/>
      <c r="BT799" s="69"/>
      <c r="BU799" t="b">
        <f t="shared" si="12"/>
        <v>0</v>
      </c>
    </row>
    <row r="800" spans="1:73" x14ac:dyDescent="0.25">
      <c r="A800" s="28"/>
      <c r="B800" s="29"/>
      <c r="C800" s="29"/>
      <c r="D800" s="30"/>
      <c r="E800" s="29"/>
      <c r="F800" s="30"/>
      <c r="G800" s="29"/>
      <c r="H800" s="69"/>
      <c r="I800" s="64"/>
      <c r="J800" s="69"/>
      <c r="K800" s="64"/>
      <c r="L800" s="69"/>
      <c r="M800" s="65"/>
      <c r="N800" s="69"/>
      <c r="O800" s="64"/>
      <c r="P800" s="69"/>
      <c r="Q800" s="64"/>
      <c r="R800" s="69"/>
      <c r="S800" s="64"/>
      <c r="T800" s="69"/>
      <c r="U800" s="64"/>
      <c r="V800" s="69"/>
      <c r="W800" s="65"/>
      <c r="X800" s="69"/>
      <c r="Y800" s="64"/>
      <c r="Z800" s="69"/>
      <c r="AA800" s="64"/>
      <c r="AB800" s="69"/>
      <c r="AC800" s="64"/>
      <c r="AD800" s="69"/>
      <c r="AE800" s="65"/>
      <c r="AF800" s="69"/>
      <c r="AG800" s="65"/>
      <c r="AH800" s="69"/>
      <c r="AI800" s="64"/>
      <c r="AJ800" s="69"/>
      <c r="AK800" s="64"/>
      <c r="AL800" s="69"/>
      <c r="AM800" s="64"/>
      <c r="AN800" s="69"/>
      <c r="AO800" s="64"/>
      <c r="AP800" s="69"/>
      <c r="AQ800" s="64"/>
      <c r="AR800" s="69"/>
      <c r="AS800" s="64"/>
      <c r="AT800" s="69"/>
      <c r="AU800" s="64"/>
      <c r="AV800" s="69"/>
      <c r="AW800" s="64"/>
      <c r="AX800" s="69"/>
      <c r="AY800" s="64"/>
      <c r="AZ800" s="69"/>
      <c r="BA800" s="64"/>
      <c r="BB800" s="69"/>
      <c r="BC800" s="64"/>
      <c r="BD800" s="69"/>
      <c r="BE800" s="64"/>
      <c r="BF800" s="69"/>
      <c r="BG800" s="64"/>
      <c r="BH800" s="69"/>
      <c r="BI800" s="64"/>
      <c r="BJ800" s="69"/>
      <c r="BK800" s="64"/>
      <c r="BL800" s="69"/>
      <c r="BM800" s="64"/>
      <c r="BN800" s="69"/>
      <c r="BO800" s="64"/>
      <c r="BP800" s="69"/>
      <c r="BQ800" s="64"/>
      <c r="BR800" s="69"/>
      <c r="BS800" s="64"/>
      <c r="BT800" s="69"/>
      <c r="BU800" t="b">
        <f t="shared" si="12"/>
        <v>0</v>
      </c>
    </row>
    <row r="801" spans="1:73" x14ac:dyDescent="0.25">
      <c r="A801" s="28"/>
      <c r="B801" s="29"/>
      <c r="C801" s="29"/>
      <c r="D801" s="30"/>
      <c r="E801" s="29"/>
      <c r="F801" s="30"/>
      <c r="G801" s="29"/>
      <c r="H801" s="69"/>
      <c r="I801" s="64"/>
      <c r="J801" s="69"/>
      <c r="K801" s="64"/>
      <c r="L801" s="69"/>
      <c r="M801" s="65"/>
      <c r="N801" s="69"/>
      <c r="O801" s="64"/>
      <c r="P801" s="69"/>
      <c r="Q801" s="64"/>
      <c r="R801" s="69"/>
      <c r="S801" s="64"/>
      <c r="T801" s="69"/>
      <c r="U801" s="64"/>
      <c r="V801" s="69"/>
      <c r="W801" s="65"/>
      <c r="X801" s="69"/>
      <c r="Y801" s="64"/>
      <c r="Z801" s="69"/>
      <c r="AA801" s="64"/>
      <c r="AB801" s="69"/>
      <c r="AC801" s="64"/>
      <c r="AD801" s="69"/>
      <c r="AE801" s="65"/>
      <c r="AF801" s="69"/>
      <c r="AG801" s="65"/>
      <c r="AH801" s="69"/>
      <c r="AI801" s="64"/>
      <c r="AJ801" s="69"/>
      <c r="AK801" s="64"/>
      <c r="AL801" s="69"/>
      <c r="AM801" s="64"/>
      <c r="AN801" s="69"/>
      <c r="AO801" s="64"/>
      <c r="AP801" s="69"/>
      <c r="AQ801" s="64"/>
      <c r="AR801" s="69"/>
      <c r="AS801" s="64"/>
      <c r="AT801" s="69"/>
      <c r="AU801" s="64"/>
      <c r="AV801" s="69"/>
      <c r="AW801" s="64"/>
      <c r="AX801" s="69"/>
      <c r="AY801" s="64"/>
      <c r="AZ801" s="69"/>
      <c r="BA801" s="64"/>
      <c r="BB801" s="69"/>
      <c r="BC801" s="64"/>
      <c r="BD801" s="69"/>
      <c r="BE801" s="64"/>
      <c r="BF801" s="69"/>
      <c r="BG801" s="64"/>
      <c r="BH801" s="69"/>
      <c r="BI801" s="64"/>
      <c r="BJ801" s="69"/>
      <c r="BK801" s="64"/>
      <c r="BL801" s="69"/>
      <c r="BM801" s="64"/>
      <c r="BN801" s="69"/>
      <c r="BO801" s="64"/>
      <c r="BP801" s="69"/>
      <c r="BQ801" s="64"/>
      <c r="BR801" s="69"/>
      <c r="BS801" s="64"/>
      <c r="BT801" s="69"/>
      <c r="BU801" t="b">
        <f t="shared" si="12"/>
        <v>0</v>
      </c>
    </row>
    <row r="802" spans="1:73" x14ac:dyDescent="0.25">
      <c r="A802" s="28"/>
      <c r="B802" s="29"/>
      <c r="C802" s="29"/>
      <c r="D802" s="30"/>
      <c r="E802" s="29"/>
      <c r="F802" s="30"/>
      <c r="G802" s="29"/>
      <c r="H802" s="69"/>
      <c r="I802" s="64"/>
      <c r="J802" s="69"/>
      <c r="K802" s="64"/>
      <c r="L802" s="69"/>
      <c r="M802" s="65"/>
      <c r="N802" s="69"/>
      <c r="O802" s="64"/>
      <c r="P802" s="69"/>
      <c r="Q802" s="64"/>
      <c r="R802" s="69"/>
      <c r="S802" s="64"/>
      <c r="T802" s="69"/>
      <c r="U802" s="64"/>
      <c r="V802" s="69"/>
      <c r="W802" s="65"/>
      <c r="X802" s="69"/>
      <c r="Y802" s="64"/>
      <c r="Z802" s="69"/>
      <c r="AA802" s="64"/>
      <c r="AB802" s="69"/>
      <c r="AC802" s="64"/>
      <c r="AD802" s="69"/>
      <c r="AE802" s="65"/>
      <c r="AF802" s="69"/>
      <c r="AG802" s="65"/>
      <c r="AH802" s="69"/>
      <c r="AI802" s="64"/>
      <c r="AJ802" s="69"/>
      <c r="AK802" s="64"/>
      <c r="AL802" s="69"/>
      <c r="AM802" s="64"/>
      <c r="AN802" s="69"/>
      <c r="AO802" s="64"/>
      <c r="AP802" s="69"/>
      <c r="AQ802" s="64"/>
      <c r="AR802" s="69"/>
      <c r="AS802" s="64"/>
      <c r="AT802" s="69"/>
      <c r="AU802" s="64"/>
      <c r="AV802" s="69"/>
      <c r="AW802" s="64"/>
      <c r="AX802" s="69"/>
      <c r="AY802" s="64"/>
      <c r="AZ802" s="69"/>
      <c r="BA802" s="64"/>
      <c r="BB802" s="69"/>
      <c r="BC802" s="64"/>
      <c r="BD802" s="69"/>
      <c r="BE802" s="64"/>
      <c r="BF802" s="69"/>
      <c r="BG802" s="64"/>
      <c r="BH802" s="69"/>
      <c r="BI802" s="64"/>
      <c r="BJ802" s="69"/>
      <c r="BK802" s="64"/>
      <c r="BL802" s="69"/>
      <c r="BM802" s="64"/>
      <c r="BN802" s="69"/>
      <c r="BO802" s="64"/>
      <c r="BP802" s="69"/>
      <c r="BQ802" s="64"/>
      <c r="BR802" s="69"/>
      <c r="BS802" s="64"/>
      <c r="BT802" s="69"/>
      <c r="BU802" t="b">
        <f t="shared" si="12"/>
        <v>0</v>
      </c>
    </row>
    <row r="803" spans="1:73" x14ac:dyDescent="0.25">
      <c r="A803" s="28"/>
      <c r="B803" s="29"/>
      <c r="C803" s="29"/>
      <c r="D803" s="30"/>
      <c r="E803" s="29"/>
      <c r="F803" s="30"/>
      <c r="G803" s="29"/>
      <c r="H803" s="69"/>
      <c r="I803" s="64"/>
      <c r="J803" s="69"/>
      <c r="K803" s="64"/>
      <c r="L803" s="69"/>
      <c r="M803" s="65"/>
      <c r="N803" s="69"/>
      <c r="O803" s="64"/>
      <c r="P803" s="69"/>
      <c r="Q803" s="64"/>
      <c r="R803" s="69"/>
      <c r="S803" s="64"/>
      <c r="T803" s="69"/>
      <c r="U803" s="64"/>
      <c r="V803" s="69"/>
      <c r="W803" s="65"/>
      <c r="X803" s="69"/>
      <c r="Y803" s="64"/>
      <c r="Z803" s="69"/>
      <c r="AA803" s="64"/>
      <c r="AB803" s="69"/>
      <c r="AC803" s="64"/>
      <c r="AD803" s="69"/>
      <c r="AE803" s="65"/>
      <c r="AF803" s="69"/>
      <c r="AG803" s="65"/>
      <c r="AH803" s="69"/>
      <c r="AI803" s="64"/>
      <c r="AJ803" s="69"/>
      <c r="AK803" s="64"/>
      <c r="AL803" s="69"/>
      <c r="AM803" s="64"/>
      <c r="AN803" s="69"/>
      <c r="AO803" s="64"/>
      <c r="AP803" s="69"/>
      <c r="AQ803" s="64"/>
      <c r="AR803" s="69"/>
      <c r="AS803" s="64"/>
      <c r="AT803" s="69"/>
      <c r="AU803" s="64"/>
      <c r="AV803" s="69"/>
      <c r="AW803" s="64"/>
      <c r="AX803" s="69"/>
      <c r="AY803" s="64"/>
      <c r="AZ803" s="69"/>
      <c r="BA803" s="64"/>
      <c r="BB803" s="69"/>
      <c r="BC803" s="64"/>
      <c r="BD803" s="69"/>
      <c r="BE803" s="64"/>
      <c r="BF803" s="69"/>
      <c r="BG803" s="64"/>
      <c r="BH803" s="69"/>
      <c r="BI803" s="64"/>
      <c r="BJ803" s="69"/>
      <c r="BK803" s="64"/>
      <c r="BL803" s="69"/>
      <c r="BM803" s="64"/>
      <c r="BN803" s="69"/>
      <c r="BO803" s="64"/>
      <c r="BP803" s="69"/>
      <c r="BQ803" s="64"/>
      <c r="BR803" s="69"/>
      <c r="BS803" s="64"/>
      <c r="BT803" s="69"/>
      <c r="BU803" t="b">
        <f t="shared" si="12"/>
        <v>0</v>
      </c>
    </row>
    <row r="804" spans="1:73" x14ac:dyDescent="0.25">
      <c r="A804" s="28"/>
      <c r="B804" s="29"/>
      <c r="C804" s="29"/>
      <c r="D804" s="30"/>
      <c r="E804" s="29"/>
      <c r="F804" s="30"/>
      <c r="G804" s="29"/>
      <c r="H804" s="69"/>
      <c r="I804" s="64"/>
      <c r="J804" s="69"/>
      <c r="K804" s="64"/>
      <c r="L804" s="69"/>
      <c r="M804" s="65"/>
      <c r="N804" s="69"/>
      <c r="O804" s="64"/>
      <c r="P804" s="69"/>
      <c r="Q804" s="64"/>
      <c r="R804" s="69"/>
      <c r="S804" s="64"/>
      <c r="T804" s="69"/>
      <c r="U804" s="64"/>
      <c r="V804" s="69"/>
      <c r="W804" s="65"/>
      <c r="X804" s="69"/>
      <c r="Y804" s="64"/>
      <c r="Z804" s="69"/>
      <c r="AA804" s="64"/>
      <c r="AB804" s="69"/>
      <c r="AC804" s="64"/>
      <c r="AD804" s="69"/>
      <c r="AE804" s="65"/>
      <c r="AF804" s="69"/>
      <c r="AG804" s="65"/>
      <c r="AH804" s="69"/>
      <c r="AI804" s="64"/>
      <c r="AJ804" s="69"/>
      <c r="AK804" s="64"/>
      <c r="AL804" s="69"/>
      <c r="AM804" s="64"/>
      <c r="AN804" s="69"/>
      <c r="AO804" s="64"/>
      <c r="AP804" s="69"/>
      <c r="AQ804" s="64"/>
      <c r="AR804" s="69"/>
      <c r="AS804" s="64"/>
      <c r="AT804" s="69"/>
      <c r="AU804" s="64"/>
      <c r="AV804" s="69"/>
      <c r="AW804" s="64"/>
      <c r="AX804" s="69"/>
      <c r="AY804" s="64"/>
      <c r="AZ804" s="69"/>
      <c r="BA804" s="64"/>
      <c r="BB804" s="69"/>
      <c r="BC804" s="64"/>
      <c r="BD804" s="69"/>
      <c r="BE804" s="64"/>
      <c r="BF804" s="69"/>
      <c r="BG804" s="64"/>
      <c r="BH804" s="69"/>
      <c r="BI804" s="64"/>
      <c r="BJ804" s="69"/>
      <c r="BK804" s="64"/>
      <c r="BL804" s="69"/>
      <c r="BM804" s="64"/>
      <c r="BN804" s="69"/>
      <c r="BO804" s="64"/>
      <c r="BP804" s="69"/>
      <c r="BQ804" s="64"/>
      <c r="BR804" s="69"/>
      <c r="BS804" s="64"/>
      <c r="BT804" s="69"/>
      <c r="BU804" t="b">
        <f t="shared" si="12"/>
        <v>0</v>
      </c>
    </row>
    <row r="805" spans="1:73" x14ac:dyDescent="0.25">
      <c r="A805" s="28"/>
      <c r="B805" s="29"/>
      <c r="C805" s="29"/>
      <c r="D805" s="30"/>
      <c r="E805" s="29"/>
      <c r="F805" s="30"/>
      <c r="G805" s="29"/>
      <c r="H805" s="69"/>
      <c r="I805" s="64"/>
      <c r="J805" s="69"/>
      <c r="K805" s="64"/>
      <c r="L805" s="69"/>
      <c r="M805" s="65"/>
      <c r="N805" s="69"/>
      <c r="O805" s="64"/>
      <c r="P805" s="69"/>
      <c r="Q805" s="64"/>
      <c r="R805" s="69"/>
      <c r="S805" s="64"/>
      <c r="T805" s="69"/>
      <c r="U805" s="64"/>
      <c r="V805" s="69"/>
      <c r="W805" s="65"/>
      <c r="X805" s="69"/>
      <c r="Y805" s="64"/>
      <c r="Z805" s="69"/>
      <c r="AA805" s="64"/>
      <c r="AB805" s="69"/>
      <c r="AC805" s="64"/>
      <c r="AD805" s="69"/>
      <c r="AE805" s="65"/>
      <c r="AF805" s="69"/>
      <c r="AG805" s="65"/>
      <c r="AH805" s="69"/>
      <c r="AI805" s="64"/>
      <c r="AJ805" s="69"/>
      <c r="AK805" s="64"/>
      <c r="AL805" s="69"/>
      <c r="AM805" s="64"/>
      <c r="AN805" s="69"/>
      <c r="AO805" s="64"/>
      <c r="AP805" s="69"/>
      <c r="AQ805" s="64"/>
      <c r="AR805" s="69"/>
      <c r="AS805" s="64"/>
      <c r="AT805" s="69"/>
      <c r="AU805" s="64"/>
      <c r="AV805" s="69"/>
      <c r="AW805" s="64"/>
      <c r="AX805" s="69"/>
      <c r="AY805" s="64"/>
      <c r="AZ805" s="69"/>
      <c r="BA805" s="64"/>
      <c r="BB805" s="69"/>
      <c r="BC805" s="64"/>
      <c r="BD805" s="69"/>
      <c r="BE805" s="64"/>
      <c r="BF805" s="69"/>
      <c r="BG805" s="64"/>
      <c r="BH805" s="69"/>
      <c r="BI805" s="64"/>
      <c r="BJ805" s="69"/>
      <c r="BK805" s="64"/>
      <c r="BL805" s="69"/>
      <c r="BM805" s="64"/>
      <c r="BN805" s="69"/>
      <c r="BO805" s="64"/>
      <c r="BP805" s="69"/>
      <c r="BQ805" s="64"/>
      <c r="BR805" s="69"/>
      <c r="BS805" s="64"/>
      <c r="BT805" s="69"/>
      <c r="BU805" t="b">
        <f t="shared" ref="BU805:BU868" si="13">NOT(AND(BR805="",BP805="",BN805="",BL805="",BJ805="",BH805="",BF805="",BD805="",BB805="",AZ805="",AX805="",AV805="",AT805="",AR805="",AP805="",AN805="",AL805="",AJ805="",AH805="",AF805="",AD805="",AB805="",Z805="",X805="",V805="",T805="",R805="",P805="",N805="", L805="",J805=""))</f>
        <v>0</v>
      </c>
    </row>
    <row r="806" spans="1:73" x14ac:dyDescent="0.25">
      <c r="A806" s="28"/>
      <c r="B806" s="29"/>
      <c r="C806" s="29"/>
      <c r="D806" s="30"/>
      <c r="E806" s="29"/>
      <c r="F806" s="30"/>
      <c r="G806" s="29"/>
      <c r="H806" s="69"/>
      <c r="I806" s="64"/>
      <c r="J806" s="69"/>
      <c r="K806" s="64"/>
      <c r="L806" s="69"/>
      <c r="M806" s="65"/>
      <c r="N806" s="69"/>
      <c r="O806" s="64"/>
      <c r="P806" s="69"/>
      <c r="Q806" s="64"/>
      <c r="R806" s="69"/>
      <c r="S806" s="64"/>
      <c r="T806" s="69"/>
      <c r="U806" s="64"/>
      <c r="V806" s="69"/>
      <c r="W806" s="65"/>
      <c r="X806" s="69"/>
      <c r="Y806" s="64"/>
      <c r="Z806" s="69"/>
      <c r="AA806" s="64"/>
      <c r="AB806" s="69"/>
      <c r="AC806" s="64"/>
      <c r="AD806" s="69"/>
      <c r="AE806" s="65"/>
      <c r="AF806" s="69"/>
      <c r="AG806" s="65"/>
      <c r="AH806" s="69"/>
      <c r="AI806" s="64"/>
      <c r="AJ806" s="69"/>
      <c r="AK806" s="64"/>
      <c r="AL806" s="69"/>
      <c r="AM806" s="64"/>
      <c r="AN806" s="69"/>
      <c r="AO806" s="64"/>
      <c r="AP806" s="69"/>
      <c r="AQ806" s="64"/>
      <c r="AR806" s="69"/>
      <c r="AS806" s="64"/>
      <c r="AT806" s="69"/>
      <c r="AU806" s="64"/>
      <c r="AV806" s="69"/>
      <c r="AW806" s="64"/>
      <c r="AX806" s="69"/>
      <c r="AY806" s="64"/>
      <c r="AZ806" s="69"/>
      <c r="BA806" s="64"/>
      <c r="BB806" s="69"/>
      <c r="BC806" s="64"/>
      <c r="BD806" s="69"/>
      <c r="BE806" s="64"/>
      <c r="BF806" s="69"/>
      <c r="BG806" s="64"/>
      <c r="BH806" s="69"/>
      <c r="BI806" s="64"/>
      <c r="BJ806" s="69"/>
      <c r="BK806" s="64"/>
      <c r="BL806" s="69"/>
      <c r="BM806" s="64"/>
      <c r="BN806" s="69"/>
      <c r="BO806" s="64"/>
      <c r="BP806" s="69"/>
      <c r="BQ806" s="64"/>
      <c r="BR806" s="69"/>
      <c r="BS806" s="64"/>
      <c r="BT806" s="69"/>
      <c r="BU806" t="b">
        <f t="shared" si="13"/>
        <v>0</v>
      </c>
    </row>
    <row r="807" spans="1:73" x14ac:dyDescent="0.25">
      <c r="A807" s="28"/>
      <c r="B807" s="29"/>
      <c r="C807" s="29"/>
      <c r="D807" s="30"/>
      <c r="E807" s="29"/>
      <c r="F807" s="30"/>
      <c r="G807" s="29"/>
      <c r="H807" s="69"/>
      <c r="I807" s="64"/>
      <c r="J807" s="69"/>
      <c r="K807" s="64"/>
      <c r="L807" s="69"/>
      <c r="M807" s="65"/>
      <c r="N807" s="69"/>
      <c r="O807" s="64"/>
      <c r="P807" s="69"/>
      <c r="Q807" s="64"/>
      <c r="R807" s="69"/>
      <c r="S807" s="64"/>
      <c r="T807" s="69"/>
      <c r="U807" s="64"/>
      <c r="V807" s="69"/>
      <c r="W807" s="65"/>
      <c r="X807" s="69"/>
      <c r="Y807" s="64"/>
      <c r="Z807" s="69"/>
      <c r="AA807" s="64"/>
      <c r="AB807" s="69"/>
      <c r="AC807" s="64"/>
      <c r="AD807" s="69"/>
      <c r="AE807" s="65"/>
      <c r="AF807" s="69"/>
      <c r="AG807" s="65"/>
      <c r="AH807" s="69"/>
      <c r="AI807" s="64"/>
      <c r="AJ807" s="69"/>
      <c r="AK807" s="64"/>
      <c r="AL807" s="69"/>
      <c r="AM807" s="64"/>
      <c r="AN807" s="69"/>
      <c r="AO807" s="64"/>
      <c r="AP807" s="69"/>
      <c r="AQ807" s="64"/>
      <c r="AR807" s="69"/>
      <c r="AS807" s="64"/>
      <c r="AT807" s="69"/>
      <c r="AU807" s="64"/>
      <c r="AV807" s="69"/>
      <c r="AW807" s="64"/>
      <c r="AX807" s="69"/>
      <c r="AY807" s="64"/>
      <c r="AZ807" s="69"/>
      <c r="BA807" s="64"/>
      <c r="BB807" s="69"/>
      <c r="BC807" s="64"/>
      <c r="BD807" s="69"/>
      <c r="BE807" s="64"/>
      <c r="BF807" s="69"/>
      <c r="BG807" s="64"/>
      <c r="BH807" s="69"/>
      <c r="BI807" s="64"/>
      <c r="BJ807" s="69"/>
      <c r="BK807" s="64"/>
      <c r="BL807" s="69"/>
      <c r="BM807" s="64"/>
      <c r="BN807" s="69"/>
      <c r="BO807" s="64"/>
      <c r="BP807" s="69"/>
      <c r="BQ807" s="64"/>
      <c r="BR807" s="69"/>
      <c r="BS807" s="64"/>
      <c r="BT807" s="69"/>
      <c r="BU807" t="b">
        <f t="shared" si="13"/>
        <v>0</v>
      </c>
    </row>
    <row r="808" spans="1:73" x14ac:dyDescent="0.25">
      <c r="A808" s="28"/>
      <c r="B808" s="29"/>
      <c r="C808" s="29"/>
      <c r="D808" s="30"/>
      <c r="E808" s="29"/>
      <c r="F808" s="30"/>
      <c r="G808" s="29"/>
      <c r="H808" s="69"/>
      <c r="I808" s="64"/>
      <c r="J808" s="69"/>
      <c r="K808" s="64"/>
      <c r="L808" s="69"/>
      <c r="M808" s="65"/>
      <c r="N808" s="69"/>
      <c r="O808" s="64"/>
      <c r="P808" s="69"/>
      <c r="Q808" s="64"/>
      <c r="R808" s="69"/>
      <c r="S808" s="64"/>
      <c r="T808" s="69"/>
      <c r="U808" s="64"/>
      <c r="V808" s="69"/>
      <c r="W808" s="65"/>
      <c r="X808" s="69"/>
      <c r="Y808" s="64"/>
      <c r="Z808" s="69"/>
      <c r="AA808" s="64"/>
      <c r="AB808" s="69"/>
      <c r="AC808" s="64"/>
      <c r="AD808" s="69"/>
      <c r="AE808" s="65"/>
      <c r="AF808" s="69"/>
      <c r="AG808" s="65"/>
      <c r="AH808" s="69"/>
      <c r="AI808" s="64"/>
      <c r="AJ808" s="69"/>
      <c r="AK808" s="64"/>
      <c r="AL808" s="69"/>
      <c r="AM808" s="64"/>
      <c r="AN808" s="69"/>
      <c r="AO808" s="64"/>
      <c r="AP808" s="69"/>
      <c r="AQ808" s="64"/>
      <c r="AR808" s="69"/>
      <c r="AS808" s="64"/>
      <c r="AT808" s="69"/>
      <c r="AU808" s="64"/>
      <c r="AV808" s="69"/>
      <c r="AW808" s="64"/>
      <c r="AX808" s="69"/>
      <c r="AY808" s="64"/>
      <c r="AZ808" s="69"/>
      <c r="BA808" s="64"/>
      <c r="BB808" s="69"/>
      <c r="BC808" s="64"/>
      <c r="BD808" s="69"/>
      <c r="BE808" s="64"/>
      <c r="BF808" s="69"/>
      <c r="BG808" s="64"/>
      <c r="BH808" s="69"/>
      <c r="BI808" s="64"/>
      <c r="BJ808" s="69"/>
      <c r="BK808" s="64"/>
      <c r="BL808" s="69"/>
      <c r="BM808" s="64"/>
      <c r="BN808" s="69"/>
      <c r="BO808" s="64"/>
      <c r="BP808" s="69"/>
      <c r="BQ808" s="64"/>
      <c r="BR808" s="69"/>
      <c r="BS808" s="64"/>
      <c r="BT808" s="69"/>
      <c r="BU808" t="b">
        <f t="shared" si="13"/>
        <v>0</v>
      </c>
    </row>
    <row r="809" spans="1:73" x14ac:dyDescent="0.25">
      <c r="A809" s="28"/>
      <c r="B809" s="29"/>
      <c r="C809" s="29"/>
      <c r="D809" s="30"/>
      <c r="E809" s="29"/>
      <c r="F809" s="30"/>
      <c r="G809" s="29"/>
      <c r="H809" s="69"/>
      <c r="I809" s="64"/>
      <c r="J809" s="69"/>
      <c r="K809" s="64"/>
      <c r="L809" s="69"/>
      <c r="M809" s="65"/>
      <c r="N809" s="69"/>
      <c r="O809" s="64"/>
      <c r="P809" s="69"/>
      <c r="Q809" s="64"/>
      <c r="R809" s="69"/>
      <c r="S809" s="64"/>
      <c r="T809" s="69"/>
      <c r="U809" s="64"/>
      <c r="V809" s="69"/>
      <c r="W809" s="65"/>
      <c r="X809" s="69"/>
      <c r="Y809" s="64"/>
      <c r="Z809" s="69"/>
      <c r="AA809" s="64"/>
      <c r="AB809" s="69"/>
      <c r="AC809" s="64"/>
      <c r="AD809" s="69"/>
      <c r="AE809" s="65"/>
      <c r="AF809" s="69"/>
      <c r="AG809" s="65"/>
      <c r="AH809" s="69"/>
      <c r="AI809" s="64"/>
      <c r="AJ809" s="69"/>
      <c r="AK809" s="64"/>
      <c r="AL809" s="69"/>
      <c r="AM809" s="64"/>
      <c r="AN809" s="69"/>
      <c r="AO809" s="64"/>
      <c r="AP809" s="69"/>
      <c r="AQ809" s="64"/>
      <c r="AR809" s="69"/>
      <c r="AS809" s="64"/>
      <c r="AT809" s="69"/>
      <c r="AU809" s="64"/>
      <c r="AV809" s="69"/>
      <c r="AW809" s="64"/>
      <c r="AX809" s="69"/>
      <c r="AY809" s="64"/>
      <c r="AZ809" s="69"/>
      <c r="BA809" s="64"/>
      <c r="BB809" s="69"/>
      <c r="BC809" s="64"/>
      <c r="BD809" s="69"/>
      <c r="BE809" s="64"/>
      <c r="BF809" s="69"/>
      <c r="BG809" s="64"/>
      <c r="BH809" s="69"/>
      <c r="BI809" s="64"/>
      <c r="BJ809" s="69"/>
      <c r="BK809" s="64"/>
      <c r="BL809" s="69"/>
      <c r="BM809" s="64"/>
      <c r="BN809" s="69"/>
      <c r="BO809" s="64"/>
      <c r="BP809" s="69"/>
      <c r="BQ809" s="64"/>
      <c r="BR809" s="69"/>
      <c r="BS809" s="64"/>
      <c r="BT809" s="69"/>
      <c r="BU809" t="b">
        <f t="shared" si="13"/>
        <v>0</v>
      </c>
    </row>
    <row r="810" spans="1:73" x14ac:dyDescent="0.25">
      <c r="A810" s="28"/>
      <c r="B810" s="29"/>
      <c r="C810" s="29"/>
      <c r="D810" s="30"/>
      <c r="E810" s="29"/>
      <c r="F810" s="30"/>
      <c r="G810" s="29"/>
      <c r="H810" s="69"/>
      <c r="I810" s="64"/>
      <c r="J810" s="69"/>
      <c r="K810" s="64"/>
      <c r="L810" s="69"/>
      <c r="M810" s="65"/>
      <c r="N810" s="69"/>
      <c r="O810" s="64"/>
      <c r="P810" s="69"/>
      <c r="Q810" s="64"/>
      <c r="R810" s="69"/>
      <c r="S810" s="64"/>
      <c r="T810" s="69"/>
      <c r="U810" s="64"/>
      <c r="V810" s="69"/>
      <c r="W810" s="65"/>
      <c r="X810" s="69"/>
      <c r="Y810" s="64"/>
      <c r="Z810" s="69"/>
      <c r="AA810" s="64"/>
      <c r="AB810" s="69"/>
      <c r="AC810" s="64"/>
      <c r="AD810" s="69"/>
      <c r="AE810" s="65"/>
      <c r="AF810" s="69"/>
      <c r="AG810" s="65"/>
      <c r="AH810" s="69"/>
      <c r="AI810" s="64"/>
      <c r="AJ810" s="69"/>
      <c r="AK810" s="64"/>
      <c r="AL810" s="69"/>
      <c r="AM810" s="64"/>
      <c r="AN810" s="69"/>
      <c r="AO810" s="64"/>
      <c r="AP810" s="69"/>
      <c r="AQ810" s="64"/>
      <c r="AR810" s="69"/>
      <c r="AS810" s="64"/>
      <c r="AT810" s="69"/>
      <c r="AU810" s="64"/>
      <c r="AV810" s="69"/>
      <c r="AW810" s="64"/>
      <c r="AX810" s="69"/>
      <c r="AY810" s="64"/>
      <c r="AZ810" s="69"/>
      <c r="BA810" s="64"/>
      <c r="BB810" s="69"/>
      <c r="BC810" s="64"/>
      <c r="BD810" s="69"/>
      <c r="BE810" s="64"/>
      <c r="BF810" s="69"/>
      <c r="BG810" s="64"/>
      <c r="BH810" s="69"/>
      <c r="BI810" s="64"/>
      <c r="BJ810" s="69"/>
      <c r="BK810" s="64"/>
      <c r="BL810" s="69"/>
      <c r="BM810" s="64"/>
      <c r="BN810" s="69"/>
      <c r="BO810" s="64"/>
      <c r="BP810" s="69"/>
      <c r="BQ810" s="64"/>
      <c r="BR810" s="69"/>
      <c r="BS810" s="64"/>
      <c r="BT810" s="69"/>
      <c r="BU810" t="b">
        <f t="shared" si="13"/>
        <v>0</v>
      </c>
    </row>
    <row r="811" spans="1:73" x14ac:dyDescent="0.25">
      <c r="A811" s="28"/>
      <c r="B811" s="29"/>
      <c r="C811" s="29"/>
      <c r="D811" s="30"/>
      <c r="E811" s="29"/>
      <c r="F811" s="30"/>
      <c r="G811" s="29"/>
      <c r="H811" s="69"/>
      <c r="I811" s="64"/>
      <c r="J811" s="69"/>
      <c r="K811" s="64"/>
      <c r="L811" s="69"/>
      <c r="M811" s="65"/>
      <c r="N811" s="69"/>
      <c r="O811" s="64"/>
      <c r="P811" s="69"/>
      <c r="Q811" s="64"/>
      <c r="R811" s="69"/>
      <c r="S811" s="64"/>
      <c r="T811" s="69"/>
      <c r="U811" s="64"/>
      <c r="V811" s="69"/>
      <c r="W811" s="65"/>
      <c r="X811" s="69"/>
      <c r="Y811" s="64"/>
      <c r="Z811" s="69"/>
      <c r="AA811" s="64"/>
      <c r="AB811" s="69"/>
      <c r="AC811" s="64"/>
      <c r="AD811" s="69"/>
      <c r="AE811" s="65"/>
      <c r="AF811" s="69"/>
      <c r="AG811" s="65"/>
      <c r="AH811" s="69"/>
      <c r="AI811" s="64"/>
      <c r="AJ811" s="69"/>
      <c r="AK811" s="64"/>
      <c r="AL811" s="69"/>
      <c r="AM811" s="64"/>
      <c r="AN811" s="69"/>
      <c r="AO811" s="64"/>
      <c r="AP811" s="69"/>
      <c r="AQ811" s="64"/>
      <c r="AR811" s="69"/>
      <c r="AS811" s="64"/>
      <c r="AT811" s="69"/>
      <c r="AU811" s="64"/>
      <c r="AV811" s="69"/>
      <c r="AW811" s="64"/>
      <c r="AX811" s="69"/>
      <c r="AY811" s="64"/>
      <c r="AZ811" s="69"/>
      <c r="BA811" s="64"/>
      <c r="BB811" s="69"/>
      <c r="BC811" s="64"/>
      <c r="BD811" s="69"/>
      <c r="BE811" s="64"/>
      <c r="BF811" s="69"/>
      <c r="BG811" s="64"/>
      <c r="BH811" s="69"/>
      <c r="BI811" s="64"/>
      <c r="BJ811" s="69"/>
      <c r="BK811" s="64"/>
      <c r="BL811" s="69"/>
      <c r="BM811" s="64"/>
      <c r="BN811" s="69"/>
      <c r="BO811" s="64"/>
      <c r="BP811" s="69"/>
      <c r="BQ811" s="64"/>
      <c r="BR811" s="69"/>
      <c r="BS811" s="64"/>
      <c r="BT811" s="69"/>
      <c r="BU811" t="b">
        <f t="shared" si="13"/>
        <v>0</v>
      </c>
    </row>
    <row r="812" spans="1:73" x14ac:dyDescent="0.25">
      <c r="A812" s="28"/>
      <c r="B812" s="29"/>
      <c r="C812" s="29"/>
      <c r="D812" s="30"/>
      <c r="E812" s="29"/>
      <c r="F812" s="30"/>
      <c r="G812" s="29"/>
      <c r="H812" s="69"/>
      <c r="I812" s="64"/>
      <c r="J812" s="69"/>
      <c r="K812" s="64"/>
      <c r="L812" s="69"/>
      <c r="M812" s="65"/>
      <c r="N812" s="69"/>
      <c r="O812" s="64"/>
      <c r="P812" s="69"/>
      <c r="Q812" s="64"/>
      <c r="R812" s="69"/>
      <c r="S812" s="64"/>
      <c r="T812" s="69"/>
      <c r="U812" s="64"/>
      <c r="V812" s="69"/>
      <c r="W812" s="65"/>
      <c r="X812" s="69"/>
      <c r="Y812" s="64"/>
      <c r="Z812" s="69"/>
      <c r="AA812" s="64"/>
      <c r="AB812" s="69"/>
      <c r="AC812" s="64"/>
      <c r="AD812" s="69"/>
      <c r="AE812" s="65"/>
      <c r="AF812" s="69"/>
      <c r="AG812" s="65"/>
      <c r="AH812" s="69"/>
      <c r="AI812" s="64"/>
      <c r="AJ812" s="69"/>
      <c r="AK812" s="64"/>
      <c r="AL812" s="69"/>
      <c r="AM812" s="64"/>
      <c r="AN812" s="69"/>
      <c r="AO812" s="64"/>
      <c r="AP812" s="69"/>
      <c r="AQ812" s="64"/>
      <c r="AR812" s="69"/>
      <c r="AS812" s="64"/>
      <c r="AT812" s="69"/>
      <c r="AU812" s="64"/>
      <c r="AV812" s="69"/>
      <c r="AW812" s="64"/>
      <c r="AX812" s="69"/>
      <c r="AY812" s="64"/>
      <c r="AZ812" s="69"/>
      <c r="BA812" s="64"/>
      <c r="BB812" s="69"/>
      <c r="BC812" s="64"/>
      <c r="BD812" s="69"/>
      <c r="BE812" s="64"/>
      <c r="BF812" s="69"/>
      <c r="BG812" s="64"/>
      <c r="BH812" s="69"/>
      <c r="BI812" s="64"/>
      <c r="BJ812" s="69"/>
      <c r="BK812" s="64"/>
      <c r="BL812" s="69"/>
      <c r="BM812" s="64"/>
      <c r="BN812" s="69"/>
      <c r="BO812" s="64"/>
      <c r="BP812" s="69"/>
      <c r="BQ812" s="64"/>
      <c r="BR812" s="69"/>
      <c r="BS812" s="64"/>
      <c r="BT812" s="69"/>
      <c r="BU812" t="b">
        <f t="shared" si="13"/>
        <v>0</v>
      </c>
    </row>
    <row r="813" spans="1:73" x14ac:dyDescent="0.25">
      <c r="A813" s="28"/>
      <c r="B813" s="29"/>
      <c r="C813" s="29"/>
      <c r="D813" s="30"/>
      <c r="E813" s="29"/>
      <c r="F813" s="30"/>
      <c r="G813" s="29"/>
      <c r="H813" s="69"/>
      <c r="I813" s="64"/>
      <c r="J813" s="69"/>
      <c r="K813" s="64"/>
      <c r="L813" s="69"/>
      <c r="M813" s="65"/>
      <c r="N813" s="69"/>
      <c r="O813" s="64"/>
      <c r="P813" s="69"/>
      <c r="Q813" s="64"/>
      <c r="R813" s="69"/>
      <c r="S813" s="64"/>
      <c r="T813" s="69"/>
      <c r="U813" s="64"/>
      <c r="V813" s="69"/>
      <c r="W813" s="65"/>
      <c r="X813" s="69"/>
      <c r="Y813" s="64"/>
      <c r="Z813" s="69"/>
      <c r="AA813" s="64"/>
      <c r="AB813" s="69"/>
      <c r="AC813" s="64"/>
      <c r="AD813" s="69"/>
      <c r="AE813" s="65"/>
      <c r="AF813" s="69"/>
      <c r="AG813" s="65"/>
      <c r="AH813" s="69"/>
      <c r="AI813" s="64"/>
      <c r="AJ813" s="69"/>
      <c r="AK813" s="64"/>
      <c r="AL813" s="69"/>
      <c r="AM813" s="64"/>
      <c r="AN813" s="69"/>
      <c r="AO813" s="64"/>
      <c r="AP813" s="69"/>
      <c r="AQ813" s="64"/>
      <c r="AR813" s="69"/>
      <c r="AS813" s="64"/>
      <c r="AT813" s="69"/>
      <c r="AU813" s="64"/>
      <c r="AV813" s="69"/>
      <c r="AW813" s="64"/>
      <c r="AX813" s="69"/>
      <c r="AY813" s="64"/>
      <c r="AZ813" s="69"/>
      <c r="BA813" s="64"/>
      <c r="BB813" s="69"/>
      <c r="BC813" s="64"/>
      <c r="BD813" s="69"/>
      <c r="BE813" s="64"/>
      <c r="BF813" s="69"/>
      <c r="BG813" s="64"/>
      <c r="BH813" s="69"/>
      <c r="BI813" s="64"/>
      <c r="BJ813" s="69"/>
      <c r="BK813" s="64"/>
      <c r="BL813" s="69"/>
      <c r="BM813" s="64"/>
      <c r="BN813" s="69"/>
      <c r="BO813" s="64"/>
      <c r="BP813" s="69"/>
      <c r="BQ813" s="64"/>
      <c r="BR813" s="69"/>
      <c r="BS813" s="64"/>
      <c r="BT813" s="69"/>
      <c r="BU813" t="b">
        <f t="shared" si="13"/>
        <v>0</v>
      </c>
    </row>
    <row r="814" spans="1:73" x14ac:dyDescent="0.25">
      <c r="A814" s="28"/>
      <c r="B814" s="29"/>
      <c r="C814" s="29"/>
      <c r="D814" s="30"/>
      <c r="E814" s="29"/>
      <c r="F814" s="30"/>
      <c r="G814" s="29"/>
      <c r="H814" s="69"/>
      <c r="I814" s="64"/>
      <c r="J814" s="69"/>
      <c r="K814" s="64"/>
      <c r="L814" s="69"/>
      <c r="M814" s="65"/>
      <c r="N814" s="69"/>
      <c r="O814" s="64"/>
      <c r="P814" s="69"/>
      <c r="Q814" s="64"/>
      <c r="R814" s="69"/>
      <c r="S814" s="64"/>
      <c r="T814" s="69"/>
      <c r="U814" s="64"/>
      <c r="V814" s="69"/>
      <c r="W814" s="65"/>
      <c r="X814" s="69"/>
      <c r="Y814" s="64"/>
      <c r="Z814" s="69"/>
      <c r="AA814" s="64"/>
      <c r="AB814" s="69"/>
      <c r="AC814" s="64"/>
      <c r="AD814" s="69"/>
      <c r="AE814" s="65"/>
      <c r="AF814" s="69"/>
      <c r="AG814" s="65"/>
      <c r="AH814" s="69"/>
      <c r="AI814" s="64"/>
      <c r="AJ814" s="69"/>
      <c r="AK814" s="64"/>
      <c r="AL814" s="69"/>
      <c r="AM814" s="64"/>
      <c r="AN814" s="69"/>
      <c r="AO814" s="64"/>
      <c r="AP814" s="69"/>
      <c r="AQ814" s="64"/>
      <c r="AR814" s="69"/>
      <c r="AS814" s="64"/>
      <c r="AT814" s="69"/>
      <c r="AU814" s="64"/>
      <c r="AV814" s="69"/>
      <c r="AW814" s="64"/>
      <c r="AX814" s="69"/>
      <c r="AY814" s="64"/>
      <c r="AZ814" s="69"/>
      <c r="BA814" s="64"/>
      <c r="BB814" s="69"/>
      <c r="BC814" s="64"/>
      <c r="BD814" s="69"/>
      <c r="BE814" s="64"/>
      <c r="BF814" s="69"/>
      <c r="BG814" s="64"/>
      <c r="BH814" s="69"/>
      <c r="BI814" s="64"/>
      <c r="BJ814" s="69"/>
      <c r="BK814" s="64"/>
      <c r="BL814" s="69"/>
      <c r="BM814" s="64"/>
      <c r="BN814" s="69"/>
      <c r="BO814" s="64"/>
      <c r="BP814" s="69"/>
      <c r="BQ814" s="64"/>
      <c r="BR814" s="69"/>
      <c r="BS814" s="64"/>
      <c r="BT814" s="69"/>
      <c r="BU814" t="b">
        <f t="shared" si="13"/>
        <v>0</v>
      </c>
    </row>
    <row r="815" spans="1:73" x14ac:dyDescent="0.25">
      <c r="A815" s="28"/>
      <c r="B815" s="29"/>
      <c r="C815" s="29"/>
      <c r="D815" s="30"/>
      <c r="E815" s="29"/>
      <c r="F815" s="30"/>
      <c r="G815" s="29"/>
      <c r="H815" s="69"/>
      <c r="I815" s="64"/>
      <c r="J815" s="69"/>
      <c r="K815" s="64"/>
      <c r="L815" s="69"/>
      <c r="M815" s="65"/>
      <c r="N815" s="69"/>
      <c r="O815" s="64"/>
      <c r="P815" s="69"/>
      <c r="Q815" s="64"/>
      <c r="R815" s="69"/>
      <c r="S815" s="64"/>
      <c r="T815" s="69"/>
      <c r="U815" s="64"/>
      <c r="V815" s="69"/>
      <c r="W815" s="65"/>
      <c r="X815" s="69"/>
      <c r="Y815" s="64"/>
      <c r="Z815" s="69"/>
      <c r="AA815" s="64"/>
      <c r="AB815" s="69"/>
      <c r="AC815" s="64"/>
      <c r="AD815" s="69"/>
      <c r="AE815" s="65"/>
      <c r="AF815" s="69"/>
      <c r="AG815" s="65"/>
      <c r="AH815" s="69"/>
      <c r="AI815" s="64"/>
      <c r="AJ815" s="69"/>
      <c r="AK815" s="64"/>
      <c r="AL815" s="69"/>
      <c r="AM815" s="64"/>
      <c r="AN815" s="69"/>
      <c r="AO815" s="64"/>
      <c r="AP815" s="69"/>
      <c r="AQ815" s="64"/>
      <c r="AR815" s="69"/>
      <c r="AS815" s="64"/>
      <c r="AT815" s="69"/>
      <c r="AU815" s="64"/>
      <c r="AV815" s="69"/>
      <c r="AW815" s="64"/>
      <c r="AX815" s="69"/>
      <c r="AY815" s="64"/>
      <c r="AZ815" s="69"/>
      <c r="BA815" s="64"/>
      <c r="BB815" s="69"/>
      <c r="BC815" s="64"/>
      <c r="BD815" s="69"/>
      <c r="BE815" s="64"/>
      <c r="BF815" s="69"/>
      <c r="BG815" s="64"/>
      <c r="BH815" s="69"/>
      <c r="BI815" s="64"/>
      <c r="BJ815" s="69"/>
      <c r="BK815" s="64"/>
      <c r="BL815" s="69"/>
      <c r="BM815" s="64"/>
      <c r="BN815" s="69"/>
      <c r="BO815" s="64"/>
      <c r="BP815" s="69"/>
      <c r="BQ815" s="64"/>
      <c r="BR815" s="69"/>
      <c r="BS815" s="64"/>
      <c r="BT815" s="69"/>
      <c r="BU815" t="b">
        <f t="shared" si="13"/>
        <v>0</v>
      </c>
    </row>
    <row r="816" spans="1:73" x14ac:dyDescent="0.25">
      <c r="A816" s="28"/>
      <c r="B816" s="29"/>
      <c r="C816" s="29"/>
      <c r="D816" s="30"/>
      <c r="E816" s="29"/>
      <c r="F816" s="30"/>
      <c r="G816" s="29"/>
      <c r="H816" s="69"/>
      <c r="I816" s="64"/>
      <c r="J816" s="69"/>
      <c r="K816" s="64"/>
      <c r="L816" s="69"/>
      <c r="M816" s="65"/>
      <c r="N816" s="69"/>
      <c r="O816" s="64"/>
      <c r="P816" s="69"/>
      <c r="Q816" s="64"/>
      <c r="R816" s="69"/>
      <c r="S816" s="64"/>
      <c r="T816" s="69"/>
      <c r="U816" s="64"/>
      <c r="V816" s="69"/>
      <c r="W816" s="65"/>
      <c r="X816" s="69"/>
      <c r="Y816" s="64"/>
      <c r="Z816" s="69"/>
      <c r="AA816" s="64"/>
      <c r="AB816" s="69"/>
      <c r="AC816" s="64"/>
      <c r="AD816" s="69"/>
      <c r="AE816" s="65"/>
      <c r="AF816" s="69"/>
      <c r="AG816" s="65"/>
      <c r="AH816" s="69"/>
      <c r="AI816" s="64"/>
      <c r="AJ816" s="69"/>
      <c r="AK816" s="64"/>
      <c r="AL816" s="69"/>
      <c r="AM816" s="64"/>
      <c r="AN816" s="69"/>
      <c r="AO816" s="64"/>
      <c r="AP816" s="69"/>
      <c r="AQ816" s="64"/>
      <c r="AR816" s="69"/>
      <c r="AS816" s="64"/>
      <c r="AT816" s="69"/>
      <c r="AU816" s="64"/>
      <c r="AV816" s="69"/>
      <c r="AW816" s="64"/>
      <c r="AX816" s="69"/>
      <c r="AY816" s="64"/>
      <c r="AZ816" s="69"/>
      <c r="BA816" s="64"/>
      <c r="BB816" s="69"/>
      <c r="BC816" s="64"/>
      <c r="BD816" s="69"/>
      <c r="BE816" s="64"/>
      <c r="BF816" s="69"/>
      <c r="BG816" s="64"/>
      <c r="BH816" s="69"/>
      <c r="BI816" s="64"/>
      <c r="BJ816" s="69"/>
      <c r="BK816" s="64"/>
      <c r="BL816" s="69"/>
      <c r="BM816" s="64"/>
      <c r="BN816" s="69"/>
      <c r="BO816" s="64"/>
      <c r="BP816" s="69"/>
      <c r="BQ816" s="64"/>
      <c r="BR816" s="69"/>
      <c r="BS816" s="64"/>
      <c r="BT816" s="69"/>
      <c r="BU816" t="b">
        <f t="shared" si="13"/>
        <v>0</v>
      </c>
    </row>
    <row r="817" spans="1:73" x14ac:dyDescent="0.25">
      <c r="A817" s="28"/>
      <c r="B817" s="29"/>
      <c r="C817" s="29"/>
      <c r="D817" s="30"/>
      <c r="E817" s="29"/>
      <c r="F817" s="30"/>
      <c r="G817" s="29"/>
      <c r="H817" s="69"/>
      <c r="I817" s="64"/>
      <c r="J817" s="69"/>
      <c r="K817" s="64"/>
      <c r="L817" s="69"/>
      <c r="M817" s="65"/>
      <c r="N817" s="69"/>
      <c r="O817" s="64"/>
      <c r="P817" s="69"/>
      <c r="Q817" s="64"/>
      <c r="R817" s="69"/>
      <c r="S817" s="64"/>
      <c r="T817" s="69"/>
      <c r="U817" s="64"/>
      <c r="V817" s="69"/>
      <c r="W817" s="65"/>
      <c r="X817" s="69"/>
      <c r="Y817" s="64"/>
      <c r="Z817" s="69"/>
      <c r="AA817" s="64"/>
      <c r="AB817" s="69"/>
      <c r="AC817" s="64"/>
      <c r="AD817" s="69"/>
      <c r="AE817" s="65"/>
      <c r="AF817" s="69"/>
      <c r="AG817" s="65"/>
      <c r="AH817" s="69"/>
      <c r="AI817" s="64"/>
      <c r="AJ817" s="69"/>
      <c r="AK817" s="64"/>
      <c r="AL817" s="69"/>
      <c r="AM817" s="64"/>
      <c r="AN817" s="69"/>
      <c r="AO817" s="64"/>
      <c r="AP817" s="69"/>
      <c r="AQ817" s="64"/>
      <c r="AR817" s="69"/>
      <c r="AS817" s="64"/>
      <c r="AT817" s="69"/>
      <c r="AU817" s="64"/>
      <c r="AV817" s="69"/>
      <c r="AW817" s="64"/>
      <c r="AX817" s="69"/>
      <c r="AY817" s="64"/>
      <c r="AZ817" s="69"/>
      <c r="BA817" s="64"/>
      <c r="BB817" s="69"/>
      <c r="BC817" s="64"/>
      <c r="BD817" s="69"/>
      <c r="BE817" s="64"/>
      <c r="BF817" s="69"/>
      <c r="BG817" s="64"/>
      <c r="BH817" s="69"/>
      <c r="BI817" s="64"/>
      <c r="BJ817" s="69"/>
      <c r="BK817" s="64"/>
      <c r="BL817" s="69"/>
      <c r="BM817" s="64"/>
      <c r="BN817" s="69"/>
      <c r="BO817" s="64"/>
      <c r="BP817" s="69"/>
      <c r="BQ817" s="64"/>
      <c r="BR817" s="69"/>
      <c r="BS817" s="64"/>
      <c r="BT817" s="69"/>
      <c r="BU817" t="b">
        <f t="shared" si="13"/>
        <v>0</v>
      </c>
    </row>
    <row r="818" spans="1:73" x14ac:dyDescent="0.25">
      <c r="A818" s="28"/>
      <c r="B818" s="29"/>
      <c r="C818" s="29"/>
      <c r="D818" s="30"/>
      <c r="E818" s="29"/>
      <c r="F818" s="30"/>
      <c r="G818" s="29"/>
      <c r="H818" s="69"/>
      <c r="I818" s="64"/>
      <c r="J818" s="69"/>
      <c r="K818" s="64"/>
      <c r="L818" s="69"/>
      <c r="M818" s="65"/>
      <c r="N818" s="69"/>
      <c r="O818" s="64"/>
      <c r="P818" s="69"/>
      <c r="Q818" s="64"/>
      <c r="R818" s="69"/>
      <c r="S818" s="64"/>
      <c r="T818" s="69"/>
      <c r="U818" s="64"/>
      <c r="V818" s="69"/>
      <c r="W818" s="65"/>
      <c r="X818" s="69"/>
      <c r="Y818" s="64"/>
      <c r="Z818" s="69"/>
      <c r="AA818" s="64"/>
      <c r="AB818" s="69"/>
      <c r="AC818" s="64"/>
      <c r="AD818" s="69"/>
      <c r="AE818" s="65"/>
      <c r="AF818" s="69"/>
      <c r="AG818" s="65"/>
      <c r="AH818" s="69"/>
      <c r="AI818" s="64"/>
      <c r="AJ818" s="69"/>
      <c r="AK818" s="64"/>
      <c r="AL818" s="69"/>
      <c r="AM818" s="64"/>
      <c r="AN818" s="69"/>
      <c r="AO818" s="64"/>
      <c r="AP818" s="69"/>
      <c r="AQ818" s="64"/>
      <c r="AR818" s="69"/>
      <c r="AS818" s="64"/>
      <c r="AT818" s="69"/>
      <c r="AU818" s="64"/>
      <c r="AV818" s="69"/>
      <c r="AW818" s="64"/>
      <c r="AX818" s="69"/>
      <c r="AY818" s="64"/>
      <c r="AZ818" s="69"/>
      <c r="BA818" s="64"/>
      <c r="BB818" s="69"/>
      <c r="BC818" s="64"/>
      <c r="BD818" s="69"/>
      <c r="BE818" s="64"/>
      <c r="BF818" s="69"/>
      <c r="BG818" s="64"/>
      <c r="BH818" s="69"/>
      <c r="BI818" s="64"/>
      <c r="BJ818" s="69"/>
      <c r="BK818" s="64"/>
      <c r="BL818" s="69"/>
      <c r="BM818" s="64"/>
      <c r="BN818" s="69"/>
      <c r="BO818" s="64"/>
      <c r="BP818" s="69"/>
      <c r="BQ818" s="64"/>
      <c r="BR818" s="69"/>
      <c r="BS818" s="64"/>
      <c r="BT818" s="69"/>
      <c r="BU818" t="b">
        <f t="shared" si="13"/>
        <v>0</v>
      </c>
    </row>
    <row r="819" spans="1:73" x14ac:dyDescent="0.25">
      <c r="A819" s="28"/>
      <c r="B819" s="29"/>
      <c r="C819" s="29"/>
      <c r="D819" s="30"/>
      <c r="E819" s="29"/>
      <c r="F819" s="30"/>
      <c r="G819" s="29"/>
      <c r="H819" s="69"/>
      <c r="I819" s="64"/>
      <c r="J819" s="69"/>
      <c r="K819" s="64"/>
      <c r="L819" s="69"/>
      <c r="M819" s="65"/>
      <c r="N819" s="69"/>
      <c r="O819" s="64"/>
      <c r="P819" s="69"/>
      <c r="Q819" s="64"/>
      <c r="R819" s="69"/>
      <c r="S819" s="64"/>
      <c r="T819" s="69"/>
      <c r="U819" s="64"/>
      <c r="V819" s="69"/>
      <c r="W819" s="65"/>
      <c r="X819" s="69"/>
      <c r="Y819" s="64"/>
      <c r="Z819" s="69"/>
      <c r="AA819" s="64"/>
      <c r="AB819" s="69"/>
      <c r="AC819" s="64"/>
      <c r="AD819" s="69"/>
      <c r="AE819" s="65"/>
      <c r="AF819" s="69"/>
      <c r="AG819" s="65"/>
      <c r="AH819" s="69"/>
      <c r="AI819" s="64"/>
      <c r="AJ819" s="69"/>
      <c r="AK819" s="64"/>
      <c r="AL819" s="69"/>
      <c r="AM819" s="64"/>
      <c r="AN819" s="69"/>
      <c r="AO819" s="64"/>
      <c r="AP819" s="69"/>
      <c r="AQ819" s="64"/>
      <c r="AR819" s="69"/>
      <c r="AS819" s="64"/>
      <c r="AT819" s="69"/>
      <c r="AU819" s="64"/>
      <c r="AV819" s="69"/>
      <c r="AW819" s="64"/>
      <c r="AX819" s="69"/>
      <c r="AY819" s="64"/>
      <c r="AZ819" s="69"/>
      <c r="BA819" s="64"/>
      <c r="BB819" s="69"/>
      <c r="BC819" s="64"/>
      <c r="BD819" s="69"/>
      <c r="BE819" s="64"/>
      <c r="BF819" s="69"/>
      <c r="BG819" s="64"/>
      <c r="BH819" s="69"/>
      <c r="BI819" s="64"/>
      <c r="BJ819" s="69"/>
      <c r="BK819" s="64"/>
      <c r="BL819" s="69"/>
      <c r="BM819" s="64"/>
      <c r="BN819" s="69"/>
      <c r="BO819" s="64"/>
      <c r="BP819" s="69"/>
      <c r="BQ819" s="64"/>
      <c r="BR819" s="69"/>
      <c r="BS819" s="64"/>
      <c r="BT819" s="69"/>
      <c r="BU819" t="b">
        <f t="shared" si="13"/>
        <v>0</v>
      </c>
    </row>
    <row r="820" spans="1:73" x14ac:dyDescent="0.25">
      <c r="A820" s="28"/>
      <c r="B820" s="29"/>
      <c r="C820" s="29"/>
      <c r="D820" s="30"/>
      <c r="E820" s="29"/>
      <c r="F820" s="30"/>
      <c r="G820" s="29"/>
      <c r="H820" s="69"/>
      <c r="I820" s="64"/>
      <c r="J820" s="69"/>
      <c r="K820" s="64"/>
      <c r="L820" s="69"/>
      <c r="M820" s="65"/>
      <c r="N820" s="69"/>
      <c r="O820" s="64"/>
      <c r="P820" s="69"/>
      <c r="Q820" s="64"/>
      <c r="R820" s="69"/>
      <c r="S820" s="64"/>
      <c r="T820" s="69"/>
      <c r="U820" s="64"/>
      <c r="V820" s="69"/>
      <c r="W820" s="65"/>
      <c r="X820" s="69"/>
      <c r="Y820" s="64"/>
      <c r="Z820" s="69"/>
      <c r="AA820" s="64"/>
      <c r="AB820" s="69"/>
      <c r="AC820" s="64"/>
      <c r="AD820" s="69"/>
      <c r="AE820" s="65"/>
      <c r="AF820" s="69"/>
      <c r="AG820" s="65"/>
      <c r="AH820" s="69"/>
      <c r="AI820" s="64"/>
      <c r="AJ820" s="69"/>
      <c r="AK820" s="64"/>
      <c r="AL820" s="69"/>
      <c r="AM820" s="64"/>
      <c r="AN820" s="69"/>
      <c r="AO820" s="64"/>
      <c r="AP820" s="69"/>
      <c r="AQ820" s="64"/>
      <c r="AR820" s="69"/>
      <c r="AS820" s="64"/>
      <c r="AT820" s="69"/>
      <c r="AU820" s="64"/>
      <c r="AV820" s="69"/>
      <c r="AW820" s="64"/>
      <c r="AX820" s="69"/>
      <c r="AY820" s="64"/>
      <c r="AZ820" s="69"/>
      <c r="BA820" s="64"/>
      <c r="BB820" s="69"/>
      <c r="BC820" s="64"/>
      <c r="BD820" s="69"/>
      <c r="BE820" s="64"/>
      <c r="BF820" s="69"/>
      <c r="BG820" s="64"/>
      <c r="BH820" s="69"/>
      <c r="BI820" s="64"/>
      <c r="BJ820" s="69"/>
      <c r="BK820" s="64"/>
      <c r="BL820" s="69"/>
      <c r="BM820" s="64"/>
      <c r="BN820" s="69"/>
      <c r="BO820" s="64"/>
      <c r="BP820" s="69"/>
      <c r="BQ820" s="64"/>
      <c r="BR820" s="69"/>
      <c r="BS820" s="64"/>
      <c r="BT820" s="69"/>
      <c r="BU820" t="b">
        <f t="shared" si="13"/>
        <v>0</v>
      </c>
    </row>
    <row r="821" spans="1:73" x14ac:dyDescent="0.25">
      <c r="A821" s="28"/>
      <c r="B821" s="29"/>
      <c r="C821" s="29"/>
      <c r="D821" s="30"/>
      <c r="E821" s="29"/>
      <c r="F821" s="30"/>
      <c r="G821" s="29"/>
      <c r="H821" s="69"/>
      <c r="I821" s="64"/>
      <c r="J821" s="69"/>
      <c r="K821" s="64"/>
      <c r="L821" s="69"/>
      <c r="M821" s="65"/>
      <c r="N821" s="69"/>
      <c r="O821" s="64"/>
      <c r="P821" s="69"/>
      <c r="Q821" s="64"/>
      <c r="R821" s="69"/>
      <c r="S821" s="64"/>
      <c r="T821" s="69"/>
      <c r="U821" s="64"/>
      <c r="V821" s="69"/>
      <c r="W821" s="65"/>
      <c r="X821" s="69"/>
      <c r="Y821" s="64"/>
      <c r="Z821" s="69"/>
      <c r="AA821" s="64"/>
      <c r="AB821" s="69"/>
      <c r="AC821" s="64"/>
      <c r="AD821" s="69"/>
      <c r="AE821" s="65"/>
      <c r="AF821" s="69"/>
      <c r="AG821" s="65"/>
      <c r="AH821" s="69"/>
      <c r="AI821" s="64"/>
      <c r="AJ821" s="69"/>
      <c r="AK821" s="64"/>
      <c r="AL821" s="69"/>
      <c r="AM821" s="64"/>
      <c r="AN821" s="69"/>
      <c r="AO821" s="64"/>
      <c r="AP821" s="69"/>
      <c r="AQ821" s="64"/>
      <c r="AR821" s="69"/>
      <c r="AS821" s="64"/>
      <c r="AT821" s="69"/>
      <c r="AU821" s="64"/>
      <c r="AV821" s="69"/>
      <c r="AW821" s="64"/>
      <c r="AX821" s="69"/>
      <c r="AY821" s="64"/>
      <c r="AZ821" s="69"/>
      <c r="BA821" s="64"/>
      <c r="BB821" s="69"/>
      <c r="BC821" s="64"/>
      <c r="BD821" s="69"/>
      <c r="BE821" s="64"/>
      <c r="BF821" s="69"/>
      <c r="BG821" s="64"/>
      <c r="BH821" s="69"/>
      <c r="BI821" s="64"/>
      <c r="BJ821" s="69"/>
      <c r="BK821" s="64"/>
      <c r="BL821" s="69"/>
      <c r="BM821" s="64"/>
      <c r="BN821" s="69"/>
      <c r="BO821" s="64"/>
      <c r="BP821" s="69"/>
      <c r="BQ821" s="64"/>
      <c r="BR821" s="69"/>
      <c r="BS821" s="64"/>
      <c r="BT821" s="69"/>
      <c r="BU821" t="b">
        <f t="shared" si="13"/>
        <v>0</v>
      </c>
    </row>
    <row r="822" spans="1:73" x14ac:dyDescent="0.25">
      <c r="A822" s="28"/>
      <c r="B822" s="29"/>
      <c r="C822" s="29"/>
      <c r="D822" s="30"/>
      <c r="E822" s="29"/>
      <c r="F822" s="30"/>
      <c r="G822" s="29"/>
      <c r="H822" s="69"/>
      <c r="I822" s="64"/>
      <c r="J822" s="69"/>
      <c r="K822" s="64"/>
      <c r="L822" s="69"/>
      <c r="M822" s="65"/>
      <c r="N822" s="69"/>
      <c r="O822" s="64"/>
      <c r="P822" s="69"/>
      <c r="Q822" s="64"/>
      <c r="R822" s="69"/>
      <c r="S822" s="64"/>
      <c r="T822" s="69"/>
      <c r="U822" s="64"/>
      <c r="V822" s="69"/>
      <c r="W822" s="65"/>
      <c r="X822" s="69"/>
      <c r="Y822" s="64"/>
      <c r="Z822" s="69"/>
      <c r="AA822" s="64"/>
      <c r="AB822" s="69"/>
      <c r="AC822" s="64"/>
      <c r="AD822" s="69"/>
      <c r="AE822" s="65"/>
      <c r="AF822" s="69"/>
      <c r="AG822" s="65"/>
      <c r="AH822" s="69"/>
      <c r="AI822" s="64"/>
      <c r="AJ822" s="69"/>
      <c r="AK822" s="64"/>
      <c r="AL822" s="69"/>
      <c r="AM822" s="64"/>
      <c r="AN822" s="69"/>
      <c r="AO822" s="64"/>
      <c r="AP822" s="69"/>
      <c r="AQ822" s="64"/>
      <c r="AR822" s="69"/>
      <c r="AS822" s="64"/>
      <c r="AT822" s="69"/>
      <c r="AU822" s="64"/>
      <c r="AV822" s="69"/>
      <c r="AW822" s="64"/>
      <c r="AX822" s="69"/>
      <c r="AY822" s="64"/>
      <c r="AZ822" s="69"/>
      <c r="BA822" s="64"/>
      <c r="BB822" s="69"/>
      <c r="BC822" s="64"/>
      <c r="BD822" s="69"/>
      <c r="BE822" s="64"/>
      <c r="BF822" s="69"/>
      <c r="BG822" s="64"/>
      <c r="BH822" s="69"/>
      <c r="BI822" s="64"/>
      <c r="BJ822" s="69"/>
      <c r="BK822" s="64"/>
      <c r="BL822" s="69"/>
      <c r="BM822" s="64"/>
      <c r="BN822" s="69"/>
      <c r="BO822" s="64"/>
      <c r="BP822" s="69"/>
      <c r="BQ822" s="64"/>
      <c r="BR822" s="69"/>
      <c r="BS822" s="64"/>
      <c r="BT822" s="69"/>
      <c r="BU822" t="b">
        <f t="shared" si="13"/>
        <v>0</v>
      </c>
    </row>
    <row r="823" spans="1:73" x14ac:dyDescent="0.25">
      <c r="A823" s="28"/>
      <c r="B823" s="29"/>
      <c r="C823" s="29"/>
      <c r="D823" s="30"/>
      <c r="E823" s="29"/>
      <c r="F823" s="30"/>
      <c r="G823" s="29"/>
      <c r="H823" s="69"/>
      <c r="I823" s="64"/>
      <c r="J823" s="69"/>
      <c r="K823" s="64"/>
      <c r="L823" s="69"/>
      <c r="M823" s="65"/>
      <c r="N823" s="69"/>
      <c r="O823" s="64"/>
      <c r="P823" s="69"/>
      <c r="Q823" s="64"/>
      <c r="R823" s="69"/>
      <c r="S823" s="64"/>
      <c r="T823" s="69"/>
      <c r="U823" s="64"/>
      <c r="V823" s="69"/>
      <c r="W823" s="65"/>
      <c r="X823" s="69"/>
      <c r="Y823" s="64"/>
      <c r="Z823" s="69"/>
      <c r="AA823" s="64"/>
      <c r="AB823" s="69"/>
      <c r="AC823" s="64"/>
      <c r="AD823" s="69"/>
      <c r="AE823" s="65"/>
      <c r="AF823" s="69"/>
      <c r="AG823" s="65"/>
      <c r="AH823" s="69"/>
      <c r="AI823" s="64"/>
      <c r="AJ823" s="69"/>
      <c r="AK823" s="64"/>
      <c r="AL823" s="69"/>
      <c r="AM823" s="64"/>
      <c r="AN823" s="69"/>
      <c r="AO823" s="64"/>
      <c r="AP823" s="69"/>
      <c r="AQ823" s="64"/>
      <c r="AR823" s="69"/>
      <c r="AS823" s="64"/>
      <c r="AT823" s="69"/>
      <c r="AU823" s="64"/>
      <c r="AV823" s="69"/>
      <c r="AW823" s="64"/>
      <c r="AX823" s="69"/>
      <c r="AY823" s="64"/>
      <c r="AZ823" s="69"/>
      <c r="BA823" s="64"/>
      <c r="BB823" s="69"/>
      <c r="BC823" s="64"/>
      <c r="BD823" s="69"/>
      <c r="BE823" s="64"/>
      <c r="BF823" s="69"/>
      <c r="BG823" s="64"/>
      <c r="BH823" s="69"/>
      <c r="BI823" s="64"/>
      <c r="BJ823" s="69"/>
      <c r="BK823" s="64"/>
      <c r="BL823" s="69"/>
      <c r="BM823" s="64"/>
      <c r="BN823" s="69"/>
      <c r="BO823" s="64"/>
      <c r="BP823" s="69"/>
      <c r="BQ823" s="64"/>
      <c r="BR823" s="69"/>
      <c r="BS823" s="64"/>
      <c r="BT823" s="69"/>
      <c r="BU823" t="b">
        <f t="shared" si="13"/>
        <v>0</v>
      </c>
    </row>
    <row r="824" spans="1:73" x14ac:dyDescent="0.25">
      <c r="A824" s="28"/>
      <c r="B824" s="29"/>
      <c r="C824" s="29"/>
      <c r="D824" s="30"/>
      <c r="E824" s="29"/>
      <c r="F824" s="30"/>
      <c r="G824" s="29"/>
      <c r="H824" s="69"/>
      <c r="I824" s="64"/>
      <c r="J824" s="69"/>
      <c r="K824" s="64"/>
      <c r="L824" s="69"/>
      <c r="M824" s="65"/>
      <c r="N824" s="69"/>
      <c r="O824" s="64"/>
      <c r="P824" s="69"/>
      <c r="Q824" s="64"/>
      <c r="R824" s="69"/>
      <c r="S824" s="64"/>
      <c r="T824" s="69"/>
      <c r="U824" s="64"/>
      <c r="V824" s="69"/>
      <c r="W824" s="65"/>
      <c r="X824" s="69"/>
      <c r="Y824" s="64"/>
      <c r="Z824" s="69"/>
      <c r="AA824" s="64"/>
      <c r="AB824" s="69"/>
      <c r="AC824" s="64"/>
      <c r="AD824" s="69"/>
      <c r="AE824" s="65"/>
      <c r="AF824" s="69"/>
      <c r="AG824" s="65"/>
      <c r="AH824" s="69"/>
      <c r="AI824" s="64"/>
      <c r="AJ824" s="69"/>
      <c r="AK824" s="64"/>
      <c r="AL824" s="69"/>
      <c r="AM824" s="64"/>
      <c r="AN824" s="69"/>
      <c r="AO824" s="64"/>
      <c r="AP824" s="69"/>
      <c r="AQ824" s="64"/>
      <c r="AR824" s="69"/>
      <c r="AS824" s="64"/>
      <c r="AT824" s="69"/>
      <c r="AU824" s="64"/>
      <c r="AV824" s="69"/>
      <c r="AW824" s="64"/>
      <c r="AX824" s="69"/>
      <c r="AY824" s="64"/>
      <c r="AZ824" s="69"/>
      <c r="BA824" s="64"/>
      <c r="BB824" s="69"/>
      <c r="BC824" s="64"/>
      <c r="BD824" s="69"/>
      <c r="BE824" s="64"/>
      <c r="BF824" s="69"/>
      <c r="BG824" s="64"/>
      <c r="BH824" s="69"/>
      <c r="BI824" s="64"/>
      <c r="BJ824" s="69"/>
      <c r="BK824" s="64"/>
      <c r="BL824" s="69"/>
      <c r="BM824" s="64"/>
      <c r="BN824" s="69"/>
      <c r="BO824" s="64"/>
      <c r="BP824" s="69"/>
      <c r="BQ824" s="64"/>
      <c r="BR824" s="69"/>
      <c r="BS824" s="64"/>
      <c r="BT824" s="69"/>
      <c r="BU824" t="b">
        <f t="shared" si="13"/>
        <v>0</v>
      </c>
    </row>
    <row r="825" spans="1:73" x14ac:dyDescent="0.25">
      <c r="A825" s="28"/>
      <c r="B825" s="29"/>
      <c r="C825" s="29"/>
      <c r="D825" s="30"/>
      <c r="E825" s="29"/>
      <c r="F825" s="30"/>
      <c r="G825" s="29"/>
      <c r="H825" s="69"/>
      <c r="I825" s="64"/>
      <c r="J825" s="69"/>
      <c r="K825" s="64"/>
      <c r="L825" s="69"/>
      <c r="M825" s="65"/>
      <c r="N825" s="69"/>
      <c r="O825" s="64"/>
      <c r="P825" s="69"/>
      <c r="Q825" s="64"/>
      <c r="R825" s="69"/>
      <c r="S825" s="64"/>
      <c r="T825" s="69"/>
      <c r="U825" s="64"/>
      <c r="V825" s="69"/>
      <c r="W825" s="65"/>
      <c r="X825" s="69"/>
      <c r="Y825" s="64"/>
      <c r="Z825" s="69"/>
      <c r="AA825" s="64"/>
      <c r="AB825" s="69"/>
      <c r="AC825" s="64"/>
      <c r="AD825" s="69"/>
      <c r="AE825" s="65"/>
      <c r="AF825" s="69"/>
      <c r="AG825" s="65"/>
      <c r="AH825" s="69"/>
      <c r="AI825" s="64"/>
      <c r="AJ825" s="69"/>
      <c r="AK825" s="64"/>
      <c r="AL825" s="69"/>
      <c r="AM825" s="64"/>
      <c r="AN825" s="69"/>
      <c r="AO825" s="64"/>
      <c r="AP825" s="69"/>
      <c r="AQ825" s="64"/>
      <c r="AR825" s="69"/>
      <c r="AS825" s="64"/>
      <c r="AT825" s="69"/>
      <c r="AU825" s="64"/>
      <c r="AV825" s="69"/>
      <c r="AW825" s="64"/>
      <c r="AX825" s="69"/>
      <c r="AY825" s="64"/>
      <c r="AZ825" s="69"/>
      <c r="BA825" s="64"/>
      <c r="BB825" s="69"/>
      <c r="BC825" s="64"/>
      <c r="BD825" s="69"/>
      <c r="BE825" s="64"/>
      <c r="BF825" s="69"/>
      <c r="BG825" s="64"/>
      <c r="BH825" s="69"/>
      <c r="BI825" s="64"/>
      <c r="BJ825" s="69"/>
      <c r="BK825" s="64"/>
      <c r="BL825" s="69"/>
      <c r="BM825" s="64"/>
      <c r="BN825" s="69"/>
      <c r="BO825" s="64"/>
      <c r="BP825" s="69"/>
      <c r="BQ825" s="64"/>
      <c r="BR825" s="69"/>
      <c r="BS825" s="64"/>
      <c r="BT825" s="69"/>
      <c r="BU825" t="b">
        <f t="shared" si="13"/>
        <v>0</v>
      </c>
    </row>
    <row r="826" spans="1:73" x14ac:dyDescent="0.25">
      <c r="A826" s="28"/>
      <c r="B826" s="29"/>
      <c r="C826" s="29"/>
      <c r="D826" s="30"/>
      <c r="E826" s="29"/>
      <c r="F826" s="30"/>
      <c r="G826" s="29"/>
      <c r="H826" s="69"/>
      <c r="I826" s="64"/>
      <c r="J826" s="69"/>
      <c r="K826" s="64"/>
      <c r="L826" s="69"/>
      <c r="M826" s="65"/>
      <c r="N826" s="69"/>
      <c r="O826" s="64"/>
      <c r="P826" s="69"/>
      <c r="Q826" s="64"/>
      <c r="R826" s="69"/>
      <c r="S826" s="64"/>
      <c r="T826" s="69"/>
      <c r="U826" s="64"/>
      <c r="V826" s="69"/>
      <c r="W826" s="65"/>
      <c r="X826" s="69"/>
      <c r="Y826" s="64"/>
      <c r="Z826" s="69"/>
      <c r="AA826" s="64"/>
      <c r="AB826" s="69"/>
      <c r="AC826" s="64"/>
      <c r="AD826" s="69"/>
      <c r="AE826" s="65"/>
      <c r="AF826" s="69"/>
      <c r="AG826" s="65"/>
      <c r="AH826" s="69"/>
      <c r="AI826" s="64"/>
      <c r="AJ826" s="69"/>
      <c r="AK826" s="64"/>
      <c r="AL826" s="69"/>
      <c r="AM826" s="64"/>
      <c r="AN826" s="69"/>
      <c r="AO826" s="64"/>
      <c r="AP826" s="69"/>
      <c r="AQ826" s="64"/>
      <c r="AR826" s="69"/>
      <c r="AS826" s="64"/>
      <c r="AT826" s="69"/>
      <c r="AU826" s="64"/>
      <c r="AV826" s="69"/>
      <c r="AW826" s="64"/>
      <c r="AX826" s="69"/>
      <c r="AY826" s="64"/>
      <c r="AZ826" s="69"/>
      <c r="BA826" s="64"/>
      <c r="BB826" s="69"/>
      <c r="BC826" s="64"/>
      <c r="BD826" s="69"/>
      <c r="BE826" s="64"/>
      <c r="BF826" s="69"/>
      <c r="BG826" s="64"/>
      <c r="BH826" s="69"/>
      <c r="BI826" s="64"/>
      <c r="BJ826" s="69"/>
      <c r="BK826" s="64"/>
      <c r="BL826" s="69"/>
      <c r="BM826" s="64"/>
      <c r="BN826" s="69"/>
      <c r="BO826" s="64"/>
      <c r="BP826" s="69"/>
      <c r="BQ826" s="64"/>
      <c r="BR826" s="69"/>
      <c r="BS826" s="64"/>
      <c r="BT826" s="69"/>
      <c r="BU826" t="b">
        <f t="shared" si="13"/>
        <v>0</v>
      </c>
    </row>
    <row r="827" spans="1:73" x14ac:dyDescent="0.25">
      <c r="A827" s="28"/>
      <c r="B827" s="29"/>
      <c r="C827" s="29"/>
      <c r="D827" s="30"/>
      <c r="E827" s="29"/>
      <c r="F827" s="30"/>
      <c r="G827" s="29"/>
      <c r="H827" s="69"/>
      <c r="I827" s="64"/>
      <c r="J827" s="69"/>
      <c r="K827" s="64"/>
      <c r="L827" s="69"/>
      <c r="M827" s="65"/>
      <c r="N827" s="69"/>
      <c r="O827" s="64"/>
      <c r="P827" s="69"/>
      <c r="Q827" s="64"/>
      <c r="R827" s="69"/>
      <c r="S827" s="64"/>
      <c r="T827" s="69"/>
      <c r="U827" s="64"/>
      <c r="V827" s="69"/>
      <c r="W827" s="65"/>
      <c r="X827" s="69"/>
      <c r="Y827" s="64"/>
      <c r="Z827" s="69"/>
      <c r="AA827" s="64"/>
      <c r="AB827" s="69"/>
      <c r="AC827" s="64"/>
      <c r="AD827" s="69"/>
      <c r="AE827" s="65"/>
      <c r="AF827" s="69"/>
      <c r="AG827" s="65"/>
      <c r="AH827" s="69"/>
      <c r="AI827" s="64"/>
      <c r="AJ827" s="69"/>
      <c r="AK827" s="64"/>
      <c r="AL827" s="69"/>
      <c r="AM827" s="64"/>
      <c r="AN827" s="69"/>
      <c r="AO827" s="64"/>
      <c r="AP827" s="69"/>
      <c r="AQ827" s="64"/>
      <c r="AR827" s="69"/>
      <c r="AS827" s="64"/>
      <c r="AT827" s="69"/>
      <c r="AU827" s="64"/>
      <c r="AV827" s="69"/>
      <c r="AW827" s="64"/>
      <c r="AX827" s="69"/>
      <c r="AY827" s="64"/>
      <c r="AZ827" s="69"/>
      <c r="BA827" s="64"/>
      <c r="BB827" s="69"/>
      <c r="BC827" s="64"/>
      <c r="BD827" s="69"/>
      <c r="BE827" s="64"/>
      <c r="BF827" s="69"/>
      <c r="BG827" s="64"/>
      <c r="BH827" s="69"/>
      <c r="BI827" s="64"/>
      <c r="BJ827" s="69"/>
      <c r="BK827" s="64"/>
      <c r="BL827" s="69"/>
      <c r="BM827" s="64"/>
      <c r="BN827" s="69"/>
      <c r="BO827" s="64"/>
      <c r="BP827" s="69"/>
      <c r="BQ827" s="64"/>
      <c r="BR827" s="69"/>
      <c r="BS827" s="64"/>
      <c r="BT827" s="69"/>
      <c r="BU827" t="b">
        <f t="shared" si="13"/>
        <v>0</v>
      </c>
    </row>
    <row r="828" spans="1:73" x14ac:dyDescent="0.25">
      <c r="A828" s="28"/>
      <c r="B828" s="29"/>
      <c r="C828" s="29"/>
      <c r="D828" s="30"/>
      <c r="E828" s="29"/>
      <c r="F828" s="30"/>
      <c r="G828" s="29"/>
      <c r="H828" s="69"/>
      <c r="I828" s="64"/>
      <c r="J828" s="69"/>
      <c r="K828" s="64"/>
      <c r="L828" s="69"/>
      <c r="M828" s="65"/>
      <c r="N828" s="69"/>
      <c r="O828" s="64"/>
      <c r="P828" s="69"/>
      <c r="Q828" s="64"/>
      <c r="R828" s="69"/>
      <c r="S828" s="64"/>
      <c r="T828" s="69"/>
      <c r="U828" s="64"/>
      <c r="V828" s="69"/>
      <c r="W828" s="65"/>
      <c r="X828" s="69"/>
      <c r="Y828" s="64"/>
      <c r="Z828" s="69"/>
      <c r="AA828" s="64"/>
      <c r="AB828" s="69"/>
      <c r="AC828" s="64"/>
      <c r="AD828" s="69"/>
      <c r="AE828" s="65"/>
      <c r="AF828" s="69"/>
      <c r="AG828" s="65"/>
      <c r="AH828" s="69"/>
      <c r="AI828" s="64"/>
      <c r="AJ828" s="69"/>
      <c r="AK828" s="64"/>
      <c r="AL828" s="69"/>
      <c r="AM828" s="64"/>
      <c r="AN828" s="69"/>
      <c r="AO828" s="64"/>
      <c r="AP828" s="69"/>
      <c r="AQ828" s="64"/>
      <c r="AR828" s="69"/>
      <c r="AS828" s="64"/>
      <c r="AT828" s="69"/>
      <c r="AU828" s="64"/>
      <c r="AV828" s="69"/>
      <c r="AW828" s="64"/>
      <c r="AX828" s="69"/>
      <c r="AY828" s="64"/>
      <c r="AZ828" s="69"/>
      <c r="BA828" s="64"/>
      <c r="BB828" s="69"/>
      <c r="BC828" s="64"/>
      <c r="BD828" s="69"/>
      <c r="BE828" s="64"/>
      <c r="BF828" s="69"/>
      <c r="BG828" s="64"/>
      <c r="BH828" s="69"/>
      <c r="BI828" s="64"/>
      <c r="BJ828" s="69"/>
      <c r="BK828" s="64"/>
      <c r="BL828" s="69"/>
      <c r="BM828" s="64"/>
      <c r="BN828" s="69"/>
      <c r="BO828" s="64"/>
      <c r="BP828" s="69"/>
      <c r="BQ828" s="64"/>
      <c r="BR828" s="69"/>
      <c r="BS828" s="64"/>
      <c r="BT828" s="69"/>
      <c r="BU828" t="b">
        <f t="shared" si="13"/>
        <v>0</v>
      </c>
    </row>
    <row r="829" spans="1:73" x14ac:dyDescent="0.25">
      <c r="A829" s="28"/>
      <c r="B829" s="29"/>
      <c r="C829" s="29"/>
      <c r="D829" s="30"/>
      <c r="E829" s="29"/>
      <c r="F829" s="30"/>
      <c r="G829" s="29"/>
      <c r="H829" s="69"/>
      <c r="I829" s="64"/>
      <c r="J829" s="69"/>
      <c r="K829" s="64"/>
      <c r="L829" s="69"/>
      <c r="M829" s="65"/>
      <c r="N829" s="69"/>
      <c r="O829" s="64"/>
      <c r="P829" s="69"/>
      <c r="Q829" s="64"/>
      <c r="R829" s="69"/>
      <c r="S829" s="64"/>
      <c r="T829" s="69"/>
      <c r="U829" s="64"/>
      <c r="V829" s="69"/>
      <c r="W829" s="65"/>
      <c r="X829" s="69"/>
      <c r="Y829" s="64"/>
      <c r="Z829" s="69"/>
      <c r="AA829" s="64"/>
      <c r="AB829" s="69"/>
      <c r="AC829" s="64"/>
      <c r="AD829" s="69"/>
      <c r="AE829" s="65"/>
      <c r="AF829" s="69"/>
      <c r="AG829" s="65"/>
      <c r="AH829" s="69"/>
      <c r="AI829" s="64"/>
      <c r="AJ829" s="69"/>
      <c r="AK829" s="64"/>
      <c r="AL829" s="69"/>
      <c r="AM829" s="64"/>
      <c r="AN829" s="69"/>
      <c r="AO829" s="64"/>
      <c r="AP829" s="69"/>
      <c r="AQ829" s="64"/>
      <c r="AR829" s="69"/>
      <c r="AS829" s="64"/>
      <c r="AT829" s="69"/>
      <c r="AU829" s="64"/>
      <c r="AV829" s="69"/>
      <c r="AW829" s="64"/>
      <c r="AX829" s="69"/>
      <c r="AY829" s="64"/>
      <c r="AZ829" s="69"/>
      <c r="BA829" s="64"/>
      <c r="BB829" s="69"/>
      <c r="BC829" s="64"/>
      <c r="BD829" s="69"/>
      <c r="BE829" s="64"/>
      <c r="BF829" s="69"/>
      <c r="BG829" s="64"/>
      <c r="BH829" s="69"/>
      <c r="BI829" s="64"/>
      <c r="BJ829" s="69"/>
      <c r="BK829" s="64"/>
      <c r="BL829" s="69"/>
      <c r="BM829" s="64"/>
      <c r="BN829" s="69"/>
      <c r="BO829" s="64"/>
      <c r="BP829" s="69"/>
      <c r="BQ829" s="64"/>
      <c r="BR829" s="69"/>
      <c r="BS829" s="64"/>
      <c r="BT829" s="69"/>
      <c r="BU829" t="b">
        <f t="shared" si="13"/>
        <v>0</v>
      </c>
    </row>
    <row r="830" spans="1:73" x14ac:dyDescent="0.25">
      <c r="A830" s="28"/>
      <c r="B830" s="29"/>
      <c r="C830" s="29"/>
      <c r="D830" s="30"/>
      <c r="E830" s="29"/>
      <c r="F830" s="30"/>
      <c r="G830" s="29"/>
      <c r="H830" s="69"/>
      <c r="I830" s="64"/>
      <c r="J830" s="69"/>
      <c r="K830" s="64"/>
      <c r="L830" s="69"/>
      <c r="M830" s="65"/>
      <c r="N830" s="69"/>
      <c r="O830" s="64"/>
      <c r="P830" s="69"/>
      <c r="Q830" s="64"/>
      <c r="R830" s="69"/>
      <c r="S830" s="64"/>
      <c r="T830" s="69"/>
      <c r="U830" s="64"/>
      <c r="V830" s="69"/>
      <c r="W830" s="65"/>
      <c r="X830" s="69"/>
      <c r="Y830" s="64"/>
      <c r="Z830" s="69"/>
      <c r="AA830" s="64"/>
      <c r="AB830" s="69"/>
      <c r="AC830" s="64"/>
      <c r="AD830" s="69"/>
      <c r="AE830" s="65"/>
      <c r="AF830" s="69"/>
      <c r="AG830" s="65"/>
      <c r="AH830" s="69"/>
      <c r="AI830" s="64"/>
      <c r="AJ830" s="69"/>
      <c r="AK830" s="64"/>
      <c r="AL830" s="69"/>
      <c r="AM830" s="64"/>
      <c r="AN830" s="69"/>
      <c r="AO830" s="64"/>
      <c r="AP830" s="69"/>
      <c r="AQ830" s="64"/>
      <c r="AR830" s="69"/>
      <c r="AS830" s="64"/>
      <c r="AT830" s="69"/>
      <c r="AU830" s="64"/>
      <c r="AV830" s="69"/>
      <c r="AW830" s="64"/>
      <c r="AX830" s="69"/>
      <c r="AY830" s="64"/>
      <c r="AZ830" s="69"/>
      <c r="BA830" s="64"/>
      <c r="BB830" s="69"/>
      <c r="BC830" s="64"/>
      <c r="BD830" s="69"/>
      <c r="BE830" s="64"/>
      <c r="BF830" s="69"/>
      <c r="BG830" s="64"/>
      <c r="BH830" s="69"/>
      <c r="BI830" s="64"/>
      <c r="BJ830" s="69"/>
      <c r="BK830" s="64"/>
      <c r="BL830" s="69"/>
      <c r="BM830" s="64"/>
      <c r="BN830" s="69"/>
      <c r="BO830" s="64"/>
      <c r="BP830" s="69"/>
      <c r="BQ830" s="64"/>
      <c r="BR830" s="69"/>
      <c r="BS830" s="64"/>
      <c r="BT830" s="69"/>
      <c r="BU830" t="b">
        <f t="shared" si="13"/>
        <v>0</v>
      </c>
    </row>
    <row r="831" spans="1:73" x14ac:dyDescent="0.25">
      <c r="A831" s="28"/>
      <c r="B831" s="29"/>
      <c r="C831" s="29"/>
      <c r="D831" s="30"/>
      <c r="E831" s="29"/>
      <c r="F831" s="30"/>
      <c r="G831" s="29"/>
      <c r="H831" s="69"/>
      <c r="I831" s="64"/>
      <c r="J831" s="69"/>
      <c r="K831" s="64"/>
      <c r="L831" s="69"/>
      <c r="M831" s="65"/>
      <c r="N831" s="69"/>
      <c r="O831" s="64"/>
      <c r="P831" s="69"/>
      <c r="Q831" s="64"/>
      <c r="R831" s="69"/>
      <c r="S831" s="64"/>
      <c r="T831" s="69"/>
      <c r="U831" s="64"/>
      <c r="V831" s="69"/>
      <c r="W831" s="65"/>
      <c r="X831" s="69"/>
      <c r="Y831" s="64"/>
      <c r="Z831" s="69"/>
      <c r="AA831" s="64"/>
      <c r="AB831" s="69"/>
      <c r="AC831" s="64"/>
      <c r="AD831" s="69"/>
      <c r="AE831" s="65"/>
      <c r="AF831" s="69"/>
      <c r="AG831" s="65"/>
      <c r="AH831" s="69"/>
      <c r="AI831" s="64"/>
      <c r="AJ831" s="69"/>
      <c r="AK831" s="64"/>
      <c r="AL831" s="69"/>
      <c r="AM831" s="64"/>
      <c r="AN831" s="69"/>
      <c r="AO831" s="64"/>
      <c r="AP831" s="69"/>
      <c r="AQ831" s="64"/>
      <c r="AR831" s="69"/>
      <c r="AS831" s="64"/>
      <c r="AT831" s="69"/>
      <c r="AU831" s="64"/>
      <c r="AV831" s="69"/>
      <c r="AW831" s="64"/>
      <c r="AX831" s="69"/>
      <c r="AY831" s="64"/>
      <c r="AZ831" s="69"/>
      <c r="BA831" s="64"/>
      <c r="BB831" s="69"/>
      <c r="BC831" s="64"/>
      <c r="BD831" s="69"/>
      <c r="BE831" s="64"/>
      <c r="BF831" s="69"/>
      <c r="BG831" s="64"/>
      <c r="BH831" s="69"/>
      <c r="BI831" s="64"/>
      <c r="BJ831" s="69"/>
      <c r="BK831" s="64"/>
      <c r="BL831" s="69"/>
      <c r="BM831" s="64"/>
      <c r="BN831" s="69"/>
      <c r="BO831" s="64"/>
      <c r="BP831" s="69"/>
      <c r="BQ831" s="64"/>
      <c r="BR831" s="69"/>
      <c r="BS831" s="64"/>
      <c r="BT831" s="69"/>
      <c r="BU831" t="b">
        <f t="shared" si="13"/>
        <v>0</v>
      </c>
    </row>
    <row r="832" spans="1:73" x14ac:dyDescent="0.25">
      <c r="A832" s="28"/>
      <c r="B832" s="29"/>
      <c r="C832" s="29"/>
      <c r="D832" s="30"/>
      <c r="E832" s="29"/>
      <c r="F832" s="30"/>
      <c r="G832" s="29"/>
      <c r="H832" s="69"/>
      <c r="I832" s="64"/>
      <c r="J832" s="69"/>
      <c r="K832" s="64"/>
      <c r="L832" s="69"/>
      <c r="M832" s="65"/>
      <c r="N832" s="69"/>
      <c r="O832" s="64"/>
      <c r="P832" s="69"/>
      <c r="Q832" s="64"/>
      <c r="R832" s="69"/>
      <c r="S832" s="64"/>
      <c r="T832" s="69"/>
      <c r="U832" s="64"/>
      <c r="V832" s="69"/>
      <c r="W832" s="65"/>
      <c r="X832" s="69"/>
      <c r="Y832" s="64"/>
      <c r="Z832" s="69"/>
      <c r="AA832" s="64"/>
      <c r="AB832" s="69"/>
      <c r="AC832" s="64"/>
      <c r="AD832" s="69"/>
      <c r="AE832" s="65"/>
      <c r="AF832" s="69"/>
      <c r="AG832" s="65"/>
      <c r="AH832" s="69"/>
      <c r="AI832" s="64"/>
      <c r="AJ832" s="69"/>
      <c r="AK832" s="64"/>
      <c r="AL832" s="69"/>
      <c r="AM832" s="64"/>
      <c r="AN832" s="69"/>
      <c r="AO832" s="64"/>
      <c r="AP832" s="69"/>
      <c r="AQ832" s="64"/>
      <c r="AR832" s="69"/>
      <c r="AS832" s="64"/>
      <c r="AT832" s="69"/>
      <c r="AU832" s="64"/>
      <c r="AV832" s="69"/>
      <c r="AW832" s="64"/>
      <c r="AX832" s="69"/>
      <c r="AY832" s="64"/>
      <c r="AZ832" s="69"/>
      <c r="BA832" s="64"/>
      <c r="BB832" s="69"/>
      <c r="BC832" s="64"/>
      <c r="BD832" s="69"/>
      <c r="BE832" s="64"/>
      <c r="BF832" s="69"/>
      <c r="BG832" s="64"/>
      <c r="BH832" s="69"/>
      <c r="BI832" s="64"/>
      <c r="BJ832" s="69"/>
      <c r="BK832" s="64"/>
      <c r="BL832" s="69"/>
      <c r="BM832" s="64"/>
      <c r="BN832" s="69"/>
      <c r="BO832" s="64"/>
      <c r="BP832" s="69"/>
      <c r="BQ832" s="64"/>
      <c r="BR832" s="69"/>
      <c r="BS832" s="64"/>
      <c r="BT832" s="69"/>
      <c r="BU832" t="b">
        <f t="shared" si="13"/>
        <v>0</v>
      </c>
    </row>
    <row r="833" spans="1:73" x14ac:dyDescent="0.25">
      <c r="A833" s="28"/>
      <c r="B833" s="29"/>
      <c r="C833" s="29"/>
      <c r="D833" s="30"/>
      <c r="E833" s="29"/>
      <c r="F833" s="30"/>
      <c r="G833" s="29"/>
      <c r="H833" s="69"/>
      <c r="I833" s="64"/>
      <c r="J833" s="69"/>
      <c r="K833" s="64"/>
      <c r="L833" s="69"/>
      <c r="M833" s="65"/>
      <c r="N833" s="69"/>
      <c r="O833" s="64"/>
      <c r="P833" s="69"/>
      <c r="Q833" s="64"/>
      <c r="R833" s="69"/>
      <c r="S833" s="64"/>
      <c r="T833" s="69"/>
      <c r="U833" s="64"/>
      <c r="V833" s="69"/>
      <c r="W833" s="65"/>
      <c r="X833" s="69"/>
      <c r="Y833" s="64"/>
      <c r="Z833" s="69"/>
      <c r="AA833" s="64"/>
      <c r="AB833" s="69"/>
      <c r="AC833" s="64"/>
      <c r="AD833" s="69"/>
      <c r="AE833" s="65"/>
      <c r="AF833" s="69"/>
      <c r="AG833" s="65"/>
      <c r="AH833" s="69"/>
      <c r="AI833" s="64"/>
      <c r="AJ833" s="69"/>
      <c r="AK833" s="64"/>
      <c r="AL833" s="69"/>
      <c r="AM833" s="64"/>
      <c r="AN833" s="69"/>
      <c r="AO833" s="64"/>
      <c r="AP833" s="69"/>
      <c r="AQ833" s="64"/>
      <c r="AR833" s="69"/>
      <c r="AS833" s="64"/>
      <c r="AT833" s="69"/>
      <c r="AU833" s="64"/>
      <c r="AV833" s="69"/>
      <c r="AW833" s="64"/>
      <c r="AX833" s="69"/>
      <c r="AY833" s="64"/>
      <c r="AZ833" s="69"/>
      <c r="BA833" s="64"/>
      <c r="BB833" s="69"/>
      <c r="BC833" s="64"/>
      <c r="BD833" s="69"/>
      <c r="BE833" s="64"/>
      <c r="BF833" s="69"/>
      <c r="BG833" s="64"/>
      <c r="BH833" s="69"/>
      <c r="BI833" s="64"/>
      <c r="BJ833" s="69"/>
      <c r="BK833" s="64"/>
      <c r="BL833" s="69"/>
      <c r="BM833" s="64"/>
      <c r="BN833" s="69"/>
      <c r="BO833" s="64"/>
      <c r="BP833" s="69"/>
      <c r="BQ833" s="64"/>
      <c r="BR833" s="69"/>
      <c r="BS833" s="64"/>
      <c r="BT833" s="69"/>
      <c r="BU833" t="b">
        <f t="shared" si="13"/>
        <v>0</v>
      </c>
    </row>
    <row r="834" spans="1:73" x14ac:dyDescent="0.25">
      <c r="A834" s="28"/>
      <c r="B834" s="29"/>
      <c r="C834" s="29"/>
      <c r="D834" s="30"/>
      <c r="E834" s="29"/>
      <c r="F834" s="30"/>
      <c r="G834" s="29"/>
      <c r="H834" s="69"/>
      <c r="I834" s="64"/>
      <c r="J834" s="69"/>
      <c r="K834" s="64"/>
      <c r="L834" s="69"/>
      <c r="M834" s="65"/>
      <c r="N834" s="69"/>
      <c r="O834" s="64"/>
      <c r="P834" s="69"/>
      <c r="Q834" s="64"/>
      <c r="R834" s="69"/>
      <c r="S834" s="64"/>
      <c r="T834" s="69"/>
      <c r="U834" s="64"/>
      <c r="V834" s="69"/>
      <c r="W834" s="65"/>
      <c r="X834" s="69"/>
      <c r="Y834" s="64"/>
      <c r="Z834" s="69"/>
      <c r="AA834" s="64"/>
      <c r="AB834" s="69"/>
      <c r="AC834" s="64"/>
      <c r="AD834" s="69"/>
      <c r="AE834" s="65"/>
      <c r="AF834" s="69"/>
      <c r="AG834" s="65"/>
      <c r="AH834" s="69"/>
      <c r="AI834" s="64"/>
      <c r="AJ834" s="69"/>
      <c r="AK834" s="64"/>
      <c r="AL834" s="69"/>
      <c r="AM834" s="64"/>
      <c r="AN834" s="69"/>
      <c r="AO834" s="64"/>
      <c r="AP834" s="69"/>
      <c r="AQ834" s="64"/>
      <c r="AR834" s="69"/>
      <c r="AS834" s="64"/>
      <c r="AT834" s="69"/>
      <c r="AU834" s="64"/>
      <c r="AV834" s="69"/>
      <c r="AW834" s="64"/>
      <c r="AX834" s="69"/>
      <c r="AY834" s="64"/>
      <c r="AZ834" s="69"/>
      <c r="BA834" s="64"/>
      <c r="BB834" s="69"/>
      <c r="BC834" s="64"/>
      <c r="BD834" s="69"/>
      <c r="BE834" s="64"/>
      <c r="BF834" s="69"/>
      <c r="BG834" s="64"/>
      <c r="BH834" s="69"/>
      <c r="BI834" s="64"/>
      <c r="BJ834" s="69"/>
      <c r="BK834" s="64"/>
      <c r="BL834" s="69"/>
      <c r="BM834" s="64"/>
      <c r="BN834" s="69"/>
      <c r="BO834" s="64"/>
      <c r="BP834" s="69"/>
      <c r="BQ834" s="64"/>
      <c r="BR834" s="69"/>
      <c r="BS834" s="64"/>
      <c r="BT834" s="69"/>
      <c r="BU834" t="b">
        <f t="shared" si="13"/>
        <v>0</v>
      </c>
    </row>
    <row r="835" spans="1:73" x14ac:dyDescent="0.25">
      <c r="A835" s="28"/>
      <c r="B835" s="29"/>
      <c r="C835" s="29"/>
      <c r="D835" s="30"/>
      <c r="E835" s="29"/>
      <c r="F835" s="30"/>
      <c r="G835" s="29"/>
      <c r="H835" s="69"/>
      <c r="I835" s="64"/>
      <c r="J835" s="69"/>
      <c r="K835" s="64"/>
      <c r="L835" s="69"/>
      <c r="M835" s="65"/>
      <c r="N835" s="69"/>
      <c r="O835" s="64"/>
      <c r="P835" s="69"/>
      <c r="Q835" s="64"/>
      <c r="R835" s="69"/>
      <c r="S835" s="64"/>
      <c r="T835" s="69"/>
      <c r="U835" s="64"/>
      <c r="V835" s="69"/>
      <c r="W835" s="65"/>
      <c r="X835" s="69"/>
      <c r="Y835" s="64"/>
      <c r="Z835" s="69"/>
      <c r="AA835" s="64"/>
      <c r="AB835" s="69"/>
      <c r="AC835" s="64"/>
      <c r="AD835" s="69"/>
      <c r="AE835" s="65"/>
      <c r="AF835" s="69"/>
      <c r="AG835" s="65"/>
      <c r="AH835" s="69"/>
      <c r="AI835" s="64"/>
      <c r="AJ835" s="69"/>
      <c r="AK835" s="64"/>
      <c r="AL835" s="69"/>
      <c r="AM835" s="64"/>
      <c r="AN835" s="69"/>
      <c r="AO835" s="64"/>
      <c r="AP835" s="69"/>
      <c r="AQ835" s="64"/>
      <c r="AR835" s="69"/>
      <c r="AS835" s="64"/>
      <c r="AT835" s="69"/>
      <c r="AU835" s="64"/>
      <c r="AV835" s="69"/>
      <c r="AW835" s="64"/>
      <c r="AX835" s="69"/>
      <c r="AY835" s="64"/>
      <c r="AZ835" s="69"/>
      <c r="BA835" s="64"/>
      <c r="BB835" s="69"/>
      <c r="BC835" s="64"/>
      <c r="BD835" s="69"/>
      <c r="BE835" s="64"/>
      <c r="BF835" s="69"/>
      <c r="BG835" s="64"/>
      <c r="BH835" s="69"/>
      <c r="BI835" s="64"/>
      <c r="BJ835" s="69"/>
      <c r="BK835" s="64"/>
      <c r="BL835" s="69"/>
      <c r="BM835" s="64"/>
      <c r="BN835" s="69"/>
      <c r="BO835" s="64"/>
      <c r="BP835" s="69"/>
      <c r="BQ835" s="64"/>
      <c r="BR835" s="69"/>
      <c r="BS835" s="64"/>
      <c r="BT835" s="69"/>
      <c r="BU835" t="b">
        <f t="shared" si="13"/>
        <v>0</v>
      </c>
    </row>
    <row r="836" spans="1:73" x14ac:dyDescent="0.25">
      <c r="A836" s="28"/>
      <c r="B836" s="29"/>
      <c r="C836" s="29"/>
      <c r="D836" s="30"/>
      <c r="E836" s="29"/>
      <c r="F836" s="30"/>
      <c r="G836" s="29"/>
      <c r="H836" s="69"/>
      <c r="I836" s="64"/>
      <c r="J836" s="69"/>
      <c r="K836" s="64"/>
      <c r="L836" s="69"/>
      <c r="M836" s="65"/>
      <c r="N836" s="69"/>
      <c r="O836" s="64"/>
      <c r="P836" s="69"/>
      <c r="Q836" s="64"/>
      <c r="R836" s="69"/>
      <c r="S836" s="64"/>
      <c r="T836" s="69"/>
      <c r="U836" s="64"/>
      <c r="V836" s="69"/>
      <c r="W836" s="65"/>
      <c r="X836" s="69"/>
      <c r="Y836" s="64"/>
      <c r="Z836" s="69"/>
      <c r="AA836" s="64"/>
      <c r="AB836" s="69"/>
      <c r="AC836" s="64"/>
      <c r="AD836" s="69"/>
      <c r="AE836" s="65"/>
      <c r="AF836" s="69"/>
      <c r="AG836" s="65"/>
      <c r="AH836" s="69"/>
      <c r="AI836" s="64"/>
      <c r="AJ836" s="69"/>
      <c r="AK836" s="64"/>
      <c r="AL836" s="69"/>
      <c r="AM836" s="64"/>
      <c r="AN836" s="69"/>
      <c r="AO836" s="64"/>
      <c r="AP836" s="69"/>
      <c r="AQ836" s="64"/>
      <c r="AR836" s="69"/>
      <c r="AS836" s="64"/>
      <c r="AT836" s="69"/>
      <c r="AU836" s="64"/>
      <c r="AV836" s="69"/>
      <c r="AW836" s="64"/>
      <c r="AX836" s="69"/>
      <c r="AY836" s="64"/>
      <c r="AZ836" s="69"/>
      <c r="BA836" s="64"/>
      <c r="BB836" s="69"/>
      <c r="BC836" s="64"/>
      <c r="BD836" s="69"/>
      <c r="BE836" s="64"/>
      <c r="BF836" s="69"/>
      <c r="BG836" s="64"/>
      <c r="BH836" s="69"/>
      <c r="BI836" s="64"/>
      <c r="BJ836" s="69"/>
      <c r="BK836" s="64"/>
      <c r="BL836" s="69"/>
      <c r="BM836" s="64"/>
      <c r="BN836" s="69"/>
      <c r="BO836" s="64"/>
      <c r="BP836" s="69"/>
      <c r="BQ836" s="64"/>
      <c r="BR836" s="69"/>
      <c r="BS836" s="64"/>
      <c r="BT836" s="69"/>
      <c r="BU836" t="b">
        <f t="shared" si="13"/>
        <v>0</v>
      </c>
    </row>
    <row r="837" spans="1:73" x14ac:dyDescent="0.25">
      <c r="A837" s="28"/>
      <c r="B837" s="29"/>
      <c r="C837" s="29"/>
      <c r="D837" s="30"/>
      <c r="E837" s="29"/>
      <c r="F837" s="30"/>
      <c r="G837" s="29"/>
      <c r="H837" s="69"/>
      <c r="I837" s="64"/>
      <c r="J837" s="69"/>
      <c r="K837" s="64"/>
      <c r="L837" s="69"/>
      <c r="M837" s="65"/>
      <c r="N837" s="69"/>
      <c r="O837" s="64"/>
      <c r="P837" s="69"/>
      <c r="Q837" s="64"/>
      <c r="R837" s="69"/>
      <c r="S837" s="64"/>
      <c r="T837" s="69"/>
      <c r="U837" s="64"/>
      <c r="V837" s="69"/>
      <c r="W837" s="65"/>
      <c r="X837" s="69"/>
      <c r="Y837" s="64"/>
      <c r="Z837" s="69"/>
      <c r="AA837" s="64"/>
      <c r="AB837" s="69"/>
      <c r="AC837" s="64"/>
      <c r="AD837" s="69"/>
      <c r="AE837" s="65"/>
      <c r="AF837" s="69"/>
      <c r="AG837" s="65"/>
      <c r="AH837" s="69"/>
      <c r="AI837" s="64"/>
      <c r="AJ837" s="69"/>
      <c r="AK837" s="64"/>
      <c r="AL837" s="69"/>
      <c r="AM837" s="64"/>
      <c r="AN837" s="69"/>
      <c r="AO837" s="64"/>
      <c r="AP837" s="69"/>
      <c r="AQ837" s="64"/>
      <c r="AR837" s="69"/>
      <c r="AS837" s="64"/>
      <c r="AT837" s="69"/>
      <c r="AU837" s="64"/>
      <c r="AV837" s="69"/>
      <c r="AW837" s="64"/>
      <c r="AX837" s="69"/>
      <c r="AY837" s="64"/>
      <c r="AZ837" s="69"/>
      <c r="BA837" s="64"/>
      <c r="BB837" s="69"/>
      <c r="BC837" s="64"/>
      <c r="BD837" s="69"/>
      <c r="BE837" s="64"/>
      <c r="BF837" s="69"/>
      <c r="BG837" s="64"/>
      <c r="BH837" s="69"/>
      <c r="BI837" s="64"/>
      <c r="BJ837" s="69"/>
      <c r="BK837" s="64"/>
      <c r="BL837" s="69"/>
      <c r="BM837" s="64"/>
      <c r="BN837" s="69"/>
      <c r="BO837" s="64"/>
      <c r="BP837" s="69"/>
      <c r="BQ837" s="64"/>
      <c r="BR837" s="69"/>
      <c r="BS837" s="64"/>
      <c r="BT837" s="69"/>
      <c r="BU837" t="b">
        <f t="shared" si="13"/>
        <v>0</v>
      </c>
    </row>
    <row r="838" spans="1:73" x14ac:dyDescent="0.25">
      <c r="A838" s="28"/>
      <c r="B838" s="29"/>
      <c r="C838" s="29"/>
      <c r="D838" s="30"/>
      <c r="E838" s="29"/>
      <c r="F838" s="30"/>
      <c r="G838" s="29"/>
      <c r="H838" s="69"/>
      <c r="I838" s="64"/>
      <c r="J838" s="69"/>
      <c r="K838" s="64"/>
      <c r="L838" s="69"/>
      <c r="M838" s="65"/>
      <c r="N838" s="69"/>
      <c r="O838" s="64"/>
      <c r="P838" s="69"/>
      <c r="Q838" s="64"/>
      <c r="R838" s="69"/>
      <c r="S838" s="64"/>
      <c r="T838" s="69"/>
      <c r="U838" s="64"/>
      <c r="V838" s="69"/>
      <c r="W838" s="65"/>
      <c r="X838" s="69"/>
      <c r="Y838" s="64"/>
      <c r="Z838" s="69"/>
      <c r="AA838" s="64"/>
      <c r="AB838" s="69"/>
      <c r="AC838" s="64"/>
      <c r="AD838" s="69"/>
      <c r="AE838" s="65"/>
      <c r="AF838" s="69"/>
      <c r="AG838" s="65"/>
      <c r="AH838" s="69"/>
      <c r="AI838" s="64"/>
      <c r="AJ838" s="69"/>
      <c r="AK838" s="64"/>
      <c r="AL838" s="69"/>
      <c r="AM838" s="64"/>
      <c r="AN838" s="69"/>
      <c r="AO838" s="64"/>
      <c r="AP838" s="69"/>
      <c r="AQ838" s="64"/>
      <c r="AR838" s="69"/>
      <c r="AS838" s="64"/>
      <c r="AT838" s="69"/>
      <c r="AU838" s="64"/>
      <c r="AV838" s="69"/>
      <c r="AW838" s="64"/>
      <c r="AX838" s="69"/>
      <c r="AY838" s="64"/>
      <c r="AZ838" s="69"/>
      <c r="BA838" s="64"/>
      <c r="BB838" s="69"/>
      <c r="BC838" s="64"/>
      <c r="BD838" s="69"/>
      <c r="BE838" s="64"/>
      <c r="BF838" s="69"/>
      <c r="BG838" s="64"/>
      <c r="BH838" s="69"/>
      <c r="BI838" s="64"/>
      <c r="BJ838" s="69"/>
      <c r="BK838" s="64"/>
      <c r="BL838" s="69"/>
      <c r="BM838" s="64"/>
      <c r="BN838" s="69"/>
      <c r="BO838" s="64"/>
      <c r="BP838" s="69"/>
      <c r="BQ838" s="64"/>
      <c r="BR838" s="69"/>
      <c r="BS838" s="64"/>
      <c r="BT838" s="69"/>
      <c r="BU838" t="b">
        <f t="shared" si="13"/>
        <v>0</v>
      </c>
    </row>
    <row r="839" spans="1:73" x14ac:dyDescent="0.25">
      <c r="A839" s="28"/>
      <c r="B839" s="29"/>
      <c r="C839" s="29"/>
      <c r="D839" s="30"/>
      <c r="E839" s="29"/>
      <c r="F839" s="30"/>
      <c r="G839" s="29"/>
      <c r="H839" s="69"/>
      <c r="I839" s="64"/>
      <c r="J839" s="69"/>
      <c r="K839" s="64"/>
      <c r="L839" s="69"/>
      <c r="M839" s="65"/>
      <c r="N839" s="69"/>
      <c r="O839" s="64"/>
      <c r="P839" s="69"/>
      <c r="Q839" s="64"/>
      <c r="R839" s="69"/>
      <c r="S839" s="64"/>
      <c r="T839" s="69"/>
      <c r="U839" s="64"/>
      <c r="V839" s="69"/>
      <c r="W839" s="65"/>
      <c r="X839" s="69"/>
      <c r="Y839" s="64"/>
      <c r="Z839" s="69"/>
      <c r="AA839" s="64"/>
      <c r="AB839" s="69"/>
      <c r="AC839" s="64"/>
      <c r="AD839" s="69"/>
      <c r="AE839" s="65"/>
      <c r="AF839" s="69"/>
      <c r="AG839" s="65"/>
      <c r="AH839" s="69"/>
      <c r="AI839" s="64"/>
      <c r="AJ839" s="69"/>
      <c r="AK839" s="64"/>
      <c r="AL839" s="69"/>
      <c r="AM839" s="64"/>
      <c r="AN839" s="69"/>
      <c r="AO839" s="64"/>
      <c r="AP839" s="69"/>
      <c r="AQ839" s="64"/>
      <c r="AR839" s="69"/>
      <c r="AS839" s="64"/>
      <c r="AT839" s="69"/>
      <c r="AU839" s="64"/>
      <c r="AV839" s="69"/>
      <c r="AW839" s="64"/>
      <c r="AX839" s="69"/>
      <c r="AY839" s="64"/>
      <c r="AZ839" s="69"/>
      <c r="BA839" s="64"/>
      <c r="BB839" s="69"/>
      <c r="BC839" s="64"/>
      <c r="BD839" s="69"/>
      <c r="BE839" s="64"/>
      <c r="BF839" s="69"/>
      <c r="BG839" s="64"/>
      <c r="BH839" s="69"/>
      <c r="BI839" s="64"/>
      <c r="BJ839" s="69"/>
      <c r="BK839" s="64"/>
      <c r="BL839" s="69"/>
      <c r="BM839" s="64"/>
      <c r="BN839" s="69"/>
      <c r="BO839" s="64"/>
      <c r="BP839" s="69"/>
      <c r="BQ839" s="64"/>
      <c r="BR839" s="69"/>
      <c r="BS839" s="64"/>
      <c r="BT839" s="69"/>
      <c r="BU839" t="b">
        <f t="shared" si="13"/>
        <v>0</v>
      </c>
    </row>
    <row r="840" spans="1:73" x14ac:dyDescent="0.25">
      <c r="A840" s="28"/>
      <c r="B840" s="29"/>
      <c r="C840" s="29"/>
      <c r="D840" s="30"/>
      <c r="E840" s="29"/>
      <c r="F840" s="30"/>
      <c r="G840" s="29"/>
      <c r="H840" s="69"/>
      <c r="I840" s="64"/>
      <c r="J840" s="69"/>
      <c r="K840" s="64"/>
      <c r="L840" s="69"/>
      <c r="M840" s="65"/>
      <c r="N840" s="69"/>
      <c r="O840" s="64"/>
      <c r="P840" s="69"/>
      <c r="Q840" s="64"/>
      <c r="R840" s="69"/>
      <c r="S840" s="64"/>
      <c r="T840" s="69"/>
      <c r="U840" s="64"/>
      <c r="V840" s="69"/>
      <c r="W840" s="65"/>
      <c r="X840" s="69"/>
      <c r="Y840" s="64"/>
      <c r="Z840" s="69"/>
      <c r="AA840" s="64"/>
      <c r="AB840" s="69"/>
      <c r="AC840" s="64"/>
      <c r="AD840" s="69"/>
      <c r="AE840" s="65"/>
      <c r="AF840" s="69"/>
      <c r="AG840" s="65"/>
      <c r="AH840" s="69"/>
      <c r="AI840" s="64"/>
      <c r="AJ840" s="69"/>
      <c r="AK840" s="64"/>
      <c r="AL840" s="69"/>
      <c r="AM840" s="64"/>
      <c r="AN840" s="69"/>
      <c r="AO840" s="64"/>
      <c r="AP840" s="69"/>
      <c r="AQ840" s="64"/>
      <c r="AR840" s="69"/>
      <c r="AS840" s="64"/>
      <c r="AT840" s="69"/>
      <c r="AU840" s="64"/>
      <c r="AV840" s="69"/>
      <c r="AW840" s="64"/>
      <c r="AX840" s="69"/>
      <c r="AY840" s="64"/>
      <c r="AZ840" s="69"/>
      <c r="BA840" s="64"/>
      <c r="BB840" s="69"/>
      <c r="BC840" s="64"/>
      <c r="BD840" s="69"/>
      <c r="BE840" s="64"/>
      <c r="BF840" s="69"/>
      <c r="BG840" s="64"/>
      <c r="BH840" s="69"/>
      <c r="BI840" s="64"/>
      <c r="BJ840" s="69"/>
      <c r="BK840" s="64"/>
      <c r="BL840" s="69"/>
      <c r="BM840" s="64"/>
      <c r="BN840" s="69"/>
      <c r="BO840" s="64"/>
      <c r="BP840" s="69"/>
      <c r="BQ840" s="64"/>
      <c r="BR840" s="69"/>
      <c r="BS840" s="64"/>
      <c r="BT840" s="69"/>
      <c r="BU840" t="b">
        <f t="shared" si="13"/>
        <v>0</v>
      </c>
    </row>
    <row r="841" spans="1:73" x14ac:dyDescent="0.25">
      <c r="A841" s="28"/>
      <c r="B841" s="29"/>
      <c r="C841" s="29"/>
      <c r="D841" s="30"/>
      <c r="E841" s="29"/>
      <c r="F841" s="30"/>
      <c r="G841" s="29"/>
      <c r="H841" s="69"/>
      <c r="I841" s="64"/>
      <c r="J841" s="69"/>
      <c r="K841" s="64"/>
      <c r="L841" s="69"/>
      <c r="M841" s="65"/>
      <c r="N841" s="69"/>
      <c r="O841" s="64"/>
      <c r="P841" s="69"/>
      <c r="Q841" s="64"/>
      <c r="R841" s="69"/>
      <c r="S841" s="64"/>
      <c r="T841" s="69"/>
      <c r="U841" s="64"/>
      <c r="V841" s="69"/>
      <c r="W841" s="65"/>
      <c r="X841" s="69"/>
      <c r="Y841" s="64"/>
      <c r="Z841" s="69"/>
      <c r="AA841" s="64"/>
      <c r="AB841" s="69"/>
      <c r="AC841" s="64"/>
      <c r="AD841" s="69"/>
      <c r="AE841" s="65"/>
      <c r="AF841" s="69"/>
      <c r="AG841" s="65"/>
      <c r="AH841" s="69"/>
      <c r="AI841" s="64"/>
      <c r="AJ841" s="69"/>
      <c r="AK841" s="64"/>
      <c r="AL841" s="69"/>
      <c r="AM841" s="64"/>
      <c r="AN841" s="69"/>
      <c r="AO841" s="64"/>
      <c r="AP841" s="69"/>
      <c r="AQ841" s="64"/>
      <c r="AR841" s="69"/>
      <c r="AS841" s="64"/>
      <c r="AT841" s="69"/>
      <c r="AU841" s="64"/>
      <c r="AV841" s="69"/>
      <c r="AW841" s="64"/>
      <c r="AX841" s="69"/>
      <c r="AY841" s="64"/>
      <c r="AZ841" s="69"/>
      <c r="BA841" s="64"/>
      <c r="BB841" s="69"/>
      <c r="BC841" s="64"/>
      <c r="BD841" s="69"/>
      <c r="BE841" s="64"/>
      <c r="BF841" s="69"/>
      <c r="BG841" s="64"/>
      <c r="BH841" s="69"/>
      <c r="BI841" s="64"/>
      <c r="BJ841" s="69"/>
      <c r="BK841" s="64"/>
      <c r="BL841" s="69"/>
      <c r="BM841" s="64"/>
      <c r="BN841" s="69"/>
      <c r="BO841" s="64"/>
      <c r="BP841" s="69"/>
      <c r="BQ841" s="64"/>
      <c r="BR841" s="69"/>
      <c r="BS841" s="64"/>
      <c r="BT841" s="69"/>
      <c r="BU841" t="b">
        <f t="shared" si="13"/>
        <v>0</v>
      </c>
    </row>
    <row r="842" spans="1:73" x14ac:dyDescent="0.25">
      <c r="A842" s="28"/>
      <c r="B842" s="29"/>
      <c r="C842" s="29"/>
      <c r="D842" s="30"/>
      <c r="E842" s="29"/>
      <c r="F842" s="30"/>
      <c r="G842" s="29"/>
      <c r="H842" s="69"/>
      <c r="I842" s="64"/>
      <c r="J842" s="69"/>
      <c r="K842" s="64"/>
      <c r="L842" s="69"/>
      <c r="M842" s="65"/>
      <c r="N842" s="69"/>
      <c r="O842" s="64"/>
      <c r="P842" s="69"/>
      <c r="Q842" s="64"/>
      <c r="R842" s="69"/>
      <c r="S842" s="64"/>
      <c r="T842" s="69"/>
      <c r="U842" s="64"/>
      <c r="V842" s="69"/>
      <c r="W842" s="65"/>
      <c r="X842" s="69"/>
      <c r="Y842" s="64"/>
      <c r="Z842" s="69"/>
      <c r="AA842" s="64"/>
      <c r="AB842" s="69"/>
      <c r="AC842" s="64"/>
      <c r="AD842" s="69"/>
      <c r="AE842" s="65"/>
      <c r="AF842" s="69"/>
      <c r="AG842" s="65"/>
      <c r="AH842" s="69"/>
      <c r="AI842" s="64"/>
      <c r="AJ842" s="69"/>
      <c r="AK842" s="64"/>
      <c r="AL842" s="69"/>
      <c r="AM842" s="64"/>
      <c r="AN842" s="69"/>
      <c r="AO842" s="64"/>
      <c r="AP842" s="69"/>
      <c r="AQ842" s="64"/>
      <c r="AR842" s="69"/>
      <c r="AS842" s="64"/>
      <c r="AT842" s="69"/>
      <c r="AU842" s="64"/>
      <c r="AV842" s="69"/>
      <c r="AW842" s="64"/>
      <c r="AX842" s="69"/>
      <c r="AY842" s="64"/>
      <c r="AZ842" s="69"/>
      <c r="BA842" s="64"/>
      <c r="BB842" s="69"/>
      <c r="BC842" s="64"/>
      <c r="BD842" s="69"/>
      <c r="BE842" s="64"/>
      <c r="BF842" s="69"/>
      <c r="BG842" s="64"/>
      <c r="BH842" s="69"/>
      <c r="BI842" s="64"/>
      <c r="BJ842" s="69"/>
      <c r="BK842" s="64"/>
      <c r="BL842" s="69"/>
      <c r="BM842" s="64"/>
      <c r="BN842" s="69"/>
      <c r="BO842" s="64"/>
      <c r="BP842" s="69"/>
      <c r="BQ842" s="64"/>
      <c r="BR842" s="69"/>
      <c r="BS842" s="64"/>
      <c r="BT842" s="69"/>
      <c r="BU842" t="b">
        <f t="shared" si="13"/>
        <v>0</v>
      </c>
    </row>
    <row r="843" spans="1:73" x14ac:dyDescent="0.25">
      <c r="A843" s="28"/>
      <c r="B843" s="29"/>
      <c r="C843" s="29"/>
      <c r="D843" s="30"/>
      <c r="E843" s="29"/>
      <c r="F843" s="30"/>
      <c r="G843" s="29"/>
      <c r="H843" s="69"/>
      <c r="I843" s="64"/>
      <c r="J843" s="69"/>
      <c r="K843" s="64"/>
      <c r="L843" s="69"/>
      <c r="M843" s="65"/>
      <c r="N843" s="69"/>
      <c r="O843" s="64"/>
      <c r="P843" s="69"/>
      <c r="Q843" s="64"/>
      <c r="R843" s="69"/>
      <c r="S843" s="64"/>
      <c r="T843" s="69"/>
      <c r="U843" s="64"/>
      <c r="V843" s="69"/>
      <c r="W843" s="65"/>
      <c r="X843" s="69"/>
      <c r="Y843" s="64"/>
      <c r="Z843" s="69"/>
      <c r="AA843" s="64"/>
      <c r="AB843" s="69"/>
      <c r="AC843" s="64"/>
      <c r="AD843" s="69"/>
      <c r="AE843" s="65"/>
      <c r="AF843" s="69"/>
      <c r="AG843" s="65"/>
      <c r="AH843" s="69"/>
      <c r="AI843" s="64"/>
      <c r="AJ843" s="69"/>
      <c r="AK843" s="64"/>
      <c r="AL843" s="69"/>
      <c r="AM843" s="64"/>
      <c r="AN843" s="69"/>
      <c r="AO843" s="64"/>
      <c r="AP843" s="69"/>
      <c r="AQ843" s="64"/>
      <c r="AR843" s="69"/>
      <c r="AS843" s="64"/>
      <c r="AT843" s="69"/>
      <c r="AU843" s="64"/>
      <c r="AV843" s="69"/>
      <c r="AW843" s="64"/>
      <c r="AX843" s="69"/>
      <c r="AY843" s="64"/>
      <c r="AZ843" s="69"/>
      <c r="BA843" s="64"/>
      <c r="BB843" s="69"/>
      <c r="BC843" s="64"/>
      <c r="BD843" s="69"/>
      <c r="BE843" s="64"/>
      <c r="BF843" s="69"/>
      <c r="BG843" s="64"/>
      <c r="BH843" s="69"/>
      <c r="BI843" s="64"/>
      <c r="BJ843" s="69"/>
      <c r="BK843" s="64"/>
      <c r="BL843" s="69"/>
      <c r="BM843" s="64"/>
      <c r="BN843" s="69"/>
      <c r="BO843" s="64"/>
      <c r="BP843" s="69"/>
      <c r="BQ843" s="64"/>
      <c r="BR843" s="69"/>
      <c r="BS843" s="64"/>
      <c r="BT843" s="69"/>
      <c r="BU843" t="b">
        <f t="shared" si="13"/>
        <v>0</v>
      </c>
    </row>
    <row r="844" spans="1:73" x14ac:dyDescent="0.25">
      <c r="A844" s="28"/>
      <c r="B844" s="29"/>
      <c r="C844" s="29"/>
      <c r="D844" s="30"/>
      <c r="E844" s="29"/>
      <c r="F844" s="30"/>
      <c r="G844" s="29"/>
      <c r="H844" s="69"/>
      <c r="I844" s="64"/>
      <c r="J844" s="69"/>
      <c r="K844" s="64"/>
      <c r="L844" s="69"/>
      <c r="M844" s="65"/>
      <c r="N844" s="69"/>
      <c r="O844" s="64"/>
      <c r="P844" s="69"/>
      <c r="Q844" s="64"/>
      <c r="R844" s="69"/>
      <c r="S844" s="64"/>
      <c r="T844" s="69"/>
      <c r="U844" s="64"/>
      <c r="V844" s="69"/>
      <c r="W844" s="65"/>
      <c r="X844" s="69"/>
      <c r="Y844" s="64"/>
      <c r="Z844" s="69"/>
      <c r="AA844" s="64"/>
      <c r="AB844" s="69"/>
      <c r="AC844" s="64"/>
      <c r="AD844" s="69"/>
      <c r="AE844" s="65"/>
      <c r="AF844" s="69"/>
      <c r="AG844" s="65"/>
      <c r="AH844" s="69"/>
      <c r="AI844" s="64"/>
      <c r="AJ844" s="69"/>
      <c r="AK844" s="64"/>
      <c r="AL844" s="69"/>
      <c r="AM844" s="64"/>
      <c r="AN844" s="69"/>
      <c r="AO844" s="64"/>
      <c r="AP844" s="69"/>
      <c r="AQ844" s="64"/>
      <c r="AR844" s="69"/>
      <c r="AS844" s="64"/>
      <c r="AT844" s="69"/>
      <c r="AU844" s="64"/>
      <c r="AV844" s="69"/>
      <c r="AW844" s="64"/>
      <c r="AX844" s="69"/>
      <c r="AY844" s="64"/>
      <c r="AZ844" s="69"/>
      <c r="BA844" s="64"/>
      <c r="BB844" s="69"/>
      <c r="BC844" s="64"/>
      <c r="BD844" s="69"/>
      <c r="BE844" s="64"/>
      <c r="BF844" s="69"/>
      <c r="BG844" s="64"/>
      <c r="BH844" s="69"/>
      <c r="BI844" s="64"/>
      <c r="BJ844" s="69"/>
      <c r="BK844" s="64"/>
      <c r="BL844" s="69"/>
      <c r="BM844" s="64"/>
      <c r="BN844" s="69"/>
      <c r="BO844" s="64"/>
      <c r="BP844" s="69"/>
      <c r="BQ844" s="64"/>
      <c r="BR844" s="69"/>
      <c r="BS844" s="64"/>
      <c r="BT844" s="69"/>
      <c r="BU844" t="b">
        <f t="shared" si="13"/>
        <v>0</v>
      </c>
    </row>
    <row r="845" spans="1:73" x14ac:dyDescent="0.25">
      <c r="A845" s="28"/>
      <c r="B845" s="29"/>
      <c r="C845" s="29"/>
      <c r="D845" s="30"/>
      <c r="E845" s="29"/>
      <c r="F845" s="30"/>
      <c r="G845" s="29"/>
      <c r="H845" s="69"/>
      <c r="I845" s="64"/>
      <c r="J845" s="69"/>
      <c r="K845" s="64"/>
      <c r="L845" s="69"/>
      <c r="M845" s="65"/>
      <c r="N845" s="69"/>
      <c r="O845" s="64"/>
      <c r="P845" s="69"/>
      <c r="Q845" s="64"/>
      <c r="R845" s="69"/>
      <c r="S845" s="64"/>
      <c r="T845" s="69"/>
      <c r="U845" s="64"/>
      <c r="V845" s="69"/>
      <c r="W845" s="65"/>
      <c r="X845" s="69"/>
      <c r="Y845" s="64"/>
      <c r="Z845" s="69"/>
      <c r="AA845" s="64"/>
      <c r="AB845" s="69"/>
      <c r="AC845" s="64"/>
      <c r="AD845" s="69"/>
      <c r="AE845" s="65"/>
      <c r="AF845" s="69"/>
      <c r="AG845" s="65"/>
      <c r="AH845" s="69"/>
      <c r="AI845" s="64"/>
      <c r="AJ845" s="69"/>
      <c r="AK845" s="64"/>
      <c r="AL845" s="69"/>
      <c r="AM845" s="64"/>
      <c r="AN845" s="69"/>
      <c r="AO845" s="64"/>
      <c r="AP845" s="69"/>
      <c r="AQ845" s="64"/>
      <c r="AR845" s="69"/>
      <c r="AS845" s="64"/>
      <c r="AT845" s="69"/>
      <c r="AU845" s="64"/>
      <c r="AV845" s="69"/>
      <c r="AW845" s="64"/>
      <c r="AX845" s="69"/>
      <c r="AY845" s="64"/>
      <c r="AZ845" s="69"/>
      <c r="BA845" s="64"/>
      <c r="BB845" s="69"/>
      <c r="BC845" s="64"/>
      <c r="BD845" s="69"/>
      <c r="BE845" s="64"/>
      <c r="BF845" s="69"/>
      <c r="BG845" s="64"/>
      <c r="BH845" s="69"/>
      <c r="BI845" s="64"/>
      <c r="BJ845" s="69"/>
      <c r="BK845" s="64"/>
      <c r="BL845" s="69"/>
      <c r="BM845" s="64"/>
      <c r="BN845" s="69"/>
      <c r="BO845" s="64"/>
      <c r="BP845" s="69"/>
      <c r="BQ845" s="64"/>
      <c r="BR845" s="69"/>
      <c r="BS845" s="64"/>
      <c r="BT845" s="69"/>
      <c r="BU845" t="b">
        <f t="shared" si="13"/>
        <v>0</v>
      </c>
    </row>
    <row r="846" spans="1:73" x14ac:dyDescent="0.25">
      <c r="A846" s="28"/>
      <c r="B846" s="29"/>
      <c r="C846" s="29"/>
      <c r="D846" s="30"/>
      <c r="E846" s="29"/>
      <c r="F846" s="30"/>
      <c r="G846" s="29"/>
      <c r="H846" s="69"/>
      <c r="I846" s="64"/>
      <c r="J846" s="69"/>
      <c r="K846" s="64"/>
      <c r="L846" s="69"/>
      <c r="M846" s="65"/>
      <c r="N846" s="69"/>
      <c r="O846" s="64"/>
      <c r="P846" s="69"/>
      <c r="Q846" s="64"/>
      <c r="R846" s="69"/>
      <c r="S846" s="64"/>
      <c r="T846" s="69"/>
      <c r="U846" s="64"/>
      <c r="V846" s="69"/>
      <c r="W846" s="65"/>
      <c r="X846" s="69"/>
      <c r="Y846" s="64"/>
      <c r="Z846" s="69"/>
      <c r="AA846" s="64"/>
      <c r="AB846" s="69"/>
      <c r="AC846" s="64"/>
      <c r="AD846" s="69"/>
      <c r="AE846" s="65"/>
      <c r="AF846" s="69"/>
      <c r="AG846" s="65"/>
      <c r="AH846" s="69"/>
      <c r="AI846" s="64"/>
      <c r="AJ846" s="69"/>
      <c r="AK846" s="64"/>
      <c r="AL846" s="69"/>
      <c r="AM846" s="64"/>
      <c r="AN846" s="69"/>
      <c r="AO846" s="64"/>
      <c r="AP846" s="69"/>
      <c r="AQ846" s="64"/>
      <c r="AR846" s="69"/>
      <c r="AS846" s="64"/>
      <c r="AT846" s="69"/>
      <c r="AU846" s="64"/>
      <c r="AV846" s="69"/>
      <c r="AW846" s="64"/>
      <c r="AX846" s="69"/>
      <c r="AY846" s="64"/>
      <c r="AZ846" s="69"/>
      <c r="BA846" s="64"/>
      <c r="BB846" s="69"/>
      <c r="BC846" s="64"/>
      <c r="BD846" s="69"/>
      <c r="BE846" s="64"/>
      <c r="BF846" s="69"/>
      <c r="BG846" s="64"/>
      <c r="BH846" s="69"/>
      <c r="BI846" s="64"/>
      <c r="BJ846" s="69"/>
      <c r="BK846" s="64"/>
      <c r="BL846" s="69"/>
      <c r="BM846" s="64"/>
      <c r="BN846" s="69"/>
      <c r="BO846" s="64"/>
      <c r="BP846" s="69"/>
      <c r="BQ846" s="64"/>
      <c r="BR846" s="69"/>
      <c r="BS846" s="64"/>
      <c r="BT846" s="69"/>
      <c r="BU846" t="b">
        <f t="shared" si="13"/>
        <v>0</v>
      </c>
    </row>
    <row r="847" spans="1:73" x14ac:dyDescent="0.25">
      <c r="A847" s="28"/>
      <c r="B847" s="29"/>
      <c r="C847" s="29"/>
      <c r="D847" s="30"/>
      <c r="E847" s="29"/>
      <c r="F847" s="30"/>
      <c r="G847" s="29"/>
      <c r="H847" s="69"/>
      <c r="I847" s="64"/>
      <c r="J847" s="69"/>
      <c r="K847" s="64"/>
      <c r="L847" s="69"/>
      <c r="M847" s="65"/>
      <c r="N847" s="69"/>
      <c r="O847" s="64"/>
      <c r="P847" s="69"/>
      <c r="Q847" s="64"/>
      <c r="R847" s="69"/>
      <c r="S847" s="64"/>
      <c r="T847" s="69"/>
      <c r="U847" s="64"/>
      <c r="V847" s="69"/>
      <c r="W847" s="65"/>
      <c r="X847" s="69"/>
      <c r="Y847" s="64"/>
      <c r="Z847" s="69"/>
      <c r="AA847" s="64"/>
      <c r="AB847" s="69"/>
      <c r="AC847" s="64"/>
      <c r="AD847" s="69"/>
      <c r="AE847" s="65"/>
      <c r="AF847" s="69"/>
      <c r="AG847" s="65"/>
      <c r="AH847" s="69"/>
      <c r="AI847" s="64"/>
      <c r="AJ847" s="69"/>
      <c r="AK847" s="64"/>
      <c r="AL847" s="69"/>
      <c r="AM847" s="64"/>
      <c r="AN847" s="69"/>
      <c r="AO847" s="64"/>
      <c r="AP847" s="69"/>
      <c r="AQ847" s="64"/>
      <c r="AR847" s="69"/>
      <c r="AS847" s="64"/>
      <c r="AT847" s="69"/>
      <c r="AU847" s="64"/>
      <c r="AV847" s="69"/>
      <c r="AW847" s="64"/>
      <c r="AX847" s="69"/>
      <c r="AY847" s="64"/>
      <c r="AZ847" s="69"/>
      <c r="BA847" s="64"/>
      <c r="BB847" s="69"/>
      <c r="BC847" s="64"/>
      <c r="BD847" s="69"/>
      <c r="BE847" s="64"/>
      <c r="BF847" s="69"/>
      <c r="BG847" s="64"/>
      <c r="BH847" s="69"/>
      <c r="BI847" s="64"/>
      <c r="BJ847" s="69"/>
      <c r="BK847" s="64"/>
      <c r="BL847" s="69"/>
      <c r="BM847" s="64"/>
      <c r="BN847" s="69"/>
      <c r="BO847" s="64"/>
      <c r="BP847" s="69"/>
      <c r="BQ847" s="64"/>
      <c r="BR847" s="69"/>
      <c r="BS847" s="64"/>
      <c r="BT847" s="69"/>
      <c r="BU847" t="b">
        <f t="shared" si="13"/>
        <v>0</v>
      </c>
    </row>
    <row r="848" spans="1:73" x14ac:dyDescent="0.25">
      <c r="A848" s="28"/>
      <c r="B848" s="29"/>
      <c r="C848" s="29"/>
      <c r="D848" s="30"/>
      <c r="E848" s="29"/>
      <c r="F848" s="30"/>
      <c r="G848" s="29"/>
      <c r="H848" s="69"/>
      <c r="I848" s="64"/>
      <c r="J848" s="69"/>
      <c r="K848" s="64"/>
      <c r="L848" s="69"/>
      <c r="M848" s="65"/>
      <c r="N848" s="69"/>
      <c r="O848" s="64"/>
      <c r="P848" s="69"/>
      <c r="Q848" s="64"/>
      <c r="R848" s="69"/>
      <c r="S848" s="64"/>
      <c r="T848" s="69"/>
      <c r="U848" s="64"/>
      <c r="V848" s="69"/>
      <c r="W848" s="65"/>
      <c r="X848" s="69"/>
      <c r="Y848" s="64"/>
      <c r="Z848" s="69"/>
      <c r="AA848" s="64"/>
      <c r="AB848" s="69"/>
      <c r="AC848" s="64"/>
      <c r="AD848" s="69"/>
      <c r="AE848" s="65"/>
      <c r="AF848" s="69"/>
      <c r="AG848" s="65"/>
      <c r="AH848" s="69"/>
      <c r="AI848" s="64"/>
      <c r="AJ848" s="69"/>
      <c r="AK848" s="64"/>
      <c r="AL848" s="69"/>
      <c r="AM848" s="64"/>
      <c r="AN848" s="69"/>
      <c r="AO848" s="64"/>
      <c r="AP848" s="69"/>
      <c r="AQ848" s="64"/>
      <c r="AR848" s="69"/>
      <c r="AS848" s="64"/>
      <c r="AT848" s="69"/>
      <c r="AU848" s="64"/>
      <c r="AV848" s="69"/>
      <c r="AW848" s="64"/>
      <c r="AX848" s="69"/>
      <c r="AY848" s="64"/>
      <c r="AZ848" s="69"/>
      <c r="BA848" s="64"/>
      <c r="BB848" s="69"/>
      <c r="BC848" s="64"/>
      <c r="BD848" s="69"/>
      <c r="BE848" s="64"/>
      <c r="BF848" s="69"/>
      <c r="BG848" s="64"/>
      <c r="BH848" s="69"/>
      <c r="BI848" s="64"/>
      <c r="BJ848" s="69"/>
      <c r="BK848" s="64"/>
      <c r="BL848" s="69"/>
      <c r="BM848" s="64"/>
      <c r="BN848" s="69"/>
      <c r="BO848" s="64"/>
      <c r="BP848" s="69"/>
      <c r="BQ848" s="64"/>
      <c r="BR848" s="69"/>
      <c r="BS848" s="64"/>
      <c r="BT848" s="69"/>
      <c r="BU848" t="b">
        <f t="shared" si="13"/>
        <v>0</v>
      </c>
    </row>
    <row r="849" spans="1:73" x14ac:dyDescent="0.25">
      <c r="A849" s="28"/>
      <c r="B849" s="29"/>
      <c r="C849" s="29"/>
      <c r="D849" s="30"/>
      <c r="E849" s="29"/>
      <c r="F849" s="30"/>
      <c r="G849" s="29"/>
      <c r="H849" s="69"/>
      <c r="I849" s="64"/>
      <c r="J849" s="69"/>
      <c r="K849" s="64"/>
      <c r="L849" s="69"/>
      <c r="M849" s="65"/>
      <c r="N849" s="69"/>
      <c r="O849" s="64"/>
      <c r="P849" s="69"/>
      <c r="Q849" s="64"/>
      <c r="R849" s="69"/>
      <c r="S849" s="64"/>
      <c r="T849" s="69"/>
      <c r="U849" s="64"/>
      <c r="V849" s="69"/>
      <c r="W849" s="65"/>
      <c r="X849" s="69"/>
      <c r="Y849" s="64"/>
      <c r="Z849" s="69"/>
      <c r="AA849" s="64"/>
      <c r="AB849" s="69"/>
      <c r="AC849" s="64"/>
      <c r="AD849" s="69"/>
      <c r="AE849" s="65"/>
      <c r="AF849" s="69"/>
      <c r="AG849" s="65"/>
      <c r="AH849" s="69"/>
      <c r="AI849" s="64"/>
      <c r="AJ849" s="69"/>
      <c r="AK849" s="64"/>
      <c r="AL849" s="69"/>
      <c r="AM849" s="64"/>
      <c r="AN849" s="69"/>
      <c r="AO849" s="64"/>
      <c r="AP849" s="69"/>
      <c r="AQ849" s="64"/>
      <c r="AR849" s="69"/>
      <c r="AS849" s="64"/>
      <c r="AT849" s="69"/>
      <c r="AU849" s="64"/>
      <c r="AV849" s="69"/>
      <c r="AW849" s="64"/>
      <c r="AX849" s="69"/>
      <c r="AY849" s="64"/>
      <c r="AZ849" s="69"/>
      <c r="BA849" s="64"/>
      <c r="BB849" s="69"/>
      <c r="BC849" s="64"/>
      <c r="BD849" s="69"/>
      <c r="BE849" s="64"/>
      <c r="BF849" s="69"/>
      <c r="BG849" s="64"/>
      <c r="BH849" s="69"/>
      <c r="BI849" s="64"/>
      <c r="BJ849" s="69"/>
      <c r="BK849" s="64"/>
      <c r="BL849" s="69"/>
      <c r="BM849" s="64"/>
      <c r="BN849" s="69"/>
      <c r="BO849" s="64"/>
      <c r="BP849" s="69"/>
      <c r="BQ849" s="64"/>
      <c r="BR849" s="69"/>
      <c r="BS849" s="64"/>
      <c r="BT849" s="69"/>
      <c r="BU849" t="b">
        <f t="shared" si="13"/>
        <v>0</v>
      </c>
    </row>
    <row r="850" spans="1:73" x14ac:dyDescent="0.25">
      <c r="A850" s="28"/>
      <c r="B850" s="29"/>
      <c r="C850" s="29"/>
      <c r="D850" s="30"/>
      <c r="E850" s="29"/>
      <c r="F850" s="30"/>
      <c r="G850" s="29"/>
      <c r="H850" s="69"/>
      <c r="I850" s="64"/>
      <c r="J850" s="69"/>
      <c r="K850" s="64"/>
      <c r="L850" s="69"/>
      <c r="M850" s="65"/>
      <c r="N850" s="69"/>
      <c r="O850" s="64"/>
      <c r="P850" s="69"/>
      <c r="Q850" s="64"/>
      <c r="R850" s="69"/>
      <c r="S850" s="64"/>
      <c r="T850" s="69"/>
      <c r="U850" s="64"/>
      <c r="V850" s="69"/>
      <c r="W850" s="65"/>
      <c r="X850" s="69"/>
      <c r="Y850" s="64"/>
      <c r="Z850" s="69"/>
      <c r="AA850" s="64"/>
      <c r="AB850" s="69"/>
      <c r="AC850" s="64"/>
      <c r="AD850" s="69"/>
      <c r="AE850" s="65"/>
      <c r="AF850" s="69"/>
      <c r="AG850" s="65"/>
      <c r="AH850" s="69"/>
      <c r="AI850" s="64"/>
      <c r="AJ850" s="69"/>
      <c r="AK850" s="64"/>
      <c r="AL850" s="69"/>
      <c r="AM850" s="64"/>
      <c r="AN850" s="69"/>
      <c r="AO850" s="64"/>
      <c r="AP850" s="69"/>
      <c r="AQ850" s="64"/>
      <c r="AR850" s="69"/>
      <c r="AS850" s="64"/>
      <c r="AT850" s="69"/>
      <c r="AU850" s="64"/>
      <c r="AV850" s="69"/>
      <c r="AW850" s="64"/>
      <c r="AX850" s="69"/>
      <c r="AY850" s="64"/>
      <c r="AZ850" s="69"/>
      <c r="BA850" s="64"/>
      <c r="BB850" s="69"/>
      <c r="BC850" s="64"/>
      <c r="BD850" s="69"/>
      <c r="BE850" s="64"/>
      <c r="BF850" s="69"/>
      <c r="BG850" s="64"/>
      <c r="BH850" s="69"/>
      <c r="BI850" s="64"/>
      <c r="BJ850" s="69"/>
      <c r="BK850" s="64"/>
      <c r="BL850" s="69"/>
      <c r="BM850" s="64"/>
      <c r="BN850" s="69"/>
      <c r="BO850" s="64"/>
      <c r="BP850" s="69"/>
      <c r="BQ850" s="64"/>
      <c r="BR850" s="69"/>
      <c r="BS850" s="64"/>
      <c r="BT850" s="69"/>
      <c r="BU850" t="b">
        <f t="shared" si="13"/>
        <v>0</v>
      </c>
    </row>
    <row r="851" spans="1:73" x14ac:dyDescent="0.25">
      <c r="A851" s="28"/>
      <c r="B851" s="29"/>
      <c r="C851" s="29"/>
      <c r="D851" s="30"/>
      <c r="E851" s="29"/>
      <c r="F851" s="30"/>
      <c r="G851" s="29"/>
      <c r="H851" s="69"/>
      <c r="I851" s="64"/>
      <c r="J851" s="69"/>
      <c r="K851" s="64"/>
      <c r="L851" s="69"/>
      <c r="M851" s="65"/>
      <c r="N851" s="69"/>
      <c r="O851" s="64"/>
      <c r="P851" s="69"/>
      <c r="Q851" s="64"/>
      <c r="R851" s="69"/>
      <c r="S851" s="64"/>
      <c r="T851" s="69"/>
      <c r="U851" s="64"/>
      <c r="V851" s="69"/>
      <c r="W851" s="65"/>
      <c r="X851" s="69"/>
      <c r="Y851" s="64"/>
      <c r="Z851" s="69"/>
      <c r="AA851" s="64"/>
      <c r="AB851" s="69"/>
      <c r="AC851" s="64"/>
      <c r="AD851" s="69"/>
      <c r="AE851" s="65"/>
      <c r="AF851" s="69"/>
      <c r="AG851" s="65"/>
      <c r="AH851" s="69"/>
      <c r="AI851" s="64"/>
      <c r="AJ851" s="69"/>
      <c r="AK851" s="64"/>
      <c r="AL851" s="69"/>
      <c r="AM851" s="64"/>
      <c r="AN851" s="69"/>
      <c r="AO851" s="64"/>
      <c r="AP851" s="69"/>
      <c r="AQ851" s="64"/>
      <c r="AR851" s="69"/>
      <c r="AS851" s="64"/>
      <c r="AT851" s="69"/>
      <c r="AU851" s="64"/>
      <c r="AV851" s="69"/>
      <c r="AW851" s="64"/>
      <c r="AX851" s="69"/>
      <c r="AY851" s="64"/>
      <c r="AZ851" s="69"/>
      <c r="BA851" s="64"/>
      <c r="BB851" s="69"/>
      <c r="BC851" s="64"/>
      <c r="BD851" s="69"/>
      <c r="BE851" s="64"/>
      <c r="BF851" s="69"/>
      <c r="BG851" s="64"/>
      <c r="BH851" s="69"/>
      <c r="BI851" s="64"/>
      <c r="BJ851" s="69"/>
      <c r="BK851" s="64"/>
      <c r="BL851" s="69"/>
      <c r="BM851" s="64"/>
      <c r="BN851" s="69"/>
      <c r="BO851" s="64"/>
      <c r="BP851" s="69"/>
      <c r="BQ851" s="64"/>
      <c r="BR851" s="69"/>
      <c r="BS851" s="64"/>
      <c r="BT851" s="69"/>
      <c r="BU851" t="b">
        <f t="shared" si="13"/>
        <v>0</v>
      </c>
    </row>
    <row r="852" spans="1:73" x14ac:dyDescent="0.25">
      <c r="A852" s="28"/>
      <c r="B852" s="29"/>
      <c r="C852" s="29"/>
      <c r="D852" s="30"/>
      <c r="E852" s="29"/>
      <c r="F852" s="30"/>
      <c r="G852" s="29"/>
      <c r="H852" s="69"/>
      <c r="I852" s="64"/>
      <c r="J852" s="69"/>
      <c r="K852" s="64"/>
      <c r="L852" s="69"/>
      <c r="M852" s="65"/>
      <c r="N852" s="69"/>
      <c r="O852" s="64"/>
      <c r="P852" s="69"/>
      <c r="Q852" s="64"/>
      <c r="R852" s="69"/>
      <c r="S852" s="64"/>
      <c r="T852" s="69"/>
      <c r="U852" s="64"/>
      <c r="V852" s="69"/>
      <c r="W852" s="65"/>
      <c r="X852" s="69"/>
      <c r="Y852" s="64"/>
      <c r="Z852" s="69"/>
      <c r="AA852" s="64"/>
      <c r="AB852" s="69"/>
      <c r="AC852" s="64"/>
      <c r="AD852" s="69"/>
      <c r="AE852" s="65"/>
      <c r="AF852" s="69"/>
      <c r="AG852" s="65"/>
      <c r="AH852" s="69"/>
      <c r="AI852" s="64"/>
      <c r="AJ852" s="69"/>
      <c r="AK852" s="64"/>
      <c r="AL852" s="69"/>
      <c r="AM852" s="64"/>
      <c r="AN852" s="69"/>
      <c r="AO852" s="64"/>
      <c r="AP852" s="69"/>
      <c r="AQ852" s="64"/>
      <c r="AR852" s="69"/>
      <c r="AS852" s="64"/>
      <c r="AT852" s="69"/>
      <c r="AU852" s="64"/>
      <c r="AV852" s="69"/>
      <c r="AW852" s="64"/>
      <c r="AX852" s="69"/>
      <c r="AY852" s="64"/>
      <c r="AZ852" s="69"/>
      <c r="BA852" s="64"/>
      <c r="BB852" s="69"/>
      <c r="BC852" s="64"/>
      <c r="BD852" s="69"/>
      <c r="BE852" s="64"/>
      <c r="BF852" s="69"/>
      <c r="BG852" s="64"/>
      <c r="BH852" s="69"/>
      <c r="BI852" s="64"/>
      <c r="BJ852" s="69"/>
      <c r="BK852" s="64"/>
      <c r="BL852" s="69"/>
      <c r="BM852" s="64"/>
      <c r="BN852" s="69"/>
      <c r="BO852" s="64"/>
      <c r="BP852" s="69"/>
      <c r="BQ852" s="64"/>
      <c r="BR852" s="69"/>
      <c r="BS852" s="64"/>
      <c r="BT852" s="69"/>
      <c r="BU852" t="b">
        <f t="shared" si="13"/>
        <v>0</v>
      </c>
    </row>
    <row r="853" spans="1:73" x14ac:dyDescent="0.25">
      <c r="A853" s="28"/>
      <c r="B853" s="29"/>
      <c r="C853" s="29"/>
      <c r="D853" s="30"/>
      <c r="E853" s="29"/>
      <c r="F853" s="30"/>
      <c r="G853" s="29"/>
      <c r="H853" s="69"/>
      <c r="I853" s="64"/>
      <c r="J853" s="69"/>
      <c r="K853" s="64"/>
      <c r="L853" s="69"/>
      <c r="M853" s="65"/>
      <c r="N853" s="69"/>
      <c r="O853" s="64"/>
      <c r="P853" s="69"/>
      <c r="Q853" s="64"/>
      <c r="R853" s="69"/>
      <c r="S853" s="64"/>
      <c r="T853" s="69"/>
      <c r="U853" s="64"/>
      <c r="V853" s="69"/>
      <c r="W853" s="65"/>
      <c r="X853" s="69"/>
      <c r="Y853" s="64"/>
      <c r="Z853" s="69"/>
      <c r="AA853" s="64"/>
      <c r="AB853" s="69"/>
      <c r="AC853" s="64"/>
      <c r="AD853" s="69"/>
      <c r="AE853" s="65"/>
      <c r="AF853" s="69"/>
      <c r="AG853" s="65"/>
      <c r="AH853" s="69"/>
      <c r="AI853" s="64"/>
      <c r="AJ853" s="69"/>
      <c r="AK853" s="64"/>
      <c r="AL853" s="69"/>
      <c r="AM853" s="64"/>
      <c r="AN853" s="69"/>
      <c r="AO853" s="64"/>
      <c r="AP853" s="69"/>
      <c r="AQ853" s="64"/>
      <c r="AR853" s="69"/>
      <c r="AS853" s="64"/>
      <c r="AT853" s="69"/>
      <c r="AU853" s="64"/>
      <c r="AV853" s="69"/>
      <c r="AW853" s="64"/>
      <c r="AX853" s="69"/>
      <c r="AY853" s="64"/>
      <c r="AZ853" s="69"/>
      <c r="BA853" s="64"/>
      <c r="BB853" s="69"/>
      <c r="BC853" s="64"/>
      <c r="BD853" s="69"/>
      <c r="BE853" s="64"/>
      <c r="BF853" s="69"/>
      <c r="BG853" s="64"/>
      <c r="BH853" s="69"/>
      <c r="BI853" s="64"/>
      <c r="BJ853" s="69"/>
      <c r="BK853" s="64"/>
      <c r="BL853" s="69"/>
      <c r="BM853" s="64"/>
      <c r="BN853" s="69"/>
      <c r="BO853" s="64"/>
      <c r="BP853" s="69"/>
      <c r="BQ853" s="64"/>
      <c r="BR853" s="69"/>
      <c r="BS853" s="64"/>
      <c r="BT853" s="69"/>
      <c r="BU853" t="b">
        <f t="shared" si="13"/>
        <v>0</v>
      </c>
    </row>
    <row r="854" spans="1:73" x14ac:dyDescent="0.25">
      <c r="A854" s="28"/>
      <c r="B854" s="29"/>
      <c r="C854" s="29"/>
      <c r="D854" s="30"/>
      <c r="E854" s="29"/>
      <c r="F854" s="30"/>
      <c r="G854" s="29"/>
      <c r="H854" s="69"/>
      <c r="I854" s="64"/>
      <c r="J854" s="69"/>
      <c r="K854" s="64"/>
      <c r="L854" s="69"/>
      <c r="M854" s="65"/>
      <c r="N854" s="69"/>
      <c r="O854" s="64"/>
      <c r="P854" s="69"/>
      <c r="Q854" s="64"/>
      <c r="R854" s="69"/>
      <c r="S854" s="64"/>
      <c r="T854" s="69"/>
      <c r="U854" s="64"/>
      <c r="V854" s="69"/>
      <c r="W854" s="65"/>
      <c r="X854" s="69"/>
      <c r="Y854" s="64"/>
      <c r="Z854" s="69"/>
      <c r="AA854" s="64"/>
      <c r="AB854" s="69"/>
      <c r="AC854" s="64"/>
      <c r="AD854" s="69"/>
      <c r="AE854" s="65"/>
      <c r="AF854" s="69"/>
      <c r="AG854" s="65"/>
      <c r="AH854" s="69"/>
      <c r="AI854" s="64"/>
      <c r="AJ854" s="69"/>
      <c r="AK854" s="64"/>
      <c r="AL854" s="69"/>
      <c r="AM854" s="64"/>
      <c r="AN854" s="69"/>
      <c r="AO854" s="64"/>
      <c r="AP854" s="69"/>
      <c r="AQ854" s="64"/>
      <c r="AR854" s="69"/>
      <c r="AS854" s="64"/>
      <c r="AT854" s="69"/>
      <c r="AU854" s="64"/>
      <c r="AV854" s="69"/>
      <c r="AW854" s="64"/>
      <c r="AX854" s="69"/>
      <c r="AY854" s="64"/>
      <c r="AZ854" s="69"/>
      <c r="BA854" s="64"/>
      <c r="BB854" s="69"/>
      <c r="BC854" s="64"/>
      <c r="BD854" s="69"/>
      <c r="BE854" s="64"/>
      <c r="BF854" s="69"/>
      <c r="BG854" s="64"/>
      <c r="BH854" s="69"/>
      <c r="BI854" s="64"/>
      <c r="BJ854" s="69"/>
      <c r="BK854" s="64"/>
      <c r="BL854" s="69"/>
      <c r="BM854" s="64"/>
      <c r="BN854" s="69"/>
      <c r="BO854" s="64"/>
      <c r="BP854" s="69"/>
      <c r="BQ854" s="64"/>
      <c r="BR854" s="69"/>
      <c r="BS854" s="64"/>
      <c r="BT854" s="69"/>
      <c r="BU854" t="b">
        <f t="shared" si="13"/>
        <v>0</v>
      </c>
    </row>
    <row r="855" spans="1:73" x14ac:dyDescent="0.25">
      <c r="A855" s="28"/>
      <c r="B855" s="29"/>
      <c r="C855" s="29"/>
      <c r="D855" s="30"/>
      <c r="E855" s="29"/>
      <c r="F855" s="30"/>
      <c r="G855" s="29"/>
      <c r="H855" s="69"/>
      <c r="I855" s="64"/>
      <c r="J855" s="69"/>
      <c r="K855" s="64"/>
      <c r="L855" s="69"/>
      <c r="M855" s="65"/>
      <c r="N855" s="69"/>
      <c r="O855" s="64"/>
      <c r="P855" s="69"/>
      <c r="Q855" s="64"/>
      <c r="R855" s="69"/>
      <c r="S855" s="64"/>
      <c r="T855" s="69"/>
      <c r="U855" s="64"/>
      <c r="V855" s="69"/>
      <c r="W855" s="65"/>
      <c r="X855" s="69"/>
      <c r="Y855" s="64"/>
      <c r="Z855" s="69"/>
      <c r="AA855" s="64"/>
      <c r="AB855" s="69"/>
      <c r="AC855" s="64"/>
      <c r="AD855" s="69"/>
      <c r="AE855" s="65"/>
      <c r="AF855" s="69"/>
      <c r="AG855" s="65"/>
      <c r="AH855" s="69"/>
      <c r="AI855" s="64"/>
      <c r="AJ855" s="69"/>
      <c r="AK855" s="64"/>
      <c r="AL855" s="69"/>
      <c r="AM855" s="64"/>
      <c r="AN855" s="69"/>
      <c r="AO855" s="64"/>
      <c r="AP855" s="69"/>
      <c r="AQ855" s="64"/>
      <c r="AR855" s="69"/>
      <c r="AS855" s="64"/>
      <c r="AT855" s="69"/>
      <c r="AU855" s="64"/>
      <c r="AV855" s="69"/>
      <c r="AW855" s="64"/>
      <c r="AX855" s="69"/>
      <c r="AY855" s="64"/>
      <c r="AZ855" s="69"/>
      <c r="BA855" s="64"/>
      <c r="BB855" s="69"/>
      <c r="BC855" s="64"/>
      <c r="BD855" s="69"/>
      <c r="BE855" s="64"/>
      <c r="BF855" s="69"/>
      <c r="BG855" s="64"/>
      <c r="BH855" s="69"/>
      <c r="BI855" s="64"/>
      <c r="BJ855" s="69"/>
      <c r="BK855" s="64"/>
      <c r="BL855" s="69"/>
      <c r="BM855" s="64"/>
      <c r="BN855" s="69"/>
      <c r="BO855" s="64"/>
      <c r="BP855" s="69"/>
      <c r="BQ855" s="64"/>
      <c r="BR855" s="69"/>
      <c r="BS855" s="64"/>
      <c r="BT855" s="69"/>
      <c r="BU855" t="b">
        <f t="shared" si="13"/>
        <v>0</v>
      </c>
    </row>
    <row r="856" spans="1:73" x14ac:dyDescent="0.25">
      <c r="A856" s="28"/>
      <c r="B856" s="29"/>
      <c r="C856" s="29"/>
      <c r="D856" s="30"/>
      <c r="E856" s="29"/>
      <c r="F856" s="30"/>
      <c r="G856" s="29"/>
      <c r="H856" s="69"/>
      <c r="I856" s="64"/>
      <c r="J856" s="69"/>
      <c r="K856" s="64"/>
      <c r="L856" s="69"/>
      <c r="M856" s="65"/>
      <c r="N856" s="69"/>
      <c r="O856" s="64"/>
      <c r="P856" s="69"/>
      <c r="Q856" s="64"/>
      <c r="R856" s="69"/>
      <c r="S856" s="64"/>
      <c r="T856" s="69"/>
      <c r="U856" s="64"/>
      <c r="V856" s="69"/>
      <c r="W856" s="65"/>
      <c r="X856" s="69"/>
      <c r="Y856" s="64"/>
      <c r="Z856" s="69"/>
      <c r="AA856" s="64"/>
      <c r="AB856" s="69"/>
      <c r="AC856" s="64"/>
      <c r="AD856" s="69"/>
      <c r="AE856" s="65"/>
      <c r="AF856" s="69"/>
      <c r="AG856" s="65"/>
      <c r="AH856" s="69"/>
      <c r="AI856" s="64"/>
      <c r="AJ856" s="69"/>
      <c r="AK856" s="64"/>
      <c r="AL856" s="69"/>
      <c r="AM856" s="64"/>
      <c r="AN856" s="69"/>
      <c r="AO856" s="64"/>
      <c r="AP856" s="69"/>
      <c r="AQ856" s="64"/>
      <c r="AR856" s="69"/>
      <c r="AS856" s="64"/>
      <c r="AT856" s="69"/>
      <c r="AU856" s="64"/>
      <c r="AV856" s="69"/>
      <c r="AW856" s="64"/>
      <c r="AX856" s="69"/>
      <c r="AY856" s="64"/>
      <c r="AZ856" s="69"/>
      <c r="BA856" s="64"/>
      <c r="BB856" s="69"/>
      <c r="BC856" s="64"/>
      <c r="BD856" s="69"/>
      <c r="BE856" s="64"/>
      <c r="BF856" s="69"/>
      <c r="BG856" s="64"/>
      <c r="BH856" s="69"/>
      <c r="BI856" s="64"/>
      <c r="BJ856" s="69"/>
      <c r="BK856" s="64"/>
      <c r="BL856" s="69"/>
      <c r="BM856" s="64"/>
      <c r="BN856" s="69"/>
      <c r="BO856" s="64"/>
      <c r="BP856" s="69"/>
      <c r="BQ856" s="64"/>
      <c r="BR856" s="69"/>
      <c r="BS856" s="64"/>
      <c r="BT856" s="69"/>
      <c r="BU856" t="b">
        <f t="shared" si="13"/>
        <v>0</v>
      </c>
    </row>
    <row r="857" spans="1:73" x14ac:dyDescent="0.25">
      <c r="A857" s="28"/>
      <c r="B857" s="29"/>
      <c r="C857" s="29"/>
      <c r="D857" s="30"/>
      <c r="E857" s="29"/>
      <c r="F857" s="30"/>
      <c r="G857" s="29"/>
      <c r="H857" s="69"/>
      <c r="I857" s="64"/>
      <c r="J857" s="69"/>
      <c r="K857" s="64"/>
      <c r="L857" s="69"/>
      <c r="M857" s="65"/>
      <c r="N857" s="69"/>
      <c r="O857" s="64"/>
      <c r="P857" s="69"/>
      <c r="Q857" s="64"/>
      <c r="R857" s="69"/>
      <c r="S857" s="64"/>
      <c r="T857" s="69"/>
      <c r="U857" s="64"/>
      <c r="V857" s="69"/>
      <c r="W857" s="65"/>
      <c r="X857" s="69"/>
      <c r="Y857" s="64"/>
      <c r="Z857" s="69"/>
      <c r="AA857" s="64"/>
      <c r="AB857" s="69"/>
      <c r="AC857" s="64"/>
      <c r="AD857" s="69"/>
      <c r="AE857" s="65"/>
      <c r="AF857" s="69"/>
      <c r="AG857" s="65"/>
      <c r="AH857" s="69"/>
      <c r="AI857" s="64"/>
      <c r="AJ857" s="69"/>
      <c r="AK857" s="64"/>
      <c r="AL857" s="69"/>
      <c r="AM857" s="64"/>
      <c r="AN857" s="69"/>
      <c r="AO857" s="64"/>
      <c r="AP857" s="69"/>
      <c r="AQ857" s="64"/>
      <c r="AR857" s="69"/>
      <c r="AS857" s="64"/>
      <c r="AT857" s="69"/>
      <c r="AU857" s="64"/>
      <c r="AV857" s="69"/>
      <c r="AW857" s="64"/>
      <c r="AX857" s="69"/>
      <c r="AY857" s="64"/>
      <c r="AZ857" s="69"/>
      <c r="BA857" s="64"/>
      <c r="BB857" s="69"/>
      <c r="BC857" s="64"/>
      <c r="BD857" s="69"/>
      <c r="BE857" s="64"/>
      <c r="BF857" s="69"/>
      <c r="BG857" s="64"/>
      <c r="BH857" s="69"/>
      <c r="BI857" s="64"/>
      <c r="BJ857" s="69"/>
      <c r="BK857" s="64"/>
      <c r="BL857" s="69"/>
      <c r="BM857" s="64"/>
      <c r="BN857" s="69"/>
      <c r="BO857" s="64"/>
      <c r="BP857" s="69"/>
      <c r="BQ857" s="64"/>
      <c r="BR857" s="69"/>
      <c r="BS857" s="64"/>
      <c r="BT857" s="69"/>
      <c r="BU857" t="b">
        <f t="shared" si="13"/>
        <v>0</v>
      </c>
    </row>
    <row r="858" spans="1:73" x14ac:dyDescent="0.25">
      <c r="A858" s="28"/>
      <c r="B858" s="29"/>
      <c r="C858" s="29"/>
      <c r="D858" s="30"/>
      <c r="E858" s="29"/>
      <c r="F858" s="30"/>
      <c r="G858" s="29"/>
      <c r="H858" s="69"/>
      <c r="I858" s="64"/>
      <c r="J858" s="69"/>
      <c r="K858" s="64"/>
      <c r="L858" s="69"/>
      <c r="M858" s="65"/>
      <c r="N858" s="69"/>
      <c r="O858" s="64"/>
      <c r="P858" s="69"/>
      <c r="Q858" s="64"/>
      <c r="R858" s="69"/>
      <c r="S858" s="64"/>
      <c r="T858" s="69"/>
      <c r="U858" s="64"/>
      <c r="V858" s="69"/>
      <c r="W858" s="65"/>
      <c r="X858" s="69"/>
      <c r="Y858" s="64"/>
      <c r="Z858" s="69"/>
      <c r="AA858" s="64"/>
      <c r="AB858" s="69"/>
      <c r="AC858" s="64"/>
      <c r="AD858" s="69"/>
      <c r="AE858" s="65"/>
      <c r="AF858" s="69"/>
      <c r="AG858" s="65"/>
      <c r="AH858" s="69"/>
      <c r="AI858" s="64"/>
      <c r="AJ858" s="69"/>
      <c r="AK858" s="64"/>
      <c r="AL858" s="69"/>
      <c r="AM858" s="64"/>
      <c r="AN858" s="69"/>
      <c r="AO858" s="64"/>
      <c r="AP858" s="69"/>
      <c r="AQ858" s="64"/>
      <c r="AR858" s="69"/>
      <c r="AS858" s="64"/>
      <c r="AT858" s="69"/>
      <c r="AU858" s="64"/>
      <c r="AV858" s="69"/>
      <c r="AW858" s="64"/>
      <c r="AX858" s="69"/>
      <c r="AY858" s="64"/>
      <c r="AZ858" s="69"/>
      <c r="BA858" s="64"/>
      <c r="BB858" s="69"/>
      <c r="BC858" s="64"/>
      <c r="BD858" s="69"/>
      <c r="BE858" s="64"/>
      <c r="BF858" s="69"/>
      <c r="BG858" s="64"/>
      <c r="BH858" s="69"/>
      <c r="BI858" s="64"/>
      <c r="BJ858" s="69"/>
      <c r="BK858" s="64"/>
      <c r="BL858" s="69"/>
      <c r="BM858" s="64"/>
      <c r="BN858" s="69"/>
      <c r="BO858" s="64"/>
      <c r="BP858" s="69"/>
      <c r="BQ858" s="64"/>
      <c r="BR858" s="69"/>
      <c r="BS858" s="64"/>
      <c r="BT858" s="69"/>
      <c r="BU858" t="b">
        <f t="shared" si="13"/>
        <v>0</v>
      </c>
    </row>
    <row r="859" spans="1:73" x14ac:dyDescent="0.25">
      <c r="A859" s="28"/>
      <c r="B859" s="29"/>
      <c r="C859" s="29"/>
      <c r="D859" s="30"/>
      <c r="E859" s="29"/>
      <c r="F859" s="30"/>
      <c r="G859" s="29"/>
      <c r="H859" s="69"/>
      <c r="I859" s="64"/>
      <c r="J859" s="69"/>
      <c r="K859" s="64"/>
      <c r="L859" s="69"/>
      <c r="M859" s="65"/>
      <c r="N859" s="69"/>
      <c r="O859" s="64"/>
      <c r="P859" s="69"/>
      <c r="Q859" s="64"/>
      <c r="R859" s="69"/>
      <c r="S859" s="64"/>
      <c r="T859" s="69"/>
      <c r="U859" s="64"/>
      <c r="V859" s="69"/>
      <c r="W859" s="65"/>
      <c r="X859" s="69"/>
      <c r="Y859" s="64"/>
      <c r="Z859" s="69"/>
      <c r="AA859" s="64"/>
      <c r="AB859" s="69"/>
      <c r="AC859" s="64"/>
      <c r="AD859" s="69"/>
      <c r="AE859" s="65"/>
      <c r="AF859" s="69"/>
      <c r="AG859" s="65"/>
      <c r="AH859" s="69"/>
      <c r="AI859" s="64"/>
      <c r="AJ859" s="69"/>
      <c r="AK859" s="64"/>
      <c r="AL859" s="69"/>
      <c r="AM859" s="64"/>
      <c r="AN859" s="69"/>
      <c r="AO859" s="64"/>
      <c r="AP859" s="69"/>
      <c r="AQ859" s="64"/>
      <c r="AR859" s="69"/>
      <c r="AS859" s="64"/>
      <c r="AT859" s="69"/>
      <c r="AU859" s="64"/>
      <c r="AV859" s="69"/>
      <c r="AW859" s="64"/>
      <c r="AX859" s="69"/>
      <c r="AY859" s="64"/>
      <c r="AZ859" s="69"/>
      <c r="BA859" s="64"/>
      <c r="BB859" s="69"/>
      <c r="BC859" s="64"/>
      <c r="BD859" s="69"/>
      <c r="BE859" s="64"/>
      <c r="BF859" s="69"/>
      <c r="BG859" s="64"/>
      <c r="BH859" s="69"/>
      <c r="BI859" s="64"/>
      <c r="BJ859" s="69"/>
      <c r="BK859" s="64"/>
      <c r="BL859" s="69"/>
      <c r="BM859" s="64"/>
      <c r="BN859" s="69"/>
      <c r="BO859" s="64"/>
      <c r="BP859" s="69"/>
      <c r="BQ859" s="64"/>
      <c r="BR859" s="69"/>
      <c r="BS859" s="64"/>
      <c r="BT859" s="69"/>
      <c r="BU859" t="b">
        <f t="shared" si="13"/>
        <v>0</v>
      </c>
    </row>
    <row r="860" spans="1:73" x14ac:dyDescent="0.25">
      <c r="A860" s="28"/>
      <c r="B860" s="29"/>
      <c r="C860" s="29"/>
      <c r="D860" s="30"/>
      <c r="E860" s="29"/>
      <c r="F860" s="30"/>
      <c r="G860" s="29"/>
      <c r="H860" s="69"/>
      <c r="I860" s="64"/>
      <c r="J860" s="69"/>
      <c r="K860" s="64"/>
      <c r="L860" s="69"/>
      <c r="M860" s="65"/>
      <c r="N860" s="69"/>
      <c r="O860" s="64"/>
      <c r="P860" s="69"/>
      <c r="Q860" s="64"/>
      <c r="R860" s="69"/>
      <c r="S860" s="64"/>
      <c r="T860" s="69"/>
      <c r="U860" s="64"/>
      <c r="V860" s="69"/>
      <c r="W860" s="65"/>
      <c r="X860" s="69"/>
      <c r="Y860" s="64"/>
      <c r="Z860" s="69"/>
      <c r="AA860" s="64"/>
      <c r="AB860" s="69"/>
      <c r="AC860" s="64"/>
      <c r="AD860" s="69"/>
      <c r="AE860" s="65"/>
      <c r="AF860" s="69"/>
      <c r="AG860" s="65"/>
      <c r="AH860" s="69"/>
      <c r="AI860" s="64"/>
      <c r="AJ860" s="69"/>
      <c r="AK860" s="64"/>
      <c r="AL860" s="69"/>
      <c r="AM860" s="64"/>
      <c r="AN860" s="69"/>
      <c r="AO860" s="64"/>
      <c r="AP860" s="69"/>
      <c r="AQ860" s="64"/>
      <c r="AR860" s="69"/>
      <c r="AS860" s="64"/>
      <c r="AT860" s="69"/>
      <c r="AU860" s="64"/>
      <c r="AV860" s="69"/>
      <c r="AW860" s="64"/>
      <c r="AX860" s="69"/>
      <c r="AY860" s="64"/>
      <c r="AZ860" s="69"/>
      <c r="BA860" s="64"/>
      <c r="BB860" s="69"/>
      <c r="BC860" s="64"/>
      <c r="BD860" s="69"/>
      <c r="BE860" s="64"/>
      <c r="BF860" s="69"/>
      <c r="BG860" s="64"/>
      <c r="BH860" s="69"/>
      <c r="BI860" s="64"/>
      <c r="BJ860" s="69"/>
      <c r="BK860" s="64"/>
      <c r="BL860" s="69"/>
      <c r="BM860" s="64"/>
      <c r="BN860" s="69"/>
      <c r="BO860" s="64"/>
      <c r="BP860" s="69"/>
      <c r="BQ860" s="64"/>
      <c r="BR860" s="69"/>
      <c r="BS860" s="64"/>
      <c r="BT860" s="69"/>
      <c r="BU860" t="b">
        <f t="shared" si="13"/>
        <v>0</v>
      </c>
    </row>
    <row r="861" spans="1:73" x14ac:dyDescent="0.25">
      <c r="A861" s="28"/>
      <c r="B861" s="29"/>
      <c r="C861" s="29"/>
      <c r="D861" s="30"/>
      <c r="E861" s="29"/>
      <c r="F861" s="30"/>
      <c r="G861" s="29"/>
      <c r="H861" s="69"/>
      <c r="I861" s="64"/>
      <c r="J861" s="69"/>
      <c r="K861" s="64"/>
      <c r="L861" s="69"/>
      <c r="M861" s="65"/>
      <c r="N861" s="69"/>
      <c r="O861" s="64"/>
      <c r="P861" s="69"/>
      <c r="Q861" s="64"/>
      <c r="R861" s="69"/>
      <c r="S861" s="64"/>
      <c r="T861" s="69"/>
      <c r="U861" s="64"/>
      <c r="V861" s="69"/>
      <c r="W861" s="65"/>
      <c r="X861" s="69"/>
      <c r="Y861" s="64"/>
      <c r="Z861" s="69"/>
      <c r="AA861" s="64"/>
      <c r="AB861" s="69"/>
      <c r="AC861" s="64"/>
      <c r="AD861" s="69"/>
      <c r="AE861" s="65"/>
      <c r="AF861" s="69"/>
      <c r="AG861" s="65"/>
      <c r="AH861" s="69"/>
      <c r="AI861" s="64"/>
      <c r="AJ861" s="69"/>
      <c r="AK861" s="64"/>
      <c r="AL861" s="69"/>
      <c r="AM861" s="64"/>
      <c r="AN861" s="69"/>
      <c r="AO861" s="64"/>
      <c r="AP861" s="69"/>
      <c r="AQ861" s="64"/>
      <c r="AR861" s="69"/>
      <c r="AS861" s="64"/>
      <c r="AT861" s="69"/>
      <c r="AU861" s="64"/>
      <c r="AV861" s="69"/>
      <c r="AW861" s="64"/>
      <c r="AX861" s="69"/>
      <c r="AY861" s="64"/>
      <c r="AZ861" s="69"/>
      <c r="BA861" s="64"/>
      <c r="BB861" s="69"/>
      <c r="BC861" s="64"/>
      <c r="BD861" s="69"/>
      <c r="BE861" s="64"/>
      <c r="BF861" s="69"/>
      <c r="BG861" s="64"/>
      <c r="BH861" s="69"/>
      <c r="BI861" s="64"/>
      <c r="BJ861" s="69"/>
      <c r="BK861" s="64"/>
      <c r="BL861" s="69"/>
      <c r="BM861" s="64"/>
      <c r="BN861" s="69"/>
      <c r="BO861" s="64"/>
      <c r="BP861" s="69"/>
      <c r="BQ861" s="64"/>
      <c r="BR861" s="69"/>
      <c r="BS861" s="64"/>
      <c r="BT861" s="69"/>
      <c r="BU861" t="b">
        <f t="shared" si="13"/>
        <v>0</v>
      </c>
    </row>
    <row r="862" spans="1:73" x14ac:dyDescent="0.25">
      <c r="A862" s="28"/>
      <c r="B862" s="29"/>
      <c r="C862" s="29"/>
      <c r="D862" s="30"/>
      <c r="E862" s="29"/>
      <c r="F862" s="30"/>
      <c r="G862" s="29"/>
      <c r="H862" s="69"/>
      <c r="I862" s="64"/>
      <c r="J862" s="69"/>
      <c r="K862" s="64"/>
      <c r="L862" s="69"/>
      <c r="M862" s="65"/>
      <c r="N862" s="69"/>
      <c r="O862" s="64"/>
      <c r="P862" s="69"/>
      <c r="Q862" s="64"/>
      <c r="R862" s="69"/>
      <c r="S862" s="64"/>
      <c r="T862" s="69"/>
      <c r="U862" s="64"/>
      <c r="V862" s="69"/>
      <c r="W862" s="65"/>
      <c r="X862" s="69"/>
      <c r="Y862" s="64"/>
      <c r="Z862" s="69"/>
      <c r="AA862" s="64"/>
      <c r="AB862" s="69"/>
      <c r="AC862" s="64"/>
      <c r="AD862" s="69"/>
      <c r="AE862" s="65"/>
      <c r="AF862" s="69"/>
      <c r="AG862" s="65"/>
      <c r="AH862" s="69"/>
      <c r="AI862" s="64"/>
      <c r="AJ862" s="69"/>
      <c r="AK862" s="64"/>
      <c r="AL862" s="69"/>
      <c r="AM862" s="64"/>
      <c r="AN862" s="69"/>
      <c r="AO862" s="64"/>
      <c r="AP862" s="69"/>
      <c r="AQ862" s="64"/>
      <c r="AR862" s="69"/>
      <c r="AS862" s="64"/>
      <c r="AT862" s="69"/>
      <c r="AU862" s="64"/>
      <c r="AV862" s="69"/>
      <c r="AW862" s="64"/>
      <c r="AX862" s="69"/>
      <c r="AY862" s="64"/>
      <c r="AZ862" s="69"/>
      <c r="BA862" s="64"/>
      <c r="BB862" s="69"/>
      <c r="BC862" s="64"/>
      <c r="BD862" s="69"/>
      <c r="BE862" s="64"/>
      <c r="BF862" s="69"/>
      <c r="BG862" s="64"/>
      <c r="BH862" s="69"/>
      <c r="BI862" s="64"/>
      <c r="BJ862" s="69"/>
      <c r="BK862" s="64"/>
      <c r="BL862" s="69"/>
      <c r="BM862" s="64"/>
      <c r="BN862" s="69"/>
      <c r="BO862" s="64"/>
      <c r="BP862" s="69"/>
      <c r="BQ862" s="64"/>
      <c r="BR862" s="69"/>
      <c r="BS862" s="64"/>
      <c r="BT862" s="69"/>
      <c r="BU862" t="b">
        <f t="shared" si="13"/>
        <v>0</v>
      </c>
    </row>
    <row r="863" spans="1:73" x14ac:dyDescent="0.25">
      <c r="A863" s="28"/>
      <c r="B863" s="29"/>
      <c r="C863" s="29"/>
      <c r="D863" s="30"/>
      <c r="E863" s="29"/>
      <c r="F863" s="30"/>
      <c r="G863" s="29"/>
      <c r="H863" s="69"/>
      <c r="I863" s="64"/>
      <c r="J863" s="69"/>
      <c r="K863" s="64"/>
      <c r="L863" s="69"/>
      <c r="M863" s="65"/>
      <c r="N863" s="69"/>
      <c r="O863" s="64"/>
      <c r="P863" s="69"/>
      <c r="Q863" s="64"/>
      <c r="R863" s="69"/>
      <c r="S863" s="64"/>
      <c r="T863" s="69"/>
      <c r="U863" s="64"/>
      <c r="V863" s="69"/>
      <c r="W863" s="65"/>
      <c r="X863" s="69"/>
      <c r="Y863" s="64"/>
      <c r="Z863" s="69"/>
      <c r="AA863" s="64"/>
      <c r="AB863" s="69"/>
      <c r="AC863" s="64"/>
      <c r="AD863" s="69"/>
      <c r="AE863" s="65"/>
      <c r="AF863" s="69"/>
      <c r="AG863" s="65"/>
      <c r="AH863" s="69"/>
      <c r="AI863" s="64"/>
      <c r="AJ863" s="69"/>
      <c r="AK863" s="64"/>
      <c r="AL863" s="69"/>
      <c r="AM863" s="64"/>
      <c r="AN863" s="69"/>
      <c r="AO863" s="64"/>
      <c r="AP863" s="69"/>
      <c r="AQ863" s="64"/>
      <c r="AR863" s="69"/>
      <c r="AS863" s="64"/>
      <c r="AT863" s="69"/>
      <c r="AU863" s="64"/>
      <c r="AV863" s="69"/>
      <c r="AW863" s="64"/>
      <c r="AX863" s="69"/>
      <c r="AY863" s="64"/>
      <c r="AZ863" s="69"/>
      <c r="BA863" s="64"/>
      <c r="BB863" s="69"/>
      <c r="BC863" s="64"/>
      <c r="BD863" s="69"/>
      <c r="BE863" s="64"/>
      <c r="BF863" s="69"/>
      <c r="BG863" s="64"/>
      <c r="BH863" s="69"/>
      <c r="BI863" s="64"/>
      <c r="BJ863" s="69"/>
      <c r="BK863" s="64"/>
      <c r="BL863" s="69"/>
      <c r="BM863" s="64"/>
      <c r="BN863" s="69"/>
      <c r="BO863" s="64"/>
      <c r="BP863" s="69"/>
      <c r="BQ863" s="64"/>
      <c r="BR863" s="69"/>
      <c r="BS863" s="64"/>
      <c r="BT863" s="69"/>
      <c r="BU863" t="b">
        <f t="shared" si="13"/>
        <v>0</v>
      </c>
    </row>
    <row r="864" spans="1:73" x14ac:dyDescent="0.25">
      <c r="A864" s="28"/>
      <c r="B864" s="29"/>
      <c r="C864" s="29"/>
      <c r="D864" s="30"/>
      <c r="E864" s="29"/>
      <c r="F864" s="30"/>
      <c r="G864" s="29"/>
      <c r="H864" s="69"/>
      <c r="I864" s="64"/>
      <c r="J864" s="69"/>
      <c r="K864" s="64"/>
      <c r="L864" s="69"/>
      <c r="M864" s="65"/>
      <c r="N864" s="69"/>
      <c r="O864" s="64"/>
      <c r="P864" s="69"/>
      <c r="Q864" s="64"/>
      <c r="R864" s="69"/>
      <c r="S864" s="64"/>
      <c r="T864" s="69"/>
      <c r="U864" s="64"/>
      <c r="V864" s="69"/>
      <c r="W864" s="65"/>
      <c r="X864" s="69"/>
      <c r="Y864" s="64"/>
      <c r="Z864" s="69"/>
      <c r="AA864" s="64"/>
      <c r="AB864" s="69"/>
      <c r="AC864" s="64"/>
      <c r="AD864" s="69"/>
      <c r="AE864" s="65"/>
      <c r="AF864" s="69"/>
      <c r="AG864" s="65"/>
      <c r="AH864" s="69"/>
      <c r="AI864" s="64"/>
      <c r="AJ864" s="69"/>
      <c r="AK864" s="64"/>
      <c r="AL864" s="69"/>
      <c r="AM864" s="64"/>
      <c r="AN864" s="69"/>
      <c r="AO864" s="64"/>
      <c r="AP864" s="69"/>
      <c r="AQ864" s="64"/>
      <c r="AR864" s="69"/>
      <c r="AS864" s="64"/>
      <c r="AT864" s="69"/>
      <c r="AU864" s="64"/>
      <c r="AV864" s="69"/>
      <c r="AW864" s="64"/>
      <c r="AX864" s="69"/>
      <c r="AY864" s="64"/>
      <c r="AZ864" s="69"/>
      <c r="BA864" s="64"/>
      <c r="BB864" s="69"/>
      <c r="BC864" s="64"/>
      <c r="BD864" s="69"/>
      <c r="BE864" s="64"/>
      <c r="BF864" s="69"/>
      <c r="BG864" s="64"/>
      <c r="BH864" s="69"/>
      <c r="BI864" s="64"/>
      <c r="BJ864" s="69"/>
      <c r="BK864" s="64"/>
      <c r="BL864" s="69"/>
      <c r="BM864" s="64"/>
      <c r="BN864" s="69"/>
      <c r="BO864" s="64"/>
      <c r="BP864" s="69"/>
      <c r="BQ864" s="64"/>
      <c r="BR864" s="69"/>
      <c r="BS864" s="64"/>
      <c r="BT864" s="69"/>
      <c r="BU864" t="b">
        <f t="shared" si="13"/>
        <v>0</v>
      </c>
    </row>
    <row r="865" spans="1:73" x14ac:dyDescent="0.25">
      <c r="A865" s="28"/>
      <c r="B865" s="29"/>
      <c r="C865" s="29"/>
      <c r="D865" s="30"/>
      <c r="E865" s="29"/>
      <c r="F865" s="30"/>
      <c r="G865" s="29"/>
      <c r="H865" s="69"/>
      <c r="I865" s="64"/>
      <c r="J865" s="69"/>
      <c r="K865" s="64"/>
      <c r="L865" s="69"/>
      <c r="M865" s="65"/>
      <c r="N865" s="69"/>
      <c r="O865" s="64"/>
      <c r="P865" s="69"/>
      <c r="Q865" s="64"/>
      <c r="R865" s="69"/>
      <c r="S865" s="64"/>
      <c r="T865" s="69"/>
      <c r="U865" s="64"/>
      <c r="V865" s="69"/>
      <c r="W865" s="65"/>
      <c r="X865" s="69"/>
      <c r="Y865" s="64"/>
      <c r="Z865" s="69"/>
      <c r="AA865" s="64"/>
      <c r="AB865" s="69"/>
      <c r="AC865" s="64"/>
      <c r="AD865" s="69"/>
      <c r="AE865" s="65"/>
      <c r="AF865" s="69"/>
      <c r="AG865" s="65"/>
      <c r="AH865" s="69"/>
      <c r="AI865" s="64"/>
      <c r="AJ865" s="69"/>
      <c r="AK865" s="64"/>
      <c r="AL865" s="69"/>
      <c r="AM865" s="64"/>
      <c r="AN865" s="69"/>
      <c r="AO865" s="64"/>
      <c r="AP865" s="69"/>
      <c r="AQ865" s="64"/>
      <c r="AR865" s="69"/>
      <c r="AS865" s="64"/>
      <c r="AT865" s="69"/>
      <c r="AU865" s="64"/>
      <c r="AV865" s="69"/>
      <c r="AW865" s="64"/>
      <c r="AX865" s="69"/>
      <c r="AY865" s="64"/>
      <c r="AZ865" s="69"/>
      <c r="BA865" s="64"/>
      <c r="BB865" s="69"/>
      <c r="BC865" s="64"/>
      <c r="BD865" s="69"/>
      <c r="BE865" s="64"/>
      <c r="BF865" s="69"/>
      <c r="BG865" s="64"/>
      <c r="BH865" s="69"/>
      <c r="BI865" s="64"/>
      <c r="BJ865" s="69"/>
      <c r="BK865" s="64"/>
      <c r="BL865" s="69"/>
      <c r="BM865" s="64"/>
      <c r="BN865" s="69"/>
      <c r="BO865" s="64"/>
      <c r="BP865" s="69"/>
      <c r="BQ865" s="64"/>
      <c r="BR865" s="69"/>
      <c r="BS865" s="64"/>
      <c r="BT865" s="69"/>
      <c r="BU865" t="b">
        <f t="shared" si="13"/>
        <v>0</v>
      </c>
    </row>
    <row r="866" spans="1:73" x14ac:dyDescent="0.25">
      <c r="A866" s="28"/>
      <c r="B866" s="29"/>
      <c r="C866" s="29"/>
      <c r="D866" s="30"/>
      <c r="E866" s="29"/>
      <c r="F866" s="30"/>
      <c r="G866" s="29"/>
      <c r="H866" s="69"/>
      <c r="I866" s="64"/>
      <c r="J866" s="69"/>
      <c r="K866" s="64"/>
      <c r="L866" s="69"/>
      <c r="M866" s="65"/>
      <c r="N866" s="69"/>
      <c r="O866" s="64"/>
      <c r="P866" s="69"/>
      <c r="Q866" s="64"/>
      <c r="R866" s="69"/>
      <c r="S866" s="64"/>
      <c r="T866" s="69"/>
      <c r="U866" s="64"/>
      <c r="V866" s="69"/>
      <c r="W866" s="65"/>
      <c r="X866" s="69"/>
      <c r="Y866" s="64"/>
      <c r="Z866" s="69"/>
      <c r="AA866" s="64"/>
      <c r="AB866" s="69"/>
      <c r="AC866" s="64"/>
      <c r="AD866" s="69"/>
      <c r="AE866" s="65"/>
      <c r="AF866" s="69"/>
      <c r="AG866" s="65"/>
      <c r="AH866" s="69"/>
      <c r="AI866" s="64"/>
      <c r="AJ866" s="69"/>
      <c r="AK866" s="64"/>
      <c r="AL866" s="69"/>
      <c r="AM866" s="64"/>
      <c r="AN866" s="69"/>
      <c r="AO866" s="64"/>
      <c r="AP866" s="69"/>
      <c r="AQ866" s="64"/>
      <c r="AR866" s="69"/>
      <c r="AS866" s="64"/>
      <c r="AT866" s="69"/>
      <c r="AU866" s="64"/>
      <c r="AV866" s="69"/>
      <c r="AW866" s="64"/>
      <c r="AX866" s="69"/>
      <c r="AY866" s="64"/>
      <c r="AZ866" s="69"/>
      <c r="BA866" s="64"/>
      <c r="BB866" s="69"/>
      <c r="BC866" s="64"/>
      <c r="BD866" s="69"/>
      <c r="BE866" s="64"/>
      <c r="BF866" s="69"/>
      <c r="BG866" s="64"/>
      <c r="BH866" s="69"/>
      <c r="BI866" s="64"/>
      <c r="BJ866" s="69"/>
      <c r="BK866" s="64"/>
      <c r="BL866" s="69"/>
      <c r="BM866" s="64"/>
      <c r="BN866" s="69"/>
      <c r="BO866" s="64"/>
      <c r="BP866" s="69"/>
      <c r="BQ866" s="64"/>
      <c r="BR866" s="69"/>
      <c r="BS866" s="64"/>
      <c r="BT866" s="69"/>
      <c r="BU866" t="b">
        <f t="shared" si="13"/>
        <v>0</v>
      </c>
    </row>
    <row r="867" spans="1:73" x14ac:dyDescent="0.25">
      <c r="A867" s="28"/>
      <c r="B867" s="29"/>
      <c r="C867" s="29"/>
      <c r="D867" s="30"/>
      <c r="E867" s="29"/>
      <c r="F867" s="30"/>
      <c r="G867" s="29"/>
      <c r="H867" s="69"/>
      <c r="I867" s="64"/>
      <c r="J867" s="69"/>
      <c r="K867" s="64"/>
      <c r="L867" s="69"/>
      <c r="M867" s="65"/>
      <c r="N867" s="69"/>
      <c r="O867" s="64"/>
      <c r="P867" s="69"/>
      <c r="Q867" s="64"/>
      <c r="R867" s="69"/>
      <c r="S867" s="64"/>
      <c r="T867" s="69"/>
      <c r="U867" s="64"/>
      <c r="V867" s="69"/>
      <c r="W867" s="65"/>
      <c r="X867" s="69"/>
      <c r="Y867" s="64"/>
      <c r="Z867" s="69"/>
      <c r="AA867" s="64"/>
      <c r="AB867" s="69"/>
      <c r="AC867" s="64"/>
      <c r="AD867" s="69"/>
      <c r="AE867" s="65"/>
      <c r="AF867" s="69"/>
      <c r="AG867" s="65"/>
      <c r="AH867" s="69"/>
      <c r="AI867" s="64"/>
      <c r="AJ867" s="69"/>
      <c r="AK867" s="64"/>
      <c r="AL867" s="69"/>
      <c r="AM867" s="64"/>
      <c r="AN867" s="69"/>
      <c r="AO867" s="64"/>
      <c r="AP867" s="69"/>
      <c r="AQ867" s="64"/>
      <c r="AR867" s="69"/>
      <c r="AS867" s="64"/>
      <c r="AT867" s="69"/>
      <c r="AU867" s="64"/>
      <c r="AV867" s="69"/>
      <c r="AW867" s="64"/>
      <c r="AX867" s="69"/>
      <c r="AY867" s="64"/>
      <c r="AZ867" s="69"/>
      <c r="BA867" s="64"/>
      <c r="BB867" s="69"/>
      <c r="BC867" s="64"/>
      <c r="BD867" s="69"/>
      <c r="BE867" s="64"/>
      <c r="BF867" s="69"/>
      <c r="BG867" s="64"/>
      <c r="BH867" s="69"/>
      <c r="BI867" s="64"/>
      <c r="BJ867" s="69"/>
      <c r="BK867" s="64"/>
      <c r="BL867" s="69"/>
      <c r="BM867" s="64"/>
      <c r="BN867" s="69"/>
      <c r="BO867" s="64"/>
      <c r="BP867" s="69"/>
      <c r="BQ867" s="64"/>
      <c r="BR867" s="69"/>
      <c r="BS867" s="64"/>
      <c r="BT867" s="69"/>
      <c r="BU867" t="b">
        <f t="shared" si="13"/>
        <v>0</v>
      </c>
    </row>
    <row r="868" spans="1:73" x14ac:dyDescent="0.25">
      <c r="A868" s="28"/>
      <c r="B868" s="29"/>
      <c r="C868" s="29"/>
      <c r="D868" s="30"/>
      <c r="E868" s="29"/>
      <c r="F868" s="30"/>
      <c r="G868" s="29"/>
      <c r="H868" s="69"/>
      <c r="I868" s="64"/>
      <c r="J868" s="69"/>
      <c r="K868" s="64"/>
      <c r="L868" s="69"/>
      <c r="M868" s="65"/>
      <c r="N868" s="69"/>
      <c r="O868" s="64"/>
      <c r="P868" s="69"/>
      <c r="Q868" s="64"/>
      <c r="R868" s="69"/>
      <c r="S868" s="64"/>
      <c r="T868" s="69"/>
      <c r="U868" s="64"/>
      <c r="V868" s="69"/>
      <c r="W868" s="65"/>
      <c r="X868" s="69"/>
      <c r="Y868" s="64"/>
      <c r="Z868" s="69"/>
      <c r="AA868" s="64"/>
      <c r="AB868" s="69"/>
      <c r="AC868" s="64"/>
      <c r="AD868" s="69"/>
      <c r="AE868" s="65"/>
      <c r="AF868" s="69"/>
      <c r="AG868" s="65"/>
      <c r="AH868" s="69"/>
      <c r="AI868" s="64"/>
      <c r="AJ868" s="69"/>
      <c r="AK868" s="64"/>
      <c r="AL868" s="69"/>
      <c r="AM868" s="64"/>
      <c r="AN868" s="69"/>
      <c r="AO868" s="64"/>
      <c r="AP868" s="69"/>
      <c r="AQ868" s="64"/>
      <c r="AR868" s="69"/>
      <c r="AS868" s="64"/>
      <c r="AT868" s="69"/>
      <c r="AU868" s="64"/>
      <c r="AV868" s="69"/>
      <c r="AW868" s="64"/>
      <c r="AX868" s="69"/>
      <c r="AY868" s="64"/>
      <c r="AZ868" s="69"/>
      <c r="BA868" s="64"/>
      <c r="BB868" s="69"/>
      <c r="BC868" s="64"/>
      <c r="BD868" s="69"/>
      <c r="BE868" s="64"/>
      <c r="BF868" s="69"/>
      <c r="BG868" s="64"/>
      <c r="BH868" s="69"/>
      <c r="BI868" s="64"/>
      <c r="BJ868" s="69"/>
      <c r="BK868" s="64"/>
      <c r="BL868" s="69"/>
      <c r="BM868" s="64"/>
      <c r="BN868" s="69"/>
      <c r="BO868" s="64"/>
      <c r="BP868" s="69"/>
      <c r="BQ868" s="64"/>
      <c r="BR868" s="69"/>
      <c r="BS868" s="64"/>
      <c r="BT868" s="69"/>
      <c r="BU868" t="b">
        <f t="shared" si="13"/>
        <v>0</v>
      </c>
    </row>
    <row r="869" spans="1:73" x14ac:dyDescent="0.25">
      <c r="A869" s="28"/>
      <c r="B869" s="29"/>
      <c r="C869" s="29"/>
      <c r="D869" s="30"/>
      <c r="E869" s="29"/>
      <c r="F869" s="30"/>
      <c r="G869" s="29"/>
      <c r="H869" s="69"/>
      <c r="I869" s="64"/>
      <c r="J869" s="69"/>
      <c r="K869" s="64"/>
      <c r="L869" s="69"/>
      <c r="M869" s="65"/>
      <c r="N869" s="69"/>
      <c r="O869" s="64"/>
      <c r="P869" s="69"/>
      <c r="Q869" s="64"/>
      <c r="R869" s="69"/>
      <c r="S869" s="64"/>
      <c r="T869" s="69"/>
      <c r="U869" s="64"/>
      <c r="V869" s="69"/>
      <c r="W869" s="65"/>
      <c r="X869" s="69"/>
      <c r="Y869" s="64"/>
      <c r="Z869" s="69"/>
      <c r="AA869" s="64"/>
      <c r="AB869" s="69"/>
      <c r="AC869" s="64"/>
      <c r="AD869" s="69"/>
      <c r="AE869" s="65"/>
      <c r="AF869" s="69"/>
      <c r="AG869" s="65"/>
      <c r="AH869" s="69"/>
      <c r="AI869" s="64"/>
      <c r="AJ869" s="69"/>
      <c r="AK869" s="64"/>
      <c r="AL869" s="69"/>
      <c r="AM869" s="64"/>
      <c r="AN869" s="69"/>
      <c r="AO869" s="64"/>
      <c r="AP869" s="69"/>
      <c r="AQ869" s="64"/>
      <c r="AR869" s="69"/>
      <c r="AS869" s="64"/>
      <c r="AT869" s="69"/>
      <c r="AU869" s="64"/>
      <c r="AV869" s="69"/>
      <c r="AW869" s="64"/>
      <c r="AX869" s="69"/>
      <c r="AY869" s="64"/>
      <c r="AZ869" s="69"/>
      <c r="BA869" s="64"/>
      <c r="BB869" s="69"/>
      <c r="BC869" s="64"/>
      <c r="BD869" s="69"/>
      <c r="BE869" s="64"/>
      <c r="BF869" s="69"/>
      <c r="BG869" s="64"/>
      <c r="BH869" s="69"/>
      <c r="BI869" s="64"/>
      <c r="BJ869" s="69"/>
      <c r="BK869" s="64"/>
      <c r="BL869" s="69"/>
      <c r="BM869" s="64"/>
      <c r="BN869" s="69"/>
      <c r="BO869" s="64"/>
      <c r="BP869" s="69"/>
      <c r="BQ869" s="64"/>
      <c r="BR869" s="69"/>
      <c r="BS869" s="64"/>
      <c r="BT869" s="69"/>
      <c r="BU869" t="b">
        <f t="shared" ref="BU869:BU932" si="14">NOT(AND(BR869="",BP869="",BN869="",BL869="",BJ869="",BH869="",BF869="",BD869="",BB869="",AZ869="",AX869="",AV869="",AT869="",AR869="",AP869="",AN869="",AL869="",AJ869="",AH869="",AF869="",AD869="",AB869="",Z869="",X869="",V869="",T869="",R869="",P869="",N869="", L869="",J869=""))</f>
        <v>0</v>
      </c>
    </row>
    <row r="870" spans="1:73" x14ac:dyDescent="0.25">
      <c r="A870" s="28"/>
      <c r="B870" s="29"/>
      <c r="C870" s="29"/>
      <c r="D870" s="30"/>
      <c r="E870" s="29"/>
      <c r="F870" s="30"/>
      <c r="G870" s="29"/>
      <c r="H870" s="69"/>
      <c r="I870" s="64"/>
      <c r="J870" s="69"/>
      <c r="K870" s="64"/>
      <c r="L870" s="69"/>
      <c r="M870" s="65"/>
      <c r="N870" s="69"/>
      <c r="O870" s="64"/>
      <c r="P870" s="69"/>
      <c r="Q870" s="64"/>
      <c r="R870" s="69"/>
      <c r="S870" s="64"/>
      <c r="T870" s="69"/>
      <c r="U870" s="64"/>
      <c r="V870" s="69"/>
      <c r="W870" s="65"/>
      <c r="X870" s="69"/>
      <c r="Y870" s="64"/>
      <c r="Z870" s="69"/>
      <c r="AA870" s="64"/>
      <c r="AB870" s="69"/>
      <c r="AC870" s="64"/>
      <c r="AD870" s="69"/>
      <c r="AE870" s="65"/>
      <c r="AF870" s="69"/>
      <c r="AG870" s="65"/>
      <c r="AH870" s="69"/>
      <c r="AI870" s="64"/>
      <c r="AJ870" s="69"/>
      <c r="AK870" s="64"/>
      <c r="AL870" s="69"/>
      <c r="AM870" s="64"/>
      <c r="AN870" s="69"/>
      <c r="AO870" s="64"/>
      <c r="AP870" s="69"/>
      <c r="AQ870" s="64"/>
      <c r="AR870" s="69"/>
      <c r="AS870" s="64"/>
      <c r="AT870" s="69"/>
      <c r="AU870" s="64"/>
      <c r="AV870" s="69"/>
      <c r="AW870" s="64"/>
      <c r="AX870" s="69"/>
      <c r="AY870" s="64"/>
      <c r="AZ870" s="69"/>
      <c r="BA870" s="64"/>
      <c r="BB870" s="69"/>
      <c r="BC870" s="64"/>
      <c r="BD870" s="69"/>
      <c r="BE870" s="64"/>
      <c r="BF870" s="69"/>
      <c r="BG870" s="64"/>
      <c r="BH870" s="69"/>
      <c r="BI870" s="64"/>
      <c r="BJ870" s="69"/>
      <c r="BK870" s="64"/>
      <c r="BL870" s="69"/>
      <c r="BM870" s="64"/>
      <c r="BN870" s="69"/>
      <c r="BO870" s="64"/>
      <c r="BP870" s="69"/>
      <c r="BQ870" s="64"/>
      <c r="BR870" s="69"/>
      <c r="BS870" s="64"/>
      <c r="BT870" s="69"/>
      <c r="BU870" t="b">
        <f t="shared" si="14"/>
        <v>0</v>
      </c>
    </row>
    <row r="871" spans="1:73" x14ac:dyDescent="0.25">
      <c r="A871" s="28"/>
      <c r="B871" s="29"/>
      <c r="C871" s="29"/>
      <c r="D871" s="30"/>
      <c r="E871" s="29"/>
      <c r="F871" s="30"/>
      <c r="G871" s="29"/>
      <c r="H871" s="69"/>
      <c r="I871" s="64"/>
      <c r="J871" s="69"/>
      <c r="K871" s="64"/>
      <c r="L871" s="69"/>
      <c r="M871" s="65"/>
      <c r="N871" s="69"/>
      <c r="O871" s="64"/>
      <c r="P871" s="69"/>
      <c r="Q871" s="64"/>
      <c r="R871" s="69"/>
      <c r="S871" s="64"/>
      <c r="T871" s="69"/>
      <c r="U871" s="64"/>
      <c r="V871" s="69"/>
      <c r="W871" s="65"/>
      <c r="X871" s="69"/>
      <c r="Y871" s="64"/>
      <c r="Z871" s="69"/>
      <c r="AA871" s="64"/>
      <c r="AB871" s="69"/>
      <c r="AC871" s="64"/>
      <c r="AD871" s="69"/>
      <c r="AE871" s="65"/>
      <c r="AF871" s="69"/>
      <c r="AG871" s="65"/>
      <c r="AH871" s="69"/>
      <c r="AI871" s="64"/>
      <c r="AJ871" s="69"/>
      <c r="AK871" s="64"/>
      <c r="AL871" s="69"/>
      <c r="AM871" s="64"/>
      <c r="AN871" s="69"/>
      <c r="AO871" s="64"/>
      <c r="AP871" s="69"/>
      <c r="AQ871" s="64"/>
      <c r="AR871" s="69"/>
      <c r="AS871" s="64"/>
      <c r="AT871" s="69"/>
      <c r="AU871" s="64"/>
      <c r="AV871" s="69"/>
      <c r="AW871" s="64"/>
      <c r="AX871" s="69"/>
      <c r="AY871" s="64"/>
      <c r="AZ871" s="69"/>
      <c r="BA871" s="64"/>
      <c r="BB871" s="69"/>
      <c r="BC871" s="64"/>
      <c r="BD871" s="69"/>
      <c r="BE871" s="64"/>
      <c r="BF871" s="69"/>
      <c r="BG871" s="64"/>
      <c r="BH871" s="69"/>
      <c r="BI871" s="64"/>
      <c r="BJ871" s="69"/>
      <c r="BK871" s="64"/>
      <c r="BL871" s="69"/>
      <c r="BM871" s="64"/>
      <c r="BN871" s="69"/>
      <c r="BO871" s="64"/>
      <c r="BP871" s="69"/>
      <c r="BQ871" s="64"/>
      <c r="BR871" s="69"/>
      <c r="BS871" s="64"/>
      <c r="BT871" s="69"/>
      <c r="BU871" t="b">
        <f t="shared" si="14"/>
        <v>0</v>
      </c>
    </row>
    <row r="872" spans="1:73" x14ac:dyDescent="0.25">
      <c r="A872" s="28"/>
      <c r="B872" s="29"/>
      <c r="C872" s="29"/>
      <c r="D872" s="30"/>
      <c r="E872" s="29"/>
      <c r="F872" s="30"/>
      <c r="G872" s="29"/>
      <c r="H872" s="69"/>
      <c r="I872" s="64"/>
      <c r="J872" s="69"/>
      <c r="K872" s="64"/>
      <c r="L872" s="69"/>
      <c r="M872" s="65"/>
      <c r="N872" s="69"/>
      <c r="O872" s="64"/>
      <c r="P872" s="69"/>
      <c r="Q872" s="64"/>
      <c r="R872" s="69"/>
      <c r="S872" s="64"/>
      <c r="T872" s="69"/>
      <c r="U872" s="64"/>
      <c r="V872" s="69"/>
      <c r="W872" s="65"/>
      <c r="X872" s="69"/>
      <c r="Y872" s="64"/>
      <c r="Z872" s="69"/>
      <c r="AA872" s="64"/>
      <c r="AB872" s="69"/>
      <c r="AC872" s="64"/>
      <c r="AD872" s="69"/>
      <c r="AE872" s="65"/>
      <c r="AF872" s="69"/>
      <c r="AG872" s="65"/>
      <c r="AH872" s="69"/>
      <c r="AI872" s="64"/>
      <c r="AJ872" s="69"/>
      <c r="AK872" s="64"/>
      <c r="AL872" s="69"/>
      <c r="AM872" s="64"/>
      <c r="AN872" s="69"/>
      <c r="AO872" s="64"/>
      <c r="AP872" s="69"/>
      <c r="AQ872" s="64"/>
      <c r="AR872" s="69"/>
      <c r="AS872" s="64"/>
      <c r="AT872" s="69"/>
      <c r="AU872" s="64"/>
      <c r="AV872" s="69"/>
      <c r="AW872" s="64"/>
      <c r="AX872" s="69"/>
      <c r="AY872" s="64"/>
      <c r="AZ872" s="69"/>
      <c r="BA872" s="64"/>
      <c r="BB872" s="69"/>
      <c r="BC872" s="64"/>
      <c r="BD872" s="69"/>
      <c r="BE872" s="64"/>
      <c r="BF872" s="69"/>
      <c r="BG872" s="64"/>
      <c r="BH872" s="69"/>
      <c r="BI872" s="64"/>
      <c r="BJ872" s="69"/>
      <c r="BK872" s="64"/>
      <c r="BL872" s="69"/>
      <c r="BM872" s="64"/>
      <c r="BN872" s="69"/>
      <c r="BO872" s="64"/>
      <c r="BP872" s="69"/>
      <c r="BQ872" s="64"/>
      <c r="BR872" s="69"/>
      <c r="BS872" s="64"/>
      <c r="BT872" s="69"/>
      <c r="BU872" t="b">
        <f t="shared" si="14"/>
        <v>0</v>
      </c>
    </row>
    <row r="873" spans="1:73" x14ac:dyDescent="0.25">
      <c r="A873" s="28"/>
      <c r="B873" s="29"/>
      <c r="C873" s="29"/>
      <c r="D873" s="30"/>
      <c r="E873" s="29"/>
      <c r="F873" s="30"/>
      <c r="G873" s="29"/>
      <c r="H873" s="69"/>
      <c r="I873" s="64"/>
      <c r="J873" s="69"/>
      <c r="K873" s="64"/>
      <c r="L873" s="69"/>
      <c r="M873" s="65"/>
      <c r="N873" s="69"/>
      <c r="O873" s="64"/>
      <c r="P873" s="69"/>
      <c r="Q873" s="64"/>
      <c r="R873" s="69"/>
      <c r="S873" s="64"/>
      <c r="T873" s="69"/>
      <c r="U873" s="64"/>
      <c r="V873" s="69"/>
      <c r="W873" s="65"/>
      <c r="X873" s="69"/>
      <c r="Y873" s="64"/>
      <c r="Z873" s="69"/>
      <c r="AA873" s="64"/>
      <c r="AB873" s="69"/>
      <c r="AC873" s="64"/>
      <c r="AD873" s="69"/>
      <c r="AE873" s="65"/>
      <c r="AF873" s="69"/>
      <c r="AG873" s="65"/>
      <c r="AH873" s="69"/>
      <c r="AI873" s="64"/>
      <c r="AJ873" s="69"/>
      <c r="AK873" s="64"/>
      <c r="AL873" s="69"/>
      <c r="AM873" s="64"/>
      <c r="AN873" s="69"/>
      <c r="AO873" s="64"/>
      <c r="AP873" s="69"/>
      <c r="AQ873" s="64"/>
      <c r="AR873" s="69"/>
      <c r="AS873" s="64"/>
      <c r="AT873" s="69"/>
      <c r="AU873" s="64"/>
      <c r="AV873" s="69"/>
      <c r="AW873" s="64"/>
      <c r="AX873" s="69"/>
      <c r="AY873" s="64"/>
      <c r="AZ873" s="69"/>
      <c r="BA873" s="64"/>
      <c r="BB873" s="69"/>
      <c r="BC873" s="64"/>
      <c r="BD873" s="69"/>
      <c r="BE873" s="64"/>
      <c r="BF873" s="69"/>
      <c r="BG873" s="64"/>
      <c r="BH873" s="69"/>
      <c r="BI873" s="64"/>
      <c r="BJ873" s="69"/>
      <c r="BK873" s="64"/>
      <c r="BL873" s="69"/>
      <c r="BM873" s="64"/>
      <c r="BN873" s="69"/>
      <c r="BO873" s="64"/>
      <c r="BP873" s="69"/>
      <c r="BQ873" s="64"/>
      <c r="BR873" s="69"/>
      <c r="BS873" s="64"/>
      <c r="BT873" s="69"/>
      <c r="BU873" t="b">
        <f t="shared" si="14"/>
        <v>0</v>
      </c>
    </row>
    <row r="874" spans="1:73" x14ac:dyDescent="0.25">
      <c r="A874" s="28"/>
      <c r="B874" s="29"/>
      <c r="C874" s="29"/>
      <c r="D874" s="30"/>
      <c r="E874" s="29"/>
      <c r="F874" s="30"/>
      <c r="G874" s="29"/>
      <c r="H874" s="69"/>
      <c r="I874" s="64"/>
      <c r="J874" s="69"/>
      <c r="K874" s="64"/>
      <c r="L874" s="69"/>
      <c r="M874" s="65"/>
      <c r="N874" s="69"/>
      <c r="O874" s="64"/>
      <c r="P874" s="69"/>
      <c r="Q874" s="64"/>
      <c r="R874" s="69"/>
      <c r="S874" s="64"/>
      <c r="T874" s="69"/>
      <c r="U874" s="64"/>
      <c r="V874" s="69"/>
      <c r="W874" s="65"/>
      <c r="X874" s="69"/>
      <c r="Y874" s="64"/>
      <c r="Z874" s="69"/>
      <c r="AA874" s="64"/>
      <c r="AB874" s="69"/>
      <c r="AC874" s="64"/>
      <c r="AD874" s="69"/>
      <c r="AE874" s="65"/>
      <c r="AF874" s="69"/>
      <c r="AG874" s="65"/>
      <c r="AH874" s="69"/>
      <c r="AI874" s="64"/>
      <c r="AJ874" s="69"/>
      <c r="AK874" s="64"/>
      <c r="AL874" s="69"/>
      <c r="AM874" s="64"/>
      <c r="AN874" s="69"/>
      <c r="AO874" s="64"/>
      <c r="AP874" s="69"/>
      <c r="AQ874" s="64"/>
      <c r="AR874" s="69"/>
      <c r="AS874" s="64"/>
      <c r="AT874" s="69"/>
      <c r="AU874" s="64"/>
      <c r="AV874" s="69"/>
      <c r="AW874" s="64"/>
      <c r="AX874" s="69"/>
      <c r="AY874" s="64"/>
      <c r="AZ874" s="69"/>
      <c r="BA874" s="64"/>
      <c r="BB874" s="69"/>
      <c r="BC874" s="64"/>
      <c r="BD874" s="69"/>
      <c r="BE874" s="64"/>
      <c r="BF874" s="69"/>
      <c r="BG874" s="64"/>
      <c r="BH874" s="69"/>
      <c r="BI874" s="64"/>
      <c r="BJ874" s="69"/>
      <c r="BK874" s="64"/>
      <c r="BL874" s="69"/>
      <c r="BM874" s="64"/>
      <c r="BN874" s="69"/>
      <c r="BO874" s="64"/>
      <c r="BP874" s="69"/>
      <c r="BQ874" s="64"/>
      <c r="BR874" s="69"/>
      <c r="BS874" s="64"/>
      <c r="BT874" s="69"/>
      <c r="BU874" t="b">
        <f t="shared" si="14"/>
        <v>0</v>
      </c>
    </row>
    <row r="875" spans="1:73" x14ac:dyDescent="0.25">
      <c r="A875" s="28"/>
      <c r="B875" s="29"/>
      <c r="C875" s="29"/>
      <c r="D875" s="30"/>
      <c r="E875" s="29"/>
      <c r="F875" s="30"/>
      <c r="G875" s="29"/>
      <c r="H875" s="69"/>
      <c r="I875" s="64"/>
      <c r="J875" s="69"/>
      <c r="K875" s="64"/>
      <c r="L875" s="69"/>
      <c r="M875" s="65"/>
      <c r="N875" s="69"/>
      <c r="O875" s="64"/>
      <c r="P875" s="69"/>
      <c r="Q875" s="64"/>
      <c r="R875" s="69"/>
      <c r="S875" s="64"/>
      <c r="T875" s="69"/>
      <c r="U875" s="64"/>
      <c r="V875" s="69"/>
      <c r="W875" s="65"/>
      <c r="X875" s="69"/>
      <c r="Y875" s="64"/>
      <c r="Z875" s="69"/>
      <c r="AA875" s="64"/>
      <c r="AB875" s="69"/>
      <c r="AC875" s="64"/>
      <c r="AD875" s="69"/>
      <c r="AE875" s="65"/>
      <c r="AF875" s="69"/>
      <c r="AG875" s="65"/>
      <c r="AH875" s="69"/>
      <c r="AI875" s="64"/>
      <c r="AJ875" s="69"/>
      <c r="AK875" s="64"/>
      <c r="AL875" s="69"/>
      <c r="AM875" s="64"/>
      <c r="AN875" s="69"/>
      <c r="AO875" s="64"/>
      <c r="AP875" s="69"/>
      <c r="AQ875" s="64"/>
      <c r="AR875" s="69"/>
      <c r="AS875" s="64"/>
      <c r="AT875" s="69"/>
      <c r="AU875" s="64"/>
      <c r="AV875" s="69"/>
      <c r="AW875" s="64"/>
      <c r="AX875" s="69"/>
      <c r="AY875" s="64"/>
      <c r="AZ875" s="69"/>
      <c r="BA875" s="64"/>
      <c r="BB875" s="69"/>
      <c r="BC875" s="64"/>
      <c r="BD875" s="69"/>
      <c r="BE875" s="64"/>
      <c r="BF875" s="69"/>
      <c r="BG875" s="64"/>
      <c r="BH875" s="69"/>
      <c r="BI875" s="64"/>
      <c r="BJ875" s="69"/>
      <c r="BK875" s="64"/>
      <c r="BL875" s="69"/>
      <c r="BM875" s="64"/>
      <c r="BN875" s="69"/>
      <c r="BO875" s="64"/>
      <c r="BP875" s="69"/>
      <c r="BQ875" s="64"/>
      <c r="BR875" s="69"/>
      <c r="BS875" s="64"/>
      <c r="BT875" s="69"/>
      <c r="BU875" t="b">
        <f t="shared" si="14"/>
        <v>0</v>
      </c>
    </row>
    <row r="876" spans="1:73" x14ac:dyDescent="0.25">
      <c r="A876" s="28"/>
      <c r="B876" s="29"/>
      <c r="C876" s="29"/>
      <c r="D876" s="30"/>
      <c r="E876" s="29"/>
      <c r="F876" s="30"/>
      <c r="G876" s="29"/>
      <c r="H876" s="69"/>
      <c r="I876" s="64"/>
      <c r="J876" s="69"/>
      <c r="K876" s="64"/>
      <c r="L876" s="69"/>
      <c r="M876" s="65"/>
      <c r="N876" s="69"/>
      <c r="O876" s="64"/>
      <c r="P876" s="69"/>
      <c r="Q876" s="64"/>
      <c r="R876" s="69"/>
      <c r="S876" s="64"/>
      <c r="T876" s="69"/>
      <c r="U876" s="64"/>
      <c r="V876" s="69"/>
      <c r="W876" s="65"/>
      <c r="X876" s="69"/>
      <c r="Y876" s="64"/>
      <c r="Z876" s="69"/>
      <c r="AA876" s="64"/>
      <c r="AB876" s="69"/>
      <c r="AC876" s="64"/>
      <c r="AD876" s="69"/>
      <c r="AE876" s="65"/>
      <c r="AF876" s="69"/>
      <c r="AG876" s="65"/>
      <c r="AH876" s="69"/>
      <c r="AI876" s="64"/>
      <c r="AJ876" s="69"/>
      <c r="AK876" s="64"/>
      <c r="AL876" s="69"/>
      <c r="AM876" s="64"/>
      <c r="AN876" s="69"/>
      <c r="AO876" s="64"/>
      <c r="AP876" s="69"/>
      <c r="AQ876" s="64"/>
      <c r="AR876" s="69"/>
      <c r="AS876" s="64"/>
      <c r="AT876" s="69"/>
      <c r="AU876" s="64"/>
      <c r="AV876" s="69"/>
      <c r="AW876" s="64"/>
      <c r="AX876" s="69"/>
      <c r="AY876" s="64"/>
      <c r="AZ876" s="69"/>
      <c r="BA876" s="64"/>
      <c r="BB876" s="69"/>
      <c r="BC876" s="64"/>
      <c r="BD876" s="69"/>
      <c r="BE876" s="64"/>
      <c r="BF876" s="69"/>
      <c r="BG876" s="64"/>
      <c r="BH876" s="69"/>
      <c r="BI876" s="64"/>
      <c r="BJ876" s="69"/>
      <c r="BK876" s="64"/>
      <c r="BL876" s="69"/>
      <c r="BM876" s="64"/>
      <c r="BN876" s="69"/>
      <c r="BO876" s="64"/>
      <c r="BP876" s="69"/>
      <c r="BQ876" s="64"/>
      <c r="BR876" s="69"/>
      <c r="BS876" s="64"/>
      <c r="BT876" s="69"/>
      <c r="BU876" t="b">
        <f t="shared" si="14"/>
        <v>0</v>
      </c>
    </row>
    <row r="877" spans="1:73" x14ac:dyDescent="0.25">
      <c r="A877" s="28"/>
      <c r="B877" s="29"/>
      <c r="C877" s="29"/>
      <c r="D877" s="30"/>
      <c r="E877" s="29"/>
      <c r="F877" s="30"/>
      <c r="G877" s="29"/>
      <c r="H877" s="69"/>
      <c r="I877" s="64"/>
      <c r="J877" s="69"/>
      <c r="K877" s="64"/>
      <c r="L877" s="69"/>
      <c r="M877" s="65"/>
      <c r="N877" s="69"/>
      <c r="O877" s="64"/>
      <c r="P877" s="69"/>
      <c r="Q877" s="64"/>
      <c r="R877" s="69"/>
      <c r="S877" s="64"/>
      <c r="T877" s="69"/>
      <c r="U877" s="64"/>
      <c r="V877" s="69"/>
      <c r="W877" s="65"/>
      <c r="X877" s="69"/>
      <c r="Y877" s="64"/>
      <c r="Z877" s="69"/>
      <c r="AA877" s="64"/>
      <c r="AB877" s="69"/>
      <c r="AC877" s="64"/>
      <c r="AD877" s="69"/>
      <c r="AE877" s="65"/>
      <c r="AF877" s="69"/>
      <c r="AG877" s="65"/>
      <c r="AH877" s="69"/>
      <c r="AI877" s="64"/>
      <c r="AJ877" s="69"/>
      <c r="AK877" s="64"/>
      <c r="AL877" s="69"/>
      <c r="AM877" s="64"/>
      <c r="AN877" s="69"/>
      <c r="AO877" s="64"/>
      <c r="AP877" s="69"/>
      <c r="AQ877" s="64"/>
      <c r="AR877" s="69"/>
      <c r="AS877" s="64"/>
      <c r="AT877" s="69"/>
      <c r="AU877" s="64"/>
      <c r="AV877" s="69"/>
      <c r="AW877" s="64"/>
      <c r="AX877" s="69"/>
      <c r="AY877" s="64"/>
      <c r="AZ877" s="69"/>
      <c r="BA877" s="64"/>
      <c r="BB877" s="69"/>
      <c r="BC877" s="64"/>
      <c r="BD877" s="69"/>
      <c r="BE877" s="64"/>
      <c r="BF877" s="69"/>
      <c r="BG877" s="64"/>
      <c r="BH877" s="69"/>
      <c r="BI877" s="64"/>
      <c r="BJ877" s="69"/>
      <c r="BK877" s="64"/>
      <c r="BL877" s="69"/>
      <c r="BM877" s="64"/>
      <c r="BN877" s="69"/>
      <c r="BO877" s="64"/>
      <c r="BP877" s="69"/>
      <c r="BQ877" s="64"/>
      <c r="BR877" s="69"/>
      <c r="BS877" s="64"/>
      <c r="BT877" s="69"/>
      <c r="BU877" t="b">
        <f t="shared" si="14"/>
        <v>0</v>
      </c>
    </row>
    <row r="878" spans="1:73" x14ac:dyDescent="0.25">
      <c r="A878" s="28"/>
      <c r="B878" s="29"/>
      <c r="C878" s="29"/>
      <c r="D878" s="30"/>
      <c r="E878" s="29"/>
      <c r="F878" s="30"/>
      <c r="G878" s="29"/>
      <c r="H878" s="69"/>
      <c r="I878" s="64"/>
      <c r="J878" s="69"/>
      <c r="K878" s="64"/>
      <c r="L878" s="69"/>
      <c r="M878" s="65"/>
      <c r="N878" s="69"/>
      <c r="O878" s="64"/>
      <c r="P878" s="69"/>
      <c r="Q878" s="64"/>
      <c r="R878" s="69"/>
      <c r="S878" s="64"/>
      <c r="T878" s="69"/>
      <c r="U878" s="64"/>
      <c r="V878" s="69"/>
      <c r="W878" s="65"/>
      <c r="X878" s="69"/>
      <c r="Y878" s="64"/>
      <c r="Z878" s="69"/>
      <c r="AA878" s="64"/>
      <c r="AB878" s="69"/>
      <c r="AC878" s="64"/>
      <c r="AD878" s="69"/>
      <c r="AE878" s="65"/>
      <c r="AF878" s="69"/>
      <c r="AG878" s="65"/>
      <c r="AH878" s="69"/>
      <c r="AI878" s="64"/>
      <c r="AJ878" s="69"/>
      <c r="AK878" s="64"/>
      <c r="AL878" s="69"/>
      <c r="AM878" s="64"/>
      <c r="AN878" s="69"/>
      <c r="AO878" s="64"/>
      <c r="AP878" s="69"/>
      <c r="AQ878" s="64"/>
      <c r="AR878" s="69"/>
      <c r="AS878" s="64"/>
      <c r="AT878" s="69"/>
      <c r="AU878" s="64"/>
      <c r="AV878" s="69"/>
      <c r="AW878" s="64"/>
      <c r="AX878" s="69"/>
      <c r="AY878" s="64"/>
      <c r="AZ878" s="69"/>
      <c r="BA878" s="64"/>
      <c r="BB878" s="69"/>
      <c r="BC878" s="64"/>
      <c r="BD878" s="69"/>
      <c r="BE878" s="64"/>
      <c r="BF878" s="69"/>
      <c r="BG878" s="64"/>
      <c r="BH878" s="69"/>
      <c r="BI878" s="64"/>
      <c r="BJ878" s="69"/>
      <c r="BK878" s="64"/>
      <c r="BL878" s="69"/>
      <c r="BM878" s="64"/>
      <c r="BN878" s="69"/>
      <c r="BO878" s="64"/>
      <c r="BP878" s="69"/>
      <c r="BQ878" s="64"/>
      <c r="BR878" s="69"/>
      <c r="BS878" s="64"/>
      <c r="BT878" s="69"/>
      <c r="BU878" t="b">
        <f t="shared" si="14"/>
        <v>0</v>
      </c>
    </row>
    <row r="879" spans="1:73" x14ac:dyDescent="0.25">
      <c r="A879" s="28"/>
      <c r="B879" s="29"/>
      <c r="C879" s="29"/>
      <c r="D879" s="30"/>
      <c r="E879" s="29"/>
      <c r="F879" s="30"/>
      <c r="G879" s="29"/>
      <c r="H879" s="69"/>
      <c r="I879" s="64"/>
      <c r="J879" s="69"/>
      <c r="K879" s="64"/>
      <c r="L879" s="69"/>
      <c r="M879" s="65"/>
      <c r="N879" s="69"/>
      <c r="O879" s="64"/>
      <c r="P879" s="69"/>
      <c r="Q879" s="64"/>
      <c r="R879" s="69"/>
      <c r="S879" s="64"/>
      <c r="T879" s="69"/>
      <c r="U879" s="64"/>
      <c r="V879" s="69"/>
      <c r="W879" s="65"/>
      <c r="X879" s="69"/>
      <c r="Y879" s="64"/>
      <c r="Z879" s="69"/>
      <c r="AA879" s="64"/>
      <c r="AB879" s="69"/>
      <c r="AC879" s="64"/>
      <c r="AD879" s="69"/>
      <c r="AE879" s="65"/>
      <c r="AF879" s="69"/>
      <c r="AG879" s="65"/>
      <c r="AH879" s="69"/>
      <c r="AI879" s="64"/>
      <c r="AJ879" s="69"/>
      <c r="AK879" s="64"/>
      <c r="AL879" s="69"/>
      <c r="AM879" s="64"/>
      <c r="AN879" s="69"/>
      <c r="AO879" s="64"/>
      <c r="AP879" s="69"/>
      <c r="AQ879" s="64"/>
      <c r="AR879" s="69"/>
      <c r="AS879" s="64"/>
      <c r="AT879" s="69"/>
      <c r="AU879" s="64"/>
      <c r="AV879" s="69"/>
      <c r="AW879" s="64"/>
      <c r="AX879" s="69"/>
      <c r="AY879" s="64"/>
      <c r="AZ879" s="69"/>
      <c r="BA879" s="64"/>
      <c r="BB879" s="69"/>
      <c r="BC879" s="64"/>
      <c r="BD879" s="69"/>
      <c r="BE879" s="64"/>
      <c r="BF879" s="69"/>
      <c r="BG879" s="64"/>
      <c r="BH879" s="69"/>
      <c r="BI879" s="64"/>
      <c r="BJ879" s="69"/>
      <c r="BK879" s="64"/>
      <c r="BL879" s="69"/>
      <c r="BM879" s="64"/>
      <c r="BN879" s="69"/>
      <c r="BO879" s="64"/>
      <c r="BP879" s="69"/>
      <c r="BQ879" s="64"/>
      <c r="BR879" s="69"/>
      <c r="BS879" s="64"/>
      <c r="BT879" s="69"/>
      <c r="BU879" t="b">
        <f t="shared" si="14"/>
        <v>0</v>
      </c>
    </row>
    <row r="880" spans="1:73" x14ac:dyDescent="0.25">
      <c r="A880" s="28"/>
      <c r="B880" s="29"/>
      <c r="C880" s="29"/>
      <c r="D880" s="30"/>
      <c r="E880" s="29"/>
      <c r="F880" s="30"/>
      <c r="G880" s="29"/>
      <c r="H880" s="69"/>
      <c r="I880" s="64"/>
      <c r="J880" s="69"/>
      <c r="K880" s="64"/>
      <c r="L880" s="69"/>
      <c r="M880" s="65"/>
      <c r="N880" s="69"/>
      <c r="O880" s="64"/>
      <c r="P880" s="69"/>
      <c r="Q880" s="64"/>
      <c r="R880" s="69"/>
      <c r="S880" s="64"/>
      <c r="T880" s="69"/>
      <c r="U880" s="64"/>
      <c r="V880" s="69"/>
      <c r="W880" s="65"/>
      <c r="X880" s="69"/>
      <c r="Y880" s="64"/>
      <c r="Z880" s="69"/>
      <c r="AA880" s="64"/>
      <c r="AB880" s="69"/>
      <c r="AC880" s="64"/>
      <c r="AD880" s="69"/>
      <c r="AE880" s="65"/>
      <c r="AF880" s="69"/>
      <c r="AG880" s="65"/>
      <c r="AH880" s="69"/>
      <c r="AI880" s="64"/>
      <c r="AJ880" s="69"/>
      <c r="AK880" s="64"/>
      <c r="AL880" s="69"/>
      <c r="AM880" s="64"/>
      <c r="AN880" s="69"/>
      <c r="AO880" s="64"/>
      <c r="AP880" s="69"/>
      <c r="AQ880" s="64"/>
      <c r="AR880" s="69"/>
      <c r="AS880" s="64"/>
      <c r="AT880" s="69"/>
      <c r="AU880" s="64"/>
      <c r="AV880" s="69"/>
      <c r="AW880" s="64"/>
      <c r="AX880" s="69"/>
      <c r="AY880" s="64"/>
      <c r="AZ880" s="69"/>
      <c r="BA880" s="64"/>
      <c r="BB880" s="69"/>
      <c r="BC880" s="64"/>
      <c r="BD880" s="69"/>
      <c r="BE880" s="64"/>
      <c r="BF880" s="69"/>
      <c r="BG880" s="64"/>
      <c r="BH880" s="69"/>
      <c r="BI880" s="64"/>
      <c r="BJ880" s="69"/>
      <c r="BK880" s="64"/>
      <c r="BL880" s="69"/>
      <c r="BM880" s="64"/>
      <c r="BN880" s="69"/>
      <c r="BO880" s="64"/>
      <c r="BP880" s="69"/>
      <c r="BQ880" s="64"/>
      <c r="BR880" s="69"/>
      <c r="BS880" s="64"/>
      <c r="BT880" s="69"/>
      <c r="BU880" t="b">
        <f t="shared" si="14"/>
        <v>0</v>
      </c>
    </row>
    <row r="881" spans="1:73" x14ac:dyDescent="0.25">
      <c r="A881" s="28"/>
      <c r="B881" s="29"/>
      <c r="C881" s="29"/>
      <c r="D881" s="30"/>
      <c r="E881" s="29"/>
      <c r="F881" s="30"/>
      <c r="G881" s="29"/>
      <c r="H881" s="69"/>
      <c r="I881" s="64"/>
      <c r="J881" s="69"/>
      <c r="K881" s="64"/>
      <c r="L881" s="69"/>
      <c r="M881" s="65"/>
      <c r="N881" s="69"/>
      <c r="O881" s="64"/>
      <c r="P881" s="69"/>
      <c r="Q881" s="64"/>
      <c r="R881" s="69"/>
      <c r="S881" s="64"/>
      <c r="T881" s="69"/>
      <c r="U881" s="64"/>
      <c r="V881" s="69"/>
      <c r="W881" s="65"/>
      <c r="X881" s="69"/>
      <c r="Y881" s="64"/>
      <c r="Z881" s="69"/>
      <c r="AA881" s="64"/>
      <c r="AB881" s="69"/>
      <c r="AC881" s="64"/>
      <c r="AD881" s="69"/>
      <c r="AE881" s="65"/>
      <c r="AF881" s="69"/>
      <c r="AG881" s="65"/>
      <c r="AH881" s="69"/>
      <c r="AI881" s="64"/>
      <c r="AJ881" s="69"/>
      <c r="AK881" s="64"/>
      <c r="AL881" s="69"/>
      <c r="AM881" s="64"/>
      <c r="AN881" s="69"/>
      <c r="AO881" s="64"/>
      <c r="AP881" s="69"/>
      <c r="AQ881" s="64"/>
      <c r="AR881" s="69"/>
      <c r="AS881" s="64"/>
      <c r="AT881" s="69"/>
      <c r="AU881" s="64"/>
      <c r="AV881" s="69"/>
      <c r="AW881" s="64"/>
      <c r="AX881" s="69"/>
      <c r="AY881" s="64"/>
      <c r="AZ881" s="69"/>
      <c r="BA881" s="64"/>
      <c r="BB881" s="69"/>
      <c r="BC881" s="64"/>
      <c r="BD881" s="69"/>
      <c r="BE881" s="64"/>
      <c r="BF881" s="69"/>
      <c r="BG881" s="64"/>
      <c r="BH881" s="69"/>
      <c r="BI881" s="64"/>
      <c r="BJ881" s="69"/>
      <c r="BK881" s="64"/>
      <c r="BL881" s="69"/>
      <c r="BM881" s="64"/>
      <c r="BN881" s="69"/>
      <c r="BO881" s="64"/>
      <c r="BP881" s="69"/>
      <c r="BQ881" s="64"/>
      <c r="BR881" s="69"/>
      <c r="BS881" s="64"/>
      <c r="BT881" s="69"/>
      <c r="BU881" t="b">
        <f t="shared" si="14"/>
        <v>0</v>
      </c>
    </row>
    <row r="882" spans="1:73" x14ac:dyDescent="0.25">
      <c r="A882" s="28"/>
      <c r="B882" s="29"/>
      <c r="C882" s="29"/>
      <c r="D882" s="30"/>
      <c r="E882" s="29"/>
      <c r="F882" s="30"/>
      <c r="G882" s="29"/>
      <c r="H882" s="69"/>
      <c r="I882" s="64"/>
      <c r="J882" s="69"/>
      <c r="K882" s="64"/>
      <c r="L882" s="69"/>
      <c r="M882" s="65"/>
      <c r="N882" s="69"/>
      <c r="O882" s="64"/>
      <c r="P882" s="69"/>
      <c r="Q882" s="64"/>
      <c r="R882" s="69"/>
      <c r="S882" s="64"/>
      <c r="T882" s="69"/>
      <c r="U882" s="64"/>
      <c r="V882" s="69"/>
      <c r="W882" s="65"/>
      <c r="X882" s="69"/>
      <c r="Y882" s="64"/>
      <c r="Z882" s="69"/>
      <c r="AA882" s="64"/>
      <c r="AB882" s="69"/>
      <c r="AC882" s="64"/>
      <c r="AD882" s="69"/>
      <c r="AE882" s="65"/>
      <c r="AF882" s="69"/>
      <c r="AG882" s="65"/>
      <c r="AH882" s="69"/>
      <c r="AI882" s="64"/>
      <c r="AJ882" s="69"/>
      <c r="AK882" s="64"/>
      <c r="AL882" s="69"/>
      <c r="AM882" s="64"/>
      <c r="AN882" s="69"/>
      <c r="AO882" s="64"/>
      <c r="AP882" s="69"/>
      <c r="AQ882" s="64"/>
      <c r="AR882" s="69"/>
      <c r="AS882" s="64"/>
      <c r="AT882" s="69"/>
      <c r="AU882" s="64"/>
      <c r="AV882" s="69"/>
      <c r="AW882" s="64"/>
      <c r="AX882" s="69"/>
      <c r="AY882" s="64"/>
      <c r="AZ882" s="69"/>
      <c r="BA882" s="64"/>
      <c r="BB882" s="69"/>
      <c r="BC882" s="64"/>
      <c r="BD882" s="69"/>
      <c r="BE882" s="64"/>
      <c r="BF882" s="69"/>
      <c r="BG882" s="64"/>
      <c r="BH882" s="69"/>
      <c r="BI882" s="64"/>
      <c r="BJ882" s="69"/>
      <c r="BK882" s="64"/>
      <c r="BL882" s="69"/>
      <c r="BM882" s="64"/>
      <c r="BN882" s="69"/>
      <c r="BO882" s="64"/>
      <c r="BP882" s="69"/>
      <c r="BQ882" s="64"/>
      <c r="BR882" s="69"/>
      <c r="BS882" s="64"/>
      <c r="BT882" s="69"/>
      <c r="BU882" t="b">
        <f t="shared" si="14"/>
        <v>0</v>
      </c>
    </row>
    <row r="883" spans="1:73" x14ac:dyDescent="0.25">
      <c r="A883" s="28"/>
      <c r="B883" s="29"/>
      <c r="C883" s="29"/>
      <c r="D883" s="30"/>
      <c r="E883" s="29"/>
      <c r="F883" s="30"/>
      <c r="G883" s="29"/>
      <c r="H883" s="69"/>
      <c r="I883" s="64"/>
      <c r="J883" s="69"/>
      <c r="K883" s="64"/>
      <c r="L883" s="69"/>
      <c r="M883" s="65"/>
      <c r="N883" s="69"/>
      <c r="O883" s="64"/>
      <c r="P883" s="69"/>
      <c r="Q883" s="64"/>
      <c r="R883" s="69"/>
      <c r="S883" s="64"/>
      <c r="T883" s="69"/>
      <c r="U883" s="64"/>
      <c r="V883" s="69"/>
      <c r="W883" s="65"/>
      <c r="X883" s="69"/>
      <c r="Y883" s="64"/>
      <c r="Z883" s="69"/>
      <c r="AA883" s="64"/>
      <c r="AB883" s="69"/>
      <c r="AC883" s="64"/>
      <c r="AD883" s="69"/>
      <c r="AE883" s="65"/>
      <c r="AF883" s="69"/>
      <c r="AG883" s="65"/>
      <c r="AH883" s="69"/>
      <c r="AI883" s="64"/>
      <c r="AJ883" s="69"/>
      <c r="AK883" s="64"/>
      <c r="AL883" s="69"/>
      <c r="AM883" s="64"/>
      <c r="AN883" s="69"/>
      <c r="AO883" s="64"/>
      <c r="AP883" s="69"/>
      <c r="AQ883" s="64"/>
      <c r="AR883" s="69"/>
      <c r="AS883" s="64"/>
      <c r="AT883" s="69"/>
      <c r="AU883" s="64"/>
      <c r="AV883" s="69"/>
      <c r="AW883" s="64"/>
      <c r="AX883" s="69"/>
      <c r="AY883" s="64"/>
      <c r="AZ883" s="69"/>
      <c r="BA883" s="64"/>
      <c r="BB883" s="69"/>
      <c r="BC883" s="64"/>
      <c r="BD883" s="69"/>
      <c r="BE883" s="64"/>
      <c r="BF883" s="69"/>
      <c r="BG883" s="64"/>
      <c r="BH883" s="69"/>
      <c r="BI883" s="64"/>
      <c r="BJ883" s="69"/>
      <c r="BK883" s="64"/>
      <c r="BL883" s="69"/>
      <c r="BM883" s="64"/>
      <c r="BN883" s="69"/>
      <c r="BO883" s="64"/>
      <c r="BP883" s="69"/>
      <c r="BQ883" s="64"/>
      <c r="BR883" s="69"/>
      <c r="BS883" s="64"/>
      <c r="BT883" s="69"/>
      <c r="BU883" t="b">
        <f t="shared" si="14"/>
        <v>0</v>
      </c>
    </row>
    <row r="884" spans="1:73" x14ac:dyDescent="0.25">
      <c r="A884" s="28"/>
      <c r="B884" s="29"/>
      <c r="C884" s="29"/>
      <c r="D884" s="30"/>
      <c r="E884" s="29"/>
      <c r="F884" s="30"/>
      <c r="G884" s="29"/>
      <c r="H884" s="69"/>
      <c r="I884" s="64"/>
      <c r="J884" s="69"/>
      <c r="K884" s="64"/>
      <c r="L884" s="69"/>
      <c r="M884" s="65"/>
      <c r="N884" s="69"/>
      <c r="O884" s="64"/>
      <c r="P884" s="69"/>
      <c r="Q884" s="64"/>
      <c r="R884" s="69"/>
      <c r="S884" s="64"/>
      <c r="T884" s="69"/>
      <c r="U884" s="64"/>
      <c r="V884" s="69"/>
      <c r="W884" s="65"/>
      <c r="X884" s="69"/>
      <c r="Y884" s="64"/>
      <c r="Z884" s="69"/>
      <c r="AA884" s="64"/>
      <c r="AB884" s="69"/>
      <c r="AC884" s="64"/>
      <c r="AD884" s="69"/>
      <c r="AE884" s="65"/>
      <c r="AF884" s="69"/>
      <c r="AG884" s="65"/>
      <c r="AH884" s="69"/>
      <c r="AI884" s="64"/>
      <c r="AJ884" s="69"/>
      <c r="AK884" s="64"/>
      <c r="AL884" s="69"/>
      <c r="AM884" s="64"/>
      <c r="AN884" s="69"/>
      <c r="AO884" s="64"/>
      <c r="AP884" s="69"/>
      <c r="AQ884" s="64"/>
      <c r="AR884" s="69"/>
      <c r="AS884" s="64"/>
      <c r="AT884" s="69"/>
      <c r="AU884" s="64"/>
      <c r="AV884" s="69"/>
      <c r="AW884" s="64"/>
      <c r="AX884" s="69"/>
      <c r="AY884" s="64"/>
      <c r="AZ884" s="69"/>
      <c r="BA884" s="64"/>
      <c r="BB884" s="69"/>
      <c r="BC884" s="64"/>
      <c r="BD884" s="69"/>
      <c r="BE884" s="64"/>
      <c r="BF884" s="69"/>
      <c r="BG884" s="64"/>
      <c r="BH884" s="69"/>
      <c r="BI884" s="64"/>
      <c r="BJ884" s="69"/>
      <c r="BK884" s="64"/>
      <c r="BL884" s="69"/>
      <c r="BM884" s="64"/>
      <c r="BN884" s="69"/>
      <c r="BO884" s="64"/>
      <c r="BP884" s="69"/>
      <c r="BQ884" s="64"/>
      <c r="BR884" s="69"/>
      <c r="BS884" s="64"/>
      <c r="BT884" s="69"/>
      <c r="BU884" t="b">
        <f t="shared" si="14"/>
        <v>0</v>
      </c>
    </row>
    <row r="885" spans="1:73" x14ac:dyDescent="0.25">
      <c r="A885" s="28"/>
      <c r="B885" s="29"/>
      <c r="C885" s="29"/>
      <c r="D885" s="30"/>
      <c r="E885" s="29"/>
      <c r="F885" s="30"/>
      <c r="G885" s="29"/>
      <c r="H885" s="69"/>
      <c r="I885" s="64"/>
      <c r="J885" s="69"/>
      <c r="K885" s="64"/>
      <c r="L885" s="69"/>
      <c r="M885" s="65"/>
      <c r="N885" s="69"/>
      <c r="O885" s="64"/>
      <c r="P885" s="69"/>
      <c r="Q885" s="64"/>
      <c r="R885" s="69"/>
      <c r="S885" s="64"/>
      <c r="T885" s="69"/>
      <c r="U885" s="64"/>
      <c r="V885" s="69"/>
      <c r="W885" s="65"/>
      <c r="X885" s="69"/>
      <c r="Y885" s="64"/>
      <c r="Z885" s="69"/>
      <c r="AA885" s="64"/>
      <c r="AB885" s="69"/>
      <c r="AC885" s="64"/>
      <c r="AD885" s="69"/>
      <c r="AE885" s="65"/>
      <c r="AF885" s="69"/>
      <c r="AG885" s="65"/>
      <c r="AH885" s="69"/>
      <c r="AI885" s="64"/>
      <c r="AJ885" s="69"/>
      <c r="AK885" s="64"/>
      <c r="AL885" s="69"/>
      <c r="AM885" s="64"/>
      <c r="AN885" s="69"/>
      <c r="AO885" s="64"/>
      <c r="AP885" s="69"/>
      <c r="AQ885" s="64"/>
      <c r="AR885" s="69"/>
      <c r="AS885" s="64"/>
      <c r="AT885" s="69"/>
      <c r="AU885" s="64"/>
      <c r="AV885" s="69"/>
      <c r="AW885" s="64"/>
      <c r="AX885" s="69"/>
      <c r="AY885" s="64"/>
      <c r="AZ885" s="69"/>
      <c r="BA885" s="64"/>
      <c r="BB885" s="69"/>
      <c r="BC885" s="64"/>
      <c r="BD885" s="69"/>
      <c r="BE885" s="64"/>
      <c r="BF885" s="69"/>
      <c r="BG885" s="64"/>
      <c r="BH885" s="69"/>
      <c r="BI885" s="64"/>
      <c r="BJ885" s="69"/>
      <c r="BK885" s="64"/>
      <c r="BL885" s="69"/>
      <c r="BM885" s="64"/>
      <c r="BN885" s="69"/>
      <c r="BO885" s="64"/>
      <c r="BP885" s="69"/>
      <c r="BQ885" s="64"/>
      <c r="BR885" s="69"/>
      <c r="BS885" s="64"/>
      <c r="BT885" s="69"/>
      <c r="BU885" t="b">
        <f t="shared" si="14"/>
        <v>0</v>
      </c>
    </row>
    <row r="886" spans="1:73" x14ac:dyDescent="0.25">
      <c r="A886" s="28"/>
      <c r="B886" s="29"/>
      <c r="C886" s="29"/>
      <c r="D886" s="30"/>
      <c r="E886" s="29"/>
      <c r="F886" s="30"/>
      <c r="G886" s="29"/>
      <c r="H886" s="69"/>
      <c r="I886" s="64"/>
      <c r="J886" s="69"/>
      <c r="K886" s="64"/>
      <c r="L886" s="69"/>
      <c r="M886" s="65"/>
      <c r="N886" s="69"/>
      <c r="O886" s="64"/>
      <c r="P886" s="69"/>
      <c r="Q886" s="64"/>
      <c r="R886" s="69"/>
      <c r="S886" s="64"/>
      <c r="T886" s="69"/>
      <c r="U886" s="64"/>
      <c r="V886" s="69"/>
      <c r="W886" s="65"/>
      <c r="X886" s="69"/>
      <c r="Y886" s="64"/>
      <c r="Z886" s="69"/>
      <c r="AA886" s="64"/>
      <c r="AB886" s="69"/>
      <c r="AC886" s="64"/>
      <c r="AD886" s="69"/>
      <c r="AE886" s="65"/>
      <c r="AF886" s="69"/>
      <c r="AG886" s="65"/>
      <c r="AH886" s="69"/>
      <c r="AI886" s="64"/>
      <c r="AJ886" s="69"/>
      <c r="AK886" s="64"/>
      <c r="AL886" s="69"/>
      <c r="AM886" s="64"/>
      <c r="AN886" s="69"/>
      <c r="AO886" s="64"/>
      <c r="AP886" s="69"/>
      <c r="AQ886" s="64"/>
      <c r="AR886" s="69"/>
      <c r="AS886" s="64"/>
      <c r="AT886" s="69"/>
      <c r="AU886" s="64"/>
      <c r="AV886" s="69"/>
      <c r="AW886" s="64"/>
      <c r="AX886" s="69"/>
      <c r="AY886" s="64"/>
      <c r="AZ886" s="69"/>
      <c r="BA886" s="64"/>
      <c r="BB886" s="69"/>
      <c r="BC886" s="64"/>
      <c r="BD886" s="69"/>
      <c r="BE886" s="64"/>
      <c r="BF886" s="69"/>
      <c r="BG886" s="64"/>
      <c r="BH886" s="69"/>
      <c r="BI886" s="64"/>
      <c r="BJ886" s="69"/>
      <c r="BK886" s="64"/>
      <c r="BL886" s="69"/>
      <c r="BM886" s="64"/>
      <c r="BN886" s="69"/>
      <c r="BO886" s="64"/>
      <c r="BP886" s="69"/>
      <c r="BQ886" s="64"/>
      <c r="BR886" s="69"/>
      <c r="BS886" s="64"/>
      <c r="BT886" s="69"/>
      <c r="BU886" t="b">
        <f t="shared" si="14"/>
        <v>0</v>
      </c>
    </row>
    <row r="887" spans="1:73" x14ac:dyDescent="0.25">
      <c r="A887" s="28"/>
      <c r="B887" s="29"/>
      <c r="C887" s="29"/>
      <c r="D887" s="30"/>
      <c r="E887" s="29"/>
      <c r="F887" s="30"/>
      <c r="G887" s="29"/>
      <c r="H887" s="69"/>
      <c r="I887" s="64"/>
      <c r="J887" s="69"/>
      <c r="K887" s="64"/>
      <c r="L887" s="69"/>
      <c r="M887" s="65"/>
      <c r="N887" s="69"/>
      <c r="O887" s="64"/>
      <c r="P887" s="69"/>
      <c r="Q887" s="64"/>
      <c r="R887" s="69"/>
      <c r="S887" s="64"/>
      <c r="T887" s="69"/>
      <c r="U887" s="64"/>
      <c r="V887" s="69"/>
      <c r="W887" s="65"/>
      <c r="X887" s="69"/>
      <c r="Y887" s="64"/>
      <c r="Z887" s="69"/>
      <c r="AA887" s="64"/>
      <c r="AB887" s="69"/>
      <c r="AC887" s="64"/>
      <c r="AD887" s="69"/>
      <c r="AE887" s="65"/>
      <c r="AF887" s="69"/>
      <c r="AG887" s="65"/>
      <c r="AH887" s="69"/>
      <c r="AI887" s="64"/>
      <c r="AJ887" s="69"/>
      <c r="AK887" s="64"/>
      <c r="AL887" s="69"/>
      <c r="AM887" s="64"/>
      <c r="AN887" s="69"/>
      <c r="AO887" s="64"/>
      <c r="AP887" s="69"/>
      <c r="AQ887" s="64"/>
      <c r="AR887" s="69"/>
      <c r="AS887" s="64"/>
      <c r="AT887" s="69"/>
      <c r="AU887" s="64"/>
      <c r="AV887" s="69"/>
      <c r="AW887" s="64"/>
      <c r="AX887" s="69"/>
      <c r="AY887" s="64"/>
      <c r="AZ887" s="69"/>
      <c r="BA887" s="64"/>
      <c r="BB887" s="69"/>
      <c r="BC887" s="64"/>
      <c r="BD887" s="69"/>
      <c r="BE887" s="64"/>
      <c r="BF887" s="69"/>
      <c r="BG887" s="64"/>
      <c r="BH887" s="69"/>
      <c r="BI887" s="64"/>
      <c r="BJ887" s="69"/>
      <c r="BK887" s="64"/>
      <c r="BL887" s="69"/>
      <c r="BM887" s="64"/>
      <c r="BN887" s="69"/>
      <c r="BO887" s="64"/>
      <c r="BP887" s="69"/>
      <c r="BQ887" s="64"/>
      <c r="BR887" s="69"/>
      <c r="BS887" s="64"/>
      <c r="BT887" s="69"/>
      <c r="BU887" t="b">
        <f t="shared" si="14"/>
        <v>0</v>
      </c>
    </row>
    <row r="888" spans="1:73" x14ac:dyDescent="0.25">
      <c r="A888" s="28"/>
      <c r="B888" s="29"/>
      <c r="C888" s="29"/>
      <c r="D888" s="30"/>
      <c r="E888" s="29"/>
      <c r="F888" s="30"/>
      <c r="G888" s="29"/>
      <c r="H888" s="69"/>
      <c r="I888" s="64"/>
      <c r="J888" s="69"/>
      <c r="K888" s="64"/>
      <c r="L888" s="69"/>
      <c r="M888" s="65"/>
      <c r="N888" s="69"/>
      <c r="O888" s="64"/>
      <c r="P888" s="69"/>
      <c r="Q888" s="64"/>
      <c r="R888" s="69"/>
      <c r="S888" s="64"/>
      <c r="T888" s="69"/>
      <c r="U888" s="64"/>
      <c r="V888" s="69"/>
      <c r="W888" s="65"/>
      <c r="X888" s="69"/>
      <c r="Y888" s="64"/>
      <c r="Z888" s="69"/>
      <c r="AA888" s="64"/>
      <c r="AB888" s="69"/>
      <c r="AC888" s="64"/>
      <c r="AD888" s="69"/>
      <c r="AE888" s="65"/>
      <c r="AF888" s="69"/>
      <c r="AG888" s="65"/>
      <c r="AH888" s="69"/>
      <c r="AI888" s="64"/>
      <c r="AJ888" s="69"/>
      <c r="AK888" s="64"/>
      <c r="AL888" s="69"/>
      <c r="AM888" s="64"/>
      <c r="AN888" s="69"/>
      <c r="AO888" s="64"/>
      <c r="AP888" s="69"/>
      <c r="AQ888" s="64"/>
      <c r="AR888" s="69"/>
      <c r="AS888" s="64"/>
      <c r="AT888" s="69"/>
      <c r="AU888" s="64"/>
      <c r="AV888" s="69"/>
      <c r="AW888" s="64"/>
      <c r="AX888" s="69"/>
      <c r="AY888" s="64"/>
      <c r="AZ888" s="69"/>
      <c r="BA888" s="64"/>
      <c r="BB888" s="69"/>
      <c r="BC888" s="64"/>
      <c r="BD888" s="69"/>
      <c r="BE888" s="64"/>
      <c r="BF888" s="69"/>
      <c r="BG888" s="64"/>
      <c r="BH888" s="69"/>
      <c r="BI888" s="64"/>
      <c r="BJ888" s="69"/>
      <c r="BK888" s="64"/>
      <c r="BL888" s="69"/>
      <c r="BM888" s="64"/>
      <c r="BN888" s="69"/>
      <c r="BO888" s="64"/>
      <c r="BP888" s="69"/>
      <c r="BQ888" s="64"/>
      <c r="BR888" s="69"/>
      <c r="BS888" s="64"/>
      <c r="BT888" s="69"/>
      <c r="BU888" t="b">
        <f t="shared" si="14"/>
        <v>0</v>
      </c>
    </row>
    <row r="889" spans="1:73" x14ac:dyDescent="0.25">
      <c r="A889" s="28"/>
      <c r="B889" s="29"/>
      <c r="C889" s="29"/>
      <c r="D889" s="30"/>
      <c r="E889" s="29"/>
      <c r="F889" s="30"/>
      <c r="G889" s="29"/>
      <c r="H889" s="69"/>
      <c r="I889" s="64"/>
      <c r="J889" s="69"/>
      <c r="K889" s="64"/>
      <c r="L889" s="69"/>
      <c r="M889" s="65"/>
      <c r="N889" s="69"/>
      <c r="O889" s="64"/>
      <c r="P889" s="69"/>
      <c r="Q889" s="64"/>
      <c r="R889" s="69"/>
      <c r="S889" s="64"/>
      <c r="T889" s="69"/>
      <c r="U889" s="64"/>
      <c r="V889" s="69"/>
      <c r="W889" s="65"/>
      <c r="X889" s="69"/>
      <c r="Y889" s="64"/>
      <c r="Z889" s="69"/>
      <c r="AA889" s="64"/>
      <c r="AB889" s="69"/>
      <c r="AC889" s="64"/>
      <c r="AD889" s="69"/>
      <c r="AE889" s="65"/>
      <c r="AF889" s="69"/>
      <c r="AG889" s="65"/>
      <c r="AH889" s="69"/>
      <c r="AI889" s="64"/>
      <c r="AJ889" s="69"/>
      <c r="AK889" s="64"/>
      <c r="AL889" s="69"/>
      <c r="AM889" s="64"/>
      <c r="AN889" s="69"/>
      <c r="AO889" s="64"/>
      <c r="AP889" s="69"/>
      <c r="AQ889" s="64"/>
      <c r="AR889" s="69"/>
      <c r="AS889" s="64"/>
      <c r="AT889" s="69"/>
      <c r="AU889" s="64"/>
      <c r="AV889" s="69"/>
      <c r="AW889" s="64"/>
      <c r="AX889" s="69"/>
      <c r="AY889" s="64"/>
      <c r="AZ889" s="69"/>
      <c r="BA889" s="64"/>
      <c r="BB889" s="69"/>
      <c r="BC889" s="64"/>
      <c r="BD889" s="69"/>
      <c r="BE889" s="64"/>
      <c r="BF889" s="69"/>
      <c r="BG889" s="64"/>
      <c r="BH889" s="69"/>
      <c r="BI889" s="64"/>
      <c r="BJ889" s="69"/>
      <c r="BK889" s="64"/>
      <c r="BL889" s="69"/>
      <c r="BM889" s="64"/>
      <c r="BN889" s="69"/>
      <c r="BO889" s="64"/>
      <c r="BP889" s="69"/>
      <c r="BQ889" s="64"/>
      <c r="BR889" s="69"/>
      <c r="BS889" s="64"/>
      <c r="BT889" s="69"/>
      <c r="BU889" t="b">
        <f t="shared" si="14"/>
        <v>0</v>
      </c>
    </row>
    <row r="890" spans="1:73" x14ac:dyDescent="0.25">
      <c r="A890" s="28"/>
      <c r="B890" s="29"/>
      <c r="C890" s="29"/>
      <c r="D890" s="30"/>
      <c r="E890" s="29"/>
      <c r="F890" s="30"/>
      <c r="G890" s="29"/>
      <c r="H890" s="69"/>
      <c r="I890" s="64"/>
      <c r="J890" s="69"/>
      <c r="K890" s="64"/>
      <c r="L890" s="69"/>
      <c r="M890" s="65"/>
      <c r="N890" s="69"/>
      <c r="O890" s="64"/>
      <c r="P890" s="69"/>
      <c r="Q890" s="64"/>
      <c r="R890" s="69"/>
      <c r="S890" s="64"/>
      <c r="T890" s="69"/>
      <c r="U890" s="64"/>
      <c r="V890" s="69"/>
      <c r="W890" s="65"/>
      <c r="X890" s="69"/>
      <c r="Y890" s="64"/>
      <c r="Z890" s="69"/>
      <c r="AA890" s="64"/>
      <c r="AB890" s="69"/>
      <c r="AC890" s="64"/>
      <c r="AD890" s="69"/>
      <c r="AE890" s="65"/>
      <c r="AF890" s="69"/>
      <c r="AG890" s="65"/>
      <c r="AH890" s="69"/>
      <c r="AI890" s="64"/>
      <c r="AJ890" s="69"/>
      <c r="AK890" s="64"/>
      <c r="AL890" s="69"/>
      <c r="AM890" s="64"/>
      <c r="AN890" s="69"/>
      <c r="AO890" s="64"/>
      <c r="AP890" s="69"/>
      <c r="AQ890" s="64"/>
      <c r="AR890" s="69"/>
      <c r="AS890" s="64"/>
      <c r="AT890" s="69"/>
      <c r="AU890" s="64"/>
      <c r="AV890" s="69"/>
      <c r="AW890" s="64"/>
      <c r="AX890" s="69"/>
      <c r="AY890" s="64"/>
      <c r="AZ890" s="69"/>
      <c r="BA890" s="64"/>
      <c r="BB890" s="69"/>
      <c r="BC890" s="64"/>
      <c r="BD890" s="69"/>
      <c r="BE890" s="64"/>
      <c r="BF890" s="69"/>
      <c r="BG890" s="64"/>
      <c r="BH890" s="69"/>
      <c r="BI890" s="64"/>
      <c r="BJ890" s="69"/>
      <c r="BK890" s="64"/>
      <c r="BL890" s="69"/>
      <c r="BM890" s="64"/>
      <c r="BN890" s="69"/>
      <c r="BO890" s="64"/>
      <c r="BP890" s="69"/>
      <c r="BQ890" s="64"/>
      <c r="BR890" s="69"/>
      <c r="BS890" s="64"/>
      <c r="BT890" s="69"/>
      <c r="BU890" t="b">
        <f t="shared" si="14"/>
        <v>0</v>
      </c>
    </row>
    <row r="891" spans="1:73" x14ac:dyDescent="0.25">
      <c r="A891" s="28"/>
      <c r="B891" s="29"/>
      <c r="C891" s="29"/>
      <c r="D891" s="30"/>
      <c r="E891" s="29"/>
      <c r="F891" s="30"/>
      <c r="G891" s="29"/>
      <c r="H891" s="69"/>
      <c r="I891" s="64"/>
      <c r="J891" s="69"/>
      <c r="K891" s="64"/>
      <c r="L891" s="69"/>
      <c r="M891" s="65"/>
      <c r="N891" s="69"/>
      <c r="O891" s="64"/>
      <c r="P891" s="69"/>
      <c r="Q891" s="64"/>
      <c r="R891" s="69"/>
      <c r="S891" s="64"/>
      <c r="T891" s="69"/>
      <c r="U891" s="64"/>
      <c r="V891" s="69"/>
      <c r="W891" s="65"/>
      <c r="X891" s="69"/>
      <c r="Y891" s="64"/>
      <c r="Z891" s="69"/>
      <c r="AA891" s="64"/>
      <c r="AB891" s="69"/>
      <c r="AC891" s="64"/>
      <c r="AD891" s="69"/>
      <c r="AE891" s="65"/>
      <c r="AF891" s="69"/>
      <c r="AG891" s="65"/>
      <c r="AH891" s="69"/>
      <c r="AI891" s="64"/>
      <c r="AJ891" s="69"/>
      <c r="AK891" s="64"/>
      <c r="AL891" s="69"/>
      <c r="AM891" s="64"/>
      <c r="AN891" s="69"/>
      <c r="AO891" s="64"/>
      <c r="AP891" s="69"/>
      <c r="AQ891" s="64"/>
      <c r="AR891" s="69"/>
      <c r="AS891" s="64"/>
      <c r="AT891" s="69"/>
      <c r="AU891" s="64"/>
      <c r="AV891" s="69"/>
      <c r="AW891" s="64"/>
      <c r="AX891" s="69"/>
      <c r="AY891" s="64"/>
      <c r="AZ891" s="69"/>
      <c r="BA891" s="64"/>
      <c r="BB891" s="69"/>
      <c r="BC891" s="64"/>
      <c r="BD891" s="69"/>
      <c r="BE891" s="64"/>
      <c r="BF891" s="69"/>
      <c r="BG891" s="64"/>
      <c r="BH891" s="69"/>
      <c r="BI891" s="64"/>
      <c r="BJ891" s="69"/>
      <c r="BK891" s="64"/>
      <c r="BL891" s="69"/>
      <c r="BM891" s="64"/>
      <c r="BN891" s="69"/>
      <c r="BO891" s="64"/>
      <c r="BP891" s="69"/>
      <c r="BQ891" s="64"/>
      <c r="BR891" s="69"/>
      <c r="BS891" s="64"/>
      <c r="BT891" s="69"/>
      <c r="BU891" t="b">
        <f t="shared" si="14"/>
        <v>0</v>
      </c>
    </row>
    <row r="892" spans="1:73" x14ac:dyDescent="0.25">
      <c r="A892" s="28"/>
      <c r="B892" s="29"/>
      <c r="C892" s="29"/>
      <c r="D892" s="30"/>
      <c r="E892" s="29"/>
      <c r="F892" s="30"/>
      <c r="G892" s="29"/>
      <c r="H892" s="69"/>
      <c r="I892" s="64"/>
      <c r="J892" s="69"/>
      <c r="K892" s="64"/>
      <c r="L892" s="69"/>
      <c r="M892" s="65"/>
      <c r="N892" s="69"/>
      <c r="O892" s="64"/>
      <c r="P892" s="69"/>
      <c r="Q892" s="64"/>
      <c r="R892" s="69"/>
      <c r="S892" s="64"/>
      <c r="T892" s="69"/>
      <c r="U892" s="64"/>
      <c r="V892" s="69"/>
      <c r="W892" s="65"/>
      <c r="X892" s="69"/>
      <c r="Y892" s="64"/>
      <c r="Z892" s="69"/>
      <c r="AA892" s="64"/>
      <c r="AB892" s="69"/>
      <c r="AC892" s="64"/>
      <c r="AD892" s="69"/>
      <c r="AE892" s="65"/>
      <c r="AF892" s="69"/>
      <c r="AG892" s="65"/>
      <c r="AH892" s="69"/>
      <c r="AI892" s="64"/>
      <c r="AJ892" s="69"/>
      <c r="AK892" s="64"/>
      <c r="AL892" s="69"/>
      <c r="AM892" s="64"/>
      <c r="AN892" s="69"/>
      <c r="AO892" s="64"/>
      <c r="AP892" s="69"/>
      <c r="AQ892" s="64"/>
      <c r="AR892" s="69"/>
      <c r="AS892" s="64"/>
      <c r="AT892" s="69"/>
      <c r="AU892" s="64"/>
      <c r="AV892" s="69"/>
      <c r="AW892" s="64"/>
      <c r="AX892" s="69"/>
      <c r="AY892" s="64"/>
      <c r="AZ892" s="69"/>
      <c r="BA892" s="64"/>
      <c r="BB892" s="69"/>
      <c r="BC892" s="64"/>
      <c r="BD892" s="69"/>
      <c r="BE892" s="64"/>
      <c r="BF892" s="69"/>
      <c r="BG892" s="64"/>
      <c r="BH892" s="69"/>
      <c r="BI892" s="64"/>
      <c r="BJ892" s="69"/>
      <c r="BK892" s="64"/>
      <c r="BL892" s="69"/>
      <c r="BM892" s="64"/>
      <c r="BN892" s="69"/>
      <c r="BO892" s="64"/>
      <c r="BP892" s="69"/>
      <c r="BQ892" s="64"/>
      <c r="BR892" s="69"/>
      <c r="BS892" s="64"/>
      <c r="BT892" s="69"/>
      <c r="BU892" t="b">
        <f t="shared" si="14"/>
        <v>0</v>
      </c>
    </row>
    <row r="893" spans="1:73" x14ac:dyDescent="0.25">
      <c r="A893" s="28"/>
      <c r="B893" s="29"/>
      <c r="C893" s="29"/>
      <c r="D893" s="30"/>
      <c r="E893" s="29"/>
      <c r="F893" s="30"/>
      <c r="G893" s="29"/>
      <c r="H893" s="69"/>
      <c r="I893" s="64"/>
      <c r="J893" s="69"/>
      <c r="K893" s="64"/>
      <c r="L893" s="69"/>
      <c r="M893" s="65"/>
      <c r="N893" s="69"/>
      <c r="O893" s="64"/>
      <c r="P893" s="69"/>
      <c r="Q893" s="64"/>
      <c r="R893" s="69"/>
      <c r="S893" s="64"/>
      <c r="T893" s="69"/>
      <c r="U893" s="64"/>
      <c r="V893" s="69"/>
      <c r="W893" s="65"/>
      <c r="X893" s="69"/>
      <c r="Y893" s="64"/>
      <c r="Z893" s="69"/>
      <c r="AA893" s="64"/>
      <c r="AB893" s="69"/>
      <c r="AC893" s="64"/>
      <c r="AD893" s="69"/>
      <c r="AE893" s="65"/>
      <c r="AF893" s="69"/>
      <c r="AG893" s="65"/>
      <c r="AH893" s="69"/>
      <c r="AI893" s="64"/>
      <c r="AJ893" s="69"/>
      <c r="AK893" s="64"/>
      <c r="AL893" s="69"/>
      <c r="AM893" s="64"/>
      <c r="AN893" s="69"/>
      <c r="AO893" s="64"/>
      <c r="AP893" s="69"/>
      <c r="AQ893" s="64"/>
      <c r="AR893" s="69"/>
      <c r="AS893" s="64"/>
      <c r="AT893" s="69"/>
      <c r="AU893" s="64"/>
      <c r="AV893" s="69"/>
      <c r="AW893" s="64"/>
      <c r="AX893" s="69"/>
      <c r="AY893" s="64"/>
      <c r="AZ893" s="69"/>
      <c r="BA893" s="64"/>
      <c r="BB893" s="69"/>
      <c r="BC893" s="64"/>
      <c r="BD893" s="69"/>
      <c r="BE893" s="64"/>
      <c r="BF893" s="69"/>
      <c r="BG893" s="64"/>
      <c r="BH893" s="69"/>
      <c r="BI893" s="64"/>
      <c r="BJ893" s="69"/>
      <c r="BK893" s="64"/>
      <c r="BL893" s="69"/>
      <c r="BM893" s="64"/>
      <c r="BN893" s="69"/>
      <c r="BO893" s="64"/>
      <c r="BP893" s="69"/>
      <c r="BQ893" s="64"/>
      <c r="BR893" s="69"/>
      <c r="BS893" s="64"/>
      <c r="BT893" s="69"/>
      <c r="BU893" t="b">
        <f t="shared" si="14"/>
        <v>0</v>
      </c>
    </row>
    <row r="894" spans="1:73" x14ac:dyDescent="0.25">
      <c r="A894" s="28"/>
      <c r="B894" s="29"/>
      <c r="C894" s="29"/>
      <c r="D894" s="30"/>
      <c r="E894" s="29"/>
      <c r="F894" s="30"/>
      <c r="G894" s="29"/>
      <c r="H894" s="69"/>
      <c r="I894" s="64"/>
      <c r="J894" s="69"/>
      <c r="K894" s="64"/>
      <c r="L894" s="69"/>
      <c r="M894" s="65"/>
      <c r="N894" s="69"/>
      <c r="O894" s="64"/>
      <c r="P894" s="69"/>
      <c r="Q894" s="64"/>
      <c r="R894" s="69"/>
      <c r="S894" s="64"/>
      <c r="T894" s="69"/>
      <c r="U894" s="64"/>
      <c r="V894" s="69"/>
      <c r="W894" s="65"/>
      <c r="X894" s="69"/>
      <c r="Y894" s="64"/>
      <c r="Z894" s="69"/>
      <c r="AA894" s="64"/>
      <c r="AB894" s="69"/>
      <c r="AC894" s="64"/>
      <c r="AD894" s="69"/>
      <c r="AE894" s="65"/>
      <c r="AF894" s="69"/>
      <c r="AG894" s="65"/>
      <c r="AH894" s="69"/>
      <c r="AI894" s="64"/>
      <c r="AJ894" s="69"/>
      <c r="AK894" s="64"/>
      <c r="AL894" s="69"/>
      <c r="AM894" s="64"/>
      <c r="AN894" s="69"/>
      <c r="AO894" s="64"/>
      <c r="AP894" s="69"/>
      <c r="AQ894" s="64"/>
      <c r="AR894" s="69"/>
      <c r="AS894" s="64"/>
      <c r="AT894" s="69"/>
      <c r="AU894" s="64"/>
      <c r="AV894" s="69"/>
      <c r="AW894" s="64"/>
      <c r="AX894" s="69"/>
      <c r="AY894" s="64"/>
      <c r="AZ894" s="69"/>
      <c r="BA894" s="64"/>
      <c r="BB894" s="69"/>
      <c r="BC894" s="64"/>
      <c r="BD894" s="69"/>
      <c r="BE894" s="64"/>
      <c r="BF894" s="69"/>
      <c r="BG894" s="64"/>
      <c r="BH894" s="69"/>
      <c r="BI894" s="64"/>
      <c r="BJ894" s="69"/>
      <c r="BK894" s="64"/>
      <c r="BL894" s="69"/>
      <c r="BM894" s="64"/>
      <c r="BN894" s="69"/>
      <c r="BO894" s="64"/>
      <c r="BP894" s="69"/>
      <c r="BQ894" s="64"/>
      <c r="BR894" s="69"/>
      <c r="BS894" s="64"/>
      <c r="BT894" s="69"/>
      <c r="BU894" t="b">
        <f t="shared" si="14"/>
        <v>0</v>
      </c>
    </row>
    <row r="895" spans="1:73" x14ac:dyDescent="0.25">
      <c r="A895" s="28"/>
      <c r="B895" s="29"/>
      <c r="C895" s="29"/>
      <c r="D895" s="30"/>
      <c r="E895" s="29"/>
      <c r="F895" s="30"/>
      <c r="G895" s="29"/>
      <c r="H895" s="69"/>
      <c r="I895" s="64"/>
      <c r="J895" s="69"/>
      <c r="K895" s="64"/>
      <c r="L895" s="69"/>
      <c r="M895" s="65"/>
      <c r="N895" s="69"/>
      <c r="O895" s="64"/>
      <c r="P895" s="69"/>
      <c r="Q895" s="64"/>
      <c r="R895" s="69"/>
      <c r="S895" s="64"/>
      <c r="T895" s="69"/>
      <c r="U895" s="64"/>
      <c r="V895" s="69"/>
      <c r="W895" s="65"/>
      <c r="X895" s="69"/>
      <c r="Y895" s="64"/>
      <c r="Z895" s="69"/>
      <c r="AA895" s="64"/>
      <c r="AB895" s="69"/>
      <c r="AC895" s="64"/>
      <c r="AD895" s="69"/>
      <c r="AE895" s="65"/>
      <c r="AF895" s="69"/>
      <c r="AG895" s="65"/>
      <c r="AH895" s="69"/>
      <c r="AI895" s="64"/>
      <c r="AJ895" s="69"/>
      <c r="AK895" s="64"/>
      <c r="AL895" s="69"/>
      <c r="AM895" s="64"/>
      <c r="AN895" s="69"/>
      <c r="AO895" s="64"/>
      <c r="AP895" s="69"/>
      <c r="AQ895" s="64"/>
      <c r="AR895" s="69"/>
      <c r="AS895" s="64"/>
      <c r="AT895" s="69"/>
      <c r="AU895" s="64"/>
      <c r="AV895" s="69"/>
      <c r="AW895" s="64"/>
      <c r="AX895" s="69"/>
      <c r="AY895" s="64"/>
      <c r="AZ895" s="69"/>
      <c r="BA895" s="64"/>
      <c r="BB895" s="69"/>
      <c r="BC895" s="64"/>
      <c r="BD895" s="69"/>
      <c r="BE895" s="64"/>
      <c r="BF895" s="69"/>
      <c r="BG895" s="64"/>
      <c r="BH895" s="69"/>
      <c r="BI895" s="64"/>
      <c r="BJ895" s="69"/>
      <c r="BK895" s="64"/>
      <c r="BL895" s="69"/>
      <c r="BM895" s="64"/>
      <c r="BN895" s="69"/>
      <c r="BO895" s="64"/>
      <c r="BP895" s="69"/>
      <c r="BQ895" s="64"/>
      <c r="BR895" s="69"/>
      <c r="BS895" s="64"/>
      <c r="BT895" s="69"/>
      <c r="BU895" t="b">
        <f t="shared" si="14"/>
        <v>0</v>
      </c>
    </row>
    <row r="896" spans="1:73" x14ac:dyDescent="0.25">
      <c r="A896" s="28"/>
      <c r="B896" s="29"/>
      <c r="C896" s="29"/>
      <c r="D896" s="30"/>
      <c r="E896" s="29"/>
      <c r="F896" s="30"/>
      <c r="G896" s="29"/>
      <c r="H896" s="69"/>
      <c r="I896" s="64"/>
      <c r="J896" s="69"/>
      <c r="K896" s="64"/>
      <c r="L896" s="69"/>
      <c r="M896" s="65"/>
      <c r="N896" s="69"/>
      <c r="O896" s="64"/>
      <c r="P896" s="69"/>
      <c r="Q896" s="64"/>
      <c r="R896" s="69"/>
      <c r="S896" s="64"/>
      <c r="T896" s="69"/>
      <c r="U896" s="64"/>
      <c r="V896" s="69"/>
      <c r="W896" s="65"/>
      <c r="X896" s="69"/>
      <c r="Y896" s="64"/>
      <c r="Z896" s="69"/>
      <c r="AA896" s="64"/>
      <c r="AB896" s="69"/>
      <c r="AC896" s="64"/>
      <c r="AD896" s="69"/>
      <c r="AE896" s="65"/>
      <c r="AF896" s="69"/>
      <c r="AG896" s="65"/>
      <c r="AH896" s="69"/>
      <c r="AI896" s="64"/>
      <c r="AJ896" s="69"/>
      <c r="AK896" s="64"/>
      <c r="AL896" s="69"/>
      <c r="AM896" s="64"/>
      <c r="AN896" s="69"/>
      <c r="AO896" s="64"/>
      <c r="AP896" s="69"/>
      <c r="AQ896" s="64"/>
      <c r="AR896" s="69"/>
      <c r="AS896" s="64"/>
      <c r="AT896" s="69"/>
      <c r="AU896" s="64"/>
      <c r="AV896" s="69"/>
      <c r="AW896" s="64"/>
      <c r="AX896" s="69"/>
      <c r="AY896" s="64"/>
      <c r="AZ896" s="69"/>
      <c r="BA896" s="64"/>
      <c r="BB896" s="69"/>
      <c r="BC896" s="64"/>
      <c r="BD896" s="69"/>
      <c r="BE896" s="64"/>
      <c r="BF896" s="69"/>
      <c r="BG896" s="64"/>
      <c r="BH896" s="69"/>
      <c r="BI896" s="64"/>
      <c r="BJ896" s="69"/>
      <c r="BK896" s="64"/>
      <c r="BL896" s="69"/>
      <c r="BM896" s="64"/>
      <c r="BN896" s="69"/>
      <c r="BO896" s="64"/>
      <c r="BP896" s="69"/>
      <c r="BQ896" s="64"/>
      <c r="BR896" s="69"/>
      <c r="BS896" s="64"/>
      <c r="BT896" s="69"/>
      <c r="BU896" t="b">
        <f t="shared" si="14"/>
        <v>0</v>
      </c>
    </row>
    <row r="897" spans="1:73" x14ac:dyDescent="0.25">
      <c r="A897" s="28"/>
      <c r="B897" s="29"/>
      <c r="C897" s="29"/>
      <c r="D897" s="30"/>
      <c r="E897" s="29"/>
      <c r="F897" s="30"/>
      <c r="G897" s="29"/>
      <c r="H897" s="69"/>
      <c r="I897" s="64"/>
      <c r="J897" s="69"/>
      <c r="K897" s="64"/>
      <c r="L897" s="69"/>
      <c r="M897" s="65"/>
      <c r="N897" s="69"/>
      <c r="O897" s="64"/>
      <c r="P897" s="69"/>
      <c r="Q897" s="64"/>
      <c r="R897" s="69"/>
      <c r="S897" s="64"/>
      <c r="T897" s="69"/>
      <c r="U897" s="64"/>
      <c r="V897" s="69"/>
      <c r="W897" s="65"/>
      <c r="X897" s="69"/>
      <c r="Y897" s="64"/>
      <c r="Z897" s="69"/>
      <c r="AA897" s="64"/>
      <c r="AB897" s="69"/>
      <c r="AC897" s="64"/>
      <c r="AD897" s="69"/>
      <c r="AE897" s="65"/>
      <c r="AF897" s="69"/>
      <c r="AG897" s="65"/>
      <c r="AH897" s="69"/>
      <c r="AI897" s="64"/>
      <c r="AJ897" s="69"/>
      <c r="AK897" s="64"/>
      <c r="AL897" s="69"/>
      <c r="AM897" s="64"/>
      <c r="AN897" s="69"/>
      <c r="AO897" s="64"/>
      <c r="AP897" s="69"/>
      <c r="AQ897" s="64"/>
      <c r="AR897" s="69"/>
      <c r="AS897" s="64"/>
      <c r="AT897" s="69"/>
      <c r="AU897" s="64"/>
      <c r="AV897" s="69"/>
      <c r="AW897" s="64"/>
      <c r="AX897" s="69"/>
      <c r="AY897" s="64"/>
      <c r="AZ897" s="69"/>
      <c r="BA897" s="64"/>
      <c r="BB897" s="69"/>
      <c r="BC897" s="64"/>
      <c r="BD897" s="69"/>
      <c r="BE897" s="64"/>
      <c r="BF897" s="69"/>
      <c r="BG897" s="64"/>
      <c r="BH897" s="69"/>
      <c r="BI897" s="64"/>
      <c r="BJ897" s="69"/>
      <c r="BK897" s="64"/>
      <c r="BL897" s="69"/>
      <c r="BM897" s="64"/>
      <c r="BN897" s="69"/>
      <c r="BO897" s="64"/>
      <c r="BP897" s="69"/>
      <c r="BQ897" s="64"/>
      <c r="BR897" s="69"/>
      <c r="BS897" s="64"/>
      <c r="BT897" s="69"/>
      <c r="BU897" t="b">
        <f t="shared" si="14"/>
        <v>0</v>
      </c>
    </row>
    <row r="898" spans="1:73" x14ac:dyDescent="0.25">
      <c r="A898" s="28"/>
      <c r="B898" s="29"/>
      <c r="C898" s="29"/>
      <c r="D898" s="30"/>
      <c r="E898" s="29"/>
      <c r="F898" s="30"/>
      <c r="G898" s="29"/>
      <c r="H898" s="69"/>
      <c r="I898" s="64"/>
      <c r="J898" s="69"/>
      <c r="K898" s="64"/>
      <c r="L898" s="69"/>
      <c r="M898" s="65"/>
      <c r="N898" s="69"/>
      <c r="O898" s="64"/>
      <c r="P898" s="69"/>
      <c r="Q898" s="64"/>
      <c r="R898" s="69"/>
      <c r="S898" s="64"/>
      <c r="T898" s="69"/>
      <c r="U898" s="64"/>
      <c r="V898" s="69"/>
      <c r="W898" s="65"/>
      <c r="X898" s="69"/>
      <c r="Y898" s="64"/>
      <c r="Z898" s="69"/>
      <c r="AA898" s="64"/>
      <c r="AB898" s="69"/>
      <c r="AC898" s="64"/>
      <c r="AD898" s="69"/>
      <c r="AE898" s="65"/>
      <c r="AF898" s="69"/>
      <c r="AG898" s="65"/>
      <c r="AH898" s="69"/>
      <c r="AI898" s="64"/>
      <c r="AJ898" s="69"/>
      <c r="AK898" s="64"/>
      <c r="AL898" s="69"/>
      <c r="AM898" s="64"/>
      <c r="AN898" s="69"/>
      <c r="AO898" s="64"/>
      <c r="AP898" s="69"/>
      <c r="AQ898" s="64"/>
      <c r="AR898" s="69"/>
      <c r="AS898" s="64"/>
      <c r="AT898" s="69"/>
      <c r="AU898" s="64"/>
      <c r="AV898" s="69"/>
      <c r="AW898" s="64"/>
      <c r="AX898" s="69"/>
      <c r="AY898" s="64"/>
      <c r="AZ898" s="69"/>
      <c r="BA898" s="64"/>
      <c r="BB898" s="69"/>
      <c r="BC898" s="64"/>
      <c r="BD898" s="69"/>
      <c r="BE898" s="64"/>
      <c r="BF898" s="69"/>
      <c r="BG898" s="64"/>
      <c r="BH898" s="69"/>
      <c r="BI898" s="64"/>
      <c r="BJ898" s="69"/>
      <c r="BK898" s="64"/>
      <c r="BL898" s="69"/>
      <c r="BM898" s="64"/>
      <c r="BN898" s="69"/>
      <c r="BO898" s="64"/>
      <c r="BP898" s="69"/>
      <c r="BQ898" s="64"/>
      <c r="BR898" s="69"/>
      <c r="BS898" s="64"/>
      <c r="BT898" s="69"/>
      <c r="BU898" t="b">
        <f t="shared" si="14"/>
        <v>0</v>
      </c>
    </row>
    <row r="899" spans="1:73" x14ac:dyDescent="0.25">
      <c r="A899" s="28"/>
      <c r="B899" s="29"/>
      <c r="C899" s="29"/>
      <c r="D899" s="30"/>
      <c r="E899" s="29"/>
      <c r="F899" s="30"/>
      <c r="G899" s="29"/>
      <c r="H899" s="69"/>
      <c r="I899" s="64"/>
      <c r="J899" s="69"/>
      <c r="K899" s="64"/>
      <c r="L899" s="69"/>
      <c r="M899" s="65"/>
      <c r="N899" s="69"/>
      <c r="O899" s="64"/>
      <c r="P899" s="69"/>
      <c r="Q899" s="64"/>
      <c r="R899" s="69"/>
      <c r="S899" s="64"/>
      <c r="T899" s="69"/>
      <c r="U899" s="64"/>
      <c r="V899" s="69"/>
      <c r="W899" s="65"/>
      <c r="X899" s="69"/>
      <c r="Y899" s="64"/>
      <c r="Z899" s="69"/>
      <c r="AA899" s="64"/>
      <c r="AB899" s="69"/>
      <c r="AC899" s="64"/>
      <c r="AD899" s="69"/>
      <c r="AE899" s="65"/>
      <c r="AF899" s="69"/>
      <c r="AG899" s="65"/>
      <c r="AH899" s="69"/>
      <c r="AI899" s="64"/>
      <c r="AJ899" s="69"/>
      <c r="AK899" s="64"/>
      <c r="AL899" s="69"/>
      <c r="AM899" s="64"/>
      <c r="AN899" s="69"/>
      <c r="AO899" s="64"/>
      <c r="AP899" s="69"/>
      <c r="AQ899" s="64"/>
      <c r="AR899" s="69"/>
      <c r="AS899" s="64"/>
      <c r="AT899" s="69"/>
      <c r="AU899" s="64"/>
      <c r="AV899" s="69"/>
      <c r="AW899" s="64"/>
      <c r="AX899" s="69"/>
      <c r="AY899" s="64"/>
      <c r="AZ899" s="69"/>
      <c r="BA899" s="64"/>
      <c r="BB899" s="69"/>
      <c r="BC899" s="64"/>
      <c r="BD899" s="69"/>
      <c r="BE899" s="64"/>
      <c r="BF899" s="69"/>
      <c r="BG899" s="64"/>
      <c r="BH899" s="69"/>
      <c r="BI899" s="64"/>
      <c r="BJ899" s="69"/>
      <c r="BK899" s="64"/>
      <c r="BL899" s="69"/>
      <c r="BM899" s="64"/>
      <c r="BN899" s="69"/>
      <c r="BO899" s="64"/>
      <c r="BP899" s="69"/>
      <c r="BQ899" s="64"/>
      <c r="BR899" s="69"/>
      <c r="BS899" s="64"/>
      <c r="BT899" s="69"/>
      <c r="BU899" t="b">
        <f t="shared" si="14"/>
        <v>0</v>
      </c>
    </row>
    <row r="900" spans="1:73" x14ac:dyDescent="0.25">
      <c r="A900" s="28"/>
      <c r="B900" s="29"/>
      <c r="C900" s="29"/>
      <c r="D900" s="30"/>
      <c r="E900" s="29"/>
      <c r="F900" s="30"/>
      <c r="G900" s="29"/>
      <c r="H900" s="69"/>
      <c r="I900" s="64"/>
      <c r="J900" s="69"/>
      <c r="K900" s="64"/>
      <c r="L900" s="69"/>
      <c r="M900" s="65"/>
      <c r="N900" s="69"/>
      <c r="O900" s="64"/>
      <c r="P900" s="69"/>
      <c r="Q900" s="64"/>
      <c r="R900" s="69"/>
      <c r="S900" s="64"/>
      <c r="T900" s="69"/>
      <c r="U900" s="64"/>
      <c r="V900" s="69"/>
      <c r="W900" s="65"/>
      <c r="X900" s="69"/>
      <c r="Y900" s="64"/>
      <c r="Z900" s="69"/>
      <c r="AA900" s="64"/>
      <c r="AB900" s="69"/>
      <c r="AC900" s="64"/>
      <c r="AD900" s="69"/>
      <c r="AE900" s="65"/>
      <c r="AF900" s="69"/>
      <c r="AG900" s="65"/>
      <c r="AH900" s="69"/>
      <c r="AI900" s="64"/>
      <c r="AJ900" s="69"/>
      <c r="AK900" s="64"/>
      <c r="AL900" s="69"/>
      <c r="AM900" s="64"/>
      <c r="AN900" s="69"/>
      <c r="AO900" s="64"/>
      <c r="AP900" s="69"/>
      <c r="AQ900" s="64"/>
      <c r="AR900" s="69"/>
      <c r="AS900" s="64"/>
      <c r="AT900" s="69"/>
      <c r="AU900" s="64"/>
      <c r="AV900" s="69"/>
      <c r="AW900" s="64"/>
      <c r="AX900" s="69"/>
      <c r="AY900" s="64"/>
      <c r="AZ900" s="69"/>
      <c r="BA900" s="64"/>
      <c r="BB900" s="69"/>
      <c r="BC900" s="64"/>
      <c r="BD900" s="69"/>
      <c r="BE900" s="64"/>
      <c r="BF900" s="69"/>
      <c r="BG900" s="64"/>
      <c r="BH900" s="69"/>
      <c r="BI900" s="64"/>
      <c r="BJ900" s="69"/>
      <c r="BK900" s="64"/>
      <c r="BL900" s="69"/>
      <c r="BM900" s="64"/>
      <c r="BN900" s="69"/>
      <c r="BO900" s="64"/>
      <c r="BP900" s="69"/>
      <c r="BQ900" s="64"/>
      <c r="BR900" s="69"/>
      <c r="BS900" s="64"/>
      <c r="BT900" s="69"/>
      <c r="BU900" t="b">
        <f t="shared" si="14"/>
        <v>0</v>
      </c>
    </row>
    <row r="901" spans="1:73" x14ac:dyDescent="0.25">
      <c r="A901" s="28"/>
      <c r="B901" s="29"/>
      <c r="C901" s="29"/>
      <c r="D901" s="30"/>
      <c r="E901" s="29"/>
      <c r="F901" s="30"/>
      <c r="G901" s="29"/>
      <c r="H901" s="69"/>
      <c r="I901" s="64"/>
      <c r="J901" s="69"/>
      <c r="K901" s="64"/>
      <c r="L901" s="69"/>
      <c r="M901" s="65"/>
      <c r="N901" s="69"/>
      <c r="O901" s="64"/>
      <c r="P901" s="69"/>
      <c r="Q901" s="64"/>
      <c r="R901" s="69"/>
      <c r="S901" s="64"/>
      <c r="T901" s="69"/>
      <c r="U901" s="64"/>
      <c r="V901" s="69"/>
      <c r="W901" s="65"/>
      <c r="X901" s="69"/>
      <c r="Y901" s="64"/>
      <c r="Z901" s="69"/>
      <c r="AA901" s="64"/>
      <c r="AB901" s="69"/>
      <c r="AC901" s="64"/>
      <c r="AD901" s="69"/>
      <c r="AE901" s="65"/>
      <c r="AF901" s="69"/>
      <c r="AG901" s="65"/>
      <c r="AH901" s="69"/>
      <c r="AI901" s="64"/>
      <c r="AJ901" s="69"/>
      <c r="AK901" s="64"/>
      <c r="AL901" s="69"/>
      <c r="AM901" s="64"/>
      <c r="AN901" s="69"/>
      <c r="AO901" s="64"/>
      <c r="AP901" s="69"/>
      <c r="AQ901" s="64"/>
      <c r="AR901" s="69"/>
      <c r="AS901" s="64"/>
      <c r="AT901" s="69"/>
      <c r="AU901" s="64"/>
      <c r="AV901" s="69"/>
      <c r="AW901" s="64"/>
      <c r="AX901" s="69"/>
      <c r="AY901" s="64"/>
      <c r="AZ901" s="69"/>
      <c r="BA901" s="64"/>
      <c r="BB901" s="69"/>
      <c r="BC901" s="64"/>
      <c r="BD901" s="69"/>
      <c r="BE901" s="64"/>
      <c r="BF901" s="69"/>
      <c r="BG901" s="64"/>
      <c r="BH901" s="69"/>
      <c r="BI901" s="64"/>
      <c r="BJ901" s="69"/>
      <c r="BK901" s="64"/>
      <c r="BL901" s="69"/>
      <c r="BM901" s="64"/>
      <c r="BN901" s="69"/>
      <c r="BO901" s="64"/>
      <c r="BP901" s="69"/>
      <c r="BQ901" s="64"/>
      <c r="BR901" s="69"/>
      <c r="BS901" s="64"/>
      <c r="BT901" s="69"/>
      <c r="BU901" t="b">
        <f t="shared" si="14"/>
        <v>0</v>
      </c>
    </row>
    <row r="902" spans="1:73" x14ac:dyDescent="0.25">
      <c r="A902" s="28"/>
      <c r="B902" s="29"/>
      <c r="C902" s="29"/>
      <c r="D902" s="30"/>
      <c r="E902" s="29"/>
      <c r="F902" s="30"/>
      <c r="G902" s="29"/>
      <c r="H902" s="69"/>
      <c r="I902" s="64"/>
      <c r="J902" s="69"/>
      <c r="K902" s="64"/>
      <c r="L902" s="69"/>
      <c r="M902" s="65"/>
      <c r="N902" s="69"/>
      <c r="O902" s="64"/>
      <c r="P902" s="69"/>
      <c r="Q902" s="64"/>
      <c r="R902" s="69"/>
      <c r="S902" s="64"/>
      <c r="T902" s="69"/>
      <c r="U902" s="64"/>
      <c r="V902" s="69"/>
      <c r="W902" s="65"/>
      <c r="X902" s="69"/>
      <c r="Y902" s="64"/>
      <c r="Z902" s="69"/>
      <c r="AA902" s="64"/>
      <c r="AB902" s="69"/>
      <c r="AC902" s="64"/>
      <c r="AD902" s="69"/>
      <c r="AE902" s="65"/>
      <c r="AF902" s="69"/>
      <c r="AG902" s="65"/>
      <c r="AH902" s="69"/>
      <c r="AI902" s="64"/>
      <c r="AJ902" s="69"/>
      <c r="AK902" s="64"/>
      <c r="AL902" s="69"/>
      <c r="AM902" s="64"/>
      <c r="AN902" s="69"/>
      <c r="AO902" s="64"/>
      <c r="AP902" s="69"/>
      <c r="AQ902" s="64"/>
      <c r="AR902" s="69"/>
      <c r="AS902" s="64"/>
      <c r="AT902" s="69"/>
      <c r="AU902" s="64"/>
      <c r="AV902" s="69"/>
      <c r="AW902" s="64"/>
      <c r="AX902" s="69"/>
      <c r="AY902" s="64"/>
      <c r="AZ902" s="69"/>
      <c r="BA902" s="64"/>
      <c r="BB902" s="69"/>
      <c r="BC902" s="64"/>
      <c r="BD902" s="69"/>
      <c r="BE902" s="64"/>
      <c r="BF902" s="69"/>
      <c r="BG902" s="64"/>
      <c r="BH902" s="69"/>
      <c r="BI902" s="64"/>
      <c r="BJ902" s="69"/>
      <c r="BK902" s="64"/>
      <c r="BL902" s="69"/>
      <c r="BM902" s="64"/>
      <c r="BN902" s="69"/>
      <c r="BO902" s="64"/>
      <c r="BP902" s="69"/>
      <c r="BQ902" s="64"/>
      <c r="BR902" s="69"/>
      <c r="BS902" s="64"/>
      <c r="BT902" s="69"/>
      <c r="BU902" t="b">
        <f t="shared" si="14"/>
        <v>0</v>
      </c>
    </row>
    <row r="903" spans="1:73" x14ac:dyDescent="0.25">
      <c r="A903" s="28"/>
      <c r="B903" s="29"/>
      <c r="C903" s="29"/>
      <c r="D903" s="30"/>
      <c r="E903" s="29"/>
      <c r="F903" s="30"/>
      <c r="G903" s="29"/>
      <c r="H903" s="69"/>
      <c r="I903" s="64"/>
      <c r="J903" s="69"/>
      <c r="K903" s="64"/>
      <c r="L903" s="69"/>
      <c r="M903" s="65"/>
      <c r="N903" s="69"/>
      <c r="O903" s="64"/>
      <c r="P903" s="69"/>
      <c r="Q903" s="64"/>
      <c r="R903" s="69"/>
      <c r="S903" s="64"/>
      <c r="T903" s="69"/>
      <c r="U903" s="64"/>
      <c r="V903" s="69"/>
      <c r="W903" s="65"/>
      <c r="X903" s="69"/>
      <c r="Y903" s="64"/>
      <c r="Z903" s="69"/>
      <c r="AA903" s="64"/>
      <c r="AB903" s="69"/>
      <c r="AC903" s="64"/>
      <c r="AD903" s="69"/>
      <c r="AE903" s="65"/>
      <c r="AF903" s="69"/>
      <c r="AG903" s="65"/>
      <c r="AH903" s="69"/>
      <c r="AI903" s="64"/>
      <c r="AJ903" s="69"/>
      <c r="AK903" s="64"/>
      <c r="AL903" s="69"/>
      <c r="AM903" s="64"/>
      <c r="AN903" s="69"/>
      <c r="AO903" s="64"/>
      <c r="AP903" s="69"/>
      <c r="AQ903" s="64"/>
      <c r="AR903" s="69"/>
      <c r="AS903" s="64"/>
      <c r="AT903" s="69"/>
      <c r="AU903" s="64"/>
      <c r="AV903" s="69"/>
      <c r="AW903" s="64"/>
      <c r="AX903" s="69"/>
      <c r="AY903" s="64"/>
      <c r="AZ903" s="69"/>
      <c r="BA903" s="64"/>
      <c r="BB903" s="69"/>
      <c r="BC903" s="64"/>
      <c r="BD903" s="69"/>
      <c r="BE903" s="64"/>
      <c r="BF903" s="69"/>
      <c r="BG903" s="64"/>
      <c r="BH903" s="69"/>
      <c r="BI903" s="64"/>
      <c r="BJ903" s="69"/>
      <c r="BK903" s="64"/>
      <c r="BL903" s="69"/>
      <c r="BM903" s="64"/>
      <c r="BN903" s="69"/>
      <c r="BO903" s="64"/>
      <c r="BP903" s="69"/>
      <c r="BQ903" s="64"/>
      <c r="BR903" s="69"/>
      <c r="BS903" s="64"/>
      <c r="BT903" s="69"/>
      <c r="BU903" t="b">
        <f t="shared" si="14"/>
        <v>0</v>
      </c>
    </row>
    <row r="904" spans="1:73" x14ac:dyDescent="0.25">
      <c r="A904" s="28"/>
      <c r="B904" s="29"/>
      <c r="C904" s="29"/>
      <c r="D904" s="30"/>
      <c r="E904" s="29"/>
      <c r="F904" s="30"/>
      <c r="G904" s="29"/>
      <c r="H904" s="69"/>
      <c r="I904" s="64"/>
      <c r="J904" s="69"/>
      <c r="K904" s="64"/>
      <c r="L904" s="69"/>
      <c r="M904" s="65"/>
      <c r="N904" s="69"/>
      <c r="O904" s="64"/>
      <c r="P904" s="69"/>
      <c r="Q904" s="64"/>
      <c r="R904" s="69"/>
      <c r="S904" s="64"/>
      <c r="T904" s="69"/>
      <c r="U904" s="64"/>
      <c r="V904" s="69"/>
      <c r="W904" s="65"/>
      <c r="X904" s="69"/>
      <c r="Y904" s="64"/>
      <c r="Z904" s="69"/>
      <c r="AA904" s="64"/>
      <c r="AB904" s="69"/>
      <c r="AC904" s="64"/>
      <c r="AD904" s="69"/>
      <c r="AE904" s="65"/>
      <c r="AF904" s="69"/>
      <c r="AG904" s="65"/>
      <c r="AH904" s="69"/>
      <c r="AI904" s="64"/>
      <c r="AJ904" s="69"/>
      <c r="AK904" s="64"/>
      <c r="AL904" s="69"/>
      <c r="AM904" s="64"/>
      <c r="AN904" s="69"/>
      <c r="AO904" s="64"/>
      <c r="AP904" s="69"/>
      <c r="AQ904" s="64"/>
      <c r="AR904" s="69"/>
      <c r="AS904" s="64"/>
      <c r="AT904" s="69"/>
      <c r="AU904" s="64"/>
      <c r="AV904" s="69"/>
      <c r="AW904" s="64"/>
      <c r="AX904" s="69"/>
      <c r="AY904" s="64"/>
      <c r="AZ904" s="69"/>
      <c r="BA904" s="64"/>
      <c r="BB904" s="69"/>
      <c r="BC904" s="64"/>
      <c r="BD904" s="69"/>
      <c r="BE904" s="64"/>
      <c r="BF904" s="69"/>
      <c r="BG904" s="64"/>
      <c r="BH904" s="69"/>
      <c r="BI904" s="64"/>
      <c r="BJ904" s="69"/>
      <c r="BK904" s="64"/>
      <c r="BL904" s="69"/>
      <c r="BM904" s="64"/>
      <c r="BN904" s="69"/>
      <c r="BO904" s="64"/>
      <c r="BP904" s="69"/>
      <c r="BQ904" s="64"/>
      <c r="BR904" s="69"/>
      <c r="BS904" s="64"/>
      <c r="BT904" s="69"/>
      <c r="BU904" t="b">
        <f t="shared" si="14"/>
        <v>0</v>
      </c>
    </row>
    <row r="905" spans="1:73" x14ac:dyDescent="0.25">
      <c r="A905" s="28"/>
      <c r="B905" s="29"/>
      <c r="C905" s="29"/>
      <c r="D905" s="30"/>
      <c r="E905" s="29"/>
      <c r="F905" s="30"/>
      <c r="G905" s="29"/>
      <c r="H905" s="69"/>
      <c r="I905" s="64"/>
      <c r="J905" s="69"/>
      <c r="K905" s="64"/>
      <c r="L905" s="69"/>
      <c r="M905" s="65"/>
      <c r="N905" s="69"/>
      <c r="O905" s="64"/>
      <c r="P905" s="69"/>
      <c r="Q905" s="64"/>
      <c r="R905" s="69"/>
      <c r="S905" s="64"/>
      <c r="T905" s="69"/>
      <c r="U905" s="64"/>
      <c r="V905" s="69"/>
      <c r="W905" s="65"/>
      <c r="X905" s="69"/>
      <c r="Y905" s="64"/>
      <c r="Z905" s="69"/>
      <c r="AA905" s="64"/>
      <c r="AB905" s="69"/>
      <c r="AC905" s="64"/>
      <c r="AD905" s="69"/>
      <c r="AE905" s="65"/>
      <c r="AF905" s="69"/>
      <c r="AG905" s="65"/>
      <c r="AH905" s="69"/>
      <c r="AI905" s="64"/>
      <c r="AJ905" s="69"/>
      <c r="AK905" s="64"/>
      <c r="AL905" s="69"/>
      <c r="AM905" s="64"/>
      <c r="AN905" s="69"/>
      <c r="AO905" s="64"/>
      <c r="AP905" s="69"/>
      <c r="AQ905" s="64"/>
      <c r="AR905" s="69"/>
      <c r="AS905" s="64"/>
      <c r="AT905" s="69"/>
      <c r="AU905" s="64"/>
      <c r="AV905" s="69"/>
      <c r="AW905" s="64"/>
      <c r="AX905" s="69"/>
      <c r="AY905" s="64"/>
      <c r="AZ905" s="69"/>
      <c r="BA905" s="64"/>
      <c r="BB905" s="69"/>
      <c r="BC905" s="64"/>
      <c r="BD905" s="69"/>
      <c r="BE905" s="64"/>
      <c r="BF905" s="69"/>
      <c r="BG905" s="64"/>
      <c r="BH905" s="69"/>
      <c r="BI905" s="64"/>
      <c r="BJ905" s="69"/>
      <c r="BK905" s="64"/>
      <c r="BL905" s="69"/>
      <c r="BM905" s="64"/>
      <c r="BN905" s="69"/>
      <c r="BO905" s="64"/>
      <c r="BP905" s="69"/>
      <c r="BQ905" s="64"/>
      <c r="BR905" s="69"/>
      <c r="BS905" s="64"/>
      <c r="BT905" s="69"/>
      <c r="BU905" t="b">
        <f t="shared" si="14"/>
        <v>0</v>
      </c>
    </row>
    <row r="906" spans="1:73" x14ac:dyDescent="0.25">
      <c r="A906" s="28"/>
      <c r="B906" s="29"/>
      <c r="C906" s="29"/>
      <c r="D906" s="30"/>
      <c r="E906" s="29"/>
      <c r="F906" s="30"/>
      <c r="G906" s="29"/>
      <c r="H906" s="69"/>
      <c r="I906" s="64"/>
      <c r="J906" s="69"/>
      <c r="K906" s="64"/>
      <c r="L906" s="69"/>
      <c r="M906" s="65"/>
      <c r="N906" s="69"/>
      <c r="O906" s="64"/>
      <c r="P906" s="69"/>
      <c r="Q906" s="64"/>
      <c r="R906" s="69"/>
      <c r="S906" s="64"/>
      <c r="T906" s="69"/>
      <c r="U906" s="64"/>
      <c r="V906" s="69"/>
      <c r="W906" s="65"/>
      <c r="X906" s="69"/>
      <c r="Y906" s="64"/>
      <c r="Z906" s="69"/>
      <c r="AA906" s="64"/>
      <c r="AB906" s="69"/>
      <c r="AC906" s="64"/>
      <c r="AD906" s="69"/>
      <c r="AE906" s="65"/>
      <c r="AF906" s="69"/>
      <c r="AG906" s="65"/>
      <c r="AH906" s="69"/>
      <c r="AI906" s="64"/>
      <c r="AJ906" s="69"/>
      <c r="AK906" s="64"/>
      <c r="AL906" s="69"/>
      <c r="AM906" s="64"/>
      <c r="AN906" s="69"/>
      <c r="AO906" s="64"/>
      <c r="AP906" s="69"/>
      <c r="AQ906" s="64"/>
      <c r="AR906" s="69"/>
      <c r="AS906" s="64"/>
      <c r="AT906" s="69"/>
      <c r="AU906" s="64"/>
      <c r="AV906" s="69"/>
      <c r="AW906" s="64"/>
      <c r="AX906" s="69"/>
      <c r="AY906" s="64"/>
      <c r="AZ906" s="69"/>
      <c r="BA906" s="64"/>
      <c r="BB906" s="69"/>
      <c r="BC906" s="64"/>
      <c r="BD906" s="69"/>
      <c r="BE906" s="64"/>
      <c r="BF906" s="69"/>
      <c r="BG906" s="64"/>
      <c r="BH906" s="69"/>
      <c r="BI906" s="64"/>
      <c r="BJ906" s="69"/>
      <c r="BK906" s="64"/>
      <c r="BL906" s="69"/>
      <c r="BM906" s="64"/>
      <c r="BN906" s="69"/>
      <c r="BO906" s="64"/>
      <c r="BP906" s="69"/>
      <c r="BQ906" s="64"/>
      <c r="BR906" s="69"/>
      <c r="BS906" s="64"/>
      <c r="BT906" s="69"/>
      <c r="BU906" t="b">
        <f t="shared" si="14"/>
        <v>0</v>
      </c>
    </row>
    <row r="907" spans="1:73" x14ac:dyDescent="0.25">
      <c r="A907" s="28"/>
      <c r="B907" s="29"/>
      <c r="C907" s="29"/>
      <c r="D907" s="30"/>
      <c r="E907" s="29"/>
      <c r="F907" s="30"/>
      <c r="G907" s="29"/>
      <c r="H907" s="69"/>
      <c r="I907" s="64"/>
      <c r="J907" s="69"/>
      <c r="K907" s="64"/>
      <c r="L907" s="69"/>
      <c r="M907" s="65"/>
      <c r="N907" s="69"/>
      <c r="O907" s="64"/>
      <c r="P907" s="69"/>
      <c r="Q907" s="64"/>
      <c r="R907" s="69"/>
      <c r="S907" s="64"/>
      <c r="T907" s="69"/>
      <c r="U907" s="64"/>
      <c r="V907" s="69"/>
      <c r="W907" s="65"/>
      <c r="X907" s="69"/>
      <c r="Y907" s="64"/>
      <c r="Z907" s="69"/>
      <c r="AA907" s="64"/>
      <c r="AB907" s="69"/>
      <c r="AC907" s="64"/>
      <c r="AD907" s="69"/>
      <c r="AE907" s="65"/>
      <c r="AF907" s="69"/>
      <c r="AG907" s="65"/>
      <c r="AH907" s="69"/>
      <c r="AI907" s="64"/>
      <c r="AJ907" s="69"/>
      <c r="AK907" s="64"/>
      <c r="AL907" s="69"/>
      <c r="AM907" s="64"/>
      <c r="AN907" s="69"/>
      <c r="AO907" s="64"/>
      <c r="AP907" s="69"/>
      <c r="AQ907" s="64"/>
      <c r="AR907" s="69"/>
      <c r="AS907" s="64"/>
      <c r="AT907" s="69"/>
      <c r="AU907" s="64"/>
      <c r="AV907" s="69"/>
      <c r="AW907" s="64"/>
      <c r="AX907" s="69"/>
      <c r="AY907" s="64"/>
      <c r="AZ907" s="69"/>
      <c r="BA907" s="64"/>
      <c r="BB907" s="69"/>
      <c r="BC907" s="64"/>
      <c r="BD907" s="69"/>
      <c r="BE907" s="64"/>
      <c r="BF907" s="69"/>
      <c r="BG907" s="64"/>
      <c r="BH907" s="69"/>
      <c r="BI907" s="64"/>
      <c r="BJ907" s="69"/>
      <c r="BK907" s="64"/>
      <c r="BL907" s="69"/>
      <c r="BM907" s="64"/>
      <c r="BN907" s="69"/>
      <c r="BO907" s="64"/>
      <c r="BP907" s="69"/>
      <c r="BQ907" s="64"/>
      <c r="BR907" s="69"/>
      <c r="BS907" s="64"/>
      <c r="BT907" s="69"/>
      <c r="BU907" t="b">
        <f t="shared" si="14"/>
        <v>0</v>
      </c>
    </row>
    <row r="908" spans="1:73" x14ac:dyDescent="0.25">
      <c r="A908" s="28"/>
      <c r="B908" s="29"/>
      <c r="C908" s="29"/>
      <c r="D908" s="30"/>
      <c r="E908" s="29"/>
      <c r="F908" s="30"/>
      <c r="G908" s="29"/>
      <c r="H908" s="69"/>
      <c r="I908" s="64"/>
      <c r="J908" s="69"/>
      <c r="K908" s="64"/>
      <c r="L908" s="69"/>
      <c r="M908" s="65"/>
      <c r="N908" s="69"/>
      <c r="O908" s="64"/>
      <c r="P908" s="69"/>
      <c r="Q908" s="64"/>
      <c r="R908" s="69"/>
      <c r="S908" s="64"/>
      <c r="T908" s="69"/>
      <c r="U908" s="64"/>
      <c r="V908" s="69"/>
      <c r="W908" s="65"/>
      <c r="X908" s="69"/>
      <c r="Y908" s="64"/>
      <c r="Z908" s="69"/>
      <c r="AA908" s="64"/>
      <c r="AB908" s="69"/>
      <c r="AC908" s="64"/>
      <c r="AD908" s="69"/>
      <c r="AE908" s="65"/>
      <c r="AF908" s="69"/>
      <c r="AG908" s="65"/>
      <c r="AH908" s="69"/>
      <c r="AI908" s="64"/>
      <c r="AJ908" s="69"/>
      <c r="AK908" s="64"/>
      <c r="AL908" s="69"/>
      <c r="AM908" s="64"/>
      <c r="AN908" s="69"/>
      <c r="AO908" s="64"/>
      <c r="AP908" s="69"/>
      <c r="AQ908" s="64"/>
      <c r="AR908" s="69"/>
      <c r="AS908" s="64"/>
      <c r="AT908" s="69"/>
      <c r="AU908" s="64"/>
      <c r="AV908" s="69"/>
      <c r="AW908" s="64"/>
      <c r="AX908" s="69"/>
      <c r="AY908" s="64"/>
      <c r="AZ908" s="69"/>
      <c r="BA908" s="64"/>
      <c r="BB908" s="69"/>
      <c r="BC908" s="64"/>
      <c r="BD908" s="69"/>
      <c r="BE908" s="64"/>
      <c r="BF908" s="69"/>
      <c r="BG908" s="64"/>
      <c r="BH908" s="69"/>
      <c r="BI908" s="64"/>
      <c r="BJ908" s="69"/>
      <c r="BK908" s="64"/>
      <c r="BL908" s="69"/>
      <c r="BM908" s="64"/>
      <c r="BN908" s="69"/>
      <c r="BO908" s="64"/>
      <c r="BP908" s="69"/>
      <c r="BQ908" s="64"/>
      <c r="BR908" s="69"/>
      <c r="BS908" s="64"/>
      <c r="BT908" s="69"/>
      <c r="BU908" t="b">
        <f t="shared" si="14"/>
        <v>0</v>
      </c>
    </row>
    <row r="909" spans="1:73" x14ac:dyDescent="0.25">
      <c r="A909" s="28"/>
      <c r="B909" s="29"/>
      <c r="C909" s="29"/>
      <c r="D909" s="30"/>
      <c r="E909" s="29"/>
      <c r="F909" s="30"/>
      <c r="G909" s="29"/>
      <c r="H909" s="69"/>
      <c r="I909" s="64"/>
      <c r="J909" s="69"/>
      <c r="K909" s="64"/>
      <c r="L909" s="69"/>
      <c r="M909" s="65"/>
      <c r="N909" s="69"/>
      <c r="O909" s="64"/>
      <c r="P909" s="69"/>
      <c r="Q909" s="64"/>
      <c r="R909" s="69"/>
      <c r="S909" s="64"/>
      <c r="T909" s="69"/>
      <c r="U909" s="64"/>
      <c r="V909" s="69"/>
      <c r="W909" s="65"/>
      <c r="X909" s="69"/>
      <c r="Y909" s="64"/>
      <c r="Z909" s="69"/>
      <c r="AA909" s="64"/>
      <c r="AB909" s="69"/>
      <c r="AC909" s="64"/>
      <c r="AD909" s="69"/>
      <c r="AE909" s="65"/>
      <c r="AF909" s="69"/>
      <c r="AG909" s="65"/>
      <c r="AH909" s="69"/>
      <c r="AI909" s="64"/>
      <c r="AJ909" s="69"/>
      <c r="AK909" s="64"/>
      <c r="AL909" s="69"/>
      <c r="AM909" s="64"/>
      <c r="AN909" s="69"/>
      <c r="AO909" s="64"/>
      <c r="AP909" s="69"/>
      <c r="AQ909" s="64"/>
      <c r="AR909" s="69"/>
      <c r="AS909" s="64"/>
      <c r="AT909" s="69"/>
      <c r="AU909" s="64"/>
      <c r="AV909" s="69"/>
      <c r="AW909" s="64"/>
      <c r="AX909" s="69"/>
      <c r="AY909" s="64"/>
      <c r="AZ909" s="69"/>
      <c r="BA909" s="64"/>
      <c r="BB909" s="69"/>
      <c r="BC909" s="64"/>
      <c r="BD909" s="69"/>
      <c r="BE909" s="64"/>
      <c r="BF909" s="69"/>
      <c r="BG909" s="64"/>
      <c r="BH909" s="69"/>
      <c r="BI909" s="64"/>
      <c r="BJ909" s="69"/>
      <c r="BK909" s="64"/>
      <c r="BL909" s="69"/>
      <c r="BM909" s="64"/>
      <c r="BN909" s="69"/>
      <c r="BO909" s="64"/>
      <c r="BP909" s="69"/>
      <c r="BQ909" s="64"/>
      <c r="BR909" s="69"/>
      <c r="BS909" s="64"/>
      <c r="BT909" s="69"/>
      <c r="BU909" t="b">
        <f t="shared" si="14"/>
        <v>0</v>
      </c>
    </row>
    <row r="910" spans="1:73" x14ac:dyDescent="0.25">
      <c r="A910" s="28"/>
      <c r="B910" s="29"/>
      <c r="C910" s="29"/>
      <c r="D910" s="30"/>
      <c r="E910" s="29"/>
      <c r="F910" s="30"/>
      <c r="G910" s="29"/>
      <c r="H910" s="69"/>
      <c r="I910" s="64"/>
      <c r="J910" s="69"/>
      <c r="K910" s="64"/>
      <c r="L910" s="69"/>
      <c r="M910" s="65"/>
      <c r="N910" s="69"/>
      <c r="O910" s="64"/>
      <c r="P910" s="69"/>
      <c r="Q910" s="64"/>
      <c r="R910" s="69"/>
      <c r="S910" s="64"/>
      <c r="T910" s="69"/>
      <c r="U910" s="64"/>
      <c r="V910" s="69"/>
      <c r="W910" s="65"/>
      <c r="X910" s="69"/>
      <c r="Y910" s="64"/>
      <c r="Z910" s="69"/>
      <c r="AA910" s="64"/>
      <c r="AB910" s="69"/>
      <c r="AC910" s="64"/>
      <c r="AD910" s="69"/>
      <c r="AE910" s="65"/>
      <c r="AF910" s="69"/>
      <c r="AG910" s="65"/>
      <c r="AH910" s="69"/>
      <c r="AI910" s="64"/>
      <c r="AJ910" s="69"/>
      <c r="AK910" s="64"/>
      <c r="AL910" s="69"/>
      <c r="AM910" s="64"/>
      <c r="AN910" s="69"/>
      <c r="AO910" s="64"/>
      <c r="AP910" s="69"/>
      <c r="AQ910" s="64"/>
      <c r="AR910" s="69"/>
      <c r="AS910" s="64"/>
      <c r="AT910" s="69"/>
      <c r="AU910" s="64"/>
      <c r="AV910" s="69"/>
      <c r="AW910" s="64"/>
      <c r="AX910" s="69"/>
      <c r="AY910" s="64"/>
      <c r="AZ910" s="69"/>
      <c r="BA910" s="64"/>
      <c r="BB910" s="69"/>
      <c r="BC910" s="64"/>
      <c r="BD910" s="69"/>
      <c r="BE910" s="64"/>
      <c r="BF910" s="69"/>
      <c r="BG910" s="64"/>
      <c r="BH910" s="69"/>
      <c r="BI910" s="64"/>
      <c r="BJ910" s="69"/>
      <c r="BK910" s="64"/>
      <c r="BL910" s="69"/>
      <c r="BM910" s="64"/>
      <c r="BN910" s="69"/>
      <c r="BO910" s="64"/>
      <c r="BP910" s="69"/>
      <c r="BQ910" s="64"/>
      <c r="BR910" s="69"/>
      <c r="BS910" s="64"/>
      <c r="BT910" s="69"/>
      <c r="BU910" t="b">
        <f t="shared" si="14"/>
        <v>0</v>
      </c>
    </row>
    <row r="911" spans="1:73" x14ac:dyDescent="0.25">
      <c r="A911" s="28"/>
      <c r="B911" s="29"/>
      <c r="C911" s="29"/>
      <c r="D911" s="30"/>
      <c r="E911" s="29"/>
      <c r="F911" s="30"/>
      <c r="G911" s="29"/>
      <c r="H911" s="69"/>
      <c r="I911" s="64"/>
      <c r="J911" s="69"/>
      <c r="K911" s="64"/>
      <c r="L911" s="69"/>
      <c r="M911" s="65"/>
      <c r="N911" s="69"/>
      <c r="O911" s="64"/>
      <c r="P911" s="69"/>
      <c r="Q911" s="64"/>
      <c r="R911" s="69"/>
      <c r="S911" s="64"/>
      <c r="T911" s="69"/>
      <c r="U911" s="64"/>
      <c r="V911" s="69"/>
      <c r="W911" s="65"/>
      <c r="X911" s="69"/>
      <c r="Y911" s="64"/>
      <c r="Z911" s="69"/>
      <c r="AA911" s="64"/>
      <c r="AB911" s="69"/>
      <c r="AC911" s="64"/>
      <c r="AD911" s="69"/>
      <c r="AE911" s="65"/>
      <c r="AF911" s="69"/>
      <c r="AG911" s="65"/>
      <c r="AH911" s="69"/>
      <c r="AI911" s="64"/>
      <c r="AJ911" s="69"/>
      <c r="AK911" s="64"/>
      <c r="AL911" s="69"/>
      <c r="AM911" s="64"/>
      <c r="AN911" s="69"/>
      <c r="AO911" s="64"/>
      <c r="AP911" s="69"/>
      <c r="AQ911" s="64"/>
      <c r="AR911" s="69"/>
      <c r="AS911" s="64"/>
      <c r="AT911" s="69"/>
      <c r="AU911" s="64"/>
      <c r="AV911" s="69"/>
      <c r="AW911" s="64"/>
      <c r="AX911" s="69"/>
      <c r="AY911" s="64"/>
      <c r="AZ911" s="69"/>
      <c r="BA911" s="64"/>
      <c r="BB911" s="69"/>
      <c r="BC911" s="64"/>
      <c r="BD911" s="69"/>
      <c r="BE911" s="64"/>
      <c r="BF911" s="69"/>
      <c r="BG911" s="64"/>
      <c r="BH911" s="69"/>
      <c r="BI911" s="64"/>
      <c r="BJ911" s="69"/>
      <c r="BK911" s="64"/>
      <c r="BL911" s="69"/>
      <c r="BM911" s="64"/>
      <c r="BN911" s="69"/>
      <c r="BO911" s="64"/>
      <c r="BP911" s="69"/>
      <c r="BQ911" s="64"/>
      <c r="BR911" s="69"/>
      <c r="BS911" s="64"/>
      <c r="BT911" s="69"/>
      <c r="BU911" t="b">
        <f t="shared" si="14"/>
        <v>0</v>
      </c>
    </row>
    <row r="912" spans="1:73" x14ac:dyDescent="0.25">
      <c r="A912" s="28"/>
      <c r="B912" s="29"/>
      <c r="C912" s="29"/>
      <c r="D912" s="30"/>
      <c r="E912" s="29"/>
      <c r="F912" s="30"/>
      <c r="G912" s="29"/>
      <c r="H912" s="69"/>
      <c r="I912" s="64"/>
      <c r="J912" s="69"/>
      <c r="K912" s="64"/>
      <c r="L912" s="69"/>
      <c r="M912" s="65"/>
      <c r="N912" s="69"/>
      <c r="O912" s="64"/>
      <c r="P912" s="69"/>
      <c r="Q912" s="64"/>
      <c r="R912" s="69"/>
      <c r="S912" s="64"/>
      <c r="T912" s="69"/>
      <c r="U912" s="64"/>
      <c r="V912" s="69"/>
      <c r="W912" s="65"/>
      <c r="X912" s="69"/>
      <c r="Y912" s="64"/>
      <c r="Z912" s="69"/>
      <c r="AA912" s="64"/>
      <c r="AB912" s="69"/>
      <c r="AC912" s="64"/>
      <c r="AD912" s="69"/>
      <c r="AE912" s="65"/>
      <c r="AF912" s="69"/>
      <c r="AG912" s="65"/>
      <c r="AH912" s="69"/>
      <c r="AI912" s="64"/>
      <c r="AJ912" s="69"/>
      <c r="AK912" s="64"/>
      <c r="AL912" s="69"/>
      <c r="AM912" s="64"/>
      <c r="AN912" s="69"/>
      <c r="AO912" s="64"/>
      <c r="AP912" s="69"/>
      <c r="AQ912" s="64"/>
      <c r="AR912" s="69"/>
      <c r="AS912" s="64"/>
      <c r="AT912" s="69"/>
      <c r="AU912" s="64"/>
      <c r="AV912" s="69"/>
      <c r="AW912" s="64"/>
      <c r="AX912" s="69"/>
      <c r="AY912" s="64"/>
      <c r="AZ912" s="69"/>
      <c r="BA912" s="64"/>
      <c r="BB912" s="69"/>
      <c r="BC912" s="64"/>
      <c r="BD912" s="69"/>
      <c r="BE912" s="64"/>
      <c r="BF912" s="69"/>
      <c r="BG912" s="64"/>
      <c r="BH912" s="69"/>
      <c r="BI912" s="64"/>
      <c r="BJ912" s="69"/>
      <c r="BK912" s="64"/>
      <c r="BL912" s="69"/>
      <c r="BM912" s="64"/>
      <c r="BN912" s="69"/>
      <c r="BO912" s="64"/>
      <c r="BP912" s="69"/>
      <c r="BQ912" s="64"/>
      <c r="BR912" s="69"/>
      <c r="BS912" s="64"/>
      <c r="BT912" s="69"/>
      <c r="BU912" t="b">
        <f t="shared" si="14"/>
        <v>0</v>
      </c>
    </row>
    <row r="913" spans="1:73" x14ac:dyDescent="0.25">
      <c r="A913" s="28"/>
      <c r="B913" s="29"/>
      <c r="C913" s="29"/>
      <c r="D913" s="30"/>
      <c r="E913" s="29"/>
      <c r="F913" s="30"/>
      <c r="G913" s="29"/>
      <c r="H913" s="69"/>
      <c r="I913" s="64"/>
      <c r="J913" s="69"/>
      <c r="K913" s="64"/>
      <c r="L913" s="69"/>
      <c r="M913" s="65"/>
      <c r="N913" s="69"/>
      <c r="O913" s="64"/>
      <c r="P913" s="69"/>
      <c r="Q913" s="64"/>
      <c r="R913" s="69"/>
      <c r="S913" s="64"/>
      <c r="T913" s="69"/>
      <c r="U913" s="64"/>
      <c r="V913" s="69"/>
      <c r="W913" s="65"/>
      <c r="X913" s="69"/>
      <c r="Y913" s="64"/>
      <c r="Z913" s="69"/>
      <c r="AA913" s="64"/>
      <c r="AB913" s="69"/>
      <c r="AC913" s="64"/>
      <c r="AD913" s="69"/>
      <c r="AE913" s="65"/>
      <c r="AF913" s="69"/>
      <c r="AG913" s="65"/>
      <c r="AH913" s="69"/>
      <c r="AI913" s="64"/>
      <c r="AJ913" s="69"/>
      <c r="AK913" s="64"/>
      <c r="AL913" s="69"/>
      <c r="AM913" s="64"/>
      <c r="AN913" s="69"/>
      <c r="AO913" s="64"/>
      <c r="AP913" s="69"/>
      <c r="AQ913" s="64"/>
      <c r="AR913" s="69"/>
      <c r="AS913" s="64"/>
      <c r="AT913" s="69"/>
      <c r="AU913" s="64"/>
      <c r="AV913" s="69"/>
      <c r="AW913" s="64"/>
      <c r="AX913" s="69"/>
      <c r="AY913" s="64"/>
      <c r="AZ913" s="69"/>
      <c r="BA913" s="64"/>
      <c r="BB913" s="69"/>
      <c r="BC913" s="64"/>
      <c r="BD913" s="69"/>
      <c r="BE913" s="64"/>
      <c r="BF913" s="69"/>
      <c r="BG913" s="64"/>
      <c r="BH913" s="69"/>
      <c r="BI913" s="64"/>
      <c r="BJ913" s="69"/>
      <c r="BK913" s="64"/>
      <c r="BL913" s="69"/>
      <c r="BM913" s="64"/>
      <c r="BN913" s="69"/>
      <c r="BO913" s="64"/>
      <c r="BP913" s="69"/>
      <c r="BQ913" s="64"/>
      <c r="BR913" s="69"/>
      <c r="BS913" s="64"/>
      <c r="BT913" s="69"/>
      <c r="BU913" t="b">
        <f t="shared" si="14"/>
        <v>0</v>
      </c>
    </row>
    <row r="914" spans="1:73" x14ac:dyDescent="0.25">
      <c r="A914" s="28"/>
      <c r="B914" s="29"/>
      <c r="C914" s="29"/>
      <c r="D914" s="30"/>
      <c r="E914" s="29"/>
      <c r="F914" s="30"/>
      <c r="G914" s="29"/>
      <c r="H914" s="69"/>
      <c r="I914" s="64"/>
      <c r="J914" s="69"/>
      <c r="K914" s="64"/>
      <c r="L914" s="69"/>
      <c r="M914" s="65"/>
      <c r="N914" s="69"/>
      <c r="O914" s="64"/>
      <c r="P914" s="69"/>
      <c r="Q914" s="64"/>
      <c r="R914" s="69"/>
      <c r="S914" s="64"/>
      <c r="T914" s="69"/>
      <c r="U914" s="64"/>
      <c r="V914" s="69"/>
      <c r="W914" s="65"/>
      <c r="X914" s="69"/>
      <c r="Y914" s="64"/>
      <c r="Z914" s="69"/>
      <c r="AA914" s="64"/>
      <c r="AB914" s="69"/>
      <c r="AC914" s="64"/>
      <c r="AD914" s="69"/>
      <c r="AE914" s="65"/>
      <c r="AF914" s="69"/>
      <c r="AG914" s="65"/>
      <c r="AH914" s="69"/>
      <c r="AI914" s="64"/>
      <c r="AJ914" s="69"/>
      <c r="AK914" s="64"/>
      <c r="AL914" s="69"/>
      <c r="AM914" s="64"/>
      <c r="AN914" s="69"/>
      <c r="AO914" s="64"/>
      <c r="AP914" s="69"/>
      <c r="AQ914" s="64"/>
      <c r="AR914" s="69"/>
      <c r="AS914" s="64"/>
      <c r="AT914" s="69"/>
      <c r="AU914" s="64"/>
      <c r="AV914" s="69"/>
      <c r="AW914" s="64"/>
      <c r="AX914" s="69"/>
      <c r="AY914" s="64"/>
      <c r="AZ914" s="69"/>
      <c r="BA914" s="64"/>
      <c r="BB914" s="69"/>
      <c r="BC914" s="64"/>
      <c r="BD914" s="69"/>
      <c r="BE914" s="64"/>
      <c r="BF914" s="69"/>
      <c r="BG914" s="64"/>
      <c r="BH914" s="69"/>
      <c r="BI914" s="64"/>
      <c r="BJ914" s="69"/>
      <c r="BK914" s="64"/>
      <c r="BL914" s="69"/>
      <c r="BM914" s="64"/>
      <c r="BN914" s="69"/>
      <c r="BO914" s="64"/>
      <c r="BP914" s="69"/>
      <c r="BQ914" s="64"/>
      <c r="BR914" s="69"/>
      <c r="BS914" s="64"/>
      <c r="BT914" s="69"/>
      <c r="BU914" t="b">
        <f t="shared" si="14"/>
        <v>0</v>
      </c>
    </row>
    <row r="915" spans="1:73" x14ac:dyDescent="0.25">
      <c r="A915" s="28"/>
      <c r="B915" s="29"/>
      <c r="C915" s="29"/>
      <c r="D915" s="30"/>
      <c r="E915" s="29"/>
      <c r="F915" s="30"/>
      <c r="G915" s="29"/>
      <c r="H915" s="69"/>
      <c r="I915" s="64"/>
      <c r="J915" s="69"/>
      <c r="K915" s="64"/>
      <c r="L915" s="69"/>
      <c r="M915" s="65"/>
      <c r="N915" s="69"/>
      <c r="O915" s="64"/>
      <c r="P915" s="69"/>
      <c r="Q915" s="64"/>
      <c r="R915" s="69"/>
      <c r="S915" s="64"/>
      <c r="T915" s="69"/>
      <c r="U915" s="64"/>
      <c r="V915" s="69"/>
      <c r="W915" s="65"/>
      <c r="X915" s="69"/>
      <c r="Y915" s="64"/>
      <c r="Z915" s="69"/>
      <c r="AA915" s="64"/>
      <c r="AB915" s="69"/>
      <c r="AC915" s="64"/>
      <c r="AD915" s="69"/>
      <c r="AE915" s="65"/>
      <c r="AF915" s="69"/>
      <c r="AG915" s="65"/>
      <c r="AH915" s="69"/>
      <c r="AI915" s="64"/>
      <c r="AJ915" s="69"/>
      <c r="AK915" s="64"/>
      <c r="AL915" s="69"/>
      <c r="AM915" s="64"/>
      <c r="AN915" s="69"/>
      <c r="AO915" s="64"/>
      <c r="AP915" s="69"/>
      <c r="AQ915" s="64"/>
      <c r="AR915" s="69"/>
      <c r="AS915" s="64"/>
      <c r="AT915" s="69"/>
      <c r="AU915" s="64"/>
      <c r="AV915" s="69"/>
      <c r="AW915" s="64"/>
      <c r="AX915" s="69"/>
      <c r="AY915" s="64"/>
      <c r="AZ915" s="69"/>
      <c r="BA915" s="64"/>
      <c r="BB915" s="69"/>
      <c r="BC915" s="64"/>
      <c r="BD915" s="69"/>
      <c r="BE915" s="64"/>
      <c r="BF915" s="69"/>
      <c r="BG915" s="64"/>
      <c r="BH915" s="69"/>
      <c r="BI915" s="64"/>
      <c r="BJ915" s="69"/>
      <c r="BK915" s="64"/>
      <c r="BL915" s="69"/>
      <c r="BM915" s="64"/>
      <c r="BN915" s="69"/>
      <c r="BO915" s="64"/>
      <c r="BP915" s="69"/>
      <c r="BQ915" s="64"/>
      <c r="BR915" s="69"/>
      <c r="BS915" s="64"/>
      <c r="BT915" s="69"/>
      <c r="BU915" t="b">
        <f t="shared" si="14"/>
        <v>0</v>
      </c>
    </row>
    <row r="916" spans="1:73" x14ac:dyDescent="0.25">
      <c r="A916" s="28"/>
      <c r="B916" s="29"/>
      <c r="C916" s="29"/>
      <c r="D916" s="30"/>
      <c r="E916" s="29"/>
      <c r="F916" s="30"/>
      <c r="G916" s="29"/>
      <c r="H916" s="69"/>
      <c r="I916" s="64"/>
      <c r="J916" s="69"/>
      <c r="K916" s="64"/>
      <c r="L916" s="69"/>
      <c r="M916" s="65"/>
      <c r="N916" s="69"/>
      <c r="O916" s="64"/>
      <c r="P916" s="69"/>
      <c r="Q916" s="64"/>
      <c r="R916" s="69"/>
      <c r="S916" s="64"/>
      <c r="T916" s="69"/>
      <c r="U916" s="64"/>
      <c r="V916" s="69"/>
      <c r="W916" s="65"/>
      <c r="X916" s="69"/>
      <c r="Y916" s="64"/>
      <c r="Z916" s="69"/>
      <c r="AA916" s="64"/>
      <c r="AB916" s="69"/>
      <c r="AC916" s="64"/>
      <c r="AD916" s="69"/>
      <c r="AE916" s="65"/>
      <c r="AF916" s="69"/>
      <c r="AG916" s="65"/>
      <c r="AH916" s="69"/>
      <c r="AI916" s="64"/>
      <c r="AJ916" s="69"/>
      <c r="AK916" s="64"/>
      <c r="AL916" s="69"/>
      <c r="AM916" s="64"/>
      <c r="AN916" s="69"/>
      <c r="AO916" s="64"/>
      <c r="AP916" s="69"/>
      <c r="AQ916" s="64"/>
      <c r="AR916" s="69"/>
      <c r="AS916" s="64"/>
      <c r="AT916" s="69"/>
      <c r="AU916" s="64"/>
      <c r="AV916" s="69"/>
      <c r="AW916" s="64"/>
      <c r="AX916" s="69"/>
      <c r="AY916" s="64"/>
      <c r="AZ916" s="69"/>
      <c r="BA916" s="64"/>
      <c r="BB916" s="69"/>
      <c r="BC916" s="64"/>
      <c r="BD916" s="69"/>
      <c r="BE916" s="64"/>
      <c r="BF916" s="69"/>
      <c r="BG916" s="64"/>
      <c r="BH916" s="69"/>
      <c r="BI916" s="64"/>
      <c r="BJ916" s="69"/>
      <c r="BK916" s="64"/>
      <c r="BL916" s="69"/>
      <c r="BM916" s="64"/>
      <c r="BN916" s="69"/>
      <c r="BO916" s="64"/>
      <c r="BP916" s="69"/>
      <c r="BQ916" s="64"/>
      <c r="BR916" s="69"/>
      <c r="BS916" s="64"/>
      <c r="BT916" s="69"/>
      <c r="BU916" t="b">
        <f t="shared" si="14"/>
        <v>0</v>
      </c>
    </row>
    <row r="917" spans="1:73" x14ac:dyDescent="0.25">
      <c r="A917" s="28"/>
      <c r="B917" s="29"/>
      <c r="C917" s="29"/>
      <c r="D917" s="30"/>
      <c r="E917" s="29"/>
      <c r="F917" s="30"/>
      <c r="G917" s="29"/>
      <c r="H917" s="69"/>
      <c r="I917" s="64"/>
      <c r="J917" s="69"/>
      <c r="K917" s="64"/>
      <c r="L917" s="69"/>
      <c r="M917" s="65"/>
      <c r="N917" s="69"/>
      <c r="O917" s="64"/>
      <c r="P917" s="69"/>
      <c r="Q917" s="64"/>
      <c r="R917" s="69"/>
      <c r="S917" s="64"/>
      <c r="T917" s="69"/>
      <c r="U917" s="64"/>
      <c r="V917" s="69"/>
      <c r="W917" s="65"/>
      <c r="X917" s="69"/>
      <c r="Y917" s="64"/>
      <c r="Z917" s="69"/>
      <c r="AA917" s="64"/>
      <c r="AB917" s="69"/>
      <c r="AC917" s="64"/>
      <c r="AD917" s="69"/>
      <c r="AE917" s="65"/>
      <c r="AF917" s="69"/>
      <c r="AG917" s="65"/>
      <c r="AH917" s="69"/>
      <c r="AI917" s="64"/>
      <c r="AJ917" s="69"/>
      <c r="AK917" s="64"/>
      <c r="AL917" s="69"/>
      <c r="AM917" s="64"/>
      <c r="AN917" s="69"/>
      <c r="AO917" s="64"/>
      <c r="AP917" s="69"/>
      <c r="AQ917" s="64"/>
      <c r="AR917" s="69"/>
      <c r="AS917" s="64"/>
      <c r="AT917" s="69"/>
      <c r="AU917" s="64"/>
      <c r="AV917" s="69"/>
      <c r="AW917" s="64"/>
      <c r="AX917" s="69"/>
      <c r="AY917" s="64"/>
      <c r="AZ917" s="69"/>
      <c r="BA917" s="64"/>
      <c r="BB917" s="69"/>
      <c r="BC917" s="64"/>
      <c r="BD917" s="69"/>
      <c r="BE917" s="64"/>
      <c r="BF917" s="69"/>
      <c r="BG917" s="64"/>
      <c r="BH917" s="69"/>
      <c r="BI917" s="64"/>
      <c r="BJ917" s="69"/>
      <c r="BK917" s="64"/>
      <c r="BL917" s="69"/>
      <c r="BM917" s="64"/>
      <c r="BN917" s="69"/>
      <c r="BO917" s="64"/>
      <c r="BP917" s="69"/>
      <c r="BQ917" s="64"/>
      <c r="BR917" s="69"/>
      <c r="BS917" s="64"/>
      <c r="BT917" s="69"/>
      <c r="BU917" t="b">
        <f t="shared" si="14"/>
        <v>0</v>
      </c>
    </row>
    <row r="918" spans="1:73" x14ac:dyDescent="0.25">
      <c r="A918" s="28"/>
      <c r="B918" s="29"/>
      <c r="C918" s="29"/>
      <c r="D918" s="30"/>
      <c r="E918" s="29"/>
      <c r="F918" s="30"/>
      <c r="G918" s="29"/>
      <c r="H918" s="69"/>
      <c r="I918" s="64"/>
      <c r="J918" s="69"/>
      <c r="K918" s="64"/>
      <c r="L918" s="69"/>
      <c r="M918" s="65"/>
      <c r="N918" s="69"/>
      <c r="O918" s="64"/>
      <c r="P918" s="69"/>
      <c r="Q918" s="64"/>
      <c r="R918" s="69"/>
      <c r="S918" s="64"/>
      <c r="T918" s="69"/>
      <c r="U918" s="64"/>
      <c r="V918" s="69"/>
      <c r="W918" s="65"/>
      <c r="X918" s="69"/>
      <c r="Y918" s="64"/>
      <c r="Z918" s="69"/>
      <c r="AA918" s="64"/>
      <c r="AB918" s="69"/>
      <c r="AC918" s="64"/>
      <c r="AD918" s="69"/>
      <c r="AE918" s="65"/>
      <c r="AF918" s="69"/>
      <c r="AG918" s="65"/>
      <c r="AH918" s="69"/>
      <c r="AI918" s="64"/>
      <c r="AJ918" s="69"/>
      <c r="AK918" s="64"/>
      <c r="AL918" s="69"/>
      <c r="AM918" s="64"/>
      <c r="AN918" s="69"/>
      <c r="AO918" s="64"/>
      <c r="AP918" s="69"/>
      <c r="AQ918" s="64"/>
      <c r="AR918" s="69"/>
      <c r="AS918" s="64"/>
      <c r="AT918" s="69"/>
      <c r="AU918" s="64"/>
      <c r="AV918" s="69"/>
      <c r="AW918" s="64"/>
      <c r="AX918" s="69"/>
      <c r="AY918" s="64"/>
      <c r="AZ918" s="69"/>
      <c r="BA918" s="64"/>
      <c r="BB918" s="69"/>
      <c r="BC918" s="64"/>
      <c r="BD918" s="69"/>
      <c r="BE918" s="64"/>
      <c r="BF918" s="69"/>
      <c r="BG918" s="64"/>
      <c r="BH918" s="69"/>
      <c r="BI918" s="64"/>
      <c r="BJ918" s="69"/>
      <c r="BK918" s="64"/>
      <c r="BL918" s="69"/>
      <c r="BM918" s="64"/>
      <c r="BN918" s="69"/>
      <c r="BO918" s="64"/>
      <c r="BP918" s="69"/>
      <c r="BQ918" s="64"/>
      <c r="BR918" s="69"/>
      <c r="BS918" s="64"/>
      <c r="BT918" s="69"/>
      <c r="BU918" t="b">
        <f t="shared" si="14"/>
        <v>0</v>
      </c>
    </row>
    <row r="919" spans="1:73" x14ac:dyDescent="0.25">
      <c r="A919" s="28"/>
      <c r="B919" s="29"/>
      <c r="C919" s="29"/>
      <c r="D919" s="30"/>
      <c r="E919" s="29"/>
      <c r="F919" s="30"/>
      <c r="G919" s="29"/>
      <c r="H919" s="69"/>
      <c r="I919" s="64"/>
      <c r="J919" s="69"/>
      <c r="K919" s="64"/>
      <c r="L919" s="69"/>
      <c r="M919" s="65"/>
      <c r="N919" s="69"/>
      <c r="O919" s="64"/>
      <c r="P919" s="69"/>
      <c r="Q919" s="64"/>
      <c r="R919" s="69"/>
      <c r="S919" s="64"/>
      <c r="T919" s="69"/>
      <c r="U919" s="64"/>
      <c r="V919" s="69"/>
      <c r="W919" s="65"/>
      <c r="X919" s="69"/>
      <c r="Y919" s="64"/>
      <c r="Z919" s="69"/>
      <c r="AA919" s="64"/>
      <c r="AB919" s="69"/>
      <c r="AC919" s="64"/>
      <c r="AD919" s="69"/>
      <c r="AE919" s="65"/>
      <c r="AF919" s="69"/>
      <c r="AG919" s="65"/>
      <c r="AH919" s="69"/>
      <c r="AI919" s="64"/>
      <c r="AJ919" s="69"/>
      <c r="AK919" s="64"/>
      <c r="AL919" s="69"/>
      <c r="AM919" s="64"/>
      <c r="AN919" s="69"/>
      <c r="AO919" s="64"/>
      <c r="AP919" s="69"/>
      <c r="AQ919" s="64"/>
      <c r="AR919" s="69"/>
      <c r="AS919" s="64"/>
      <c r="AT919" s="69"/>
      <c r="AU919" s="64"/>
      <c r="AV919" s="69"/>
      <c r="AW919" s="64"/>
      <c r="AX919" s="69"/>
      <c r="AY919" s="64"/>
      <c r="AZ919" s="69"/>
      <c r="BA919" s="64"/>
      <c r="BB919" s="69"/>
      <c r="BC919" s="64"/>
      <c r="BD919" s="69"/>
      <c r="BE919" s="64"/>
      <c r="BF919" s="69"/>
      <c r="BG919" s="64"/>
      <c r="BH919" s="69"/>
      <c r="BI919" s="64"/>
      <c r="BJ919" s="69"/>
      <c r="BK919" s="64"/>
      <c r="BL919" s="69"/>
      <c r="BM919" s="64"/>
      <c r="BN919" s="69"/>
      <c r="BO919" s="64"/>
      <c r="BP919" s="69"/>
      <c r="BQ919" s="64"/>
      <c r="BR919" s="69"/>
      <c r="BS919" s="64"/>
      <c r="BT919" s="69"/>
      <c r="BU919" t="b">
        <f t="shared" si="14"/>
        <v>0</v>
      </c>
    </row>
    <row r="920" spans="1:73" x14ac:dyDescent="0.25">
      <c r="A920" s="28"/>
      <c r="B920" s="29"/>
      <c r="C920" s="29"/>
      <c r="D920" s="30"/>
      <c r="E920" s="29"/>
      <c r="F920" s="30"/>
      <c r="G920" s="29"/>
      <c r="H920" s="69"/>
      <c r="I920" s="64"/>
      <c r="J920" s="69"/>
      <c r="K920" s="64"/>
      <c r="L920" s="69"/>
      <c r="M920" s="65"/>
      <c r="N920" s="69"/>
      <c r="O920" s="64"/>
      <c r="P920" s="69"/>
      <c r="Q920" s="64"/>
      <c r="R920" s="69"/>
      <c r="S920" s="64"/>
      <c r="T920" s="69"/>
      <c r="U920" s="64"/>
      <c r="V920" s="69"/>
      <c r="W920" s="65"/>
      <c r="X920" s="69"/>
      <c r="Y920" s="64"/>
      <c r="Z920" s="69"/>
      <c r="AA920" s="64"/>
      <c r="AB920" s="69"/>
      <c r="AC920" s="64"/>
      <c r="AD920" s="69"/>
      <c r="AE920" s="65"/>
      <c r="AF920" s="69"/>
      <c r="AG920" s="65"/>
      <c r="AH920" s="69"/>
      <c r="AI920" s="64"/>
      <c r="AJ920" s="69"/>
      <c r="AK920" s="64"/>
      <c r="AL920" s="69"/>
      <c r="AM920" s="64"/>
      <c r="AN920" s="69"/>
      <c r="AO920" s="64"/>
      <c r="AP920" s="69"/>
      <c r="AQ920" s="64"/>
      <c r="AR920" s="69"/>
      <c r="AS920" s="64"/>
      <c r="AT920" s="69"/>
      <c r="AU920" s="64"/>
      <c r="AV920" s="69"/>
      <c r="AW920" s="64"/>
      <c r="AX920" s="69"/>
      <c r="AY920" s="64"/>
      <c r="AZ920" s="69"/>
      <c r="BA920" s="64"/>
      <c r="BB920" s="69"/>
      <c r="BC920" s="64"/>
      <c r="BD920" s="69"/>
      <c r="BE920" s="64"/>
      <c r="BF920" s="69"/>
      <c r="BG920" s="64"/>
      <c r="BH920" s="69"/>
      <c r="BI920" s="64"/>
      <c r="BJ920" s="69"/>
      <c r="BK920" s="64"/>
      <c r="BL920" s="69"/>
      <c r="BM920" s="64"/>
      <c r="BN920" s="69"/>
      <c r="BO920" s="64"/>
      <c r="BP920" s="69"/>
      <c r="BQ920" s="64"/>
      <c r="BR920" s="69"/>
      <c r="BS920" s="64"/>
      <c r="BT920" s="69"/>
      <c r="BU920" t="b">
        <f t="shared" si="14"/>
        <v>0</v>
      </c>
    </row>
    <row r="921" spans="1:73" x14ac:dyDescent="0.25">
      <c r="A921" s="28"/>
      <c r="B921" s="29"/>
      <c r="C921" s="29"/>
      <c r="D921" s="30"/>
      <c r="E921" s="29"/>
      <c r="F921" s="30"/>
      <c r="G921" s="29"/>
      <c r="H921" s="69"/>
      <c r="I921" s="64"/>
      <c r="J921" s="69"/>
      <c r="K921" s="64"/>
      <c r="L921" s="69"/>
      <c r="M921" s="65"/>
      <c r="N921" s="69"/>
      <c r="O921" s="64"/>
      <c r="P921" s="69"/>
      <c r="Q921" s="64"/>
      <c r="R921" s="69"/>
      <c r="S921" s="64"/>
      <c r="T921" s="69"/>
      <c r="U921" s="64"/>
      <c r="V921" s="69"/>
      <c r="W921" s="65"/>
      <c r="X921" s="69"/>
      <c r="Y921" s="64"/>
      <c r="Z921" s="69"/>
      <c r="AA921" s="64"/>
      <c r="AB921" s="69"/>
      <c r="AC921" s="64"/>
      <c r="AD921" s="69"/>
      <c r="AE921" s="65"/>
      <c r="AF921" s="69"/>
      <c r="AG921" s="65"/>
      <c r="AH921" s="69"/>
      <c r="AI921" s="64"/>
      <c r="AJ921" s="69"/>
      <c r="AK921" s="64"/>
      <c r="AL921" s="69"/>
      <c r="AM921" s="64"/>
      <c r="AN921" s="69"/>
      <c r="AO921" s="64"/>
      <c r="AP921" s="69"/>
      <c r="AQ921" s="64"/>
      <c r="AR921" s="69"/>
      <c r="AS921" s="64"/>
      <c r="AT921" s="69"/>
      <c r="AU921" s="64"/>
      <c r="AV921" s="69"/>
      <c r="AW921" s="64"/>
      <c r="AX921" s="69"/>
      <c r="AY921" s="64"/>
      <c r="AZ921" s="69"/>
      <c r="BA921" s="64"/>
      <c r="BB921" s="69"/>
      <c r="BC921" s="64"/>
      <c r="BD921" s="69"/>
      <c r="BE921" s="64"/>
      <c r="BF921" s="69"/>
      <c r="BG921" s="64"/>
      <c r="BH921" s="69"/>
      <c r="BI921" s="64"/>
      <c r="BJ921" s="69"/>
      <c r="BK921" s="64"/>
      <c r="BL921" s="69"/>
      <c r="BM921" s="64"/>
      <c r="BN921" s="69"/>
      <c r="BO921" s="64"/>
      <c r="BP921" s="69"/>
      <c r="BQ921" s="64"/>
      <c r="BR921" s="69"/>
      <c r="BS921" s="64"/>
      <c r="BT921" s="69"/>
      <c r="BU921" t="b">
        <f t="shared" si="14"/>
        <v>0</v>
      </c>
    </row>
    <row r="922" spans="1:73" x14ac:dyDescent="0.25">
      <c r="A922" s="28"/>
      <c r="B922" s="29"/>
      <c r="C922" s="29"/>
      <c r="D922" s="30"/>
      <c r="E922" s="29"/>
      <c r="F922" s="30"/>
      <c r="G922" s="29"/>
      <c r="H922" s="69"/>
      <c r="I922" s="64"/>
      <c r="J922" s="69"/>
      <c r="K922" s="64"/>
      <c r="L922" s="69"/>
      <c r="M922" s="65"/>
      <c r="N922" s="69"/>
      <c r="O922" s="64"/>
      <c r="P922" s="69"/>
      <c r="Q922" s="64"/>
      <c r="R922" s="69"/>
      <c r="S922" s="64"/>
      <c r="T922" s="69"/>
      <c r="U922" s="64"/>
      <c r="V922" s="69"/>
      <c r="W922" s="65"/>
      <c r="X922" s="69"/>
      <c r="Y922" s="64"/>
      <c r="Z922" s="69"/>
      <c r="AA922" s="64"/>
      <c r="AB922" s="69"/>
      <c r="AC922" s="64"/>
      <c r="AD922" s="69"/>
      <c r="AE922" s="65"/>
      <c r="AF922" s="69"/>
      <c r="AG922" s="65"/>
      <c r="AH922" s="69"/>
      <c r="AI922" s="64"/>
      <c r="AJ922" s="69"/>
      <c r="AK922" s="64"/>
      <c r="AL922" s="69"/>
      <c r="AM922" s="64"/>
      <c r="AN922" s="69"/>
      <c r="AO922" s="64"/>
      <c r="AP922" s="69"/>
      <c r="AQ922" s="64"/>
      <c r="AR922" s="69"/>
      <c r="AS922" s="64"/>
      <c r="AT922" s="69"/>
      <c r="AU922" s="64"/>
      <c r="AV922" s="69"/>
      <c r="AW922" s="64"/>
      <c r="AX922" s="69"/>
      <c r="AY922" s="64"/>
      <c r="AZ922" s="69"/>
      <c r="BA922" s="64"/>
      <c r="BB922" s="69"/>
      <c r="BC922" s="64"/>
      <c r="BD922" s="69"/>
      <c r="BE922" s="64"/>
      <c r="BF922" s="69"/>
      <c r="BG922" s="64"/>
      <c r="BH922" s="69"/>
      <c r="BI922" s="64"/>
      <c r="BJ922" s="69"/>
      <c r="BK922" s="64"/>
      <c r="BL922" s="69"/>
      <c r="BM922" s="64"/>
      <c r="BN922" s="69"/>
      <c r="BO922" s="64"/>
      <c r="BP922" s="69"/>
      <c r="BQ922" s="64"/>
      <c r="BR922" s="69"/>
      <c r="BS922" s="64"/>
      <c r="BT922" s="69"/>
      <c r="BU922" t="b">
        <f t="shared" si="14"/>
        <v>0</v>
      </c>
    </row>
    <row r="923" spans="1:73" x14ac:dyDescent="0.25">
      <c r="A923" s="28"/>
      <c r="B923" s="29"/>
      <c r="C923" s="29"/>
      <c r="D923" s="30"/>
      <c r="E923" s="29"/>
      <c r="F923" s="30"/>
      <c r="G923" s="29"/>
      <c r="H923" s="69"/>
      <c r="I923" s="64"/>
      <c r="J923" s="69"/>
      <c r="K923" s="64"/>
      <c r="L923" s="69"/>
      <c r="M923" s="65"/>
      <c r="N923" s="69"/>
      <c r="O923" s="64"/>
      <c r="P923" s="69"/>
      <c r="Q923" s="64"/>
      <c r="R923" s="69"/>
      <c r="S923" s="64"/>
      <c r="T923" s="69"/>
      <c r="U923" s="64"/>
      <c r="V923" s="69"/>
      <c r="W923" s="65"/>
      <c r="X923" s="69"/>
      <c r="Y923" s="64"/>
      <c r="Z923" s="69"/>
      <c r="AA923" s="64"/>
      <c r="AB923" s="69"/>
      <c r="AC923" s="64"/>
      <c r="AD923" s="69"/>
      <c r="AE923" s="65"/>
      <c r="AF923" s="69"/>
      <c r="AG923" s="65"/>
      <c r="AH923" s="69"/>
      <c r="AI923" s="64"/>
      <c r="AJ923" s="69"/>
      <c r="AK923" s="64"/>
      <c r="AL923" s="69"/>
      <c r="AM923" s="64"/>
      <c r="AN923" s="69"/>
      <c r="AO923" s="64"/>
      <c r="AP923" s="69"/>
      <c r="AQ923" s="64"/>
      <c r="AR923" s="69"/>
      <c r="AS923" s="64"/>
      <c r="AT923" s="69"/>
      <c r="AU923" s="64"/>
      <c r="AV923" s="69"/>
      <c r="AW923" s="64"/>
      <c r="AX923" s="69"/>
      <c r="AY923" s="64"/>
      <c r="AZ923" s="69"/>
      <c r="BA923" s="64"/>
      <c r="BB923" s="69"/>
      <c r="BC923" s="64"/>
      <c r="BD923" s="69"/>
      <c r="BE923" s="64"/>
      <c r="BF923" s="69"/>
      <c r="BG923" s="64"/>
      <c r="BH923" s="69"/>
      <c r="BI923" s="64"/>
      <c r="BJ923" s="69"/>
      <c r="BK923" s="64"/>
      <c r="BL923" s="69"/>
      <c r="BM923" s="64"/>
      <c r="BN923" s="69"/>
      <c r="BO923" s="64"/>
      <c r="BP923" s="69"/>
      <c r="BQ923" s="64"/>
      <c r="BR923" s="69"/>
      <c r="BS923" s="64"/>
      <c r="BT923" s="69"/>
      <c r="BU923" t="b">
        <f t="shared" si="14"/>
        <v>0</v>
      </c>
    </row>
    <row r="924" spans="1:73" x14ac:dyDescent="0.25">
      <c r="A924" s="28"/>
      <c r="B924" s="29"/>
      <c r="C924" s="29"/>
      <c r="D924" s="30"/>
      <c r="E924" s="29"/>
      <c r="F924" s="30"/>
      <c r="G924" s="29"/>
      <c r="H924" s="69"/>
      <c r="I924" s="64"/>
      <c r="J924" s="69"/>
      <c r="K924" s="64"/>
      <c r="L924" s="69"/>
      <c r="M924" s="65"/>
      <c r="N924" s="69"/>
      <c r="O924" s="64"/>
      <c r="P924" s="69"/>
      <c r="Q924" s="64"/>
      <c r="R924" s="69"/>
      <c r="S924" s="64"/>
      <c r="T924" s="69"/>
      <c r="U924" s="64"/>
      <c r="V924" s="69"/>
      <c r="W924" s="65"/>
      <c r="X924" s="69"/>
      <c r="Y924" s="64"/>
      <c r="Z924" s="69"/>
      <c r="AA924" s="64"/>
      <c r="AB924" s="69"/>
      <c r="AC924" s="64"/>
      <c r="AD924" s="69"/>
      <c r="AE924" s="65"/>
      <c r="AF924" s="69"/>
      <c r="AG924" s="65"/>
      <c r="AH924" s="69"/>
      <c r="AI924" s="64"/>
      <c r="AJ924" s="69"/>
      <c r="AK924" s="64"/>
      <c r="AL924" s="69"/>
      <c r="AM924" s="64"/>
      <c r="AN924" s="69"/>
      <c r="AO924" s="64"/>
      <c r="AP924" s="69"/>
      <c r="AQ924" s="64"/>
      <c r="AR924" s="69"/>
      <c r="AS924" s="64"/>
      <c r="AT924" s="69"/>
      <c r="AU924" s="64"/>
      <c r="AV924" s="69"/>
      <c r="AW924" s="64"/>
      <c r="AX924" s="69"/>
      <c r="AY924" s="64"/>
      <c r="AZ924" s="69"/>
      <c r="BA924" s="64"/>
      <c r="BB924" s="69"/>
      <c r="BC924" s="64"/>
      <c r="BD924" s="69"/>
      <c r="BE924" s="64"/>
      <c r="BF924" s="69"/>
      <c r="BG924" s="64"/>
      <c r="BH924" s="69"/>
      <c r="BI924" s="64"/>
      <c r="BJ924" s="69"/>
      <c r="BK924" s="64"/>
      <c r="BL924" s="69"/>
      <c r="BM924" s="64"/>
      <c r="BN924" s="69"/>
      <c r="BO924" s="64"/>
      <c r="BP924" s="69"/>
      <c r="BQ924" s="64"/>
      <c r="BR924" s="69"/>
      <c r="BS924" s="64"/>
      <c r="BT924" s="69"/>
      <c r="BU924" t="b">
        <f t="shared" si="14"/>
        <v>0</v>
      </c>
    </row>
    <row r="925" spans="1:73" x14ac:dyDescent="0.25">
      <c r="A925" s="28"/>
      <c r="B925" s="29"/>
      <c r="C925" s="29"/>
      <c r="D925" s="30"/>
      <c r="E925" s="29"/>
      <c r="F925" s="30"/>
      <c r="G925" s="29"/>
      <c r="H925" s="69"/>
      <c r="I925" s="64"/>
      <c r="J925" s="69"/>
      <c r="K925" s="64"/>
      <c r="L925" s="69"/>
      <c r="M925" s="65"/>
      <c r="N925" s="69"/>
      <c r="O925" s="64"/>
      <c r="P925" s="69"/>
      <c r="Q925" s="64"/>
      <c r="R925" s="69"/>
      <c r="S925" s="64"/>
      <c r="T925" s="69"/>
      <c r="U925" s="64"/>
      <c r="V925" s="69"/>
      <c r="W925" s="65"/>
      <c r="X925" s="69"/>
      <c r="Y925" s="64"/>
      <c r="Z925" s="69"/>
      <c r="AA925" s="64"/>
      <c r="AB925" s="69"/>
      <c r="AC925" s="64"/>
      <c r="AD925" s="69"/>
      <c r="AE925" s="65"/>
      <c r="AF925" s="69"/>
      <c r="AG925" s="65"/>
      <c r="AH925" s="69"/>
      <c r="AI925" s="64"/>
      <c r="AJ925" s="69"/>
      <c r="AK925" s="64"/>
      <c r="AL925" s="69"/>
      <c r="AM925" s="64"/>
      <c r="AN925" s="69"/>
      <c r="AO925" s="64"/>
      <c r="AP925" s="69"/>
      <c r="AQ925" s="64"/>
      <c r="AR925" s="69"/>
      <c r="AS925" s="64"/>
      <c r="AT925" s="69"/>
      <c r="AU925" s="64"/>
      <c r="AV925" s="69"/>
      <c r="AW925" s="64"/>
      <c r="AX925" s="69"/>
      <c r="AY925" s="64"/>
      <c r="AZ925" s="69"/>
      <c r="BA925" s="64"/>
      <c r="BB925" s="69"/>
      <c r="BC925" s="64"/>
      <c r="BD925" s="69"/>
      <c r="BE925" s="64"/>
      <c r="BF925" s="69"/>
      <c r="BG925" s="64"/>
      <c r="BH925" s="69"/>
      <c r="BI925" s="64"/>
      <c r="BJ925" s="69"/>
      <c r="BK925" s="64"/>
      <c r="BL925" s="69"/>
      <c r="BM925" s="64"/>
      <c r="BN925" s="69"/>
      <c r="BO925" s="64"/>
      <c r="BP925" s="69"/>
      <c r="BQ925" s="64"/>
      <c r="BR925" s="69"/>
      <c r="BS925" s="64"/>
      <c r="BT925" s="69"/>
      <c r="BU925" t="b">
        <f t="shared" si="14"/>
        <v>0</v>
      </c>
    </row>
    <row r="926" spans="1:73" x14ac:dyDescent="0.25">
      <c r="A926" s="28"/>
      <c r="B926" s="29"/>
      <c r="C926" s="29"/>
      <c r="D926" s="30"/>
      <c r="E926" s="29"/>
      <c r="F926" s="30"/>
      <c r="G926" s="29"/>
      <c r="H926" s="69"/>
      <c r="I926" s="64"/>
      <c r="J926" s="69"/>
      <c r="K926" s="64"/>
      <c r="L926" s="69"/>
      <c r="M926" s="65"/>
      <c r="N926" s="69"/>
      <c r="O926" s="64"/>
      <c r="P926" s="69"/>
      <c r="Q926" s="64"/>
      <c r="R926" s="69"/>
      <c r="S926" s="64"/>
      <c r="T926" s="69"/>
      <c r="U926" s="64"/>
      <c r="V926" s="69"/>
      <c r="W926" s="65"/>
      <c r="X926" s="69"/>
      <c r="Y926" s="64"/>
      <c r="Z926" s="69"/>
      <c r="AA926" s="64"/>
      <c r="AB926" s="69"/>
      <c r="AC926" s="64"/>
      <c r="AD926" s="69"/>
      <c r="AE926" s="65"/>
      <c r="AF926" s="69"/>
      <c r="AG926" s="65"/>
      <c r="AH926" s="69"/>
      <c r="AI926" s="64"/>
      <c r="AJ926" s="69"/>
      <c r="AK926" s="64"/>
      <c r="AL926" s="69"/>
      <c r="AM926" s="64"/>
      <c r="AN926" s="69"/>
      <c r="AO926" s="64"/>
      <c r="AP926" s="69"/>
      <c r="AQ926" s="64"/>
      <c r="AR926" s="69"/>
      <c r="AS926" s="64"/>
      <c r="AT926" s="69"/>
      <c r="AU926" s="64"/>
      <c r="AV926" s="69"/>
      <c r="AW926" s="64"/>
      <c r="AX926" s="69"/>
      <c r="AY926" s="64"/>
      <c r="AZ926" s="69"/>
      <c r="BA926" s="64"/>
      <c r="BB926" s="69"/>
      <c r="BC926" s="64"/>
      <c r="BD926" s="69"/>
      <c r="BE926" s="64"/>
      <c r="BF926" s="69"/>
      <c r="BG926" s="64"/>
      <c r="BH926" s="69"/>
      <c r="BI926" s="64"/>
      <c r="BJ926" s="69"/>
      <c r="BK926" s="64"/>
      <c r="BL926" s="69"/>
      <c r="BM926" s="64"/>
      <c r="BN926" s="69"/>
      <c r="BO926" s="64"/>
      <c r="BP926" s="69"/>
      <c r="BQ926" s="64"/>
      <c r="BR926" s="69"/>
      <c r="BS926" s="64"/>
      <c r="BT926" s="69"/>
      <c r="BU926" t="b">
        <f t="shared" si="14"/>
        <v>0</v>
      </c>
    </row>
    <row r="927" spans="1:73" x14ac:dyDescent="0.25">
      <c r="A927" s="28"/>
      <c r="B927" s="29"/>
      <c r="C927" s="29"/>
      <c r="D927" s="30"/>
      <c r="E927" s="29"/>
      <c r="F927" s="30"/>
      <c r="G927" s="29"/>
      <c r="H927" s="69"/>
      <c r="I927" s="64"/>
      <c r="J927" s="69"/>
      <c r="K927" s="64"/>
      <c r="L927" s="69"/>
      <c r="M927" s="65"/>
      <c r="N927" s="69"/>
      <c r="O927" s="64"/>
      <c r="P927" s="69"/>
      <c r="Q927" s="64"/>
      <c r="R927" s="69"/>
      <c r="S927" s="64"/>
      <c r="T927" s="69"/>
      <c r="U927" s="64"/>
      <c r="V927" s="69"/>
      <c r="W927" s="65"/>
      <c r="X927" s="69"/>
      <c r="Y927" s="64"/>
      <c r="Z927" s="69"/>
      <c r="AA927" s="64"/>
      <c r="AB927" s="69"/>
      <c r="AC927" s="64"/>
      <c r="AD927" s="69"/>
      <c r="AE927" s="65"/>
      <c r="AF927" s="69"/>
      <c r="AG927" s="65"/>
      <c r="AH927" s="69"/>
      <c r="AI927" s="64"/>
      <c r="AJ927" s="69"/>
      <c r="AK927" s="64"/>
      <c r="AL927" s="69"/>
      <c r="AM927" s="64"/>
      <c r="AN927" s="69"/>
      <c r="AO927" s="64"/>
      <c r="AP927" s="69"/>
      <c r="AQ927" s="64"/>
      <c r="AR927" s="69"/>
      <c r="AS927" s="64"/>
      <c r="AT927" s="69"/>
      <c r="AU927" s="64"/>
      <c r="AV927" s="69"/>
      <c r="AW927" s="64"/>
      <c r="AX927" s="69"/>
      <c r="AY927" s="64"/>
      <c r="AZ927" s="69"/>
      <c r="BA927" s="64"/>
      <c r="BB927" s="69"/>
      <c r="BC927" s="64"/>
      <c r="BD927" s="69"/>
      <c r="BE927" s="64"/>
      <c r="BF927" s="69"/>
      <c r="BG927" s="64"/>
      <c r="BH927" s="69"/>
      <c r="BI927" s="64"/>
      <c r="BJ927" s="69"/>
      <c r="BK927" s="64"/>
      <c r="BL927" s="69"/>
      <c r="BM927" s="64"/>
      <c r="BN927" s="69"/>
      <c r="BO927" s="64"/>
      <c r="BP927" s="69"/>
      <c r="BQ927" s="64"/>
      <c r="BR927" s="69"/>
      <c r="BS927" s="64"/>
      <c r="BT927" s="69"/>
      <c r="BU927" t="b">
        <f t="shared" si="14"/>
        <v>0</v>
      </c>
    </row>
    <row r="928" spans="1:73" x14ac:dyDescent="0.25">
      <c r="A928" s="28"/>
      <c r="B928" s="29"/>
      <c r="C928" s="29"/>
      <c r="D928" s="30"/>
      <c r="E928" s="29"/>
      <c r="F928" s="30"/>
      <c r="G928" s="29"/>
      <c r="H928" s="69"/>
      <c r="I928" s="64"/>
      <c r="J928" s="69"/>
      <c r="K928" s="64"/>
      <c r="L928" s="69"/>
      <c r="M928" s="65"/>
      <c r="N928" s="69"/>
      <c r="O928" s="64"/>
      <c r="P928" s="69"/>
      <c r="Q928" s="64"/>
      <c r="R928" s="69"/>
      <c r="S928" s="64"/>
      <c r="T928" s="69"/>
      <c r="U928" s="64"/>
      <c r="V928" s="69"/>
      <c r="W928" s="65"/>
      <c r="X928" s="69"/>
      <c r="Y928" s="64"/>
      <c r="Z928" s="69"/>
      <c r="AA928" s="64"/>
      <c r="AB928" s="69"/>
      <c r="AC928" s="64"/>
      <c r="AD928" s="69"/>
      <c r="AE928" s="65"/>
      <c r="AF928" s="69"/>
      <c r="AG928" s="65"/>
      <c r="AH928" s="69"/>
      <c r="AI928" s="64"/>
      <c r="AJ928" s="69"/>
      <c r="AK928" s="64"/>
      <c r="AL928" s="69"/>
      <c r="AM928" s="64"/>
      <c r="AN928" s="69"/>
      <c r="AO928" s="64"/>
      <c r="AP928" s="69"/>
      <c r="AQ928" s="64"/>
      <c r="AR928" s="69"/>
      <c r="AS928" s="64"/>
      <c r="AT928" s="69"/>
      <c r="AU928" s="64"/>
      <c r="AV928" s="69"/>
      <c r="AW928" s="64"/>
      <c r="AX928" s="69"/>
      <c r="AY928" s="64"/>
      <c r="AZ928" s="69"/>
      <c r="BA928" s="64"/>
      <c r="BB928" s="69"/>
      <c r="BC928" s="64"/>
      <c r="BD928" s="69"/>
      <c r="BE928" s="64"/>
      <c r="BF928" s="69"/>
      <c r="BG928" s="64"/>
      <c r="BH928" s="69"/>
      <c r="BI928" s="64"/>
      <c r="BJ928" s="69"/>
      <c r="BK928" s="64"/>
      <c r="BL928" s="69"/>
      <c r="BM928" s="64"/>
      <c r="BN928" s="69"/>
      <c r="BO928" s="64"/>
      <c r="BP928" s="69"/>
      <c r="BQ928" s="64"/>
      <c r="BR928" s="69"/>
      <c r="BS928" s="64"/>
      <c r="BT928" s="69"/>
      <c r="BU928" t="b">
        <f t="shared" si="14"/>
        <v>0</v>
      </c>
    </row>
    <row r="929" spans="1:73" x14ac:dyDescent="0.25">
      <c r="A929" s="28"/>
      <c r="B929" s="29"/>
      <c r="C929" s="29"/>
      <c r="D929" s="30"/>
      <c r="E929" s="29"/>
      <c r="F929" s="30"/>
      <c r="G929" s="29"/>
      <c r="H929" s="69"/>
      <c r="I929" s="64"/>
      <c r="J929" s="69"/>
      <c r="K929" s="64"/>
      <c r="L929" s="69"/>
      <c r="M929" s="65"/>
      <c r="N929" s="69"/>
      <c r="O929" s="64"/>
      <c r="P929" s="69"/>
      <c r="Q929" s="64"/>
      <c r="R929" s="69"/>
      <c r="S929" s="64"/>
      <c r="T929" s="69"/>
      <c r="U929" s="64"/>
      <c r="V929" s="69"/>
      <c r="W929" s="65"/>
      <c r="X929" s="69"/>
      <c r="Y929" s="64"/>
      <c r="Z929" s="69"/>
      <c r="AA929" s="64"/>
      <c r="AB929" s="69"/>
      <c r="AC929" s="64"/>
      <c r="AD929" s="69"/>
      <c r="AE929" s="65"/>
      <c r="AF929" s="69"/>
      <c r="AG929" s="65"/>
      <c r="AH929" s="69"/>
      <c r="AI929" s="64"/>
      <c r="AJ929" s="69"/>
      <c r="AK929" s="64"/>
      <c r="AL929" s="69"/>
      <c r="AM929" s="64"/>
      <c r="AN929" s="69"/>
      <c r="AO929" s="64"/>
      <c r="AP929" s="69"/>
      <c r="AQ929" s="64"/>
      <c r="AR929" s="69"/>
      <c r="AS929" s="64"/>
      <c r="AT929" s="69"/>
      <c r="AU929" s="64"/>
      <c r="AV929" s="69"/>
      <c r="AW929" s="64"/>
      <c r="AX929" s="69"/>
      <c r="AY929" s="64"/>
      <c r="AZ929" s="69"/>
      <c r="BA929" s="64"/>
      <c r="BB929" s="69"/>
      <c r="BC929" s="64"/>
      <c r="BD929" s="69"/>
      <c r="BE929" s="64"/>
      <c r="BF929" s="69"/>
      <c r="BG929" s="64"/>
      <c r="BH929" s="69"/>
      <c r="BI929" s="64"/>
      <c r="BJ929" s="69"/>
      <c r="BK929" s="64"/>
      <c r="BL929" s="69"/>
      <c r="BM929" s="64"/>
      <c r="BN929" s="69"/>
      <c r="BO929" s="64"/>
      <c r="BP929" s="69"/>
      <c r="BQ929" s="64"/>
      <c r="BR929" s="69"/>
      <c r="BS929" s="64"/>
      <c r="BT929" s="69"/>
      <c r="BU929" t="b">
        <f t="shared" si="14"/>
        <v>0</v>
      </c>
    </row>
    <row r="930" spans="1:73" x14ac:dyDescent="0.25">
      <c r="A930" s="28"/>
      <c r="B930" s="29"/>
      <c r="C930" s="29"/>
      <c r="D930" s="30"/>
      <c r="E930" s="29"/>
      <c r="F930" s="30"/>
      <c r="G930" s="29"/>
      <c r="H930" s="69"/>
      <c r="I930" s="64"/>
      <c r="J930" s="69"/>
      <c r="K930" s="64"/>
      <c r="L930" s="69"/>
      <c r="M930" s="65"/>
      <c r="N930" s="69"/>
      <c r="O930" s="64"/>
      <c r="P930" s="69"/>
      <c r="Q930" s="64"/>
      <c r="R930" s="69"/>
      <c r="S930" s="64"/>
      <c r="T930" s="69"/>
      <c r="U930" s="64"/>
      <c r="V930" s="69"/>
      <c r="W930" s="65"/>
      <c r="X930" s="69"/>
      <c r="Y930" s="64"/>
      <c r="Z930" s="69"/>
      <c r="AA930" s="64"/>
      <c r="AB930" s="69"/>
      <c r="AC930" s="64"/>
      <c r="AD930" s="69"/>
      <c r="AE930" s="65"/>
      <c r="AF930" s="69"/>
      <c r="AG930" s="65"/>
      <c r="AH930" s="69"/>
      <c r="AI930" s="64"/>
      <c r="AJ930" s="69"/>
      <c r="AK930" s="64"/>
      <c r="AL930" s="69"/>
      <c r="AM930" s="64"/>
      <c r="AN930" s="69"/>
      <c r="AO930" s="64"/>
      <c r="AP930" s="69"/>
      <c r="AQ930" s="64"/>
      <c r="AR930" s="69"/>
      <c r="AS930" s="64"/>
      <c r="AT930" s="69"/>
      <c r="AU930" s="64"/>
      <c r="AV930" s="69"/>
      <c r="AW930" s="64"/>
      <c r="AX930" s="69"/>
      <c r="AY930" s="64"/>
      <c r="AZ930" s="69"/>
      <c r="BA930" s="64"/>
      <c r="BB930" s="69"/>
      <c r="BC930" s="64"/>
      <c r="BD930" s="69"/>
      <c r="BE930" s="64"/>
      <c r="BF930" s="69"/>
      <c r="BG930" s="64"/>
      <c r="BH930" s="69"/>
      <c r="BI930" s="64"/>
      <c r="BJ930" s="69"/>
      <c r="BK930" s="64"/>
      <c r="BL930" s="69"/>
      <c r="BM930" s="64"/>
      <c r="BN930" s="69"/>
      <c r="BO930" s="64"/>
      <c r="BP930" s="69"/>
      <c r="BQ930" s="64"/>
      <c r="BR930" s="69"/>
      <c r="BS930" s="64"/>
      <c r="BT930" s="69"/>
      <c r="BU930" t="b">
        <f t="shared" si="14"/>
        <v>0</v>
      </c>
    </row>
    <row r="931" spans="1:73" x14ac:dyDescent="0.25">
      <c r="A931" s="28"/>
      <c r="B931" s="29"/>
      <c r="C931" s="29"/>
      <c r="D931" s="30"/>
      <c r="E931" s="29"/>
      <c r="F931" s="30"/>
      <c r="G931" s="29"/>
      <c r="H931" s="69"/>
      <c r="I931" s="64"/>
      <c r="J931" s="69"/>
      <c r="K931" s="64"/>
      <c r="L931" s="69"/>
      <c r="M931" s="65"/>
      <c r="N931" s="69"/>
      <c r="O931" s="64"/>
      <c r="P931" s="69"/>
      <c r="Q931" s="64"/>
      <c r="R931" s="69"/>
      <c r="S931" s="64"/>
      <c r="T931" s="69"/>
      <c r="U931" s="64"/>
      <c r="V931" s="69"/>
      <c r="W931" s="65"/>
      <c r="X931" s="69"/>
      <c r="Y931" s="64"/>
      <c r="Z931" s="69"/>
      <c r="AA931" s="64"/>
      <c r="AB931" s="69"/>
      <c r="AC931" s="64"/>
      <c r="AD931" s="69"/>
      <c r="AE931" s="65"/>
      <c r="AF931" s="69"/>
      <c r="AG931" s="65"/>
      <c r="AH931" s="69"/>
      <c r="AI931" s="64"/>
      <c r="AJ931" s="69"/>
      <c r="AK931" s="64"/>
      <c r="AL931" s="69"/>
      <c r="AM931" s="64"/>
      <c r="AN931" s="69"/>
      <c r="AO931" s="64"/>
      <c r="AP931" s="69"/>
      <c r="AQ931" s="64"/>
      <c r="AR931" s="69"/>
      <c r="AS931" s="64"/>
      <c r="AT931" s="69"/>
      <c r="AU931" s="64"/>
      <c r="AV931" s="69"/>
      <c r="AW931" s="64"/>
      <c r="AX931" s="69"/>
      <c r="AY931" s="64"/>
      <c r="AZ931" s="69"/>
      <c r="BA931" s="64"/>
      <c r="BB931" s="69"/>
      <c r="BC931" s="64"/>
      <c r="BD931" s="69"/>
      <c r="BE931" s="64"/>
      <c r="BF931" s="69"/>
      <c r="BG931" s="64"/>
      <c r="BH931" s="69"/>
      <c r="BI931" s="64"/>
      <c r="BJ931" s="69"/>
      <c r="BK931" s="64"/>
      <c r="BL931" s="69"/>
      <c r="BM931" s="64"/>
      <c r="BN931" s="69"/>
      <c r="BO931" s="64"/>
      <c r="BP931" s="69"/>
      <c r="BQ931" s="64"/>
      <c r="BR931" s="69"/>
      <c r="BS931" s="64"/>
      <c r="BT931" s="69"/>
      <c r="BU931" t="b">
        <f t="shared" si="14"/>
        <v>0</v>
      </c>
    </row>
    <row r="932" spans="1:73" x14ac:dyDescent="0.25">
      <c r="A932" s="28"/>
      <c r="B932" s="29"/>
      <c r="C932" s="29"/>
      <c r="D932" s="30"/>
      <c r="E932" s="29"/>
      <c r="F932" s="30"/>
      <c r="G932" s="29"/>
      <c r="H932" s="69"/>
      <c r="I932" s="64"/>
      <c r="J932" s="69"/>
      <c r="K932" s="64"/>
      <c r="L932" s="69"/>
      <c r="M932" s="65"/>
      <c r="N932" s="69"/>
      <c r="O932" s="64"/>
      <c r="P932" s="69"/>
      <c r="Q932" s="64"/>
      <c r="R932" s="69"/>
      <c r="S932" s="64"/>
      <c r="T932" s="69"/>
      <c r="U932" s="64"/>
      <c r="V932" s="69"/>
      <c r="W932" s="65"/>
      <c r="X932" s="69"/>
      <c r="Y932" s="64"/>
      <c r="Z932" s="69"/>
      <c r="AA932" s="64"/>
      <c r="AB932" s="69"/>
      <c r="AC932" s="64"/>
      <c r="AD932" s="69"/>
      <c r="AE932" s="65"/>
      <c r="AF932" s="69"/>
      <c r="AG932" s="65"/>
      <c r="AH932" s="69"/>
      <c r="AI932" s="64"/>
      <c r="AJ932" s="69"/>
      <c r="AK932" s="64"/>
      <c r="AL932" s="69"/>
      <c r="AM932" s="64"/>
      <c r="AN932" s="69"/>
      <c r="AO932" s="64"/>
      <c r="AP932" s="69"/>
      <c r="AQ932" s="64"/>
      <c r="AR932" s="69"/>
      <c r="AS932" s="64"/>
      <c r="AT932" s="69"/>
      <c r="AU932" s="64"/>
      <c r="AV932" s="69"/>
      <c r="AW932" s="64"/>
      <c r="AX932" s="69"/>
      <c r="AY932" s="64"/>
      <c r="AZ932" s="69"/>
      <c r="BA932" s="64"/>
      <c r="BB932" s="69"/>
      <c r="BC932" s="64"/>
      <c r="BD932" s="69"/>
      <c r="BE932" s="64"/>
      <c r="BF932" s="69"/>
      <c r="BG932" s="64"/>
      <c r="BH932" s="69"/>
      <c r="BI932" s="64"/>
      <c r="BJ932" s="69"/>
      <c r="BK932" s="64"/>
      <c r="BL932" s="69"/>
      <c r="BM932" s="64"/>
      <c r="BN932" s="69"/>
      <c r="BO932" s="64"/>
      <c r="BP932" s="69"/>
      <c r="BQ932" s="64"/>
      <c r="BR932" s="69"/>
      <c r="BS932" s="64"/>
      <c r="BT932" s="69"/>
      <c r="BU932" t="b">
        <f t="shared" si="14"/>
        <v>0</v>
      </c>
    </row>
    <row r="933" spans="1:73" x14ac:dyDescent="0.25">
      <c r="A933" s="28"/>
      <c r="B933" s="29"/>
      <c r="C933" s="29"/>
      <c r="D933" s="30"/>
      <c r="E933" s="29"/>
      <c r="F933" s="30"/>
      <c r="G933" s="29"/>
      <c r="H933" s="69"/>
      <c r="I933" s="64"/>
      <c r="J933" s="69"/>
      <c r="K933" s="64"/>
      <c r="L933" s="69"/>
      <c r="M933" s="65"/>
      <c r="N933" s="69"/>
      <c r="O933" s="64"/>
      <c r="P933" s="69"/>
      <c r="Q933" s="64"/>
      <c r="R933" s="69"/>
      <c r="S933" s="64"/>
      <c r="T933" s="69"/>
      <c r="U933" s="64"/>
      <c r="V933" s="69"/>
      <c r="W933" s="65"/>
      <c r="X933" s="69"/>
      <c r="Y933" s="64"/>
      <c r="Z933" s="69"/>
      <c r="AA933" s="64"/>
      <c r="AB933" s="69"/>
      <c r="AC933" s="64"/>
      <c r="AD933" s="69"/>
      <c r="AE933" s="65"/>
      <c r="AF933" s="69"/>
      <c r="AG933" s="65"/>
      <c r="AH933" s="69"/>
      <c r="AI933" s="64"/>
      <c r="AJ933" s="69"/>
      <c r="AK933" s="64"/>
      <c r="AL933" s="69"/>
      <c r="AM933" s="64"/>
      <c r="AN933" s="69"/>
      <c r="AO933" s="64"/>
      <c r="AP933" s="69"/>
      <c r="AQ933" s="64"/>
      <c r="AR933" s="69"/>
      <c r="AS933" s="64"/>
      <c r="AT933" s="69"/>
      <c r="AU933" s="64"/>
      <c r="AV933" s="69"/>
      <c r="AW933" s="64"/>
      <c r="AX933" s="69"/>
      <c r="AY933" s="64"/>
      <c r="AZ933" s="69"/>
      <c r="BA933" s="64"/>
      <c r="BB933" s="69"/>
      <c r="BC933" s="64"/>
      <c r="BD933" s="69"/>
      <c r="BE933" s="64"/>
      <c r="BF933" s="69"/>
      <c r="BG933" s="64"/>
      <c r="BH933" s="69"/>
      <c r="BI933" s="64"/>
      <c r="BJ933" s="69"/>
      <c r="BK933" s="64"/>
      <c r="BL933" s="69"/>
      <c r="BM933" s="64"/>
      <c r="BN933" s="69"/>
      <c r="BO933" s="64"/>
      <c r="BP933" s="69"/>
      <c r="BQ933" s="64"/>
      <c r="BR933" s="69"/>
      <c r="BS933" s="64"/>
      <c r="BT933" s="69"/>
      <c r="BU933" t="b">
        <f t="shared" ref="BU933:BU996" si="15">NOT(AND(BR933="",BP933="",BN933="",BL933="",BJ933="",BH933="",BF933="",BD933="",BB933="",AZ933="",AX933="",AV933="",AT933="",AR933="",AP933="",AN933="",AL933="",AJ933="",AH933="",AF933="",AD933="",AB933="",Z933="",X933="",V933="",T933="",R933="",P933="",N933="", L933="",J933=""))</f>
        <v>0</v>
      </c>
    </row>
    <row r="934" spans="1:73" x14ac:dyDescent="0.25">
      <c r="A934" s="28"/>
      <c r="B934" s="29"/>
      <c r="C934" s="29"/>
      <c r="D934" s="30"/>
      <c r="E934" s="29"/>
      <c r="F934" s="30"/>
      <c r="G934" s="29"/>
      <c r="H934" s="69"/>
      <c r="I934" s="64"/>
      <c r="J934" s="69"/>
      <c r="K934" s="64"/>
      <c r="L934" s="69"/>
      <c r="M934" s="65"/>
      <c r="N934" s="69"/>
      <c r="O934" s="64"/>
      <c r="P934" s="69"/>
      <c r="Q934" s="64"/>
      <c r="R934" s="69"/>
      <c r="S934" s="64"/>
      <c r="T934" s="69"/>
      <c r="U934" s="64"/>
      <c r="V934" s="69"/>
      <c r="W934" s="65"/>
      <c r="X934" s="69"/>
      <c r="Y934" s="64"/>
      <c r="Z934" s="69"/>
      <c r="AA934" s="64"/>
      <c r="AB934" s="69"/>
      <c r="AC934" s="64"/>
      <c r="AD934" s="69"/>
      <c r="AE934" s="65"/>
      <c r="AF934" s="69"/>
      <c r="AG934" s="65"/>
      <c r="AH934" s="69"/>
      <c r="AI934" s="64"/>
      <c r="AJ934" s="69"/>
      <c r="AK934" s="64"/>
      <c r="AL934" s="69"/>
      <c r="AM934" s="64"/>
      <c r="AN934" s="69"/>
      <c r="AO934" s="64"/>
      <c r="AP934" s="69"/>
      <c r="AQ934" s="64"/>
      <c r="AR934" s="69"/>
      <c r="AS934" s="64"/>
      <c r="AT934" s="69"/>
      <c r="AU934" s="64"/>
      <c r="AV934" s="69"/>
      <c r="AW934" s="64"/>
      <c r="AX934" s="69"/>
      <c r="AY934" s="64"/>
      <c r="AZ934" s="69"/>
      <c r="BA934" s="64"/>
      <c r="BB934" s="69"/>
      <c r="BC934" s="64"/>
      <c r="BD934" s="69"/>
      <c r="BE934" s="64"/>
      <c r="BF934" s="69"/>
      <c r="BG934" s="64"/>
      <c r="BH934" s="69"/>
      <c r="BI934" s="64"/>
      <c r="BJ934" s="69"/>
      <c r="BK934" s="64"/>
      <c r="BL934" s="69"/>
      <c r="BM934" s="64"/>
      <c r="BN934" s="69"/>
      <c r="BO934" s="64"/>
      <c r="BP934" s="69"/>
      <c r="BQ934" s="64"/>
      <c r="BR934" s="69"/>
      <c r="BS934" s="64"/>
      <c r="BT934" s="69"/>
      <c r="BU934" t="b">
        <f t="shared" si="15"/>
        <v>0</v>
      </c>
    </row>
    <row r="935" spans="1:73" x14ac:dyDescent="0.25">
      <c r="A935" s="28"/>
      <c r="B935" s="29"/>
      <c r="C935" s="29"/>
      <c r="D935" s="30"/>
      <c r="E935" s="29"/>
      <c r="F935" s="30"/>
      <c r="G935" s="29"/>
      <c r="H935" s="69"/>
      <c r="I935" s="64"/>
      <c r="J935" s="69"/>
      <c r="K935" s="64"/>
      <c r="L935" s="69"/>
      <c r="M935" s="65"/>
      <c r="N935" s="69"/>
      <c r="O935" s="64"/>
      <c r="P935" s="69"/>
      <c r="Q935" s="64"/>
      <c r="R935" s="69"/>
      <c r="S935" s="64"/>
      <c r="T935" s="69"/>
      <c r="U935" s="64"/>
      <c r="V935" s="69"/>
      <c r="W935" s="65"/>
      <c r="X935" s="69"/>
      <c r="Y935" s="64"/>
      <c r="Z935" s="69"/>
      <c r="AA935" s="64"/>
      <c r="AB935" s="69"/>
      <c r="AC935" s="64"/>
      <c r="AD935" s="69"/>
      <c r="AE935" s="65"/>
      <c r="AF935" s="69"/>
      <c r="AG935" s="65"/>
      <c r="AH935" s="69"/>
      <c r="AI935" s="64"/>
      <c r="AJ935" s="69"/>
      <c r="AK935" s="64"/>
      <c r="AL935" s="69"/>
      <c r="AM935" s="64"/>
      <c r="AN935" s="69"/>
      <c r="AO935" s="64"/>
      <c r="AP935" s="69"/>
      <c r="AQ935" s="64"/>
      <c r="AR935" s="69"/>
      <c r="AS935" s="64"/>
      <c r="AT935" s="69"/>
      <c r="AU935" s="64"/>
      <c r="AV935" s="69"/>
      <c r="AW935" s="64"/>
      <c r="AX935" s="69"/>
      <c r="AY935" s="64"/>
      <c r="AZ935" s="69"/>
      <c r="BA935" s="64"/>
      <c r="BB935" s="69"/>
      <c r="BC935" s="64"/>
      <c r="BD935" s="69"/>
      <c r="BE935" s="64"/>
      <c r="BF935" s="69"/>
      <c r="BG935" s="64"/>
      <c r="BH935" s="69"/>
      <c r="BI935" s="64"/>
      <c r="BJ935" s="69"/>
      <c r="BK935" s="64"/>
      <c r="BL935" s="69"/>
      <c r="BM935" s="64"/>
      <c r="BN935" s="69"/>
      <c r="BO935" s="64"/>
      <c r="BP935" s="69"/>
      <c r="BQ935" s="64"/>
      <c r="BR935" s="69"/>
      <c r="BS935" s="64"/>
      <c r="BT935" s="69"/>
      <c r="BU935" t="b">
        <f t="shared" si="15"/>
        <v>0</v>
      </c>
    </row>
    <row r="936" spans="1:73" x14ac:dyDescent="0.25">
      <c r="A936" s="28"/>
      <c r="B936" s="29"/>
      <c r="C936" s="29"/>
      <c r="D936" s="30"/>
      <c r="E936" s="29"/>
      <c r="F936" s="30"/>
      <c r="G936" s="29"/>
      <c r="H936" s="69"/>
      <c r="I936" s="64"/>
      <c r="J936" s="69"/>
      <c r="K936" s="64"/>
      <c r="L936" s="69"/>
      <c r="M936" s="65"/>
      <c r="N936" s="69"/>
      <c r="O936" s="64"/>
      <c r="P936" s="69"/>
      <c r="Q936" s="64"/>
      <c r="R936" s="69"/>
      <c r="S936" s="64"/>
      <c r="T936" s="69"/>
      <c r="U936" s="64"/>
      <c r="V936" s="69"/>
      <c r="W936" s="65"/>
      <c r="X936" s="69"/>
      <c r="Y936" s="64"/>
      <c r="Z936" s="69"/>
      <c r="AA936" s="64"/>
      <c r="AB936" s="69"/>
      <c r="AC936" s="64"/>
      <c r="AD936" s="69"/>
      <c r="AE936" s="65"/>
      <c r="AF936" s="69"/>
      <c r="AG936" s="65"/>
      <c r="AH936" s="69"/>
      <c r="AI936" s="64"/>
      <c r="AJ936" s="69"/>
      <c r="AK936" s="64"/>
      <c r="AL936" s="69"/>
      <c r="AM936" s="64"/>
      <c r="AN936" s="69"/>
      <c r="AO936" s="64"/>
      <c r="AP936" s="69"/>
      <c r="AQ936" s="64"/>
      <c r="AR936" s="69"/>
      <c r="AS936" s="64"/>
      <c r="AT936" s="69"/>
      <c r="AU936" s="64"/>
      <c r="AV936" s="69"/>
      <c r="AW936" s="64"/>
      <c r="AX936" s="69"/>
      <c r="AY936" s="64"/>
      <c r="AZ936" s="69"/>
      <c r="BA936" s="64"/>
      <c r="BB936" s="69"/>
      <c r="BC936" s="64"/>
      <c r="BD936" s="69"/>
      <c r="BE936" s="64"/>
      <c r="BF936" s="69"/>
      <c r="BG936" s="64"/>
      <c r="BH936" s="69"/>
      <c r="BI936" s="64"/>
      <c r="BJ936" s="69"/>
      <c r="BK936" s="64"/>
      <c r="BL936" s="69"/>
      <c r="BM936" s="64"/>
      <c r="BN936" s="69"/>
      <c r="BO936" s="64"/>
      <c r="BP936" s="69"/>
      <c r="BQ936" s="64"/>
      <c r="BR936" s="69"/>
      <c r="BS936" s="64"/>
      <c r="BT936" s="69"/>
      <c r="BU936" t="b">
        <f t="shared" si="15"/>
        <v>0</v>
      </c>
    </row>
    <row r="937" spans="1:73" x14ac:dyDescent="0.25">
      <c r="A937" s="28"/>
      <c r="B937" s="29"/>
      <c r="C937" s="29"/>
      <c r="D937" s="30"/>
      <c r="E937" s="29"/>
      <c r="F937" s="30"/>
      <c r="G937" s="29"/>
      <c r="H937" s="69"/>
      <c r="I937" s="64"/>
      <c r="J937" s="69"/>
      <c r="K937" s="64"/>
      <c r="L937" s="69"/>
      <c r="M937" s="65"/>
      <c r="N937" s="69"/>
      <c r="O937" s="64"/>
      <c r="P937" s="69"/>
      <c r="Q937" s="64"/>
      <c r="R937" s="69"/>
      <c r="S937" s="64"/>
      <c r="T937" s="69"/>
      <c r="U937" s="64"/>
      <c r="V937" s="69"/>
      <c r="W937" s="65"/>
      <c r="X937" s="69"/>
      <c r="Y937" s="64"/>
      <c r="Z937" s="69"/>
      <c r="AA937" s="64"/>
      <c r="AB937" s="69"/>
      <c r="AC937" s="64"/>
      <c r="AD937" s="69"/>
      <c r="AE937" s="65"/>
      <c r="AF937" s="69"/>
      <c r="AG937" s="65"/>
      <c r="AH937" s="69"/>
      <c r="AI937" s="64"/>
      <c r="AJ937" s="69"/>
      <c r="AK937" s="64"/>
      <c r="AL937" s="69"/>
      <c r="AM937" s="64"/>
      <c r="AN937" s="69"/>
      <c r="AO937" s="64"/>
      <c r="AP937" s="69"/>
      <c r="AQ937" s="64"/>
      <c r="AR937" s="69"/>
      <c r="AS937" s="64"/>
      <c r="AT937" s="69"/>
      <c r="AU937" s="64"/>
      <c r="AV937" s="69"/>
      <c r="AW937" s="64"/>
      <c r="AX937" s="69"/>
      <c r="AY937" s="64"/>
      <c r="AZ937" s="69"/>
      <c r="BA937" s="64"/>
      <c r="BB937" s="69"/>
      <c r="BC937" s="64"/>
      <c r="BD937" s="69"/>
      <c r="BE937" s="64"/>
      <c r="BF937" s="69"/>
      <c r="BG937" s="64"/>
      <c r="BH937" s="69"/>
      <c r="BI937" s="64"/>
      <c r="BJ937" s="69"/>
      <c r="BK937" s="64"/>
      <c r="BL937" s="69"/>
      <c r="BM937" s="64"/>
      <c r="BN937" s="69"/>
      <c r="BO937" s="64"/>
      <c r="BP937" s="69"/>
      <c r="BQ937" s="64"/>
      <c r="BR937" s="69"/>
      <c r="BS937" s="64"/>
      <c r="BT937" s="69"/>
      <c r="BU937" t="b">
        <f t="shared" si="15"/>
        <v>0</v>
      </c>
    </row>
    <row r="938" spans="1:73" x14ac:dyDescent="0.25">
      <c r="A938" s="28"/>
      <c r="B938" s="29"/>
      <c r="C938" s="29"/>
      <c r="D938" s="30"/>
      <c r="E938" s="29"/>
      <c r="F938" s="30"/>
      <c r="G938" s="29"/>
      <c r="H938" s="69"/>
      <c r="I938" s="64"/>
      <c r="J938" s="69"/>
      <c r="K938" s="64"/>
      <c r="L938" s="69"/>
      <c r="M938" s="65"/>
      <c r="N938" s="69"/>
      <c r="O938" s="64"/>
      <c r="P938" s="69"/>
      <c r="Q938" s="64"/>
      <c r="R938" s="69"/>
      <c r="S938" s="64"/>
      <c r="T938" s="69"/>
      <c r="U938" s="64"/>
      <c r="V938" s="69"/>
      <c r="W938" s="65"/>
      <c r="X938" s="69"/>
      <c r="Y938" s="64"/>
      <c r="Z938" s="69"/>
      <c r="AA938" s="64"/>
      <c r="AB938" s="69"/>
      <c r="AC938" s="64"/>
      <c r="AD938" s="69"/>
      <c r="AE938" s="65"/>
      <c r="AF938" s="69"/>
      <c r="AG938" s="65"/>
      <c r="AH938" s="69"/>
      <c r="AI938" s="64"/>
      <c r="AJ938" s="69"/>
      <c r="AK938" s="64"/>
      <c r="AL938" s="69"/>
      <c r="AM938" s="64"/>
      <c r="AN938" s="69"/>
      <c r="AO938" s="64"/>
      <c r="AP938" s="69"/>
      <c r="AQ938" s="64"/>
      <c r="AR938" s="69"/>
      <c r="AS938" s="64"/>
      <c r="AT938" s="69"/>
      <c r="AU938" s="64"/>
      <c r="AV938" s="69"/>
      <c r="AW938" s="64"/>
      <c r="AX938" s="69"/>
      <c r="AY938" s="64"/>
      <c r="AZ938" s="69"/>
      <c r="BA938" s="64"/>
      <c r="BB938" s="69"/>
      <c r="BC938" s="64"/>
      <c r="BD938" s="69"/>
      <c r="BE938" s="64"/>
      <c r="BF938" s="69"/>
      <c r="BG938" s="64"/>
      <c r="BH938" s="69"/>
      <c r="BI938" s="64"/>
      <c r="BJ938" s="69"/>
      <c r="BK938" s="64"/>
      <c r="BL938" s="69"/>
      <c r="BM938" s="64"/>
      <c r="BN938" s="69"/>
      <c r="BO938" s="64"/>
      <c r="BP938" s="69"/>
      <c r="BQ938" s="64"/>
      <c r="BR938" s="69"/>
      <c r="BS938" s="64"/>
      <c r="BT938" s="69"/>
      <c r="BU938" t="b">
        <f t="shared" si="15"/>
        <v>0</v>
      </c>
    </row>
    <row r="939" spans="1:73" x14ac:dyDescent="0.25">
      <c r="A939" s="28"/>
      <c r="B939" s="29"/>
      <c r="C939" s="29"/>
      <c r="D939" s="30"/>
      <c r="E939" s="29"/>
      <c r="F939" s="30"/>
      <c r="G939" s="29"/>
      <c r="H939" s="69"/>
      <c r="I939" s="64"/>
      <c r="J939" s="69"/>
      <c r="K939" s="64"/>
      <c r="L939" s="69"/>
      <c r="M939" s="65"/>
      <c r="N939" s="69"/>
      <c r="O939" s="64"/>
      <c r="P939" s="69"/>
      <c r="Q939" s="64"/>
      <c r="R939" s="69"/>
      <c r="S939" s="64"/>
      <c r="T939" s="69"/>
      <c r="U939" s="64"/>
      <c r="V939" s="69"/>
      <c r="W939" s="65"/>
      <c r="X939" s="69"/>
      <c r="Y939" s="64"/>
      <c r="Z939" s="69"/>
      <c r="AA939" s="64"/>
      <c r="AB939" s="69"/>
      <c r="AC939" s="64"/>
      <c r="AD939" s="69"/>
      <c r="AE939" s="65"/>
      <c r="AF939" s="69"/>
      <c r="AG939" s="65"/>
      <c r="AH939" s="69"/>
      <c r="AI939" s="64"/>
      <c r="AJ939" s="69"/>
      <c r="AK939" s="64"/>
      <c r="AL939" s="69"/>
      <c r="AM939" s="64"/>
      <c r="AN939" s="69"/>
      <c r="AO939" s="64"/>
      <c r="AP939" s="69"/>
      <c r="AQ939" s="64"/>
      <c r="AR939" s="69"/>
      <c r="AS939" s="64"/>
      <c r="AT939" s="69"/>
      <c r="AU939" s="64"/>
      <c r="AV939" s="69"/>
      <c r="AW939" s="64"/>
      <c r="AX939" s="69"/>
      <c r="AY939" s="64"/>
      <c r="AZ939" s="69"/>
      <c r="BA939" s="64"/>
      <c r="BB939" s="69"/>
      <c r="BC939" s="64"/>
      <c r="BD939" s="69"/>
      <c r="BE939" s="64"/>
      <c r="BF939" s="69"/>
      <c r="BG939" s="64"/>
      <c r="BH939" s="69"/>
      <c r="BI939" s="64"/>
      <c r="BJ939" s="69"/>
      <c r="BK939" s="64"/>
      <c r="BL939" s="69"/>
      <c r="BM939" s="64"/>
      <c r="BN939" s="69"/>
      <c r="BO939" s="64"/>
      <c r="BP939" s="69"/>
      <c r="BQ939" s="64"/>
      <c r="BR939" s="69"/>
      <c r="BS939" s="64"/>
      <c r="BT939" s="69"/>
      <c r="BU939" t="b">
        <f t="shared" si="15"/>
        <v>0</v>
      </c>
    </row>
    <row r="940" spans="1:73" x14ac:dyDescent="0.25">
      <c r="A940" s="28"/>
      <c r="B940" s="29"/>
      <c r="C940" s="29"/>
      <c r="D940" s="30"/>
      <c r="E940" s="29"/>
      <c r="F940" s="30"/>
      <c r="G940" s="29"/>
      <c r="H940" s="69"/>
      <c r="I940" s="64"/>
      <c r="J940" s="69"/>
      <c r="K940" s="64"/>
      <c r="L940" s="69"/>
      <c r="M940" s="65"/>
      <c r="N940" s="69"/>
      <c r="O940" s="64"/>
      <c r="P940" s="69"/>
      <c r="Q940" s="64"/>
      <c r="R940" s="69"/>
      <c r="S940" s="64"/>
      <c r="T940" s="69"/>
      <c r="U940" s="64"/>
      <c r="V940" s="69"/>
      <c r="W940" s="65"/>
      <c r="X940" s="69"/>
      <c r="Y940" s="64"/>
      <c r="Z940" s="69"/>
      <c r="AA940" s="64"/>
      <c r="AB940" s="69"/>
      <c r="AC940" s="64"/>
      <c r="AD940" s="69"/>
      <c r="AE940" s="65"/>
      <c r="AF940" s="69"/>
      <c r="AG940" s="65"/>
      <c r="AH940" s="69"/>
      <c r="AI940" s="64"/>
      <c r="AJ940" s="69"/>
      <c r="AK940" s="64"/>
      <c r="AL940" s="69"/>
      <c r="AM940" s="64"/>
      <c r="AN940" s="69"/>
      <c r="AO940" s="64"/>
      <c r="AP940" s="69"/>
      <c r="AQ940" s="64"/>
      <c r="AR940" s="69"/>
      <c r="AS940" s="64"/>
      <c r="AT940" s="69"/>
      <c r="AU940" s="64"/>
      <c r="AV940" s="69"/>
      <c r="AW940" s="64"/>
      <c r="AX940" s="69"/>
      <c r="AY940" s="64"/>
      <c r="AZ940" s="69"/>
      <c r="BA940" s="64"/>
      <c r="BB940" s="69"/>
      <c r="BC940" s="64"/>
      <c r="BD940" s="69"/>
      <c r="BE940" s="64"/>
      <c r="BF940" s="69"/>
      <c r="BG940" s="64"/>
      <c r="BH940" s="69"/>
      <c r="BI940" s="64"/>
      <c r="BJ940" s="69"/>
      <c r="BK940" s="64"/>
      <c r="BL940" s="69"/>
      <c r="BM940" s="64"/>
      <c r="BN940" s="69"/>
      <c r="BO940" s="64"/>
      <c r="BP940" s="69"/>
      <c r="BQ940" s="64"/>
      <c r="BR940" s="69"/>
      <c r="BS940" s="64"/>
      <c r="BT940" s="69"/>
      <c r="BU940" t="b">
        <f t="shared" si="15"/>
        <v>0</v>
      </c>
    </row>
    <row r="941" spans="1:73" x14ac:dyDescent="0.25">
      <c r="A941" s="28"/>
      <c r="B941" s="29"/>
      <c r="C941" s="29"/>
      <c r="D941" s="30"/>
      <c r="E941" s="29"/>
      <c r="F941" s="30"/>
      <c r="G941" s="29"/>
      <c r="H941" s="69"/>
      <c r="I941" s="64"/>
      <c r="J941" s="69"/>
      <c r="K941" s="64"/>
      <c r="L941" s="69"/>
      <c r="M941" s="65"/>
      <c r="N941" s="69"/>
      <c r="O941" s="64"/>
      <c r="P941" s="69"/>
      <c r="Q941" s="64"/>
      <c r="R941" s="69"/>
      <c r="S941" s="64"/>
      <c r="T941" s="69"/>
      <c r="U941" s="64"/>
      <c r="V941" s="69"/>
      <c r="W941" s="65"/>
      <c r="X941" s="69"/>
      <c r="Y941" s="64"/>
      <c r="Z941" s="69"/>
      <c r="AA941" s="64"/>
      <c r="AB941" s="69"/>
      <c r="AC941" s="64"/>
      <c r="AD941" s="69"/>
      <c r="AE941" s="65"/>
      <c r="AF941" s="69"/>
      <c r="AG941" s="65"/>
      <c r="AH941" s="69"/>
      <c r="AI941" s="64"/>
      <c r="AJ941" s="69"/>
      <c r="AK941" s="64"/>
      <c r="AL941" s="69"/>
      <c r="AM941" s="64"/>
      <c r="AN941" s="69"/>
      <c r="AO941" s="64"/>
      <c r="AP941" s="69"/>
      <c r="AQ941" s="64"/>
      <c r="AR941" s="69"/>
      <c r="AS941" s="64"/>
      <c r="AT941" s="69"/>
      <c r="AU941" s="64"/>
      <c r="AV941" s="69"/>
      <c r="AW941" s="64"/>
      <c r="AX941" s="69"/>
      <c r="AY941" s="64"/>
      <c r="AZ941" s="69"/>
      <c r="BA941" s="64"/>
      <c r="BB941" s="69"/>
      <c r="BC941" s="64"/>
      <c r="BD941" s="69"/>
      <c r="BE941" s="64"/>
      <c r="BF941" s="69"/>
      <c r="BG941" s="64"/>
      <c r="BH941" s="69"/>
      <c r="BI941" s="64"/>
      <c r="BJ941" s="69"/>
      <c r="BK941" s="64"/>
      <c r="BL941" s="69"/>
      <c r="BM941" s="64"/>
      <c r="BN941" s="69"/>
      <c r="BO941" s="64"/>
      <c r="BP941" s="69"/>
      <c r="BQ941" s="64"/>
      <c r="BR941" s="69"/>
      <c r="BS941" s="64"/>
      <c r="BT941" s="69"/>
      <c r="BU941" t="b">
        <f t="shared" si="15"/>
        <v>0</v>
      </c>
    </row>
    <row r="942" spans="1:73" x14ac:dyDescent="0.25">
      <c r="A942" s="28"/>
      <c r="B942" s="29"/>
      <c r="C942" s="29"/>
      <c r="D942" s="30"/>
      <c r="E942" s="29"/>
      <c r="F942" s="30"/>
      <c r="G942" s="29"/>
      <c r="H942" s="69"/>
      <c r="I942" s="64"/>
      <c r="J942" s="69"/>
      <c r="K942" s="64"/>
      <c r="L942" s="69"/>
      <c r="M942" s="65"/>
      <c r="N942" s="69"/>
      <c r="O942" s="64"/>
      <c r="P942" s="69"/>
      <c r="Q942" s="64"/>
      <c r="R942" s="69"/>
      <c r="S942" s="64"/>
      <c r="T942" s="69"/>
      <c r="U942" s="64"/>
      <c r="V942" s="69"/>
      <c r="W942" s="65"/>
      <c r="X942" s="69"/>
      <c r="Y942" s="64"/>
      <c r="Z942" s="69"/>
      <c r="AA942" s="64"/>
      <c r="AB942" s="69"/>
      <c r="AC942" s="64"/>
      <c r="AD942" s="69"/>
      <c r="AE942" s="65"/>
      <c r="AF942" s="69"/>
      <c r="AG942" s="65"/>
      <c r="AH942" s="69"/>
      <c r="AI942" s="64"/>
      <c r="AJ942" s="69"/>
      <c r="AK942" s="64"/>
      <c r="AL942" s="69"/>
      <c r="AM942" s="64"/>
      <c r="AN942" s="69"/>
      <c r="AO942" s="64"/>
      <c r="AP942" s="69"/>
      <c r="AQ942" s="64"/>
      <c r="AR942" s="69"/>
      <c r="AS942" s="64"/>
      <c r="AT942" s="69"/>
      <c r="AU942" s="64"/>
      <c r="AV942" s="69"/>
      <c r="AW942" s="64"/>
      <c r="AX942" s="69"/>
      <c r="AY942" s="64"/>
      <c r="AZ942" s="69"/>
      <c r="BA942" s="64"/>
      <c r="BB942" s="69"/>
      <c r="BC942" s="64"/>
      <c r="BD942" s="69"/>
      <c r="BE942" s="64"/>
      <c r="BF942" s="69"/>
      <c r="BG942" s="64"/>
      <c r="BH942" s="69"/>
      <c r="BI942" s="64"/>
      <c r="BJ942" s="69"/>
      <c r="BK942" s="64"/>
      <c r="BL942" s="69"/>
      <c r="BM942" s="64"/>
      <c r="BN942" s="69"/>
      <c r="BO942" s="64"/>
      <c r="BP942" s="69"/>
      <c r="BQ942" s="64"/>
      <c r="BR942" s="69"/>
      <c r="BS942" s="64"/>
      <c r="BT942" s="69"/>
      <c r="BU942" t="b">
        <f t="shared" si="15"/>
        <v>0</v>
      </c>
    </row>
    <row r="943" spans="1:73" x14ac:dyDescent="0.25">
      <c r="A943" s="28"/>
      <c r="B943" s="29"/>
      <c r="C943" s="29"/>
      <c r="D943" s="30"/>
      <c r="E943" s="29"/>
      <c r="F943" s="30"/>
      <c r="G943" s="29"/>
      <c r="H943" s="69"/>
      <c r="I943" s="64"/>
      <c r="J943" s="69"/>
      <c r="K943" s="64"/>
      <c r="L943" s="69"/>
      <c r="M943" s="65"/>
      <c r="N943" s="69"/>
      <c r="O943" s="64"/>
      <c r="P943" s="69"/>
      <c r="Q943" s="64"/>
      <c r="R943" s="69"/>
      <c r="S943" s="64"/>
      <c r="T943" s="69"/>
      <c r="U943" s="64"/>
      <c r="V943" s="69"/>
      <c r="W943" s="65"/>
      <c r="X943" s="69"/>
      <c r="Y943" s="64"/>
      <c r="Z943" s="69"/>
      <c r="AA943" s="64"/>
      <c r="AB943" s="69"/>
      <c r="AC943" s="64"/>
      <c r="AD943" s="69"/>
      <c r="AE943" s="65"/>
      <c r="AF943" s="69"/>
      <c r="AG943" s="65"/>
      <c r="AH943" s="69"/>
      <c r="AI943" s="64"/>
      <c r="AJ943" s="69"/>
      <c r="AK943" s="64"/>
      <c r="AL943" s="69"/>
      <c r="AM943" s="64"/>
      <c r="AN943" s="69"/>
      <c r="AO943" s="64"/>
      <c r="AP943" s="69"/>
      <c r="AQ943" s="64"/>
      <c r="AR943" s="69"/>
      <c r="AS943" s="64"/>
      <c r="AT943" s="69"/>
      <c r="AU943" s="64"/>
      <c r="AV943" s="69"/>
      <c r="AW943" s="64"/>
      <c r="AX943" s="69"/>
      <c r="AY943" s="64"/>
      <c r="AZ943" s="69"/>
      <c r="BA943" s="64"/>
      <c r="BB943" s="69"/>
      <c r="BC943" s="64"/>
      <c r="BD943" s="69"/>
      <c r="BE943" s="64"/>
      <c r="BF943" s="69"/>
      <c r="BG943" s="64"/>
      <c r="BH943" s="69"/>
      <c r="BI943" s="64"/>
      <c r="BJ943" s="69"/>
      <c r="BK943" s="64"/>
      <c r="BL943" s="69"/>
      <c r="BM943" s="64"/>
      <c r="BN943" s="69"/>
      <c r="BO943" s="64"/>
      <c r="BP943" s="69"/>
      <c r="BQ943" s="64"/>
      <c r="BR943" s="69"/>
      <c r="BS943" s="64"/>
      <c r="BT943" s="69"/>
      <c r="BU943" t="b">
        <f t="shared" si="15"/>
        <v>0</v>
      </c>
    </row>
    <row r="944" spans="1:73" x14ac:dyDescent="0.25">
      <c r="A944" s="28"/>
      <c r="B944" s="29"/>
      <c r="C944" s="29"/>
      <c r="D944" s="30"/>
      <c r="E944" s="29"/>
      <c r="F944" s="30"/>
      <c r="G944" s="29"/>
      <c r="H944" s="69"/>
      <c r="I944" s="64"/>
      <c r="J944" s="69"/>
      <c r="K944" s="64"/>
      <c r="L944" s="69"/>
      <c r="M944" s="65"/>
      <c r="N944" s="69"/>
      <c r="O944" s="64"/>
      <c r="P944" s="69"/>
      <c r="Q944" s="64"/>
      <c r="R944" s="69"/>
      <c r="S944" s="64"/>
      <c r="T944" s="69"/>
      <c r="U944" s="64"/>
      <c r="V944" s="69"/>
      <c r="W944" s="65"/>
      <c r="X944" s="69"/>
      <c r="Y944" s="64"/>
      <c r="Z944" s="69"/>
      <c r="AA944" s="64"/>
      <c r="AB944" s="69"/>
      <c r="AC944" s="64"/>
      <c r="AD944" s="69"/>
      <c r="AE944" s="65"/>
      <c r="AF944" s="69"/>
      <c r="AG944" s="65"/>
      <c r="AH944" s="69"/>
      <c r="AI944" s="64"/>
      <c r="AJ944" s="69"/>
      <c r="AK944" s="64"/>
      <c r="AL944" s="69"/>
      <c r="AM944" s="64"/>
      <c r="AN944" s="69"/>
      <c r="AO944" s="64"/>
      <c r="AP944" s="69"/>
      <c r="AQ944" s="64"/>
      <c r="AR944" s="69"/>
      <c r="AS944" s="64"/>
      <c r="AT944" s="69"/>
      <c r="AU944" s="64"/>
      <c r="AV944" s="69"/>
      <c r="AW944" s="64"/>
      <c r="AX944" s="69"/>
      <c r="AY944" s="64"/>
      <c r="AZ944" s="69"/>
      <c r="BA944" s="64"/>
      <c r="BB944" s="69"/>
      <c r="BC944" s="64"/>
      <c r="BD944" s="69"/>
      <c r="BE944" s="64"/>
      <c r="BF944" s="69"/>
      <c r="BG944" s="64"/>
      <c r="BH944" s="69"/>
      <c r="BI944" s="64"/>
      <c r="BJ944" s="69"/>
      <c r="BK944" s="64"/>
      <c r="BL944" s="69"/>
      <c r="BM944" s="64"/>
      <c r="BN944" s="69"/>
      <c r="BO944" s="64"/>
      <c r="BP944" s="69"/>
      <c r="BQ944" s="64"/>
      <c r="BR944" s="69"/>
      <c r="BS944" s="64"/>
      <c r="BT944" s="69"/>
      <c r="BU944" t="b">
        <f t="shared" si="15"/>
        <v>0</v>
      </c>
    </row>
    <row r="945" spans="1:73" x14ac:dyDescent="0.25">
      <c r="A945" s="28"/>
      <c r="B945" s="29"/>
      <c r="C945" s="29"/>
      <c r="D945" s="30"/>
      <c r="E945" s="29"/>
      <c r="F945" s="30"/>
      <c r="G945" s="29"/>
      <c r="H945" s="69"/>
      <c r="I945" s="64"/>
      <c r="J945" s="69"/>
      <c r="K945" s="64"/>
      <c r="L945" s="69"/>
      <c r="M945" s="65"/>
      <c r="N945" s="69"/>
      <c r="O945" s="64"/>
      <c r="P945" s="69"/>
      <c r="Q945" s="64"/>
      <c r="R945" s="69"/>
      <c r="S945" s="64"/>
      <c r="T945" s="69"/>
      <c r="U945" s="64"/>
      <c r="V945" s="69"/>
      <c r="W945" s="65"/>
      <c r="X945" s="69"/>
      <c r="Y945" s="64"/>
      <c r="Z945" s="69"/>
      <c r="AA945" s="64"/>
      <c r="AB945" s="69"/>
      <c r="AC945" s="64"/>
      <c r="AD945" s="69"/>
      <c r="AE945" s="65"/>
      <c r="AF945" s="69"/>
      <c r="AG945" s="65"/>
      <c r="AH945" s="69"/>
      <c r="AI945" s="64"/>
      <c r="AJ945" s="69"/>
      <c r="AK945" s="64"/>
      <c r="AL945" s="69"/>
      <c r="AM945" s="64"/>
      <c r="AN945" s="69"/>
      <c r="AO945" s="64"/>
      <c r="AP945" s="69"/>
      <c r="AQ945" s="64"/>
      <c r="AR945" s="69"/>
      <c r="AS945" s="64"/>
      <c r="AT945" s="69"/>
      <c r="AU945" s="64"/>
      <c r="AV945" s="69"/>
      <c r="AW945" s="64"/>
      <c r="AX945" s="69"/>
      <c r="AY945" s="64"/>
      <c r="AZ945" s="69"/>
      <c r="BA945" s="64"/>
      <c r="BB945" s="69"/>
      <c r="BC945" s="64"/>
      <c r="BD945" s="69"/>
      <c r="BE945" s="64"/>
      <c r="BF945" s="69"/>
      <c r="BG945" s="64"/>
      <c r="BH945" s="69"/>
      <c r="BI945" s="64"/>
      <c r="BJ945" s="69"/>
      <c r="BK945" s="64"/>
      <c r="BL945" s="69"/>
      <c r="BM945" s="64"/>
      <c r="BN945" s="69"/>
      <c r="BO945" s="64"/>
      <c r="BP945" s="69"/>
      <c r="BQ945" s="64"/>
      <c r="BR945" s="69"/>
      <c r="BS945" s="64"/>
      <c r="BT945" s="69"/>
      <c r="BU945" t="b">
        <f t="shared" si="15"/>
        <v>0</v>
      </c>
    </row>
    <row r="946" spans="1:73" x14ac:dyDescent="0.25">
      <c r="A946" s="28"/>
      <c r="B946" s="29"/>
      <c r="C946" s="29"/>
      <c r="D946" s="30"/>
      <c r="E946" s="29"/>
      <c r="F946" s="30"/>
      <c r="G946" s="29"/>
      <c r="H946" s="69"/>
      <c r="I946" s="64"/>
      <c r="J946" s="69"/>
      <c r="K946" s="64"/>
      <c r="L946" s="69"/>
      <c r="M946" s="65"/>
      <c r="N946" s="69"/>
      <c r="O946" s="64"/>
      <c r="P946" s="69"/>
      <c r="Q946" s="64"/>
      <c r="R946" s="69"/>
      <c r="S946" s="64"/>
      <c r="T946" s="69"/>
      <c r="U946" s="64"/>
      <c r="V946" s="69"/>
      <c r="W946" s="65"/>
      <c r="X946" s="69"/>
      <c r="Y946" s="64"/>
      <c r="Z946" s="69"/>
      <c r="AA946" s="64"/>
      <c r="AB946" s="69"/>
      <c r="AC946" s="64"/>
      <c r="AD946" s="69"/>
      <c r="AE946" s="65"/>
      <c r="AF946" s="69"/>
      <c r="AG946" s="65"/>
      <c r="AH946" s="69"/>
      <c r="AI946" s="64"/>
      <c r="AJ946" s="69"/>
      <c r="AK946" s="64"/>
      <c r="AL946" s="69"/>
      <c r="AM946" s="64"/>
      <c r="AN946" s="69"/>
      <c r="AO946" s="64"/>
      <c r="AP946" s="69"/>
      <c r="AQ946" s="64"/>
      <c r="AR946" s="69"/>
      <c r="AS946" s="64"/>
      <c r="AT946" s="69"/>
      <c r="AU946" s="64"/>
      <c r="AV946" s="69"/>
      <c r="AW946" s="64"/>
      <c r="AX946" s="69"/>
      <c r="AY946" s="64"/>
      <c r="AZ946" s="69"/>
      <c r="BA946" s="64"/>
      <c r="BB946" s="69"/>
      <c r="BC946" s="64"/>
      <c r="BD946" s="69"/>
      <c r="BE946" s="64"/>
      <c r="BF946" s="69"/>
      <c r="BG946" s="64"/>
      <c r="BH946" s="69"/>
      <c r="BI946" s="64"/>
      <c r="BJ946" s="69"/>
      <c r="BK946" s="64"/>
      <c r="BL946" s="69"/>
      <c r="BM946" s="64"/>
      <c r="BN946" s="69"/>
      <c r="BO946" s="64"/>
      <c r="BP946" s="69"/>
      <c r="BQ946" s="64"/>
      <c r="BR946" s="69"/>
      <c r="BS946" s="64"/>
      <c r="BT946" s="69"/>
      <c r="BU946" t="b">
        <f t="shared" si="15"/>
        <v>0</v>
      </c>
    </row>
    <row r="947" spans="1:73" x14ac:dyDescent="0.25">
      <c r="A947" s="28"/>
      <c r="B947" s="29"/>
      <c r="C947" s="29"/>
      <c r="D947" s="30"/>
      <c r="E947" s="29"/>
      <c r="F947" s="30"/>
      <c r="G947" s="29"/>
      <c r="H947" s="69"/>
      <c r="I947" s="64"/>
      <c r="J947" s="69"/>
      <c r="K947" s="64"/>
      <c r="L947" s="69"/>
      <c r="M947" s="65"/>
      <c r="N947" s="69"/>
      <c r="O947" s="64"/>
      <c r="P947" s="69"/>
      <c r="Q947" s="64"/>
      <c r="R947" s="69"/>
      <c r="S947" s="64"/>
      <c r="T947" s="69"/>
      <c r="U947" s="64"/>
      <c r="V947" s="69"/>
      <c r="W947" s="65"/>
      <c r="X947" s="69"/>
      <c r="Y947" s="64"/>
      <c r="Z947" s="69"/>
      <c r="AA947" s="64"/>
      <c r="AB947" s="69"/>
      <c r="AC947" s="64"/>
      <c r="AD947" s="69"/>
      <c r="AE947" s="65"/>
      <c r="AF947" s="69"/>
      <c r="AG947" s="65"/>
      <c r="AH947" s="69"/>
      <c r="AI947" s="64"/>
      <c r="AJ947" s="69"/>
      <c r="AK947" s="64"/>
      <c r="AL947" s="69"/>
      <c r="AM947" s="64"/>
      <c r="AN947" s="69"/>
      <c r="AO947" s="64"/>
      <c r="AP947" s="69"/>
      <c r="AQ947" s="64"/>
      <c r="AR947" s="69"/>
      <c r="AS947" s="64"/>
      <c r="AT947" s="69"/>
      <c r="AU947" s="64"/>
      <c r="AV947" s="69"/>
      <c r="AW947" s="64"/>
      <c r="AX947" s="69"/>
      <c r="AY947" s="64"/>
      <c r="AZ947" s="69"/>
      <c r="BA947" s="64"/>
      <c r="BB947" s="69"/>
      <c r="BC947" s="64"/>
      <c r="BD947" s="69"/>
      <c r="BE947" s="64"/>
      <c r="BF947" s="69"/>
      <c r="BG947" s="64"/>
      <c r="BH947" s="69"/>
      <c r="BI947" s="64"/>
      <c r="BJ947" s="69"/>
      <c r="BK947" s="64"/>
      <c r="BL947" s="69"/>
      <c r="BM947" s="64"/>
      <c r="BN947" s="69"/>
      <c r="BO947" s="64"/>
      <c r="BP947" s="69"/>
      <c r="BQ947" s="64"/>
      <c r="BR947" s="69"/>
      <c r="BS947" s="64"/>
      <c r="BT947" s="69"/>
      <c r="BU947" t="b">
        <f t="shared" si="15"/>
        <v>0</v>
      </c>
    </row>
    <row r="948" spans="1:73" x14ac:dyDescent="0.25">
      <c r="A948" s="28"/>
      <c r="B948" s="29"/>
      <c r="C948" s="29"/>
      <c r="D948" s="30"/>
      <c r="E948" s="29"/>
      <c r="F948" s="30"/>
      <c r="G948" s="29"/>
      <c r="H948" s="69"/>
      <c r="I948" s="64"/>
      <c r="J948" s="69"/>
      <c r="K948" s="64"/>
      <c r="L948" s="69"/>
      <c r="M948" s="65"/>
      <c r="N948" s="69"/>
      <c r="O948" s="64"/>
      <c r="P948" s="69"/>
      <c r="Q948" s="64"/>
      <c r="R948" s="69"/>
      <c r="S948" s="64"/>
      <c r="T948" s="69"/>
      <c r="U948" s="64"/>
      <c r="V948" s="69"/>
      <c r="W948" s="65"/>
      <c r="X948" s="69"/>
      <c r="Y948" s="64"/>
      <c r="Z948" s="69"/>
      <c r="AA948" s="64"/>
      <c r="AB948" s="69"/>
      <c r="AC948" s="64"/>
      <c r="AD948" s="69"/>
      <c r="AE948" s="65"/>
      <c r="AF948" s="69"/>
      <c r="AG948" s="65"/>
      <c r="AH948" s="69"/>
      <c r="AI948" s="64"/>
      <c r="AJ948" s="69"/>
      <c r="AK948" s="64"/>
      <c r="AL948" s="69"/>
      <c r="AM948" s="64"/>
      <c r="AN948" s="69"/>
      <c r="AO948" s="64"/>
      <c r="AP948" s="69"/>
      <c r="AQ948" s="64"/>
      <c r="AR948" s="69"/>
      <c r="AS948" s="64"/>
      <c r="AT948" s="69"/>
      <c r="AU948" s="64"/>
      <c r="AV948" s="69"/>
      <c r="AW948" s="64"/>
      <c r="AX948" s="69"/>
      <c r="AY948" s="64"/>
      <c r="AZ948" s="69"/>
      <c r="BA948" s="64"/>
      <c r="BB948" s="69"/>
      <c r="BC948" s="64"/>
      <c r="BD948" s="69"/>
      <c r="BE948" s="64"/>
      <c r="BF948" s="69"/>
      <c r="BG948" s="64"/>
      <c r="BH948" s="69"/>
      <c r="BI948" s="64"/>
      <c r="BJ948" s="69"/>
      <c r="BK948" s="64"/>
      <c r="BL948" s="69"/>
      <c r="BM948" s="64"/>
      <c r="BN948" s="69"/>
      <c r="BO948" s="64"/>
      <c r="BP948" s="69"/>
      <c r="BQ948" s="64"/>
      <c r="BR948" s="69"/>
      <c r="BS948" s="64"/>
      <c r="BT948" s="69"/>
      <c r="BU948" t="b">
        <f t="shared" si="15"/>
        <v>0</v>
      </c>
    </row>
    <row r="949" spans="1:73" x14ac:dyDescent="0.25">
      <c r="A949" s="28"/>
      <c r="B949" s="29"/>
      <c r="C949" s="29"/>
      <c r="D949" s="30"/>
      <c r="E949" s="29"/>
      <c r="F949" s="30"/>
      <c r="G949" s="29"/>
      <c r="H949" s="69"/>
      <c r="I949" s="64"/>
      <c r="J949" s="69"/>
      <c r="K949" s="64"/>
      <c r="L949" s="69"/>
      <c r="M949" s="65"/>
      <c r="N949" s="69"/>
      <c r="O949" s="64"/>
      <c r="P949" s="69"/>
      <c r="Q949" s="64"/>
      <c r="R949" s="69"/>
      <c r="S949" s="64"/>
      <c r="T949" s="69"/>
      <c r="U949" s="64"/>
      <c r="V949" s="69"/>
      <c r="W949" s="65"/>
      <c r="X949" s="69"/>
      <c r="Y949" s="64"/>
      <c r="Z949" s="69"/>
      <c r="AA949" s="64"/>
      <c r="AB949" s="69"/>
      <c r="AC949" s="64"/>
      <c r="AD949" s="69"/>
      <c r="AE949" s="65"/>
      <c r="AF949" s="69"/>
      <c r="AG949" s="65"/>
      <c r="AH949" s="69"/>
      <c r="AI949" s="64"/>
      <c r="AJ949" s="69"/>
      <c r="AK949" s="64"/>
      <c r="AL949" s="69"/>
      <c r="AM949" s="64"/>
      <c r="AN949" s="69"/>
      <c r="AO949" s="64"/>
      <c r="AP949" s="69"/>
      <c r="AQ949" s="64"/>
      <c r="AR949" s="69"/>
      <c r="AS949" s="64"/>
      <c r="AT949" s="69"/>
      <c r="AU949" s="64"/>
      <c r="AV949" s="69"/>
      <c r="AW949" s="64"/>
      <c r="AX949" s="69"/>
      <c r="AY949" s="64"/>
      <c r="AZ949" s="69"/>
      <c r="BA949" s="64"/>
      <c r="BB949" s="69"/>
      <c r="BC949" s="64"/>
      <c r="BD949" s="69"/>
      <c r="BE949" s="64"/>
      <c r="BF949" s="69"/>
      <c r="BG949" s="64"/>
      <c r="BH949" s="69"/>
      <c r="BI949" s="64"/>
      <c r="BJ949" s="69"/>
      <c r="BK949" s="64"/>
      <c r="BL949" s="69"/>
      <c r="BM949" s="64"/>
      <c r="BN949" s="69"/>
      <c r="BO949" s="64"/>
      <c r="BP949" s="69"/>
      <c r="BQ949" s="64"/>
      <c r="BR949" s="69"/>
      <c r="BS949" s="64"/>
      <c r="BT949" s="69"/>
      <c r="BU949" t="b">
        <f t="shared" si="15"/>
        <v>0</v>
      </c>
    </row>
    <row r="950" spans="1:73" x14ac:dyDescent="0.25">
      <c r="A950" s="28"/>
      <c r="B950" s="29"/>
      <c r="C950" s="29"/>
      <c r="D950" s="30"/>
      <c r="E950" s="29"/>
      <c r="F950" s="30"/>
      <c r="G950" s="29"/>
      <c r="H950" s="69"/>
      <c r="I950" s="64"/>
      <c r="J950" s="69"/>
      <c r="K950" s="64"/>
      <c r="L950" s="69"/>
      <c r="M950" s="65"/>
      <c r="N950" s="69"/>
      <c r="O950" s="64"/>
      <c r="P950" s="69"/>
      <c r="Q950" s="64"/>
      <c r="R950" s="69"/>
      <c r="S950" s="64"/>
      <c r="T950" s="69"/>
      <c r="U950" s="64"/>
      <c r="V950" s="69"/>
      <c r="W950" s="65"/>
      <c r="X950" s="69"/>
      <c r="Y950" s="64"/>
      <c r="Z950" s="69"/>
      <c r="AA950" s="64"/>
      <c r="AB950" s="69"/>
      <c r="AC950" s="64"/>
      <c r="AD950" s="69"/>
      <c r="AE950" s="65"/>
      <c r="AF950" s="69"/>
      <c r="AG950" s="65"/>
      <c r="AH950" s="69"/>
      <c r="AI950" s="64"/>
      <c r="AJ950" s="69"/>
      <c r="AK950" s="64"/>
      <c r="AL950" s="69"/>
      <c r="AM950" s="64"/>
      <c r="AN950" s="69"/>
      <c r="AO950" s="64"/>
      <c r="AP950" s="69"/>
      <c r="AQ950" s="64"/>
      <c r="AR950" s="69"/>
      <c r="AS950" s="64"/>
      <c r="AT950" s="69"/>
      <c r="AU950" s="64"/>
      <c r="AV950" s="69"/>
      <c r="AW950" s="64"/>
      <c r="AX950" s="69"/>
      <c r="AY950" s="64"/>
      <c r="AZ950" s="69"/>
      <c r="BA950" s="64"/>
      <c r="BB950" s="69"/>
      <c r="BC950" s="64"/>
      <c r="BD950" s="69"/>
      <c r="BE950" s="64"/>
      <c r="BF950" s="69"/>
      <c r="BG950" s="64"/>
      <c r="BH950" s="69"/>
      <c r="BI950" s="64"/>
      <c r="BJ950" s="69"/>
      <c r="BK950" s="64"/>
      <c r="BL950" s="69"/>
      <c r="BM950" s="64"/>
      <c r="BN950" s="69"/>
      <c r="BO950" s="64"/>
      <c r="BP950" s="69"/>
      <c r="BQ950" s="64"/>
      <c r="BR950" s="69"/>
      <c r="BS950" s="64"/>
      <c r="BT950" s="69"/>
      <c r="BU950" t="b">
        <f t="shared" si="15"/>
        <v>0</v>
      </c>
    </row>
    <row r="951" spans="1:73" x14ac:dyDescent="0.25">
      <c r="A951" s="28"/>
      <c r="B951" s="29"/>
      <c r="C951" s="29"/>
      <c r="D951" s="30"/>
      <c r="E951" s="29"/>
      <c r="F951" s="30"/>
      <c r="G951" s="29"/>
      <c r="H951" s="69"/>
      <c r="I951" s="64"/>
      <c r="J951" s="69"/>
      <c r="K951" s="64"/>
      <c r="L951" s="69"/>
      <c r="M951" s="65"/>
      <c r="N951" s="69"/>
      <c r="O951" s="64"/>
      <c r="P951" s="69"/>
      <c r="Q951" s="64"/>
      <c r="R951" s="69"/>
      <c r="S951" s="64"/>
      <c r="T951" s="69"/>
      <c r="U951" s="64"/>
      <c r="V951" s="69"/>
      <c r="W951" s="65"/>
      <c r="X951" s="69"/>
      <c r="Y951" s="64"/>
      <c r="Z951" s="69"/>
      <c r="AA951" s="64"/>
      <c r="AB951" s="69"/>
      <c r="AC951" s="64"/>
      <c r="AD951" s="69"/>
      <c r="AE951" s="65"/>
      <c r="AF951" s="69"/>
      <c r="AG951" s="65"/>
      <c r="AH951" s="69"/>
      <c r="AI951" s="64"/>
      <c r="AJ951" s="69"/>
      <c r="AK951" s="64"/>
      <c r="AL951" s="69"/>
      <c r="AM951" s="64"/>
      <c r="AN951" s="69"/>
      <c r="AO951" s="64"/>
      <c r="AP951" s="69"/>
      <c r="AQ951" s="64"/>
      <c r="AR951" s="69"/>
      <c r="AS951" s="64"/>
      <c r="AT951" s="69"/>
      <c r="AU951" s="64"/>
      <c r="AV951" s="69"/>
      <c r="AW951" s="64"/>
      <c r="AX951" s="69"/>
      <c r="AY951" s="64"/>
      <c r="AZ951" s="69"/>
      <c r="BA951" s="64"/>
      <c r="BB951" s="69"/>
      <c r="BC951" s="64"/>
      <c r="BD951" s="69"/>
      <c r="BE951" s="64"/>
      <c r="BF951" s="69"/>
      <c r="BG951" s="64"/>
      <c r="BH951" s="69"/>
      <c r="BI951" s="64"/>
      <c r="BJ951" s="69"/>
      <c r="BK951" s="64"/>
      <c r="BL951" s="69"/>
      <c r="BM951" s="64"/>
      <c r="BN951" s="69"/>
      <c r="BO951" s="64"/>
      <c r="BP951" s="69"/>
      <c r="BQ951" s="64"/>
      <c r="BR951" s="69"/>
      <c r="BS951" s="64"/>
      <c r="BT951" s="69"/>
      <c r="BU951" t="b">
        <f t="shared" si="15"/>
        <v>0</v>
      </c>
    </row>
    <row r="952" spans="1:73" x14ac:dyDescent="0.25">
      <c r="A952" s="28"/>
      <c r="B952" s="29"/>
      <c r="C952" s="29"/>
      <c r="D952" s="30"/>
      <c r="E952" s="29"/>
      <c r="F952" s="30"/>
      <c r="G952" s="29"/>
      <c r="H952" s="69"/>
      <c r="I952" s="64"/>
      <c r="J952" s="69"/>
      <c r="K952" s="64"/>
      <c r="L952" s="69"/>
      <c r="M952" s="65"/>
      <c r="N952" s="69"/>
      <c r="O952" s="64"/>
      <c r="P952" s="69"/>
      <c r="Q952" s="64"/>
      <c r="R952" s="69"/>
      <c r="S952" s="64"/>
      <c r="T952" s="69"/>
      <c r="U952" s="64"/>
      <c r="V952" s="69"/>
      <c r="W952" s="65"/>
      <c r="X952" s="69"/>
      <c r="Y952" s="64"/>
      <c r="Z952" s="69"/>
      <c r="AA952" s="64"/>
      <c r="AB952" s="69"/>
      <c r="AC952" s="64"/>
      <c r="AD952" s="69"/>
      <c r="AE952" s="65"/>
      <c r="AF952" s="69"/>
      <c r="AG952" s="65"/>
      <c r="AH952" s="69"/>
      <c r="AI952" s="64"/>
      <c r="AJ952" s="69"/>
      <c r="AK952" s="64"/>
      <c r="AL952" s="69"/>
      <c r="AM952" s="64"/>
      <c r="AN952" s="69"/>
      <c r="AO952" s="64"/>
      <c r="AP952" s="69"/>
      <c r="AQ952" s="64"/>
      <c r="AR952" s="69"/>
      <c r="AS952" s="64"/>
      <c r="AT952" s="69"/>
      <c r="AU952" s="64"/>
      <c r="AV952" s="69"/>
      <c r="AW952" s="64"/>
      <c r="AX952" s="69"/>
      <c r="AY952" s="64"/>
      <c r="AZ952" s="69"/>
      <c r="BA952" s="64"/>
      <c r="BB952" s="69"/>
      <c r="BC952" s="64"/>
      <c r="BD952" s="69"/>
      <c r="BE952" s="64"/>
      <c r="BF952" s="69"/>
      <c r="BG952" s="64"/>
      <c r="BH952" s="69"/>
      <c r="BI952" s="64"/>
      <c r="BJ952" s="69"/>
      <c r="BK952" s="64"/>
      <c r="BL952" s="69"/>
      <c r="BM952" s="64"/>
      <c r="BN952" s="69"/>
      <c r="BO952" s="64"/>
      <c r="BP952" s="69"/>
      <c r="BQ952" s="64"/>
      <c r="BR952" s="69"/>
      <c r="BS952" s="64"/>
      <c r="BT952" s="69"/>
      <c r="BU952" t="b">
        <f t="shared" si="15"/>
        <v>0</v>
      </c>
    </row>
    <row r="953" spans="1:73" x14ac:dyDescent="0.25">
      <c r="A953" s="28"/>
      <c r="B953" s="29"/>
      <c r="C953" s="29"/>
      <c r="D953" s="30"/>
      <c r="E953" s="29"/>
      <c r="F953" s="30"/>
      <c r="G953" s="29"/>
      <c r="H953" s="69"/>
      <c r="I953" s="64"/>
      <c r="J953" s="69"/>
      <c r="K953" s="64"/>
      <c r="L953" s="69"/>
      <c r="M953" s="65"/>
      <c r="N953" s="69"/>
      <c r="O953" s="64"/>
      <c r="P953" s="69"/>
      <c r="Q953" s="64"/>
      <c r="R953" s="69"/>
      <c r="S953" s="64"/>
      <c r="T953" s="69"/>
      <c r="U953" s="64"/>
      <c r="V953" s="69"/>
      <c r="W953" s="65"/>
      <c r="X953" s="69"/>
      <c r="Y953" s="64"/>
      <c r="Z953" s="69"/>
      <c r="AA953" s="64"/>
      <c r="AB953" s="69"/>
      <c r="AC953" s="64"/>
      <c r="AD953" s="69"/>
      <c r="AE953" s="65"/>
      <c r="AF953" s="69"/>
      <c r="AG953" s="65"/>
      <c r="AH953" s="69"/>
      <c r="AI953" s="64"/>
      <c r="AJ953" s="69"/>
      <c r="AK953" s="64"/>
      <c r="AL953" s="69"/>
      <c r="AM953" s="64"/>
      <c r="AN953" s="69"/>
      <c r="AO953" s="64"/>
      <c r="AP953" s="69"/>
      <c r="AQ953" s="64"/>
      <c r="AR953" s="69"/>
      <c r="AS953" s="64"/>
      <c r="AT953" s="69"/>
      <c r="AU953" s="64"/>
      <c r="AV953" s="69"/>
      <c r="AW953" s="64"/>
      <c r="AX953" s="69"/>
      <c r="AY953" s="64"/>
      <c r="AZ953" s="69"/>
      <c r="BA953" s="64"/>
      <c r="BB953" s="69"/>
      <c r="BC953" s="64"/>
      <c r="BD953" s="69"/>
      <c r="BE953" s="64"/>
      <c r="BF953" s="69"/>
      <c r="BG953" s="64"/>
      <c r="BH953" s="69"/>
      <c r="BI953" s="64"/>
      <c r="BJ953" s="69"/>
      <c r="BK953" s="64"/>
      <c r="BL953" s="69"/>
      <c r="BM953" s="64"/>
      <c r="BN953" s="69"/>
      <c r="BO953" s="64"/>
      <c r="BP953" s="69"/>
      <c r="BQ953" s="64"/>
      <c r="BR953" s="69"/>
      <c r="BS953" s="64"/>
      <c r="BT953" s="69"/>
      <c r="BU953" t="b">
        <f t="shared" si="15"/>
        <v>0</v>
      </c>
    </row>
    <row r="954" spans="1:73" x14ac:dyDescent="0.25">
      <c r="A954" s="28"/>
      <c r="B954" s="29"/>
      <c r="C954" s="29"/>
      <c r="D954" s="30"/>
      <c r="E954" s="29"/>
      <c r="F954" s="30"/>
      <c r="G954" s="29"/>
      <c r="H954" s="69"/>
      <c r="I954" s="64"/>
      <c r="J954" s="69"/>
      <c r="K954" s="64"/>
      <c r="L954" s="69"/>
      <c r="M954" s="65"/>
      <c r="N954" s="69"/>
      <c r="O954" s="64"/>
      <c r="P954" s="69"/>
      <c r="Q954" s="64"/>
      <c r="R954" s="69"/>
      <c r="S954" s="64"/>
      <c r="T954" s="69"/>
      <c r="U954" s="64"/>
      <c r="V954" s="69"/>
      <c r="W954" s="65"/>
      <c r="X954" s="69"/>
      <c r="Y954" s="64"/>
      <c r="Z954" s="69"/>
      <c r="AA954" s="64"/>
      <c r="AB954" s="69"/>
      <c r="AC954" s="64"/>
      <c r="AD954" s="69"/>
      <c r="AE954" s="65"/>
      <c r="AF954" s="69"/>
      <c r="AG954" s="65"/>
      <c r="AH954" s="69"/>
      <c r="AI954" s="64"/>
      <c r="AJ954" s="69"/>
      <c r="AK954" s="64"/>
      <c r="AL954" s="69"/>
      <c r="AM954" s="64"/>
      <c r="AN954" s="69"/>
      <c r="AO954" s="64"/>
      <c r="AP954" s="69"/>
      <c r="AQ954" s="64"/>
      <c r="AR954" s="69"/>
      <c r="AS954" s="64"/>
      <c r="AT954" s="69"/>
      <c r="AU954" s="64"/>
      <c r="AV954" s="69"/>
      <c r="AW954" s="64"/>
      <c r="AX954" s="69"/>
      <c r="AY954" s="64"/>
      <c r="AZ954" s="69"/>
      <c r="BA954" s="64"/>
      <c r="BB954" s="69"/>
      <c r="BC954" s="64"/>
      <c r="BD954" s="69"/>
      <c r="BE954" s="64"/>
      <c r="BF954" s="69"/>
      <c r="BG954" s="64"/>
      <c r="BH954" s="69"/>
      <c r="BI954" s="64"/>
      <c r="BJ954" s="69"/>
      <c r="BK954" s="64"/>
      <c r="BL954" s="69"/>
      <c r="BM954" s="64"/>
      <c r="BN954" s="69"/>
      <c r="BO954" s="64"/>
      <c r="BP954" s="69"/>
      <c r="BQ954" s="64"/>
      <c r="BR954" s="69"/>
      <c r="BS954" s="64"/>
      <c r="BT954" s="69"/>
      <c r="BU954" t="b">
        <f t="shared" si="15"/>
        <v>0</v>
      </c>
    </row>
    <row r="955" spans="1:73" x14ac:dyDescent="0.25">
      <c r="A955" s="28"/>
      <c r="B955" s="29"/>
      <c r="C955" s="29"/>
      <c r="D955" s="30"/>
      <c r="E955" s="29"/>
      <c r="F955" s="30"/>
      <c r="G955" s="29"/>
      <c r="H955" s="69"/>
      <c r="I955" s="64"/>
      <c r="J955" s="69"/>
      <c r="K955" s="64"/>
      <c r="L955" s="69"/>
      <c r="M955" s="65"/>
      <c r="N955" s="69"/>
      <c r="O955" s="64"/>
      <c r="P955" s="69"/>
      <c r="Q955" s="64"/>
      <c r="R955" s="69"/>
      <c r="S955" s="64"/>
      <c r="T955" s="69"/>
      <c r="U955" s="64"/>
      <c r="V955" s="69"/>
      <c r="W955" s="65"/>
      <c r="X955" s="69"/>
      <c r="Y955" s="64"/>
      <c r="Z955" s="69"/>
      <c r="AA955" s="64"/>
      <c r="AB955" s="69"/>
      <c r="AC955" s="64"/>
      <c r="AD955" s="69"/>
      <c r="AE955" s="65"/>
      <c r="AF955" s="69"/>
      <c r="AG955" s="65"/>
      <c r="AH955" s="69"/>
      <c r="AI955" s="64"/>
      <c r="AJ955" s="69"/>
      <c r="AK955" s="64"/>
      <c r="AL955" s="69"/>
      <c r="AM955" s="64"/>
      <c r="AN955" s="69"/>
      <c r="AO955" s="64"/>
      <c r="AP955" s="69"/>
      <c r="AQ955" s="64"/>
      <c r="AR955" s="69"/>
      <c r="AS955" s="64"/>
      <c r="AT955" s="69"/>
      <c r="AU955" s="64"/>
      <c r="AV955" s="69"/>
      <c r="AW955" s="64"/>
      <c r="AX955" s="69"/>
      <c r="AY955" s="64"/>
      <c r="AZ955" s="69"/>
      <c r="BA955" s="64"/>
      <c r="BB955" s="69"/>
      <c r="BC955" s="64"/>
      <c r="BD955" s="69"/>
      <c r="BE955" s="64"/>
      <c r="BF955" s="69"/>
      <c r="BG955" s="64"/>
      <c r="BH955" s="69"/>
      <c r="BI955" s="64"/>
      <c r="BJ955" s="69"/>
      <c r="BK955" s="64"/>
      <c r="BL955" s="69"/>
      <c r="BM955" s="64"/>
      <c r="BN955" s="69"/>
      <c r="BO955" s="64"/>
      <c r="BP955" s="69"/>
      <c r="BQ955" s="64"/>
      <c r="BR955" s="69"/>
      <c r="BS955" s="64"/>
      <c r="BT955" s="69"/>
      <c r="BU955" t="b">
        <f t="shared" si="15"/>
        <v>0</v>
      </c>
    </row>
    <row r="956" spans="1:73" x14ac:dyDescent="0.25">
      <c r="A956" s="28"/>
      <c r="B956" s="29"/>
      <c r="C956" s="29"/>
      <c r="D956" s="30"/>
      <c r="E956" s="29"/>
      <c r="F956" s="30"/>
      <c r="G956" s="29"/>
      <c r="H956" s="69"/>
      <c r="I956" s="64"/>
      <c r="J956" s="69"/>
      <c r="K956" s="64"/>
      <c r="L956" s="69"/>
      <c r="M956" s="65"/>
      <c r="N956" s="69"/>
      <c r="O956" s="64"/>
      <c r="P956" s="69"/>
      <c r="Q956" s="64"/>
      <c r="R956" s="69"/>
      <c r="S956" s="64"/>
      <c r="T956" s="69"/>
      <c r="U956" s="64"/>
      <c r="V956" s="69"/>
      <c r="W956" s="65"/>
      <c r="X956" s="69"/>
      <c r="Y956" s="64"/>
      <c r="Z956" s="69"/>
      <c r="AA956" s="64"/>
      <c r="AB956" s="69"/>
      <c r="AC956" s="64"/>
      <c r="AD956" s="69"/>
      <c r="AE956" s="65"/>
      <c r="AF956" s="69"/>
      <c r="AG956" s="65"/>
      <c r="AH956" s="69"/>
      <c r="AI956" s="64"/>
      <c r="AJ956" s="69"/>
      <c r="AK956" s="64"/>
      <c r="AL956" s="69"/>
      <c r="AM956" s="64"/>
      <c r="AN956" s="69"/>
      <c r="AO956" s="64"/>
      <c r="AP956" s="69"/>
      <c r="AQ956" s="64"/>
      <c r="AR956" s="69"/>
      <c r="AS956" s="64"/>
      <c r="AT956" s="69"/>
      <c r="AU956" s="64"/>
      <c r="AV956" s="69"/>
      <c r="AW956" s="64"/>
      <c r="AX956" s="69"/>
      <c r="AY956" s="64"/>
      <c r="AZ956" s="69"/>
      <c r="BA956" s="64"/>
      <c r="BB956" s="69"/>
      <c r="BC956" s="64"/>
      <c r="BD956" s="69"/>
      <c r="BE956" s="64"/>
      <c r="BF956" s="69"/>
      <c r="BG956" s="64"/>
      <c r="BH956" s="69"/>
      <c r="BI956" s="64"/>
      <c r="BJ956" s="69"/>
      <c r="BK956" s="64"/>
      <c r="BL956" s="69"/>
      <c r="BM956" s="64"/>
      <c r="BN956" s="69"/>
      <c r="BO956" s="64"/>
      <c r="BP956" s="69"/>
      <c r="BQ956" s="64"/>
      <c r="BR956" s="69"/>
      <c r="BS956" s="64"/>
      <c r="BT956" s="69"/>
      <c r="BU956" t="b">
        <f t="shared" si="15"/>
        <v>0</v>
      </c>
    </row>
    <row r="957" spans="1:73" x14ac:dyDescent="0.25">
      <c r="A957" s="28"/>
      <c r="B957" s="29"/>
      <c r="C957" s="29"/>
      <c r="D957" s="30"/>
      <c r="E957" s="29"/>
      <c r="F957" s="30"/>
      <c r="G957" s="29"/>
      <c r="H957" s="69"/>
      <c r="I957" s="64"/>
      <c r="J957" s="69"/>
      <c r="K957" s="64"/>
      <c r="L957" s="69"/>
      <c r="M957" s="65"/>
      <c r="N957" s="69"/>
      <c r="O957" s="64"/>
      <c r="P957" s="69"/>
      <c r="Q957" s="64"/>
      <c r="R957" s="69"/>
      <c r="S957" s="64"/>
      <c r="T957" s="69"/>
      <c r="U957" s="64"/>
      <c r="V957" s="69"/>
      <c r="W957" s="65"/>
      <c r="X957" s="69"/>
      <c r="Y957" s="64"/>
      <c r="Z957" s="69"/>
      <c r="AA957" s="64"/>
      <c r="AB957" s="69"/>
      <c r="AC957" s="64"/>
      <c r="AD957" s="69"/>
      <c r="AE957" s="65"/>
      <c r="AF957" s="69"/>
      <c r="AG957" s="65"/>
      <c r="AH957" s="69"/>
      <c r="AI957" s="64"/>
      <c r="AJ957" s="69"/>
      <c r="AK957" s="64"/>
      <c r="AL957" s="69"/>
      <c r="AM957" s="64"/>
      <c r="AN957" s="69"/>
      <c r="AO957" s="64"/>
      <c r="AP957" s="69"/>
      <c r="AQ957" s="64"/>
      <c r="AR957" s="69"/>
      <c r="AS957" s="64"/>
      <c r="AT957" s="69"/>
      <c r="AU957" s="64"/>
      <c r="AV957" s="69"/>
      <c r="AW957" s="64"/>
      <c r="AX957" s="69"/>
      <c r="AY957" s="64"/>
      <c r="AZ957" s="69"/>
      <c r="BA957" s="64"/>
      <c r="BB957" s="69"/>
      <c r="BC957" s="64"/>
      <c r="BD957" s="69"/>
      <c r="BE957" s="64"/>
      <c r="BF957" s="69"/>
      <c r="BG957" s="64"/>
      <c r="BH957" s="69"/>
      <c r="BI957" s="64"/>
      <c r="BJ957" s="69"/>
      <c r="BK957" s="64"/>
      <c r="BL957" s="69"/>
      <c r="BM957" s="64"/>
      <c r="BN957" s="69"/>
      <c r="BO957" s="64"/>
      <c r="BP957" s="69"/>
      <c r="BQ957" s="64"/>
      <c r="BR957" s="69"/>
      <c r="BS957" s="64"/>
      <c r="BT957" s="69"/>
      <c r="BU957" t="b">
        <f t="shared" si="15"/>
        <v>0</v>
      </c>
    </row>
    <row r="958" spans="1:73" x14ac:dyDescent="0.25">
      <c r="A958" s="28"/>
      <c r="B958" s="29"/>
      <c r="C958" s="29"/>
      <c r="D958" s="30"/>
      <c r="E958" s="29"/>
      <c r="F958" s="30"/>
      <c r="G958" s="29"/>
      <c r="H958" s="69"/>
      <c r="I958" s="64"/>
      <c r="J958" s="69"/>
      <c r="K958" s="64"/>
      <c r="L958" s="69"/>
      <c r="M958" s="65"/>
      <c r="N958" s="69"/>
      <c r="O958" s="64"/>
      <c r="P958" s="69"/>
      <c r="Q958" s="64"/>
      <c r="R958" s="69"/>
      <c r="S958" s="64"/>
      <c r="T958" s="69"/>
      <c r="U958" s="64"/>
      <c r="V958" s="69"/>
      <c r="W958" s="65"/>
      <c r="X958" s="69"/>
      <c r="Y958" s="64"/>
      <c r="Z958" s="69"/>
      <c r="AA958" s="64"/>
      <c r="AB958" s="69"/>
      <c r="AC958" s="64"/>
      <c r="AD958" s="69"/>
      <c r="AE958" s="65"/>
      <c r="AF958" s="69"/>
      <c r="AG958" s="65"/>
      <c r="AH958" s="69"/>
      <c r="AI958" s="64"/>
      <c r="AJ958" s="69"/>
      <c r="AK958" s="64"/>
      <c r="AL958" s="69"/>
      <c r="AM958" s="64"/>
      <c r="AN958" s="69"/>
      <c r="AO958" s="64"/>
      <c r="AP958" s="69"/>
      <c r="AQ958" s="64"/>
      <c r="AR958" s="69"/>
      <c r="AS958" s="64"/>
      <c r="AT958" s="69"/>
      <c r="AU958" s="64"/>
      <c r="AV958" s="69"/>
      <c r="AW958" s="64"/>
      <c r="AX958" s="69"/>
      <c r="AY958" s="64"/>
      <c r="AZ958" s="69"/>
      <c r="BA958" s="64"/>
      <c r="BB958" s="69"/>
      <c r="BC958" s="64"/>
      <c r="BD958" s="69"/>
      <c r="BE958" s="64"/>
      <c r="BF958" s="69"/>
      <c r="BG958" s="64"/>
      <c r="BH958" s="69"/>
      <c r="BI958" s="64"/>
      <c r="BJ958" s="69"/>
      <c r="BK958" s="64"/>
      <c r="BL958" s="69"/>
      <c r="BM958" s="64"/>
      <c r="BN958" s="69"/>
      <c r="BO958" s="64"/>
      <c r="BP958" s="69"/>
      <c r="BQ958" s="64"/>
      <c r="BR958" s="69"/>
      <c r="BS958" s="64"/>
      <c r="BT958" s="69"/>
      <c r="BU958" t="b">
        <f t="shared" si="15"/>
        <v>0</v>
      </c>
    </row>
    <row r="959" spans="1:73" x14ac:dyDescent="0.25">
      <c r="A959" s="28"/>
      <c r="B959" s="29"/>
      <c r="C959" s="29"/>
      <c r="D959" s="30"/>
      <c r="E959" s="29"/>
      <c r="F959" s="30"/>
      <c r="G959" s="29"/>
      <c r="H959" s="69"/>
      <c r="I959" s="64"/>
      <c r="J959" s="69"/>
      <c r="K959" s="64"/>
      <c r="L959" s="69"/>
      <c r="M959" s="65"/>
      <c r="N959" s="69"/>
      <c r="O959" s="64"/>
      <c r="P959" s="69"/>
      <c r="Q959" s="64"/>
      <c r="R959" s="69"/>
      <c r="S959" s="64"/>
      <c r="T959" s="69"/>
      <c r="U959" s="64"/>
      <c r="V959" s="69"/>
      <c r="W959" s="65"/>
      <c r="X959" s="69"/>
      <c r="Y959" s="64"/>
      <c r="Z959" s="69"/>
      <c r="AA959" s="64"/>
      <c r="AB959" s="69"/>
      <c r="AC959" s="64"/>
      <c r="AD959" s="69"/>
      <c r="AE959" s="65"/>
      <c r="AF959" s="69"/>
      <c r="AG959" s="65"/>
      <c r="AH959" s="69"/>
      <c r="AI959" s="64"/>
      <c r="AJ959" s="69"/>
      <c r="AK959" s="64"/>
      <c r="AL959" s="69"/>
      <c r="AM959" s="64"/>
      <c r="AN959" s="69"/>
      <c r="AO959" s="64"/>
      <c r="AP959" s="69"/>
      <c r="AQ959" s="64"/>
      <c r="AR959" s="69"/>
      <c r="AS959" s="64"/>
      <c r="AT959" s="69"/>
      <c r="AU959" s="64"/>
      <c r="AV959" s="69"/>
      <c r="AW959" s="64"/>
      <c r="AX959" s="69"/>
      <c r="AY959" s="64"/>
      <c r="AZ959" s="69"/>
      <c r="BA959" s="64"/>
      <c r="BB959" s="69"/>
      <c r="BC959" s="64"/>
      <c r="BD959" s="69"/>
      <c r="BE959" s="64"/>
      <c r="BF959" s="69"/>
      <c r="BG959" s="64"/>
      <c r="BH959" s="69"/>
      <c r="BI959" s="64"/>
      <c r="BJ959" s="69"/>
      <c r="BK959" s="64"/>
      <c r="BL959" s="69"/>
      <c r="BM959" s="64"/>
      <c r="BN959" s="69"/>
      <c r="BO959" s="64"/>
      <c r="BP959" s="69"/>
      <c r="BQ959" s="64"/>
      <c r="BR959" s="69"/>
      <c r="BS959" s="64"/>
      <c r="BT959" s="69"/>
      <c r="BU959" t="b">
        <f t="shared" si="15"/>
        <v>0</v>
      </c>
    </row>
    <row r="960" spans="1:73" x14ac:dyDescent="0.25">
      <c r="A960" s="28"/>
      <c r="B960" s="29"/>
      <c r="C960" s="29"/>
      <c r="D960" s="30"/>
      <c r="E960" s="29"/>
      <c r="F960" s="30"/>
      <c r="G960" s="29"/>
      <c r="H960" s="69"/>
      <c r="I960" s="64"/>
      <c r="J960" s="69"/>
      <c r="K960" s="64"/>
      <c r="L960" s="69"/>
      <c r="M960" s="65"/>
      <c r="N960" s="69"/>
      <c r="O960" s="64"/>
      <c r="P960" s="69"/>
      <c r="Q960" s="64"/>
      <c r="R960" s="69"/>
      <c r="S960" s="64"/>
      <c r="T960" s="69"/>
      <c r="U960" s="64"/>
      <c r="V960" s="69"/>
      <c r="W960" s="65"/>
      <c r="X960" s="69"/>
      <c r="Y960" s="64"/>
      <c r="Z960" s="69"/>
      <c r="AA960" s="64"/>
      <c r="AB960" s="69"/>
      <c r="AC960" s="64"/>
      <c r="AD960" s="69"/>
      <c r="AE960" s="65"/>
      <c r="AF960" s="69"/>
      <c r="AG960" s="65"/>
      <c r="AH960" s="69"/>
      <c r="AI960" s="64"/>
      <c r="AJ960" s="69"/>
      <c r="AK960" s="64"/>
      <c r="AL960" s="69"/>
      <c r="AM960" s="64"/>
      <c r="AN960" s="69"/>
      <c r="AO960" s="64"/>
      <c r="AP960" s="69"/>
      <c r="AQ960" s="64"/>
      <c r="AR960" s="69"/>
      <c r="AS960" s="64"/>
      <c r="AT960" s="69"/>
      <c r="AU960" s="64"/>
      <c r="AV960" s="69"/>
      <c r="AW960" s="64"/>
      <c r="AX960" s="69"/>
      <c r="AY960" s="64"/>
      <c r="AZ960" s="69"/>
      <c r="BA960" s="64"/>
      <c r="BB960" s="69"/>
      <c r="BC960" s="64"/>
      <c r="BD960" s="69"/>
      <c r="BE960" s="64"/>
      <c r="BF960" s="69"/>
      <c r="BG960" s="64"/>
      <c r="BH960" s="69"/>
      <c r="BI960" s="64"/>
      <c r="BJ960" s="69"/>
      <c r="BK960" s="64"/>
      <c r="BL960" s="69"/>
      <c r="BM960" s="64"/>
      <c r="BN960" s="69"/>
      <c r="BO960" s="64"/>
      <c r="BP960" s="69"/>
      <c r="BQ960" s="64"/>
      <c r="BR960" s="69"/>
      <c r="BS960" s="64"/>
      <c r="BT960" s="69"/>
      <c r="BU960" t="b">
        <f t="shared" si="15"/>
        <v>0</v>
      </c>
    </row>
    <row r="961" spans="1:73" x14ac:dyDescent="0.25">
      <c r="A961" s="28"/>
      <c r="B961" s="29"/>
      <c r="C961" s="29"/>
      <c r="D961" s="30"/>
      <c r="E961" s="29"/>
      <c r="F961" s="30"/>
      <c r="G961" s="29"/>
      <c r="H961" s="69"/>
      <c r="I961" s="64"/>
      <c r="J961" s="69"/>
      <c r="K961" s="64"/>
      <c r="L961" s="69"/>
      <c r="M961" s="65"/>
      <c r="N961" s="69"/>
      <c r="O961" s="64"/>
      <c r="P961" s="69"/>
      <c r="Q961" s="64"/>
      <c r="R961" s="69"/>
      <c r="S961" s="64"/>
      <c r="T961" s="69"/>
      <c r="U961" s="64"/>
      <c r="V961" s="69"/>
      <c r="W961" s="65"/>
      <c r="X961" s="69"/>
      <c r="Y961" s="64"/>
      <c r="Z961" s="69"/>
      <c r="AA961" s="64"/>
      <c r="AB961" s="69"/>
      <c r="AC961" s="64"/>
      <c r="AD961" s="69"/>
      <c r="AE961" s="65"/>
      <c r="AF961" s="69"/>
      <c r="AG961" s="65"/>
      <c r="AH961" s="69"/>
      <c r="AI961" s="64"/>
      <c r="AJ961" s="69"/>
      <c r="AK961" s="64"/>
      <c r="AL961" s="69"/>
      <c r="AM961" s="64"/>
      <c r="AN961" s="69"/>
      <c r="AO961" s="64"/>
      <c r="AP961" s="69"/>
      <c r="AQ961" s="64"/>
      <c r="AR961" s="69"/>
      <c r="AS961" s="64"/>
      <c r="AT961" s="69"/>
      <c r="AU961" s="64"/>
      <c r="AV961" s="69"/>
      <c r="AW961" s="64"/>
      <c r="AX961" s="69"/>
      <c r="AY961" s="64"/>
      <c r="AZ961" s="69"/>
      <c r="BA961" s="64"/>
      <c r="BB961" s="69"/>
      <c r="BC961" s="64"/>
      <c r="BD961" s="69"/>
      <c r="BE961" s="64"/>
      <c r="BF961" s="69"/>
      <c r="BG961" s="64"/>
      <c r="BH961" s="69"/>
      <c r="BI961" s="64"/>
      <c r="BJ961" s="69"/>
      <c r="BK961" s="64"/>
      <c r="BL961" s="69"/>
      <c r="BM961" s="64"/>
      <c r="BN961" s="69"/>
      <c r="BO961" s="64"/>
      <c r="BP961" s="69"/>
      <c r="BQ961" s="64"/>
      <c r="BR961" s="69"/>
      <c r="BS961" s="64"/>
      <c r="BT961" s="69"/>
      <c r="BU961" t="b">
        <f t="shared" si="15"/>
        <v>0</v>
      </c>
    </row>
    <row r="962" spans="1:73" x14ac:dyDescent="0.25">
      <c r="A962" s="28"/>
      <c r="B962" s="29"/>
      <c r="C962" s="29"/>
      <c r="D962" s="30"/>
      <c r="E962" s="29"/>
      <c r="F962" s="30"/>
      <c r="G962" s="29"/>
      <c r="H962" s="69"/>
      <c r="I962" s="64"/>
      <c r="J962" s="69"/>
      <c r="K962" s="64"/>
      <c r="L962" s="69"/>
      <c r="M962" s="65"/>
      <c r="N962" s="69"/>
      <c r="O962" s="64"/>
      <c r="P962" s="69"/>
      <c r="Q962" s="64"/>
      <c r="R962" s="69"/>
      <c r="S962" s="64"/>
      <c r="T962" s="69"/>
      <c r="U962" s="64"/>
      <c r="V962" s="69"/>
      <c r="W962" s="65"/>
      <c r="X962" s="69"/>
      <c r="Y962" s="64"/>
      <c r="Z962" s="69"/>
      <c r="AA962" s="64"/>
      <c r="AB962" s="69"/>
      <c r="AC962" s="64"/>
      <c r="AD962" s="69"/>
      <c r="AE962" s="65"/>
      <c r="AF962" s="69"/>
      <c r="AG962" s="65"/>
      <c r="AH962" s="69"/>
      <c r="AI962" s="64"/>
      <c r="AJ962" s="69"/>
      <c r="AK962" s="64"/>
      <c r="AL962" s="69"/>
      <c r="AM962" s="64"/>
      <c r="AN962" s="69"/>
      <c r="AO962" s="64"/>
      <c r="AP962" s="69"/>
      <c r="AQ962" s="64"/>
      <c r="AR962" s="69"/>
      <c r="AS962" s="64"/>
      <c r="AT962" s="69"/>
      <c r="AU962" s="64"/>
      <c r="AV962" s="69"/>
      <c r="AW962" s="64"/>
      <c r="AX962" s="69"/>
      <c r="AY962" s="64"/>
      <c r="AZ962" s="69"/>
      <c r="BA962" s="64"/>
      <c r="BB962" s="69"/>
      <c r="BC962" s="64"/>
      <c r="BD962" s="69"/>
      <c r="BE962" s="64"/>
      <c r="BF962" s="69"/>
      <c r="BG962" s="64"/>
      <c r="BH962" s="69"/>
      <c r="BI962" s="64"/>
      <c r="BJ962" s="69"/>
      <c r="BK962" s="64"/>
      <c r="BL962" s="69"/>
      <c r="BM962" s="64"/>
      <c r="BN962" s="69"/>
      <c r="BO962" s="64"/>
      <c r="BP962" s="69"/>
      <c r="BQ962" s="64"/>
      <c r="BR962" s="69"/>
      <c r="BS962" s="64"/>
      <c r="BT962" s="69"/>
      <c r="BU962" t="b">
        <f t="shared" si="15"/>
        <v>0</v>
      </c>
    </row>
    <row r="963" spans="1:73" x14ac:dyDescent="0.25">
      <c r="A963" s="28"/>
      <c r="B963" s="29"/>
      <c r="C963" s="29"/>
      <c r="D963" s="30"/>
      <c r="E963" s="29"/>
      <c r="F963" s="30"/>
      <c r="G963" s="29"/>
      <c r="H963" s="69"/>
      <c r="I963" s="64"/>
      <c r="J963" s="69"/>
      <c r="K963" s="64"/>
      <c r="L963" s="69"/>
      <c r="M963" s="65"/>
      <c r="N963" s="69"/>
      <c r="O963" s="64"/>
      <c r="P963" s="69"/>
      <c r="Q963" s="64"/>
      <c r="R963" s="69"/>
      <c r="S963" s="64"/>
      <c r="T963" s="69"/>
      <c r="U963" s="64"/>
      <c r="V963" s="69"/>
      <c r="W963" s="65"/>
      <c r="X963" s="69"/>
      <c r="Y963" s="64"/>
      <c r="Z963" s="69"/>
      <c r="AA963" s="64"/>
      <c r="AB963" s="69"/>
      <c r="AC963" s="64"/>
      <c r="AD963" s="69"/>
      <c r="AE963" s="65"/>
      <c r="AF963" s="69"/>
      <c r="AG963" s="65"/>
      <c r="AH963" s="69"/>
      <c r="AI963" s="64"/>
      <c r="AJ963" s="69"/>
      <c r="AK963" s="64"/>
      <c r="AL963" s="69"/>
      <c r="AM963" s="64"/>
      <c r="AN963" s="69"/>
      <c r="AO963" s="64"/>
      <c r="AP963" s="69"/>
      <c r="AQ963" s="64"/>
      <c r="AR963" s="69"/>
      <c r="AS963" s="64"/>
      <c r="AT963" s="69"/>
      <c r="AU963" s="64"/>
      <c r="AV963" s="69"/>
      <c r="AW963" s="64"/>
      <c r="AX963" s="69"/>
      <c r="AY963" s="64"/>
      <c r="AZ963" s="69"/>
      <c r="BA963" s="64"/>
      <c r="BB963" s="69"/>
      <c r="BC963" s="64"/>
      <c r="BD963" s="69"/>
      <c r="BE963" s="64"/>
      <c r="BF963" s="69"/>
      <c r="BG963" s="64"/>
      <c r="BH963" s="69"/>
      <c r="BI963" s="64"/>
      <c r="BJ963" s="69"/>
      <c r="BK963" s="64"/>
      <c r="BL963" s="69"/>
      <c r="BM963" s="64"/>
      <c r="BN963" s="69"/>
      <c r="BO963" s="64"/>
      <c r="BP963" s="69"/>
      <c r="BQ963" s="64"/>
      <c r="BR963" s="69"/>
      <c r="BS963" s="64"/>
      <c r="BT963" s="69"/>
      <c r="BU963" t="b">
        <f t="shared" si="15"/>
        <v>0</v>
      </c>
    </row>
    <row r="964" spans="1:73" x14ac:dyDescent="0.25">
      <c r="A964" s="28"/>
      <c r="B964" s="29"/>
      <c r="C964" s="29"/>
      <c r="D964" s="30"/>
      <c r="E964" s="29"/>
      <c r="F964" s="30"/>
      <c r="G964" s="29"/>
      <c r="H964" s="69"/>
      <c r="I964" s="64"/>
      <c r="J964" s="69"/>
      <c r="K964" s="64"/>
      <c r="L964" s="69"/>
      <c r="M964" s="65"/>
      <c r="N964" s="69"/>
      <c r="O964" s="64"/>
      <c r="P964" s="69"/>
      <c r="Q964" s="64"/>
      <c r="R964" s="69"/>
      <c r="S964" s="64"/>
      <c r="T964" s="69"/>
      <c r="U964" s="64"/>
      <c r="V964" s="69"/>
      <c r="W964" s="65"/>
      <c r="X964" s="69"/>
      <c r="Y964" s="64"/>
      <c r="Z964" s="69"/>
      <c r="AA964" s="64"/>
      <c r="AB964" s="69"/>
      <c r="AC964" s="64"/>
      <c r="AD964" s="69"/>
      <c r="AE964" s="65"/>
      <c r="AF964" s="69"/>
      <c r="AG964" s="65"/>
      <c r="AH964" s="69"/>
      <c r="AI964" s="64"/>
      <c r="AJ964" s="69"/>
      <c r="AK964" s="64"/>
      <c r="AL964" s="69"/>
      <c r="AM964" s="64"/>
      <c r="AN964" s="69"/>
      <c r="AO964" s="64"/>
      <c r="AP964" s="69"/>
      <c r="AQ964" s="64"/>
      <c r="AR964" s="69"/>
      <c r="AS964" s="64"/>
      <c r="AT964" s="69"/>
      <c r="AU964" s="64"/>
      <c r="AV964" s="69"/>
      <c r="AW964" s="64"/>
      <c r="AX964" s="69"/>
      <c r="AY964" s="64"/>
      <c r="AZ964" s="69"/>
      <c r="BA964" s="64"/>
      <c r="BB964" s="69"/>
      <c r="BC964" s="64"/>
      <c r="BD964" s="69"/>
      <c r="BE964" s="64"/>
      <c r="BF964" s="69"/>
      <c r="BG964" s="64"/>
      <c r="BH964" s="69"/>
      <c r="BI964" s="64"/>
      <c r="BJ964" s="69"/>
      <c r="BK964" s="64"/>
      <c r="BL964" s="69"/>
      <c r="BM964" s="64"/>
      <c r="BN964" s="69"/>
      <c r="BO964" s="64"/>
      <c r="BP964" s="69"/>
      <c r="BQ964" s="64"/>
      <c r="BR964" s="69"/>
      <c r="BS964" s="64"/>
      <c r="BT964" s="69"/>
      <c r="BU964" t="b">
        <f t="shared" si="15"/>
        <v>0</v>
      </c>
    </row>
    <row r="965" spans="1:73" x14ac:dyDescent="0.25">
      <c r="A965" s="28"/>
      <c r="B965" s="29"/>
      <c r="C965" s="29"/>
      <c r="D965" s="30"/>
      <c r="E965" s="29"/>
      <c r="F965" s="30"/>
      <c r="G965" s="29"/>
      <c r="H965" s="69"/>
      <c r="I965" s="64"/>
      <c r="J965" s="69"/>
      <c r="K965" s="64"/>
      <c r="L965" s="69"/>
      <c r="M965" s="65"/>
      <c r="N965" s="69"/>
      <c r="O965" s="64"/>
      <c r="P965" s="69"/>
      <c r="Q965" s="64"/>
      <c r="R965" s="69"/>
      <c r="S965" s="64"/>
      <c r="T965" s="69"/>
      <c r="U965" s="64"/>
      <c r="V965" s="69"/>
      <c r="W965" s="65"/>
      <c r="X965" s="69"/>
      <c r="Y965" s="64"/>
      <c r="Z965" s="69"/>
      <c r="AA965" s="64"/>
      <c r="AB965" s="69"/>
      <c r="AC965" s="64"/>
      <c r="AD965" s="69"/>
      <c r="AE965" s="65"/>
      <c r="AF965" s="69"/>
      <c r="AG965" s="65"/>
      <c r="AH965" s="69"/>
      <c r="AI965" s="64"/>
      <c r="AJ965" s="69"/>
      <c r="AK965" s="64"/>
      <c r="AL965" s="69"/>
      <c r="AM965" s="64"/>
      <c r="AN965" s="69"/>
      <c r="AO965" s="64"/>
      <c r="AP965" s="69"/>
      <c r="AQ965" s="64"/>
      <c r="AR965" s="69"/>
      <c r="AS965" s="64"/>
      <c r="AT965" s="69"/>
      <c r="AU965" s="64"/>
      <c r="AV965" s="69"/>
      <c r="AW965" s="64"/>
      <c r="AX965" s="69"/>
      <c r="AY965" s="64"/>
      <c r="AZ965" s="69"/>
      <c r="BA965" s="64"/>
      <c r="BB965" s="69"/>
      <c r="BC965" s="64"/>
      <c r="BD965" s="69"/>
      <c r="BE965" s="64"/>
      <c r="BF965" s="69"/>
      <c r="BG965" s="64"/>
      <c r="BH965" s="69"/>
      <c r="BI965" s="64"/>
      <c r="BJ965" s="69"/>
      <c r="BK965" s="64"/>
      <c r="BL965" s="69"/>
      <c r="BM965" s="64"/>
      <c r="BN965" s="69"/>
      <c r="BO965" s="64"/>
      <c r="BP965" s="69"/>
      <c r="BQ965" s="64"/>
      <c r="BR965" s="69"/>
      <c r="BS965" s="64"/>
      <c r="BT965" s="69"/>
      <c r="BU965" t="b">
        <f t="shared" si="15"/>
        <v>0</v>
      </c>
    </row>
    <row r="966" spans="1:73" x14ac:dyDescent="0.25">
      <c r="A966" s="28"/>
      <c r="B966" s="29"/>
      <c r="C966" s="29"/>
      <c r="D966" s="30"/>
      <c r="E966" s="29"/>
      <c r="F966" s="30"/>
      <c r="G966" s="29"/>
      <c r="H966" s="69"/>
      <c r="I966" s="64"/>
      <c r="J966" s="69"/>
      <c r="K966" s="64"/>
      <c r="L966" s="69"/>
      <c r="M966" s="65"/>
      <c r="N966" s="69"/>
      <c r="O966" s="64"/>
      <c r="P966" s="69"/>
      <c r="Q966" s="64"/>
      <c r="R966" s="69"/>
      <c r="S966" s="64"/>
      <c r="T966" s="69"/>
      <c r="U966" s="64"/>
      <c r="V966" s="69"/>
      <c r="W966" s="65"/>
      <c r="X966" s="69"/>
      <c r="Y966" s="64"/>
      <c r="Z966" s="69"/>
      <c r="AA966" s="64"/>
      <c r="AB966" s="69"/>
      <c r="AC966" s="64"/>
      <c r="AD966" s="69"/>
      <c r="AE966" s="65"/>
      <c r="AF966" s="69"/>
      <c r="AG966" s="65"/>
      <c r="AH966" s="69"/>
      <c r="AI966" s="64"/>
      <c r="AJ966" s="69"/>
      <c r="AK966" s="64"/>
      <c r="AL966" s="69"/>
      <c r="AM966" s="64"/>
      <c r="AN966" s="69"/>
      <c r="AO966" s="64"/>
      <c r="AP966" s="69"/>
      <c r="AQ966" s="64"/>
      <c r="AR966" s="69"/>
      <c r="AS966" s="64"/>
      <c r="AT966" s="69"/>
      <c r="AU966" s="64"/>
      <c r="AV966" s="69"/>
      <c r="AW966" s="64"/>
      <c r="AX966" s="69"/>
      <c r="AY966" s="64"/>
      <c r="AZ966" s="69"/>
      <c r="BA966" s="64"/>
      <c r="BB966" s="69"/>
      <c r="BC966" s="64"/>
      <c r="BD966" s="69"/>
      <c r="BE966" s="64"/>
      <c r="BF966" s="69"/>
      <c r="BG966" s="64"/>
      <c r="BH966" s="69"/>
      <c r="BI966" s="64"/>
      <c r="BJ966" s="69"/>
      <c r="BK966" s="64"/>
      <c r="BL966" s="69"/>
      <c r="BM966" s="64"/>
      <c r="BN966" s="69"/>
      <c r="BO966" s="64"/>
      <c r="BP966" s="69"/>
      <c r="BQ966" s="64"/>
      <c r="BR966" s="69"/>
      <c r="BS966" s="64"/>
      <c r="BT966" s="69"/>
      <c r="BU966" t="b">
        <f t="shared" si="15"/>
        <v>0</v>
      </c>
    </row>
    <row r="967" spans="1:73" x14ac:dyDescent="0.25">
      <c r="A967" s="28"/>
      <c r="B967" s="29"/>
      <c r="C967" s="29"/>
      <c r="D967" s="30"/>
      <c r="E967" s="29"/>
      <c r="F967" s="30"/>
      <c r="G967" s="29"/>
      <c r="H967" s="69"/>
      <c r="I967" s="64"/>
      <c r="J967" s="69"/>
      <c r="K967" s="64"/>
      <c r="L967" s="69"/>
      <c r="M967" s="65"/>
      <c r="N967" s="69"/>
      <c r="O967" s="64"/>
      <c r="P967" s="69"/>
      <c r="Q967" s="64"/>
      <c r="R967" s="69"/>
      <c r="S967" s="64"/>
      <c r="T967" s="69"/>
      <c r="U967" s="64"/>
      <c r="V967" s="69"/>
      <c r="W967" s="65"/>
      <c r="X967" s="69"/>
      <c r="Y967" s="64"/>
      <c r="Z967" s="69"/>
      <c r="AA967" s="64"/>
      <c r="AB967" s="69"/>
      <c r="AC967" s="64"/>
      <c r="AD967" s="69"/>
      <c r="AE967" s="65"/>
      <c r="AF967" s="69"/>
      <c r="AG967" s="65"/>
      <c r="AH967" s="69"/>
      <c r="AI967" s="64"/>
      <c r="AJ967" s="69"/>
      <c r="AK967" s="64"/>
      <c r="AL967" s="69"/>
      <c r="AM967" s="64"/>
      <c r="AN967" s="69"/>
      <c r="AO967" s="64"/>
      <c r="AP967" s="69"/>
      <c r="AQ967" s="64"/>
      <c r="AR967" s="69"/>
      <c r="AS967" s="64"/>
      <c r="AT967" s="69"/>
      <c r="AU967" s="64"/>
      <c r="AV967" s="69"/>
      <c r="AW967" s="64"/>
      <c r="AX967" s="69"/>
      <c r="AY967" s="64"/>
      <c r="AZ967" s="69"/>
      <c r="BA967" s="64"/>
      <c r="BB967" s="69"/>
      <c r="BC967" s="64"/>
      <c r="BD967" s="69"/>
      <c r="BE967" s="64"/>
      <c r="BF967" s="69"/>
      <c r="BG967" s="64"/>
      <c r="BH967" s="69"/>
      <c r="BI967" s="64"/>
      <c r="BJ967" s="69"/>
      <c r="BK967" s="64"/>
      <c r="BL967" s="69"/>
      <c r="BM967" s="64"/>
      <c r="BN967" s="69"/>
      <c r="BO967" s="64"/>
      <c r="BP967" s="69"/>
      <c r="BQ967" s="64"/>
      <c r="BR967" s="69"/>
      <c r="BS967" s="64"/>
      <c r="BT967" s="69"/>
      <c r="BU967" t="b">
        <f t="shared" si="15"/>
        <v>0</v>
      </c>
    </row>
    <row r="968" spans="1:73" x14ac:dyDescent="0.25">
      <c r="A968" s="28"/>
      <c r="B968" s="29"/>
      <c r="C968" s="29"/>
      <c r="D968" s="30"/>
      <c r="E968" s="29"/>
      <c r="F968" s="30"/>
      <c r="G968" s="29"/>
      <c r="H968" s="69"/>
      <c r="I968" s="64"/>
      <c r="J968" s="69"/>
      <c r="K968" s="64"/>
      <c r="L968" s="69"/>
      <c r="M968" s="65"/>
      <c r="N968" s="69"/>
      <c r="O968" s="64"/>
      <c r="P968" s="69"/>
      <c r="Q968" s="64"/>
      <c r="R968" s="69"/>
      <c r="S968" s="64"/>
      <c r="T968" s="69"/>
      <c r="U968" s="64"/>
      <c r="V968" s="69"/>
      <c r="W968" s="65"/>
      <c r="X968" s="69"/>
      <c r="Y968" s="64"/>
      <c r="Z968" s="69"/>
      <c r="AA968" s="64"/>
      <c r="AB968" s="69"/>
      <c r="AC968" s="64"/>
      <c r="AD968" s="69"/>
      <c r="AE968" s="65"/>
      <c r="AF968" s="69"/>
      <c r="AG968" s="65"/>
      <c r="AH968" s="69"/>
      <c r="AI968" s="64"/>
      <c r="AJ968" s="69"/>
      <c r="AK968" s="64"/>
      <c r="AL968" s="69"/>
      <c r="AM968" s="64"/>
      <c r="AN968" s="69"/>
      <c r="AO968" s="64"/>
      <c r="AP968" s="69"/>
      <c r="AQ968" s="64"/>
      <c r="AR968" s="69"/>
      <c r="AS968" s="64"/>
      <c r="AT968" s="69"/>
      <c r="AU968" s="64"/>
      <c r="AV968" s="69"/>
      <c r="AW968" s="64"/>
      <c r="AX968" s="69"/>
      <c r="AY968" s="64"/>
      <c r="AZ968" s="69"/>
      <c r="BA968" s="64"/>
      <c r="BB968" s="69"/>
      <c r="BC968" s="64"/>
      <c r="BD968" s="69"/>
      <c r="BE968" s="64"/>
      <c r="BF968" s="69"/>
      <c r="BG968" s="64"/>
      <c r="BH968" s="69"/>
      <c r="BI968" s="64"/>
      <c r="BJ968" s="69"/>
      <c r="BK968" s="64"/>
      <c r="BL968" s="69"/>
      <c r="BM968" s="64"/>
      <c r="BN968" s="69"/>
      <c r="BO968" s="64"/>
      <c r="BP968" s="69"/>
      <c r="BQ968" s="64"/>
      <c r="BR968" s="69"/>
      <c r="BS968" s="64"/>
      <c r="BT968" s="69"/>
      <c r="BU968" t="b">
        <f t="shared" si="15"/>
        <v>0</v>
      </c>
    </row>
    <row r="969" spans="1:73" x14ac:dyDescent="0.25">
      <c r="A969" s="28"/>
      <c r="B969" s="29"/>
      <c r="C969" s="29"/>
      <c r="D969" s="30"/>
      <c r="E969" s="29"/>
      <c r="F969" s="30"/>
      <c r="G969" s="29"/>
      <c r="H969" s="69"/>
      <c r="I969" s="64"/>
      <c r="J969" s="69"/>
      <c r="K969" s="64"/>
      <c r="L969" s="69"/>
      <c r="M969" s="65"/>
      <c r="N969" s="69"/>
      <c r="O969" s="64"/>
      <c r="P969" s="69"/>
      <c r="Q969" s="64"/>
      <c r="R969" s="69"/>
      <c r="S969" s="64"/>
      <c r="T969" s="69"/>
      <c r="U969" s="64"/>
      <c r="V969" s="69"/>
      <c r="W969" s="65"/>
      <c r="X969" s="69"/>
      <c r="Y969" s="64"/>
      <c r="Z969" s="69"/>
      <c r="AA969" s="64"/>
      <c r="AB969" s="69"/>
      <c r="AC969" s="64"/>
      <c r="AD969" s="69"/>
      <c r="AE969" s="65"/>
      <c r="AF969" s="69"/>
      <c r="AG969" s="65"/>
      <c r="AH969" s="69"/>
      <c r="AI969" s="64"/>
      <c r="AJ969" s="69"/>
      <c r="AK969" s="64"/>
      <c r="AL969" s="69"/>
      <c r="AM969" s="64"/>
      <c r="AN969" s="69"/>
      <c r="AO969" s="64"/>
      <c r="AP969" s="69"/>
      <c r="AQ969" s="64"/>
      <c r="AR969" s="69"/>
      <c r="AS969" s="64"/>
      <c r="AT969" s="69"/>
      <c r="AU969" s="64"/>
      <c r="AV969" s="69"/>
      <c r="AW969" s="64"/>
      <c r="AX969" s="69"/>
      <c r="AY969" s="64"/>
      <c r="AZ969" s="69"/>
      <c r="BA969" s="64"/>
      <c r="BB969" s="69"/>
      <c r="BC969" s="64"/>
      <c r="BD969" s="69"/>
      <c r="BE969" s="64"/>
      <c r="BF969" s="69"/>
      <c r="BG969" s="64"/>
      <c r="BH969" s="69"/>
      <c r="BI969" s="64"/>
      <c r="BJ969" s="69"/>
      <c r="BK969" s="64"/>
      <c r="BL969" s="69"/>
      <c r="BM969" s="64"/>
      <c r="BN969" s="69"/>
      <c r="BO969" s="64"/>
      <c r="BP969" s="69"/>
      <c r="BQ969" s="64"/>
      <c r="BR969" s="69"/>
      <c r="BS969" s="64"/>
      <c r="BT969" s="69"/>
      <c r="BU969" t="b">
        <f t="shared" si="15"/>
        <v>0</v>
      </c>
    </row>
    <row r="970" spans="1:73" x14ac:dyDescent="0.25">
      <c r="A970" s="28"/>
      <c r="B970" s="29"/>
      <c r="C970" s="29"/>
      <c r="D970" s="30"/>
      <c r="E970" s="29"/>
      <c r="F970" s="30"/>
      <c r="G970" s="29"/>
      <c r="H970" s="69"/>
      <c r="I970" s="64"/>
      <c r="J970" s="69"/>
      <c r="K970" s="64"/>
      <c r="L970" s="69"/>
      <c r="M970" s="65"/>
      <c r="N970" s="69"/>
      <c r="O970" s="64"/>
      <c r="P970" s="69"/>
      <c r="Q970" s="64"/>
      <c r="R970" s="69"/>
      <c r="S970" s="64"/>
      <c r="T970" s="69"/>
      <c r="U970" s="64"/>
      <c r="V970" s="69"/>
      <c r="W970" s="65"/>
      <c r="X970" s="69"/>
      <c r="Y970" s="64"/>
      <c r="Z970" s="69"/>
      <c r="AA970" s="64"/>
      <c r="AB970" s="69"/>
      <c r="AC970" s="64"/>
      <c r="AD970" s="69"/>
      <c r="AE970" s="65"/>
      <c r="AF970" s="69"/>
      <c r="AG970" s="65"/>
      <c r="AH970" s="69"/>
      <c r="AI970" s="64"/>
      <c r="AJ970" s="69"/>
      <c r="AK970" s="64"/>
      <c r="AL970" s="69"/>
      <c r="AM970" s="64"/>
      <c r="AN970" s="69"/>
      <c r="AO970" s="64"/>
      <c r="AP970" s="69"/>
      <c r="AQ970" s="64"/>
      <c r="AR970" s="69"/>
      <c r="AS970" s="64"/>
      <c r="AT970" s="69"/>
      <c r="AU970" s="64"/>
      <c r="AV970" s="69"/>
      <c r="AW970" s="64"/>
      <c r="AX970" s="69"/>
      <c r="AY970" s="64"/>
      <c r="AZ970" s="69"/>
      <c r="BA970" s="64"/>
      <c r="BB970" s="69"/>
      <c r="BC970" s="64"/>
      <c r="BD970" s="69"/>
      <c r="BE970" s="64"/>
      <c r="BF970" s="69"/>
      <c r="BG970" s="64"/>
      <c r="BH970" s="69"/>
      <c r="BI970" s="64"/>
      <c r="BJ970" s="69"/>
      <c r="BK970" s="64"/>
      <c r="BL970" s="69"/>
      <c r="BM970" s="64"/>
      <c r="BN970" s="69"/>
      <c r="BO970" s="64"/>
      <c r="BP970" s="69"/>
      <c r="BQ970" s="64"/>
      <c r="BR970" s="69"/>
      <c r="BS970" s="64"/>
      <c r="BT970" s="69"/>
      <c r="BU970" t="b">
        <f t="shared" si="15"/>
        <v>0</v>
      </c>
    </row>
    <row r="971" spans="1:73" x14ac:dyDescent="0.25">
      <c r="A971" s="28"/>
      <c r="B971" s="29"/>
      <c r="C971" s="29"/>
      <c r="D971" s="30"/>
      <c r="E971" s="29"/>
      <c r="F971" s="30"/>
      <c r="G971" s="29"/>
      <c r="H971" s="69"/>
      <c r="I971" s="64"/>
      <c r="J971" s="69"/>
      <c r="K971" s="64"/>
      <c r="L971" s="69"/>
      <c r="M971" s="65"/>
      <c r="N971" s="69"/>
      <c r="O971" s="64"/>
      <c r="P971" s="69"/>
      <c r="Q971" s="64"/>
      <c r="R971" s="69"/>
      <c r="S971" s="64"/>
      <c r="T971" s="69"/>
      <c r="U971" s="64"/>
      <c r="V971" s="69"/>
      <c r="W971" s="65"/>
      <c r="X971" s="69"/>
      <c r="Y971" s="64"/>
      <c r="Z971" s="69"/>
      <c r="AA971" s="64"/>
      <c r="AB971" s="69"/>
      <c r="AC971" s="64"/>
      <c r="AD971" s="69"/>
      <c r="AE971" s="65"/>
      <c r="AF971" s="69"/>
      <c r="AG971" s="65"/>
      <c r="AH971" s="69"/>
      <c r="AI971" s="64"/>
      <c r="AJ971" s="69"/>
      <c r="AK971" s="64"/>
      <c r="AL971" s="69"/>
      <c r="AM971" s="64"/>
      <c r="AN971" s="69"/>
      <c r="AO971" s="64"/>
      <c r="AP971" s="69"/>
      <c r="AQ971" s="64"/>
      <c r="AR971" s="69"/>
      <c r="AS971" s="64"/>
      <c r="AT971" s="69"/>
      <c r="AU971" s="64"/>
      <c r="AV971" s="69"/>
      <c r="AW971" s="64"/>
      <c r="AX971" s="69"/>
      <c r="AY971" s="64"/>
      <c r="AZ971" s="69"/>
      <c r="BA971" s="64"/>
      <c r="BB971" s="69"/>
      <c r="BC971" s="64"/>
      <c r="BD971" s="69"/>
      <c r="BE971" s="64"/>
      <c r="BF971" s="69"/>
      <c r="BG971" s="64"/>
      <c r="BH971" s="69"/>
      <c r="BI971" s="64"/>
      <c r="BJ971" s="69"/>
      <c r="BK971" s="64"/>
      <c r="BL971" s="69"/>
      <c r="BM971" s="64"/>
      <c r="BN971" s="69"/>
      <c r="BO971" s="64"/>
      <c r="BP971" s="69"/>
      <c r="BQ971" s="64"/>
      <c r="BR971" s="69"/>
      <c r="BS971" s="64"/>
      <c r="BT971" s="69"/>
      <c r="BU971" t="b">
        <f t="shared" si="15"/>
        <v>0</v>
      </c>
    </row>
    <row r="972" spans="1:73" x14ac:dyDescent="0.25">
      <c r="A972" s="28"/>
      <c r="B972" s="29"/>
      <c r="C972" s="29"/>
      <c r="D972" s="30"/>
      <c r="E972" s="29"/>
      <c r="F972" s="30"/>
      <c r="G972" s="29"/>
      <c r="H972" s="69"/>
      <c r="I972" s="64"/>
      <c r="J972" s="69"/>
      <c r="K972" s="64"/>
      <c r="L972" s="69"/>
      <c r="M972" s="65"/>
      <c r="N972" s="69"/>
      <c r="O972" s="64"/>
      <c r="P972" s="69"/>
      <c r="Q972" s="64"/>
      <c r="R972" s="69"/>
      <c r="S972" s="64"/>
      <c r="T972" s="69"/>
      <c r="U972" s="64"/>
      <c r="V972" s="69"/>
      <c r="W972" s="65"/>
      <c r="X972" s="69"/>
      <c r="Y972" s="64"/>
      <c r="Z972" s="69"/>
      <c r="AA972" s="64"/>
      <c r="AB972" s="69"/>
      <c r="AC972" s="64"/>
      <c r="AD972" s="69"/>
      <c r="AE972" s="65"/>
      <c r="AF972" s="69"/>
      <c r="AG972" s="65"/>
      <c r="AH972" s="69"/>
      <c r="AI972" s="64"/>
      <c r="AJ972" s="69"/>
      <c r="AK972" s="64"/>
      <c r="AL972" s="69"/>
      <c r="AM972" s="64"/>
      <c r="AN972" s="69"/>
      <c r="AO972" s="64"/>
      <c r="AP972" s="69"/>
      <c r="AQ972" s="64"/>
      <c r="AR972" s="69"/>
      <c r="AS972" s="64"/>
      <c r="AT972" s="69"/>
      <c r="AU972" s="64"/>
      <c r="AV972" s="69"/>
      <c r="AW972" s="64"/>
      <c r="AX972" s="69"/>
      <c r="AY972" s="64"/>
      <c r="AZ972" s="69"/>
      <c r="BA972" s="64"/>
      <c r="BB972" s="69"/>
      <c r="BC972" s="64"/>
      <c r="BD972" s="69"/>
      <c r="BE972" s="64"/>
      <c r="BF972" s="69"/>
      <c r="BG972" s="64"/>
      <c r="BH972" s="69"/>
      <c r="BI972" s="64"/>
      <c r="BJ972" s="69"/>
      <c r="BK972" s="64"/>
      <c r="BL972" s="69"/>
      <c r="BM972" s="64"/>
      <c r="BN972" s="69"/>
      <c r="BO972" s="64"/>
      <c r="BP972" s="69"/>
      <c r="BQ972" s="64"/>
      <c r="BR972" s="69"/>
      <c r="BS972" s="64"/>
      <c r="BT972" s="69"/>
      <c r="BU972" t="b">
        <f t="shared" si="15"/>
        <v>0</v>
      </c>
    </row>
    <row r="973" spans="1:73" x14ac:dyDescent="0.25">
      <c r="A973" s="28"/>
      <c r="B973" s="29"/>
      <c r="C973" s="29"/>
      <c r="D973" s="30"/>
      <c r="E973" s="29"/>
      <c r="F973" s="30"/>
      <c r="G973" s="29"/>
      <c r="H973" s="69"/>
      <c r="I973" s="64"/>
      <c r="J973" s="69"/>
      <c r="K973" s="64"/>
      <c r="L973" s="69"/>
      <c r="M973" s="65"/>
      <c r="N973" s="69"/>
      <c r="O973" s="64"/>
      <c r="P973" s="69"/>
      <c r="Q973" s="64"/>
      <c r="R973" s="69"/>
      <c r="S973" s="64"/>
      <c r="T973" s="69"/>
      <c r="U973" s="64"/>
      <c r="V973" s="69"/>
      <c r="W973" s="65"/>
      <c r="X973" s="69"/>
      <c r="Y973" s="64"/>
      <c r="Z973" s="69"/>
      <c r="AA973" s="64"/>
      <c r="AB973" s="69"/>
      <c r="AC973" s="64"/>
      <c r="AD973" s="69"/>
      <c r="AE973" s="65"/>
      <c r="AF973" s="69"/>
      <c r="AG973" s="65"/>
      <c r="AH973" s="69"/>
      <c r="AI973" s="64"/>
      <c r="AJ973" s="69"/>
      <c r="AK973" s="64"/>
      <c r="AL973" s="69"/>
      <c r="AM973" s="64"/>
      <c r="AN973" s="69"/>
      <c r="AO973" s="64"/>
      <c r="AP973" s="69"/>
      <c r="AQ973" s="64"/>
      <c r="AR973" s="69"/>
      <c r="AS973" s="64"/>
      <c r="AT973" s="69"/>
      <c r="AU973" s="64"/>
      <c r="AV973" s="69"/>
      <c r="AW973" s="64"/>
      <c r="AX973" s="69"/>
      <c r="AY973" s="64"/>
      <c r="AZ973" s="69"/>
      <c r="BA973" s="64"/>
      <c r="BB973" s="69"/>
      <c r="BC973" s="64"/>
      <c r="BD973" s="69"/>
      <c r="BE973" s="64"/>
      <c r="BF973" s="69"/>
      <c r="BG973" s="64"/>
      <c r="BH973" s="69"/>
      <c r="BI973" s="64"/>
      <c r="BJ973" s="69"/>
      <c r="BK973" s="64"/>
      <c r="BL973" s="69"/>
      <c r="BM973" s="64"/>
      <c r="BN973" s="69"/>
      <c r="BO973" s="64"/>
      <c r="BP973" s="69"/>
      <c r="BQ973" s="64"/>
      <c r="BR973" s="69"/>
      <c r="BS973" s="64"/>
      <c r="BT973" s="69"/>
      <c r="BU973" t="b">
        <f t="shared" si="15"/>
        <v>0</v>
      </c>
    </row>
    <row r="974" spans="1:73" x14ac:dyDescent="0.25">
      <c r="A974" s="28"/>
      <c r="B974" s="29"/>
      <c r="C974" s="29"/>
      <c r="D974" s="30"/>
      <c r="E974" s="29"/>
      <c r="F974" s="30"/>
      <c r="G974" s="29"/>
      <c r="H974" s="69"/>
      <c r="I974" s="64"/>
      <c r="J974" s="69"/>
      <c r="K974" s="64"/>
      <c r="L974" s="69"/>
      <c r="M974" s="65"/>
      <c r="N974" s="69"/>
      <c r="O974" s="64"/>
      <c r="P974" s="69"/>
      <c r="Q974" s="64"/>
      <c r="R974" s="69"/>
      <c r="S974" s="64"/>
      <c r="T974" s="69"/>
      <c r="U974" s="64"/>
      <c r="V974" s="69"/>
      <c r="W974" s="65"/>
      <c r="X974" s="69"/>
      <c r="Y974" s="64"/>
      <c r="Z974" s="69"/>
      <c r="AA974" s="64"/>
      <c r="AB974" s="69"/>
      <c r="AC974" s="64"/>
      <c r="AD974" s="69"/>
      <c r="AE974" s="65"/>
      <c r="AF974" s="69"/>
      <c r="AG974" s="65"/>
      <c r="AH974" s="69"/>
      <c r="AI974" s="64"/>
      <c r="AJ974" s="69"/>
      <c r="AK974" s="64"/>
      <c r="AL974" s="69"/>
      <c r="AM974" s="64"/>
      <c r="AN974" s="69"/>
      <c r="AO974" s="64"/>
      <c r="AP974" s="69"/>
      <c r="AQ974" s="64"/>
      <c r="AR974" s="69"/>
      <c r="AS974" s="64"/>
      <c r="AT974" s="69"/>
      <c r="AU974" s="64"/>
      <c r="AV974" s="69"/>
      <c r="AW974" s="64"/>
      <c r="AX974" s="69"/>
      <c r="AY974" s="64"/>
      <c r="AZ974" s="69"/>
      <c r="BA974" s="64"/>
      <c r="BB974" s="69"/>
      <c r="BC974" s="64"/>
      <c r="BD974" s="69"/>
      <c r="BE974" s="64"/>
      <c r="BF974" s="69"/>
      <c r="BG974" s="64"/>
      <c r="BH974" s="69"/>
      <c r="BI974" s="64"/>
      <c r="BJ974" s="69"/>
      <c r="BK974" s="64"/>
      <c r="BL974" s="69"/>
      <c r="BM974" s="64"/>
      <c r="BN974" s="69"/>
      <c r="BO974" s="64"/>
      <c r="BP974" s="69"/>
      <c r="BQ974" s="64"/>
      <c r="BR974" s="69"/>
      <c r="BS974" s="64"/>
      <c r="BT974" s="69"/>
      <c r="BU974" t="b">
        <f t="shared" si="15"/>
        <v>0</v>
      </c>
    </row>
    <row r="975" spans="1:73" x14ac:dyDescent="0.25">
      <c r="A975" s="28"/>
      <c r="B975" s="29"/>
      <c r="C975" s="29"/>
      <c r="D975" s="30"/>
      <c r="E975" s="29"/>
      <c r="F975" s="30"/>
      <c r="G975" s="29"/>
      <c r="H975" s="69"/>
      <c r="I975" s="64"/>
      <c r="J975" s="69"/>
      <c r="K975" s="64"/>
      <c r="L975" s="69"/>
      <c r="M975" s="65"/>
      <c r="N975" s="69"/>
      <c r="O975" s="64"/>
      <c r="P975" s="69"/>
      <c r="Q975" s="64"/>
      <c r="R975" s="69"/>
      <c r="S975" s="64"/>
      <c r="T975" s="69"/>
      <c r="U975" s="64"/>
      <c r="V975" s="69"/>
      <c r="W975" s="65"/>
      <c r="X975" s="69"/>
      <c r="Y975" s="64"/>
      <c r="Z975" s="69"/>
      <c r="AA975" s="64"/>
      <c r="AB975" s="69"/>
      <c r="AC975" s="64"/>
      <c r="AD975" s="69"/>
      <c r="AE975" s="65"/>
      <c r="AF975" s="69"/>
      <c r="AG975" s="65"/>
      <c r="AH975" s="69"/>
      <c r="AI975" s="64"/>
      <c r="AJ975" s="69"/>
      <c r="AK975" s="64"/>
      <c r="AL975" s="69"/>
      <c r="AM975" s="64"/>
      <c r="AN975" s="69"/>
      <c r="AO975" s="64"/>
      <c r="AP975" s="69"/>
      <c r="AQ975" s="64"/>
      <c r="AR975" s="69"/>
      <c r="AS975" s="64"/>
      <c r="AT975" s="69"/>
      <c r="AU975" s="64"/>
      <c r="AV975" s="69"/>
      <c r="AW975" s="64"/>
      <c r="AX975" s="69"/>
      <c r="AY975" s="64"/>
      <c r="AZ975" s="69"/>
      <c r="BA975" s="64"/>
      <c r="BB975" s="69"/>
      <c r="BC975" s="64"/>
      <c r="BD975" s="69"/>
      <c r="BE975" s="64"/>
      <c r="BF975" s="69"/>
      <c r="BG975" s="64"/>
      <c r="BH975" s="69"/>
      <c r="BI975" s="64"/>
      <c r="BJ975" s="69"/>
      <c r="BK975" s="64"/>
      <c r="BL975" s="69"/>
      <c r="BM975" s="64"/>
      <c r="BN975" s="69"/>
      <c r="BO975" s="64"/>
      <c r="BP975" s="69"/>
      <c r="BQ975" s="64"/>
      <c r="BR975" s="69"/>
      <c r="BS975" s="64"/>
      <c r="BT975" s="69"/>
      <c r="BU975" t="b">
        <f t="shared" si="15"/>
        <v>0</v>
      </c>
    </row>
    <row r="976" spans="1:73" x14ac:dyDescent="0.25">
      <c r="A976" s="28"/>
      <c r="B976" s="29"/>
      <c r="C976" s="29"/>
      <c r="D976" s="30"/>
      <c r="E976" s="29"/>
      <c r="F976" s="30"/>
      <c r="G976" s="29"/>
      <c r="H976" s="69"/>
      <c r="I976" s="64"/>
      <c r="J976" s="69"/>
      <c r="K976" s="64"/>
      <c r="L976" s="69"/>
      <c r="M976" s="65"/>
      <c r="N976" s="69"/>
      <c r="O976" s="64"/>
      <c r="P976" s="69"/>
      <c r="Q976" s="64"/>
      <c r="R976" s="69"/>
      <c r="S976" s="64"/>
      <c r="T976" s="69"/>
      <c r="U976" s="64"/>
      <c r="V976" s="69"/>
      <c r="W976" s="65"/>
      <c r="X976" s="69"/>
      <c r="Y976" s="64"/>
      <c r="Z976" s="69"/>
      <c r="AA976" s="64"/>
      <c r="AB976" s="69"/>
      <c r="AC976" s="64"/>
      <c r="AD976" s="69"/>
      <c r="AE976" s="65"/>
      <c r="AF976" s="69"/>
      <c r="AG976" s="65"/>
      <c r="AH976" s="69"/>
      <c r="AI976" s="64"/>
      <c r="AJ976" s="69"/>
      <c r="AK976" s="64"/>
      <c r="AL976" s="69"/>
      <c r="AM976" s="64"/>
      <c r="AN976" s="69"/>
      <c r="AO976" s="64"/>
      <c r="AP976" s="69"/>
      <c r="AQ976" s="64"/>
      <c r="AR976" s="69"/>
      <c r="AS976" s="64"/>
      <c r="AT976" s="69"/>
      <c r="AU976" s="64"/>
      <c r="AV976" s="69"/>
      <c r="AW976" s="64"/>
      <c r="AX976" s="69"/>
      <c r="AY976" s="64"/>
      <c r="AZ976" s="69"/>
      <c r="BA976" s="64"/>
      <c r="BB976" s="69"/>
      <c r="BC976" s="64"/>
      <c r="BD976" s="69"/>
      <c r="BE976" s="64"/>
      <c r="BF976" s="69"/>
      <c r="BG976" s="64"/>
      <c r="BH976" s="69"/>
      <c r="BI976" s="64"/>
      <c r="BJ976" s="69"/>
      <c r="BK976" s="64"/>
      <c r="BL976" s="69"/>
      <c r="BM976" s="64"/>
      <c r="BN976" s="69"/>
      <c r="BO976" s="64"/>
      <c r="BP976" s="69"/>
      <c r="BQ976" s="64"/>
      <c r="BR976" s="69"/>
      <c r="BS976" s="64"/>
      <c r="BT976" s="69"/>
      <c r="BU976" t="b">
        <f t="shared" si="15"/>
        <v>0</v>
      </c>
    </row>
    <row r="977" spans="1:73" x14ac:dyDescent="0.25">
      <c r="A977" s="28"/>
      <c r="B977" s="29"/>
      <c r="C977" s="29"/>
      <c r="D977" s="30"/>
      <c r="E977" s="29"/>
      <c r="F977" s="30"/>
      <c r="G977" s="29"/>
      <c r="H977" s="69"/>
      <c r="I977" s="64"/>
      <c r="J977" s="69"/>
      <c r="K977" s="64"/>
      <c r="L977" s="69"/>
      <c r="M977" s="65"/>
      <c r="N977" s="69"/>
      <c r="O977" s="64"/>
      <c r="P977" s="69"/>
      <c r="Q977" s="64"/>
      <c r="R977" s="69"/>
      <c r="S977" s="64"/>
      <c r="T977" s="69"/>
      <c r="U977" s="64"/>
      <c r="V977" s="69"/>
      <c r="W977" s="65"/>
      <c r="X977" s="69"/>
      <c r="Y977" s="64"/>
      <c r="Z977" s="69"/>
      <c r="AA977" s="64"/>
      <c r="AB977" s="69"/>
      <c r="AC977" s="64"/>
      <c r="AD977" s="69"/>
      <c r="AE977" s="65"/>
      <c r="AF977" s="69"/>
      <c r="AG977" s="65"/>
      <c r="AH977" s="69"/>
      <c r="AI977" s="64"/>
      <c r="AJ977" s="69"/>
      <c r="AK977" s="64"/>
      <c r="AL977" s="69"/>
      <c r="AM977" s="64"/>
      <c r="AN977" s="69"/>
      <c r="AO977" s="64"/>
      <c r="AP977" s="69"/>
      <c r="AQ977" s="64"/>
      <c r="AR977" s="69"/>
      <c r="AS977" s="64"/>
      <c r="AT977" s="69"/>
      <c r="AU977" s="64"/>
      <c r="AV977" s="69"/>
      <c r="AW977" s="64"/>
      <c r="AX977" s="69"/>
      <c r="AY977" s="64"/>
      <c r="AZ977" s="69"/>
      <c r="BA977" s="64"/>
      <c r="BB977" s="69"/>
      <c r="BC977" s="64"/>
      <c r="BD977" s="69"/>
      <c r="BE977" s="64"/>
      <c r="BF977" s="69"/>
      <c r="BG977" s="64"/>
      <c r="BH977" s="69"/>
      <c r="BI977" s="64"/>
      <c r="BJ977" s="69"/>
      <c r="BK977" s="64"/>
      <c r="BL977" s="69"/>
      <c r="BM977" s="64"/>
      <c r="BN977" s="69"/>
      <c r="BO977" s="64"/>
      <c r="BP977" s="69"/>
      <c r="BQ977" s="64"/>
      <c r="BR977" s="69"/>
      <c r="BS977" s="64"/>
      <c r="BT977" s="69"/>
      <c r="BU977" t="b">
        <f t="shared" si="15"/>
        <v>0</v>
      </c>
    </row>
    <row r="978" spans="1:73" x14ac:dyDescent="0.25">
      <c r="A978" s="28"/>
      <c r="B978" s="29"/>
      <c r="C978" s="29"/>
      <c r="D978" s="30"/>
      <c r="E978" s="29"/>
      <c r="F978" s="30"/>
      <c r="G978" s="29"/>
      <c r="H978" s="69"/>
      <c r="I978" s="64"/>
      <c r="J978" s="69"/>
      <c r="K978" s="64"/>
      <c r="L978" s="69"/>
      <c r="M978" s="65"/>
      <c r="N978" s="69"/>
      <c r="O978" s="64"/>
      <c r="P978" s="69"/>
      <c r="Q978" s="64"/>
      <c r="R978" s="69"/>
      <c r="S978" s="64"/>
      <c r="T978" s="69"/>
      <c r="U978" s="64"/>
      <c r="V978" s="69"/>
      <c r="W978" s="65"/>
      <c r="X978" s="69"/>
      <c r="Y978" s="64"/>
      <c r="Z978" s="69"/>
      <c r="AA978" s="64"/>
      <c r="AB978" s="69"/>
      <c r="AC978" s="64"/>
      <c r="AD978" s="69"/>
      <c r="AE978" s="65"/>
      <c r="AF978" s="69"/>
      <c r="AG978" s="65"/>
      <c r="AH978" s="69"/>
      <c r="AI978" s="64"/>
      <c r="AJ978" s="69"/>
      <c r="AK978" s="64"/>
      <c r="AL978" s="69"/>
      <c r="AM978" s="64"/>
      <c r="AN978" s="69"/>
      <c r="AO978" s="64"/>
      <c r="AP978" s="69"/>
      <c r="AQ978" s="64"/>
      <c r="AR978" s="69"/>
      <c r="AS978" s="64"/>
      <c r="AT978" s="69"/>
      <c r="AU978" s="64"/>
      <c r="AV978" s="69"/>
      <c r="AW978" s="64"/>
      <c r="AX978" s="69"/>
      <c r="AY978" s="64"/>
      <c r="AZ978" s="69"/>
      <c r="BA978" s="64"/>
      <c r="BB978" s="69"/>
      <c r="BC978" s="64"/>
      <c r="BD978" s="69"/>
      <c r="BE978" s="64"/>
      <c r="BF978" s="69"/>
      <c r="BG978" s="64"/>
      <c r="BH978" s="69"/>
      <c r="BI978" s="64"/>
      <c r="BJ978" s="69"/>
      <c r="BK978" s="64"/>
      <c r="BL978" s="69"/>
      <c r="BM978" s="64"/>
      <c r="BN978" s="69"/>
      <c r="BO978" s="64"/>
      <c r="BP978" s="69"/>
      <c r="BQ978" s="64"/>
      <c r="BR978" s="69"/>
      <c r="BS978" s="64"/>
      <c r="BT978" s="69"/>
      <c r="BU978" t="b">
        <f t="shared" si="15"/>
        <v>0</v>
      </c>
    </row>
    <row r="979" spans="1:73" x14ac:dyDescent="0.25">
      <c r="A979" s="28"/>
      <c r="B979" s="29"/>
      <c r="C979" s="29"/>
      <c r="D979" s="30"/>
      <c r="E979" s="29"/>
      <c r="F979" s="30"/>
      <c r="G979" s="29"/>
      <c r="H979" s="69"/>
      <c r="I979" s="64"/>
      <c r="J979" s="69"/>
      <c r="K979" s="64"/>
      <c r="L979" s="69"/>
      <c r="M979" s="65"/>
      <c r="N979" s="69"/>
      <c r="O979" s="64"/>
      <c r="P979" s="69"/>
      <c r="Q979" s="64"/>
      <c r="R979" s="69"/>
      <c r="S979" s="64"/>
      <c r="T979" s="69"/>
      <c r="U979" s="64"/>
      <c r="V979" s="69"/>
      <c r="W979" s="65"/>
      <c r="X979" s="69"/>
      <c r="Y979" s="64"/>
      <c r="Z979" s="69"/>
      <c r="AA979" s="64"/>
      <c r="AB979" s="69"/>
      <c r="AC979" s="64"/>
      <c r="AD979" s="69"/>
      <c r="AE979" s="65"/>
      <c r="AF979" s="69"/>
      <c r="AG979" s="65"/>
      <c r="AH979" s="69"/>
      <c r="AI979" s="64"/>
      <c r="AJ979" s="69"/>
      <c r="AK979" s="64"/>
      <c r="AL979" s="69"/>
      <c r="AM979" s="64"/>
      <c r="AN979" s="69"/>
      <c r="AO979" s="64"/>
      <c r="AP979" s="69"/>
      <c r="AQ979" s="64"/>
      <c r="AR979" s="69"/>
      <c r="AS979" s="64"/>
      <c r="AT979" s="69"/>
      <c r="AU979" s="64"/>
      <c r="AV979" s="69"/>
      <c r="AW979" s="64"/>
      <c r="AX979" s="69"/>
      <c r="AY979" s="64"/>
      <c r="AZ979" s="69"/>
      <c r="BA979" s="64"/>
      <c r="BB979" s="69"/>
      <c r="BC979" s="64"/>
      <c r="BD979" s="69"/>
      <c r="BE979" s="64"/>
      <c r="BF979" s="69"/>
      <c r="BG979" s="64"/>
      <c r="BH979" s="69"/>
      <c r="BI979" s="64"/>
      <c r="BJ979" s="69"/>
      <c r="BK979" s="64"/>
      <c r="BL979" s="69"/>
      <c r="BM979" s="64"/>
      <c r="BN979" s="69"/>
      <c r="BO979" s="64"/>
      <c r="BP979" s="69"/>
      <c r="BQ979" s="64"/>
      <c r="BR979" s="69"/>
      <c r="BS979" s="64"/>
      <c r="BT979" s="69"/>
      <c r="BU979" t="b">
        <f t="shared" si="15"/>
        <v>0</v>
      </c>
    </row>
    <row r="980" spans="1:73" x14ac:dyDescent="0.25">
      <c r="A980" s="28"/>
      <c r="B980" s="29"/>
      <c r="C980" s="29"/>
      <c r="D980" s="30"/>
      <c r="E980" s="29"/>
      <c r="F980" s="30"/>
      <c r="G980" s="29"/>
      <c r="H980" s="69"/>
      <c r="I980" s="64"/>
      <c r="J980" s="69"/>
      <c r="K980" s="64"/>
      <c r="L980" s="69"/>
      <c r="M980" s="65"/>
      <c r="N980" s="69"/>
      <c r="O980" s="64"/>
      <c r="P980" s="69"/>
      <c r="Q980" s="64"/>
      <c r="R980" s="69"/>
      <c r="S980" s="64"/>
      <c r="T980" s="69"/>
      <c r="U980" s="64"/>
      <c r="V980" s="69"/>
      <c r="W980" s="65"/>
      <c r="X980" s="69"/>
      <c r="Y980" s="64"/>
      <c r="Z980" s="69"/>
      <c r="AA980" s="64"/>
      <c r="AB980" s="69"/>
      <c r="AC980" s="64"/>
      <c r="AD980" s="69"/>
      <c r="AE980" s="65"/>
      <c r="AF980" s="69"/>
      <c r="AG980" s="65"/>
      <c r="AH980" s="69"/>
      <c r="AI980" s="64"/>
      <c r="AJ980" s="69"/>
      <c r="AK980" s="64"/>
      <c r="AL980" s="69"/>
      <c r="AM980" s="64"/>
      <c r="AN980" s="69"/>
      <c r="AO980" s="64"/>
      <c r="AP980" s="69"/>
      <c r="AQ980" s="64"/>
      <c r="AR980" s="69"/>
      <c r="AS980" s="64"/>
      <c r="AT980" s="69"/>
      <c r="AU980" s="64"/>
      <c r="AV980" s="69"/>
      <c r="AW980" s="64"/>
      <c r="AX980" s="69"/>
      <c r="AY980" s="64"/>
      <c r="AZ980" s="69"/>
      <c r="BA980" s="64"/>
      <c r="BB980" s="69"/>
      <c r="BC980" s="64"/>
      <c r="BD980" s="69"/>
      <c r="BE980" s="64"/>
      <c r="BF980" s="69"/>
      <c r="BG980" s="64"/>
      <c r="BH980" s="69"/>
      <c r="BI980" s="64"/>
      <c r="BJ980" s="69"/>
      <c r="BK980" s="64"/>
      <c r="BL980" s="69"/>
      <c r="BM980" s="64"/>
      <c r="BN980" s="69"/>
      <c r="BO980" s="64"/>
      <c r="BP980" s="69"/>
      <c r="BQ980" s="64"/>
      <c r="BR980" s="69"/>
      <c r="BS980" s="64"/>
      <c r="BT980" s="69"/>
      <c r="BU980" t="b">
        <f t="shared" si="15"/>
        <v>0</v>
      </c>
    </row>
    <row r="981" spans="1:73" x14ac:dyDescent="0.25">
      <c r="A981" s="28"/>
      <c r="B981" s="29"/>
      <c r="C981" s="29"/>
      <c r="D981" s="30"/>
      <c r="E981" s="29"/>
      <c r="F981" s="30"/>
      <c r="G981" s="29"/>
      <c r="H981" s="69"/>
      <c r="I981" s="64"/>
      <c r="J981" s="69"/>
      <c r="K981" s="64"/>
      <c r="L981" s="69"/>
      <c r="M981" s="65"/>
      <c r="N981" s="69"/>
      <c r="O981" s="64"/>
      <c r="P981" s="69"/>
      <c r="Q981" s="64"/>
      <c r="R981" s="69"/>
      <c r="S981" s="64"/>
      <c r="T981" s="69"/>
      <c r="U981" s="64"/>
      <c r="V981" s="69"/>
      <c r="W981" s="65"/>
      <c r="X981" s="69"/>
      <c r="Y981" s="64"/>
      <c r="Z981" s="69"/>
      <c r="AA981" s="64"/>
      <c r="AB981" s="69"/>
      <c r="AC981" s="64"/>
      <c r="AD981" s="69"/>
      <c r="AE981" s="65"/>
      <c r="AF981" s="69"/>
      <c r="AG981" s="65"/>
      <c r="AH981" s="69"/>
      <c r="AI981" s="64"/>
      <c r="AJ981" s="69"/>
      <c r="AK981" s="64"/>
      <c r="AL981" s="69"/>
      <c r="AM981" s="64"/>
      <c r="AN981" s="69"/>
      <c r="AO981" s="64"/>
      <c r="AP981" s="69"/>
      <c r="AQ981" s="64"/>
      <c r="AR981" s="69"/>
      <c r="AS981" s="64"/>
      <c r="AT981" s="69"/>
      <c r="AU981" s="64"/>
      <c r="AV981" s="69"/>
      <c r="AW981" s="64"/>
      <c r="AX981" s="69"/>
      <c r="AY981" s="64"/>
      <c r="AZ981" s="69"/>
      <c r="BA981" s="64"/>
      <c r="BB981" s="69"/>
      <c r="BC981" s="64"/>
      <c r="BD981" s="69"/>
      <c r="BE981" s="64"/>
      <c r="BF981" s="69"/>
      <c r="BG981" s="64"/>
      <c r="BH981" s="69"/>
      <c r="BI981" s="64"/>
      <c r="BJ981" s="69"/>
      <c r="BK981" s="64"/>
      <c r="BL981" s="69"/>
      <c r="BM981" s="64"/>
      <c r="BN981" s="69"/>
      <c r="BO981" s="64"/>
      <c r="BP981" s="69"/>
      <c r="BQ981" s="64"/>
      <c r="BR981" s="69"/>
      <c r="BS981" s="64"/>
      <c r="BT981" s="69"/>
      <c r="BU981" t="b">
        <f t="shared" si="15"/>
        <v>0</v>
      </c>
    </row>
    <row r="982" spans="1:73" x14ac:dyDescent="0.25">
      <c r="A982" s="28"/>
      <c r="B982" s="29"/>
      <c r="C982" s="29"/>
      <c r="D982" s="30"/>
      <c r="E982" s="29"/>
      <c r="F982" s="30"/>
      <c r="G982" s="29"/>
      <c r="H982" s="69"/>
      <c r="I982" s="64"/>
      <c r="J982" s="69"/>
      <c r="K982" s="64"/>
      <c r="L982" s="69"/>
      <c r="M982" s="65"/>
      <c r="N982" s="69"/>
      <c r="O982" s="64"/>
      <c r="P982" s="69"/>
      <c r="Q982" s="64"/>
      <c r="R982" s="69"/>
      <c r="S982" s="64"/>
      <c r="T982" s="69"/>
      <c r="U982" s="64"/>
      <c r="V982" s="69"/>
      <c r="W982" s="65"/>
      <c r="X982" s="69"/>
      <c r="Y982" s="64"/>
      <c r="Z982" s="69"/>
      <c r="AA982" s="64"/>
      <c r="AB982" s="69"/>
      <c r="AC982" s="64"/>
      <c r="AD982" s="69"/>
      <c r="AE982" s="65"/>
      <c r="AF982" s="69"/>
      <c r="AG982" s="65"/>
      <c r="AH982" s="69"/>
      <c r="AI982" s="64"/>
      <c r="AJ982" s="69"/>
      <c r="AK982" s="64"/>
      <c r="AL982" s="69"/>
      <c r="AM982" s="64"/>
      <c r="AN982" s="69"/>
      <c r="AO982" s="64"/>
      <c r="AP982" s="69"/>
      <c r="AQ982" s="64"/>
      <c r="AR982" s="69"/>
      <c r="AS982" s="64"/>
      <c r="AT982" s="69"/>
      <c r="AU982" s="64"/>
      <c r="AV982" s="69"/>
      <c r="AW982" s="64"/>
      <c r="AX982" s="69"/>
      <c r="AY982" s="64"/>
      <c r="AZ982" s="69"/>
      <c r="BA982" s="64"/>
      <c r="BB982" s="69"/>
      <c r="BC982" s="64"/>
      <c r="BD982" s="69"/>
      <c r="BE982" s="64"/>
      <c r="BF982" s="69"/>
      <c r="BG982" s="64"/>
      <c r="BH982" s="69"/>
      <c r="BI982" s="64"/>
      <c r="BJ982" s="69"/>
      <c r="BK982" s="64"/>
      <c r="BL982" s="69"/>
      <c r="BM982" s="64"/>
      <c r="BN982" s="69"/>
      <c r="BO982" s="64"/>
      <c r="BP982" s="69"/>
      <c r="BQ982" s="64"/>
      <c r="BR982" s="69"/>
      <c r="BS982" s="64"/>
      <c r="BT982" s="69"/>
      <c r="BU982" t="b">
        <f t="shared" si="15"/>
        <v>0</v>
      </c>
    </row>
    <row r="983" spans="1:73" x14ac:dyDescent="0.25">
      <c r="A983" s="28"/>
      <c r="B983" s="29"/>
      <c r="C983" s="29"/>
      <c r="D983" s="30"/>
      <c r="E983" s="29"/>
      <c r="F983" s="30"/>
      <c r="G983" s="29"/>
      <c r="H983" s="69"/>
      <c r="I983" s="64"/>
      <c r="J983" s="69"/>
      <c r="K983" s="64"/>
      <c r="L983" s="69"/>
      <c r="M983" s="65"/>
      <c r="N983" s="69"/>
      <c r="O983" s="64"/>
      <c r="P983" s="69"/>
      <c r="Q983" s="64"/>
      <c r="R983" s="69"/>
      <c r="S983" s="64"/>
      <c r="T983" s="69"/>
      <c r="U983" s="64"/>
      <c r="V983" s="69"/>
      <c r="W983" s="65"/>
      <c r="X983" s="69"/>
      <c r="Y983" s="64"/>
      <c r="Z983" s="69"/>
      <c r="AA983" s="64"/>
      <c r="AB983" s="69"/>
      <c r="AC983" s="64"/>
      <c r="AD983" s="69"/>
      <c r="AE983" s="65"/>
      <c r="AF983" s="69"/>
      <c r="AG983" s="65"/>
      <c r="AH983" s="69"/>
      <c r="AI983" s="64"/>
      <c r="AJ983" s="69"/>
      <c r="AK983" s="64"/>
      <c r="AL983" s="69"/>
      <c r="AM983" s="64"/>
      <c r="AN983" s="69"/>
      <c r="AO983" s="64"/>
      <c r="AP983" s="69"/>
      <c r="AQ983" s="64"/>
      <c r="AR983" s="69"/>
      <c r="AS983" s="64"/>
      <c r="AT983" s="69"/>
      <c r="AU983" s="64"/>
      <c r="AV983" s="69"/>
      <c r="AW983" s="64"/>
      <c r="AX983" s="69"/>
      <c r="AY983" s="64"/>
      <c r="AZ983" s="69"/>
      <c r="BA983" s="64"/>
      <c r="BB983" s="69"/>
      <c r="BC983" s="64"/>
      <c r="BD983" s="69"/>
      <c r="BE983" s="64"/>
      <c r="BF983" s="69"/>
      <c r="BG983" s="64"/>
      <c r="BH983" s="69"/>
      <c r="BI983" s="64"/>
      <c r="BJ983" s="69"/>
      <c r="BK983" s="64"/>
      <c r="BL983" s="69"/>
      <c r="BM983" s="64"/>
      <c r="BN983" s="69"/>
      <c r="BO983" s="64"/>
      <c r="BP983" s="69"/>
      <c r="BQ983" s="64"/>
      <c r="BR983" s="69"/>
      <c r="BS983" s="64"/>
      <c r="BT983" s="69"/>
      <c r="BU983" t="b">
        <f t="shared" si="15"/>
        <v>0</v>
      </c>
    </row>
    <row r="984" spans="1:73" x14ac:dyDescent="0.25">
      <c r="A984" s="28"/>
      <c r="B984" s="29"/>
      <c r="C984" s="29"/>
      <c r="D984" s="30"/>
      <c r="E984" s="29"/>
      <c r="F984" s="30"/>
      <c r="G984" s="29"/>
      <c r="H984" s="69"/>
      <c r="I984" s="64"/>
      <c r="J984" s="69"/>
      <c r="K984" s="64"/>
      <c r="L984" s="69"/>
      <c r="M984" s="65"/>
      <c r="N984" s="69"/>
      <c r="O984" s="64"/>
      <c r="P984" s="69"/>
      <c r="Q984" s="64"/>
      <c r="R984" s="69"/>
      <c r="S984" s="64"/>
      <c r="T984" s="69"/>
      <c r="U984" s="64"/>
      <c r="V984" s="69"/>
      <c r="W984" s="65"/>
      <c r="X984" s="69"/>
      <c r="Y984" s="64"/>
      <c r="Z984" s="69"/>
      <c r="AA984" s="64"/>
      <c r="AB984" s="69"/>
      <c r="AC984" s="64"/>
      <c r="AD984" s="69"/>
      <c r="AE984" s="65"/>
      <c r="AF984" s="69"/>
      <c r="AG984" s="65"/>
      <c r="AH984" s="69"/>
      <c r="AI984" s="64"/>
      <c r="AJ984" s="69"/>
      <c r="AK984" s="64"/>
      <c r="AL984" s="69"/>
      <c r="AM984" s="64"/>
      <c r="AN984" s="69"/>
      <c r="AO984" s="64"/>
      <c r="AP984" s="69"/>
      <c r="AQ984" s="64"/>
      <c r="AR984" s="69"/>
      <c r="AS984" s="64"/>
      <c r="AT984" s="69"/>
      <c r="AU984" s="64"/>
      <c r="AV984" s="69"/>
      <c r="AW984" s="64"/>
      <c r="AX984" s="69"/>
      <c r="AY984" s="64"/>
      <c r="AZ984" s="69"/>
      <c r="BA984" s="64"/>
      <c r="BB984" s="69"/>
      <c r="BC984" s="64"/>
      <c r="BD984" s="69"/>
      <c r="BE984" s="64"/>
      <c r="BF984" s="69"/>
      <c r="BG984" s="64"/>
      <c r="BH984" s="69"/>
      <c r="BI984" s="64"/>
      <c r="BJ984" s="69"/>
      <c r="BK984" s="64"/>
      <c r="BL984" s="69"/>
      <c r="BM984" s="64"/>
      <c r="BN984" s="69"/>
      <c r="BO984" s="64"/>
      <c r="BP984" s="69"/>
      <c r="BQ984" s="64"/>
      <c r="BR984" s="69"/>
      <c r="BS984" s="64"/>
      <c r="BT984" s="69"/>
      <c r="BU984" t="b">
        <f t="shared" si="15"/>
        <v>0</v>
      </c>
    </row>
    <row r="985" spans="1:73" x14ac:dyDescent="0.25">
      <c r="A985" s="28"/>
      <c r="B985" s="29"/>
      <c r="C985" s="29"/>
      <c r="D985" s="30"/>
      <c r="E985" s="29"/>
      <c r="F985" s="30"/>
      <c r="G985" s="29"/>
      <c r="H985" s="69"/>
      <c r="I985" s="64"/>
      <c r="J985" s="69"/>
      <c r="K985" s="64"/>
      <c r="L985" s="69"/>
      <c r="M985" s="65"/>
      <c r="N985" s="69"/>
      <c r="O985" s="64"/>
      <c r="P985" s="69"/>
      <c r="Q985" s="64"/>
      <c r="R985" s="69"/>
      <c r="S985" s="64"/>
      <c r="T985" s="69"/>
      <c r="U985" s="64"/>
      <c r="V985" s="69"/>
      <c r="W985" s="65"/>
      <c r="X985" s="69"/>
      <c r="Y985" s="64"/>
      <c r="Z985" s="69"/>
      <c r="AA985" s="64"/>
      <c r="AB985" s="69"/>
      <c r="AC985" s="64"/>
      <c r="AD985" s="69"/>
      <c r="AE985" s="65"/>
      <c r="AF985" s="69"/>
      <c r="AG985" s="65"/>
      <c r="AH985" s="69"/>
      <c r="AI985" s="64"/>
      <c r="AJ985" s="69"/>
      <c r="AK985" s="64"/>
      <c r="AL985" s="69"/>
      <c r="AM985" s="64"/>
      <c r="AN985" s="69"/>
      <c r="AO985" s="64"/>
      <c r="AP985" s="69"/>
      <c r="AQ985" s="64"/>
      <c r="AR985" s="69"/>
      <c r="AS985" s="64"/>
      <c r="AT985" s="69"/>
      <c r="AU985" s="64"/>
      <c r="AV985" s="69"/>
      <c r="AW985" s="64"/>
      <c r="AX985" s="69"/>
      <c r="AY985" s="64"/>
      <c r="AZ985" s="69"/>
      <c r="BA985" s="64"/>
      <c r="BB985" s="69"/>
      <c r="BC985" s="64"/>
      <c r="BD985" s="69"/>
      <c r="BE985" s="64"/>
      <c r="BF985" s="69"/>
      <c r="BG985" s="64"/>
      <c r="BH985" s="69"/>
      <c r="BI985" s="64"/>
      <c r="BJ985" s="69"/>
      <c r="BK985" s="64"/>
      <c r="BL985" s="69"/>
      <c r="BM985" s="64"/>
      <c r="BN985" s="69"/>
      <c r="BO985" s="64"/>
      <c r="BP985" s="69"/>
      <c r="BQ985" s="64"/>
      <c r="BR985" s="69"/>
      <c r="BS985" s="64"/>
      <c r="BT985" s="69"/>
      <c r="BU985" t="b">
        <f t="shared" si="15"/>
        <v>0</v>
      </c>
    </row>
    <row r="986" spans="1:73" x14ac:dyDescent="0.25">
      <c r="A986" s="28"/>
      <c r="B986" s="29"/>
      <c r="C986" s="29"/>
      <c r="D986" s="30"/>
      <c r="E986" s="29"/>
      <c r="F986" s="30"/>
      <c r="G986" s="29"/>
      <c r="H986" s="69"/>
      <c r="I986" s="64"/>
      <c r="J986" s="69"/>
      <c r="K986" s="64"/>
      <c r="L986" s="69"/>
      <c r="M986" s="65"/>
      <c r="N986" s="69"/>
      <c r="O986" s="64"/>
      <c r="P986" s="69"/>
      <c r="Q986" s="64"/>
      <c r="R986" s="69"/>
      <c r="S986" s="64"/>
      <c r="T986" s="69"/>
      <c r="U986" s="64"/>
      <c r="V986" s="69"/>
      <c r="W986" s="65"/>
      <c r="X986" s="69"/>
      <c r="Y986" s="64"/>
      <c r="Z986" s="69"/>
      <c r="AA986" s="64"/>
      <c r="AB986" s="69"/>
      <c r="AC986" s="64"/>
      <c r="AD986" s="69"/>
      <c r="AE986" s="65"/>
      <c r="AF986" s="69"/>
      <c r="AG986" s="65"/>
      <c r="AH986" s="69"/>
      <c r="AI986" s="64"/>
      <c r="AJ986" s="69"/>
      <c r="AK986" s="64"/>
      <c r="AL986" s="69"/>
      <c r="AM986" s="64"/>
      <c r="AN986" s="69"/>
      <c r="AO986" s="64"/>
      <c r="AP986" s="69"/>
      <c r="AQ986" s="64"/>
      <c r="AR986" s="69"/>
      <c r="AS986" s="64"/>
      <c r="AT986" s="69"/>
      <c r="AU986" s="64"/>
      <c r="AV986" s="69"/>
      <c r="AW986" s="64"/>
      <c r="AX986" s="69"/>
      <c r="AY986" s="64"/>
      <c r="AZ986" s="69"/>
      <c r="BA986" s="64"/>
      <c r="BB986" s="69"/>
      <c r="BC986" s="64"/>
      <c r="BD986" s="69"/>
      <c r="BE986" s="64"/>
      <c r="BF986" s="69"/>
      <c r="BG986" s="64"/>
      <c r="BH986" s="69"/>
      <c r="BI986" s="64"/>
      <c r="BJ986" s="69"/>
      <c r="BK986" s="64"/>
      <c r="BL986" s="69"/>
      <c r="BM986" s="64"/>
      <c r="BN986" s="69"/>
      <c r="BO986" s="64"/>
      <c r="BP986" s="69"/>
      <c r="BQ986" s="64"/>
      <c r="BR986" s="69"/>
      <c r="BS986" s="64"/>
      <c r="BT986" s="69"/>
      <c r="BU986" t="b">
        <f t="shared" si="15"/>
        <v>0</v>
      </c>
    </row>
    <row r="987" spans="1:73" x14ac:dyDescent="0.25">
      <c r="A987" s="28"/>
      <c r="B987" s="29"/>
      <c r="C987" s="29"/>
      <c r="D987" s="30"/>
      <c r="E987" s="29"/>
      <c r="F987" s="30"/>
      <c r="G987" s="29"/>
      <c r="H987" s="69"/>
      <c r="I987" s="64"/>
      <c r="J987" s="69"/>
      <c r="K987" s="64"/>
      <c r="L987" s="69"/>
      <c r="M987" s="65"/>
      <c r="N987" s="69"/>
      <c r="O987" s="64"/>
      <c r="P987" s="69"/>
      <c r="Q987" s="64"/>
      <c r="R987" s="69"/>
      <c r="S987" s="64"/>
      <c r="T987" s="69"/>
      <c r="U987" s="64"/>
      <c r="V987" s="69"/>
      <c r="W987" s="65"/>
      <c r="X987" s="69"/>
      <c r="Y987" s="64"/>
      <c r="Z987" s="69"/>
      <c r="AA987" s="64"/>
      <c r="AB987" s="69"/>
      <c r="AC987" s="64"/>
      <c r="AD987" s="69"/>
      <c r="AE987" s="65"/>
      <c r="AF987" s="69"/>
      <c r="AG987" s="65"/>
      <c r="AH987" s="69"/>
      <c r="AI987" s="64"/>
      <c r="AJ987" s="69"/>
      <c r="AK987" s="64"/>
      <c r="AL987" s="69"/>
      <c r="AM987" s="64"/>
      <c r="AN987" s="69"/>
      <c r="AO987" s="64"/>
      <c r="AP987" s="69"/>
      <c r="AQ987" s="64"/>
      <c r="AR987" s="69"/>
      <c r="AS987" s="64"/>
      <c r="AT987" s="69"/>
      <c r="AU987" s="64"/>
      <c r="AV987" s="69"/>
      <c r="AW987" s="64"/>
      <c r="AX987" s="69"/>
      <c r="AY987" s="64"/>
      <c r="AZ987" s="69"/>
      <c r="BA987" s="64"/>
      <c r="BB987" s="69"/>
      <c r="BC987" s="64"/>
      <c r="BD987" s="69"/>
      <c r="BE987" s="64"/>
      <c r="BF987" s="69"/>
      <c r="BG987" s="64"/>
      <c r="BH987" s="69"/>
      <c r="BI987" s="64"/>
      <c r="BJ987" s="69"/>
      <c r="BK987" s="64"/>
      <c r="BL987" s="69"/>
      <c r="BM987" s="64"/>
      <c r="BN987" s="69"/>
      <c r="BO987" s="64"/>
      <c r="BP987" s="69"/>
      <c r="BQ987" s="64"/>
      <c r="BR987" s="69"/>
      <c r="BS987" s="64"/>
      <c r="BT987" s="69"/>
      <c r="BU987" t="b">
        <f t="shared" si="15"/>
        <v>0</v>
      </c>
    </row>
    <row r="988" spans="1:73" x14ac:dyDescent="0.25">
      <c r="A988" s="28"/>
      <c r="B988" s="29"/>
      <c r="C988" s="29"/>
      <c r="D988" s="30"/>
      <c r="E988" s="29"/>
      <c r="F988" s="30"/>
      <c r="G988" s="29"/>
      <c r="H988" s="69"/>
      <c r="I988" s="64"/>
      <c r="J988" s="69"/>
      <c r="K988" s="64"/>
      <c r="L988" s="69"/>
      <c r="M988" s="65"/>
      <c r="N988" s="69"/>
      <c r="O988" s="64"/>
      <c r="P988" s="69"/>
      <c r="Q988" s="64"/>
      <c r="R988" s="69"/>
      <c r="S988" s="64"/>
      <c r="T988" s="69"/>
      <c r="U988" s="64"/>
      <c r="V988" s="69"/>
      <c r="W988" s="65"/>
      <c r="X988" s="69"/>
      <c r="Y988" s="64"/>
      <c r="Z988" s="69"/>
      <c r="AA988" s="64"/>
      <c r="AB988" s="69"/>
      <c r="AC988" s="64"/>
      <c r="AD988" s="69"/>
      <c r="AE988" s="65"/>
      <c r="AF988" s="69"/>
      <c r="AG988" s="65"/>
      <c r="AH988" s="69"/>
      <c r="AI988" s="64"/>
      <c r="AJ988" s="69"/>
      <c r="AK988" s="64"/>
      <c r="AL988" s="69"/>
      <c r="AM988" s="64"/>
      <c r="AN988" s="69"/>
      <c r="AO988" s="64"/>
      <c r="AP988" s="69"/>
      <c r="AQ988" s="64"/>
      <c r="AR988" s="69"/>
      <c r="AS988" s="64"/>
      <c r="AT988" s="69"/>
      <c r="AU988" s="64"/>
      <c r="AV988" s="69"/>
      <c r="AW988" s="64"/>
      <c r="AX988" s="69"/>
      <c r="AY988" s="64"/>
      <c r="AZ988" s="69"/>
      <c r="BA988" s="64"/>
      <c r="BB988" s="69"/>
      <c r="BC988" s="64"/>
      <c r="BD988" s="69"/>
      <c r="BE988" s="64"/>
      <c r="BF988" s="69"/>
      <c r="BG988" s="64"/>
      <c r="BH988" s="69"/>
      <c r="BI988" s="64"/>
      <c r="BJ988" s="69"/>
      <c r="BK988" s="64"/>
      <c r="BL988" s="69"/>
      <c r="BM988" s="64"/>
      <c r="BN988" s="69"/>
      <c r="BO988" s="64"/>
      <c r="BP988" s="69"/>
      <c r="BQ988" s="64"/>
      <c r="BR988" s="69"/>
      <c r="BS988" s="64"/>
      <c r="BT988" s="69"/>
      <c r="BU988" t="b">
        <f t="shared" si="15"/>
        <v>0</v>
      </c>
    </row>
    <row r="989" spans="1:73" x14ac:dyDescent="0.25">
      <c r="A989" s="28"/>
      <c r="B989" s="29"/>
      <c r="C989" s="29"/>
      <c r="D989" s="30"/>
      <c r="E989" s="29"/>
      <c r="F989" s="30"/>
      <c r="G989" s="29"/>
      <c r="H989" s="69"/>
      <c r="I989" s="64"/>
      <c r="J989" s="69"/>
      <c r="K989" s="64"/>
      <c r="L989" s="69"/>
      <c r="M989" s="65"/>
      <c r="N989" s="69"/>
      <c r="O989" s="64"/>
      <c r="P989" s="69"/>
      <c r="Q989" s="64"/>
      <c r="R989" s="69"/>
      <c r="S989" s="64"/>
      <c r="T989" s="69"/>
      <c r="U989" s="64"/>
      <c r="V989" s="69"/>
      <c r="W989" s="65"/>
      <c r="X989" s="69"/>
      <c r="Y989" s="64"/>
      <c r="Z989" s="69"/>
      <c r="AA989" s="64"/>
      <c r="AB989" s="69"/>
      <c r="AC989" s="64"/>
      <c r="AD989" s="69"/>
      <c r="AE989" s="65"/>
      <c r="AF989" s="69"/>
      <c r="AG989" s="65"/>
      <c r="AH989" s="69"/>
      <c r="AI989" s="64"/>
      <c r="AJ989" s="69"/>
      <c r="AK989" s="64"/>
      <c r="AL989" s="69"/>
      <c r="AM989" s="64"/>
      <c r="AN989" s="69"/>
      <c r="AO989" s="64"/>
      <c r="AP989" s="69"/>
      <c r="AQ989" s="64"/>
      <c r="AR989" s="69"/>
      <c r="AS989" s="64"/>
      <c r="AT989" s="69"/>
      <c r="AU989" s="64"/>
      <c r="AV989" s="69"/>
      <c r="AW989" s="64"/>
      <c r="AX989" s="69"/>
      <c r="AY989" s="64"/>
      <c r="AZ989" s="69"/>
      <c r="BA989" s="64"/>
      <c r="BB989" s="69"/>
      <c r="BC989" s="64"/>
      <c r="BD989" s="69"/>
      <c r="BE989" s="64"/>
      <c r="BF989" s="69"/>
      <c r="BG989" s="64"/>
      <c r="BH989" s="69"/>
      <c r="BI989" s="64"/>
      <c r="BJ989" s="69"/>
      <c r="BK989" s="64"/>
      <c r="BL989" s="69"/>
      <c r="BM989" s="64"/>
      <c r="BN989" s="69"/>
      <c r="BO989" s="64"/>
      <c r="BP989" s="69"/>
      <c r="BQ989" s="64"/>
      <c r="BR989" s="69"/>
      <c r="BS989" s="64"/>
      <c r="BT989" s="69"/>
      <c r="BU989" t="b">
        <f t="shared" si="15"/>
        <v>0</v>
      </c>
    </row>
    <row r="990" spans="1:73" x14ac:dyDescent="0.25">
      <c r="A990" s="28"/>
      <c r="B990" s="29"/>
      <c r="C990" s="29"/>
      <c r="D990" s="30"/>
      <c r="E990" s="29"/>
      <c r="F990" s="30"/>
      <c r="G990" s="29"/>
      <c r="H990" s="69"/>
      <c r="I990" s="64"/>
      <c r="J990" s="69"/>
      <c r="K990" s="64"/>
      <c r="L990" s="69"/>
      <c r="M990" s="65"/>
      <c r="N990" s="69"/>
      <c r="O990" s="64"/>
      <c r="P990" s="69"/>
      <c r="Q990" s="64"/>
      <c r="R990" s="69"/>
      <c r="S990" s="64"/>
      <c r="T990" s="69"/>
      <c r="U990" s="64"/>
      <c r="V990" s="69"/>
      <c r="W990" s="65"/>
      <c r="X990" s="69"/>
      <c r="Y990" s="64"/>
      <c r="Z990" s="69"/>
      <c r="AA990" s="64"/>
      <c r="AB990" s="69"/>
      <c r="AC990" s="64"/>
      <c r="AD990" s="69"/>
      <c r="AE990" s="65"/>
      <c r="AF990" s="69"/>
      <c r="AG990" s="65"/>
      <c r="AH990" s="69"/>
      <c r="AI990" s="64"/>
      <c r="AJ990" s="69"/>
      <c r="AK990" s="64"/>
      <c r="AL990" s="69"/>
      <c r="AM990" s="64"/>
      <c r="AN990" s="69"/>
      <c r="AO990" s="64"/>
      <c r="AP990" s="69"/>
      <c r="AQ990" s="64"/>
      <c r="AR990" s="69"/>
      <c r="AS990" s="64"/>
      <c r="AT990" s="69"/>
      <c r="AU990" s="64"/>
      <c r="AV990" s="69"/>
      <c r="AW990" s="64"/>
      <c r="AX990" s="69"/>
      <c r="AY990" s="64"/>
      <c r="AZ990" s="69"/>
      <c r="BA990" s="64"/>
      <c r="BB990" s="69"/>
      <c r="BC990" s="64"/>
      <c r="BD990" s="69"/>
      <c r="BE990" s="64"/>
      <c r="BF990" s="69"/>
      <c r="BG990" s="64"/>
      <c r="BH990" s="69"/>
      <c r="BI990" s="64"/>
      <c r="BJ990" s="69"/>
      <c r="BK990" s="64"/>
      <c r="BL990" s="69"/>
      <c r="BM990" s="64"/>
      <c r="BN990" s="69"/>
      <c r="BO990" s="64"/>
      <c r="BP990" s="69"/>
      <c r="BQ990" s="64"/>
      <c r="BR990" s="69"/>
      <c r="BS990" s="64"/>
      <c r="BT990" s="69"/>
      <c r="BU990" t="b">
        <f t="shared" si="15"/>
        <v>0</v>
      </c>
    </row>
    <row r="991" spans="1:73" x14ac:dyDescent="0.25">
      <c r="A991" s="28"/>
      <c r="B991" s="29"/>
      <c r="C991" s="29"/>
      <c r="D991" s="30"/>
      <c r="E991" s="29"/>
      <c r="F991" s="30"/>
      <c r="G991" s="29"/>
      <c r="H991" s="69"/>
      <c r="I991" s="64"/>
      <c r="J991" s="69"/>
      <c r="K991" s="64"/>
      <c r="L991" s="69"/>
      <c r="M991" s="65"/>
      <c r="N991" s="69"/>
      <c r="O991" s="64"/>
      <c r="P991" s="69"/>
      <c r="Q991" s="64"/>
      <c r="R991" s="69"/>
      <c r="S991" s="64"/>
      <c r="T991" s="69"/>
      <c r="U991" s="64"/>
      <c r="V991" s="69"/>
      <c r="W991" s="65"/>
      <c r="X991" s="69"/>
      <c r="Y991" s="64"/>
      <c r="Z991" s="69"/>
      <c r="AA991" s="64"/>
      <c r="AB991" s="69"/>
      <c r="AC991" s="64"/>
      <c r="AD991" s="69"/>
      <c r="AE991" s="65"/>
      <c r="AF991" s="69"/>
      <c r="AG991" s="65"/>
      <c r="AH991" s="69"/>
      <c r="AI991" s="64"/>
      <c r="AJ991" s="69"/>
      <c r="AK991" s="64"/>
      <c r="AL991" s="69"/>
      <c r="AM991" s="64"/>
      <c r="AN991" s="69"/>
      <c r="AO991" s="64"/>
      <c r="AP991" s="69"/>
      <c r="AQ991" s="64"/>
      <c r="AR991" s="69"/>
      <c r="AS991" s="64"/>
      <c r="AT991" s="69"/>
      <c r="AU991" s="64"/>
      <c r="AV991" s="69"/>
      <c r="AW991" s="64"/>
      <c r="AX991" s="69"/>
      <c r="AY991" s="64"/>
      <c r="AZ991" s="69"/>
      <c r="BA991" s="64"/>
      <c r="BB991" s="69"/>
      <c r="BC991" s="64"/>
      <c r="BD991" s="69"/>
      <c r="BE991" s="64"/>
      <c r="BF991" s="69"/>
      <c r="BG991" s="64"/>
      <c r="BH991" s="69"/>
      <c r="BI991" s="64"/>
      <c r="BJ991" s="69"/>
      <c r="BK991" s="64"/>
      <c r="BL991" s="69"/>
      <c r="BM991" s="64"/>
      <c r="BN991" s="69"/>
      <c r="BO991" s="64"/>
      <c r="BP991" s="69"/>
      <c r="BQ991" s="64"/>
      <c r="BR991" s="69"/>
      <c r="BS991" s="64"/>
      <c r="BT991" s="69"/>
      <c r="BU991" t="b">
        <f t="shared" si="15"/>
        <v>0</v>
      </c>
    </row>
    <row r="992" spans="1:73" x14ac:dyDescent="0.25">
      <c r="A992" s="28"/>
      <c r="B992" s="29"/>
      <c r="C992" s="29"/>
      <c r="D992" s="30"/>
      <c r="E992" s="29"/>
      <c r="F992" s="30"/>
      <c r="G992" s="29"/>
      <c r="H992" s="69"/>
      <c r="I992" s="64"/>
      <c r="J992" s="69"/>
      <c r="K992" s="64"/>
      <c r="L992" s="69"/>
      <c r="M992" s="65"/>
      <c r="N992" s="69"/>
      <c r="O992" s="64"/>
      <c r="P992" s="69"/>
      <c r="Q992" s="64"/>
      <c r="R992" s="69"/>
      <c r="S992" s="64"/>
      <c r="T992" s="69"/>
      <c r="U992" s="64"/>
      <c r="V992" s="69"/>
      <c r="W992" s="65"/>
      <c r="X992" s="69"/>
      <c r="Y992" s="64"/>
      <c r="Z992" s="69"/>
      <c r="AA992" s="64"/>
      <c r="AB992" s="69"/>
      <c r="AC992" s="64"/>
      <c r="AD992" s="69"/>
      <c r="AE992" s="65"/>
      <c r="AF992" s="69"/>
      <c r="AG992" s="65"/>
      <c r="AH992" s="69"/>
      <c r="AI992" s="64"/>
      <c r="AJ992" s="69"/>
      <c r="AK992" s="64"/>
      <c r="AL992" s="69"/>
      <c r="AM992" s="64"/>
      <c r="AN992" s="69"/>
      <c r="AO992" s="64"/>
      <c r="AP992" s="69"/>
      <c r="AQ992" s="64"/>
      <c r="AR992" s="69"/>
      <c r="AS992" s="64"/>
      <c r="AT992" s="69"/>
      <c r="AU992" s="64"/>
      <c r="AV992" s="69"/>
      <c r="AW992" s="64"/>
      <c r="AX992" s="69"/>
      <c r="AY992" s="64"/>
      <c r="AZ992" s="69"/>
      <c r="BA992" s="64"/>
      <c r="BB992" s="69"/>
      <c r="BC992" s="64"/>
      <c r="BD992" s="69"/>
      <c r="BE992" s="64"/>
      <c r="BF992" s="69"/>
      <c r="BG992" s="64"/>
      <c r="BH992" s="69"/>
      <c r="BI992" s="64"/>
      <c r="BJ992" s="69"/>
      <c r="BK992" s="64"/>
      <c r="BL992" s="69"/>
      <c r="BM992" s="64"/>
      <c r="BN992" s="69"/>
      <c r="BO992" s="64"/>
      <c r="BP992" s="69"/>
      <c r="BQ992" s="64"/>
      <c r="BR992" s="69"/>
      <c r="BS992" s="64"/>
      <c r="BT992" s="69"/>
      <c r="BU992" t="b">
        <f t="shared" si="15"/>
        <v>0</v>
      </c>
    </row>
    <row r="993" spans="1:73" x14ac:dyDescent="0.25">
      <c r="A993" s="28"/>
      <c r="B993" s="29"/>
      <c r="C993" s="29"/>
      <c r="D993" s="30"/>
      <c r="E993" s="29"/>
      <c r="F993" s="30"/>
      <c r="G993" s="29"/>
      <c r="H993" s="69"/>
      <c r="I993" s="64"/>
      <c r="J993" s="69"/>
      <c r="K993" s="64"/>
      <c r="L993" s="69"/>
      <c r="M993" s="65"/>
      <c r="N993" s="69"/>
      <c r="O993" s="64"/>
      <c r="P993" s="69"/>
      <c r="Q993" s="64"/>
      <c r="R993" s="69"/>
      <c r="S993" s="64"/>
      <c r="T993" s="69"/>
      <c r="U993" s="64"/>
      <c r="V993" s="69"/>
      <c r="W993" s="65"/>
      <c r="X993" s="69"/>
      <c r="Y993" s="64"/>
      <c r="Z993" s="69"/>
      <c r="AA993" s="64"/>
      <c r="AB993" s="69"/>
      <c r="AC993" s="64"/>
      <c r="AD993" s="69"/>
      <c r="AE993" s="65"/>
      <c r="AF993" s="69"/>
      <c r="AG993" s="65"/>
      <c r="AH993" s="69"/>
      <c r="AI993" s="64"/>
      <c r="AJ993" s="69"/>
      <c r="AK993" s="64"/>
      <c r="AL993" s="69"/>
      <c r="AM993" s="64"/>
      <c r="AN993" s="69"/>
      <c r="AO993" s="64"/>
      <c r="AP993" s="69"/>
      <c r="AQ993" s="64"/>
      <c r="AR993" s="69"/>
      <c r="AS993" s="64"/>
      <c r="AT993" s="69"/>
      <c r="AU993" s="64"/>
      <c r="AV993" s="69"/>
      <c r="AW993" s="64"/>
      <c r="AX993" s="69"/>
      <c r="AY993" s="64"/>
      <c r="AZ993" s="69"/>
      <c r="BA993" s="64"/>
      <c r="BB993" s="69"/>
      <c r="BC993" s="64"/>
      <c r="BD993" s="69"/>
      <c r="BE993" s="64"/>
      <c r="BF993" s="69"/>
      <c r="BG993" s="64"/>
      <c r="BH993" s="69"/>
      <c r="BI993" s="64"/>
      <c r="BJ993" s="69"/>
      <c r="BK993" s="64"/>
      <c r="BL993" s="69"/>
      <c r="BM993" s="64"/>
      <c r="BN993" s="69"/>
      <c r="BO993" s="64"/>
      <c r="BP993" s="69"/>
      <c r="BQ993" s="64"/>
      <c r="BR993" s="69"/>
      <c r="BS993" s="64"/>
      <c r="BT993" s="69"/>
      <c r="BU993" t="b">
        <f t="shared" si="15"/>
        <v>0</v>
      </c>
    </row>
    <row r="994" spans="1:73" x14ac:dyDescent="0.25">
      <c r="A994" s="28"/>
      <c r="B994" s="29"/>
      <c r="C994" s="29"/>
      <c r="D994" s="30"/>
      <c r="E994" s="29"/>
      <c r="F994" s="30"/>
      <c r="G994" s="29"/>
      <c r="H994" s="69"/>
      <c r="I994" s="64"/>
      <c r="J994" s="69"/>
      <c r="K994" s="64"/>
      <c r="L994" s="69"/>
      <c r="M994" s="65"/>
      <c r="N994" s="69"/>
      <c r="O994" s="64"/>
      <c r="P994" s="69"/>
      <c r="Q994" s="64"/>
      <c r="R994" s="69"/>
      <c r="S994" s="64"/>
      <c r="T994" s="69"/>
      <c r="U994" s="64"/>
      <c r="V994" s="69"/>
      <c r="W994" s="65"/>
      <c r="X994" s="69"/>
      <c r="Y994" s="64"/>
      <c r="Z994" s="69"/>
      <c r="AA994" s="64"/>
      <c r="AB994" s="69"/>
      <c r="AC994" s="64"/>
      <c r="AD994" s="69"/>
      <c r="AE994" s="65"/>
      <c r="AF994" s="69"/>
      <c r="AG994" s="65"/>
      <c r="AH994" s="69"/>
      <c r="AI994" s="64"/>
      <c r="AJ994" s="69"/>
      <c r="AK994" s="64"/>
      <c r="AL994" s="69"/>
      <c r="AM994" s="64"/>
      <c r="AN994" s="69"/>
      <c r="AO994" s="64"/>
      <c r="AP994" s="69"/>
      <c r="AQ994" s="64"/>
      <c r="AR994" s="69"/>
      <c r="AS994" s="64"/>
      <c r="AT994" s="69"/>
      <c r="AU994" s="64"/>
      <c r="AV994" s="69"/>
      <c r="AW994" s="64"/>
      <c r="AX994" s="69"/>
      <c r="AY994" s="64"/>
      <c r="AZ994" s="69"/>
      <c r="BA994" s="64"/>
      <c r="BB994" s="69"/>
      <c r="BC994" s="64"/>
      <c r="BD994" s="69"/>
      <c r="BE994" s="64"/>
      <c r="BF994" s="69"/>
      <c r="BG994" s="64"/>
      <c r="BH994" s="69"/>
      <c r="BI994" s="64"/>
      <c r="BJ994" s="69"/>
      <c r="BK994" s="64"/>
      <c r="BL994" s="69"/>
      <c r="BM994" s="64"/>
      <c r="BN994" s="69"/>
      <c r="BO994" s="64"/>
      <c r="BP994" s="69"/>
      <c r="BQ994" s="64"/>
      <c r="BR994" s="69"/>
      <c r="BS994" s="64"/>
      <c r="BT994" s="69"/>
      <c r="BU994" t="b">
        <f t="shared" si="15"/>
        <v>0</v>
      </c>
    </row>
    <row r="995" spans="1:73" x14ac:dyDescent="0.25">
      <c r="A995" s="28"/>
      <c r="B995" s="29"/>
      <c r="C995" s="29"/>
      <c r="D995" s="30"/>
      <c r="E995" s="29"/>
      <c r="F995" s="30"/>
      <c r="G995" s="29"/>
      <c r="H995" s="69"/>
      <c r="I995" s="64"/>
      <c r="J995" s="69"/>
      <c r="K995" s="64"/>
      <c r="L995" s="69"/>
      <c r="M995" s="65"/>
      <c r="N995" s="69"/>
      <c r="O995" s="64"/>
      <c r="P995" s="69"/>
      <c r="Q995" s="64"/>
      <c r="R995" s="69"/>
      <c r="S995" s="64"/>
      <c r="T995" s="69"/>
      <c r="U995" s="64"/>
      <c r="V995" s="69"/>
      <c r="W995" s="65"/>
      <c r="X995" s="69"/>
      <c r="Y995" s="64"/>
      <c r="Z995" s="69"/>
      <c r="AA995" s="64"/>
      <c r="AB995" s="69"/>
      <c r="AC995" s="64"/>
      <c r="AD995" s="69"/>
      <c r="AE995" s="65"/>
      <c r="AF995" s="69"/>
      <c r="AG995" s="65"/>
      <c r="AH995" s="69"/>
      <c r="AI995" s="64"/>
      <c r="AJ995" s="69"/>
      <c r="AK995" s="64"/>
      <c r="AL995" s="69"/>
      <c r="AM995" s="64"/>
      <c r="AN995" s="69"/>
      <c r="AO995" s="64"/>
      <c r="AP995" s="69"/>
      <c r="AQ995" s="64"/>
      <c r="AR995" s="69"/>
      <c r="AS995" s="64"/>
      <c r="AT995" s="69"/>
      <c r="AU995" s="64"/>
      <c r="AV995" s="69"/>
      <c r="AW995" s="64"/>
      <c r="AX995" s="69"/>
      <c r="AY995" s="64"/>
      <c r="AZ995" s="69"/>
      <c r="BA995" s="64"/>
      <c r="BB995" s="69"/>
      <c r="BC995" s="64"/>
      <c r="BD995" s="69"/>
      <c r="BE995" s="64"/>
      <c r="BF995" s="69"/>
      <c r="BG995" s="64"/>
      <c r="BH995" s="69"/>
      <c r="BI995" s="64"/>
      <c r="BJ995" s="69"/>
      <c r="BK995" s="64"/>
      <c r="BL995" s="69"/>
      <c r="BM995" s="64"/>
      <c r="BN995" s="69"/>
      <c r="BO995" s="64"/>
      <c r="BP995" s="69"/>
      <c r="BQ995" s="64"/>
      <c r="BR995" s="69"/>
      <c r="BS995" s="64"/>
      <c r="BT995" s="69"/>
      <c r="BU995" t="b">
        <f t="shared" si="15"/>
        <v>0</v>
      </c>
    </row>
    <row r="996" spans="1:73" x14ac:dyDescent="0.25">
      <c r="A996" s="28"/>
      <c r="B996" s="29"/>
      <c r="C996" s="29"/>
      <c r="D996" s="30"/>
      <c r="E996" s="29"/>
      <c r="F996" s="30"/>
      <c r="G996" s="29"/>
      <c r="H996" s="69"/>
      <c r="I996" s="64"/>
      <c r="J996" s="69"/>
      <c r="K996" s="64"/>
      <c r="L996" s="69"/>
      <c r="M996" s="65"/>
      <c r="N996" s="69"/>
      <c r="O996" s="64"/>
      <c r="P996" s="69"/>
      <c r="Q996" s="64"/>
      <c r="R996" s="69"/>
      <c r="S996" s="64"/>
      <c r="T996" s="69"/>
      <c r="U996" s="64"/>
      <c r="V996" s="69"/>
      <c r="W996" s="65"/>
      <c r="X996" s="69"/>
      <c r="Y996" s="64"/>
      <c r="Z996" s="69"/>
      <c r="AA996" s="64"/>
      <c r="AB996" s="69"/>
      <c r="AC996" s="64"/>
      <c r="AD996" s="69"/>
      <c r="AE996" s="65"/>
      <c r="AF996" s="69"/>
      <c r="AG996" s="65"/>
      <c r="AH996" s="69"/>
      <c r="AI996" s="64"/>
      <c r="AJ996" s="69"/>
      <c r="AK996" s="64"/>
      <c r="AL996" s="69"/>
      <c r="AM996" s="64"/>
      <c r="AN996" s="69"/>
      <c r="AO996" s="64"/>
      <c r="AP996" s="69"/>
      <c r="AQ996" s="64"/>
      <c r="AR996" s="69"/>
      <c r="AS996" s="64"/>
      <c r="AT996" s="69"/>
      <c r="AU996" s="64"/>
      <c r="AV996" s="69"/>
      <c r="AW996" s="64"/>
      <c r="AX996" s="69"/>
      <c r="AY996" s="64"/>
      <c r="AZ996" s="69"/>
      <c r="BA996" s="64"/>
      <c r="BB996" s="69"/>
      <c r="BC996" s="64"/>
      <c r="BD996" s="69"/>
      <c r="BE996" s="64"/>
      <c r="BF996" s="69"/>
      <c r="BG996" s="64"/>
      <c r="BH996" s="69"/>
      <c r="BI996" s="64"/>
      <c r="BJ996" s="69"/>
      <c r="BK996" s="64"/>
      <c r="BL996" s="69"/>
      <c r="BM996" s="64"/>
      <c r="BN996" s="69"/>
      <c r="BO996" s="64"/>
      <c r="BP996" s="69"/>
      <c r="BQ996" s="64"/>
      <c r="BR996" s="69"/>
      <c r="BS996" s="64"/>
      <c r="BT996" s="69"/>
      <c r="BU996" t="b">
        <f t="shared" si="15"/>
        <v>0</v>
      </c>
    </row>
    <row r="997" spans="1:73" x14ac:dyDescent="0.25">
      <c r="A997" s="28"/>
      <c r="B997" s="29"/>
      <c r="C997" s="29"/>
      <c r="D997" s="30"/>
      <c r="E997" s="29"/>
      <c r="F997" s="30"/>
      <c r="G997" s="29"/>
      <c r="H997" s="69"/>
      <c r="I997" s="64"/>
      <c r="J997" s="69"/>
      <c r="K997" s="64"/>
      <c r="L997" s="69"/>
      <c r="M997" s="65"/>
      <c r="N997" s="69"/>
      <c r="O997" s="64"/>
      <c r="P997" s="69"/>
      <c r="Q997" s="64"/>
      <c r="R997" s="69"/>
      <c r="S997" s="64"/>
      <c r="T997" s="69"/>
      <c r="U997" s="64"/>
      <c r="V997" s="69"/>
      <c r="W997" s="65"/>
      <c r="X997" s="69"/>
      <c r="Y997" s="64"/>
      <c r="Z997" s="69"/>
      <c r="AA997" s="64"/>
      <c r="AB997" s="69"/>
      <c r="AC997" s="64"/>
      <c r="AD997" s="69"/>
      <c r="AE997" s="65"/>
      <c r="AF997" s="69"/>
      <c r="AG997" s="65"/>
      <c r="AH997" s="69"/>
      <c r="AI997" s="64"/>
      <c r="AJ997" s="69"/>
      <c r="AK997" s="64"/>
      <c r="AL997" s="69"/>
      <c r="AM997" s="64"/>
      <c r="AN997" s="69"/>
      <c r="AO997" s="64"/>
      <c r="AP997" s="69"/>
      <c r="AQ997" s="64"/>
      <c r="AR997" s="69"/>
      <c r="AS997" s="64"/>
      <c r="AT997" s="69"/>
      <c r="AU997" s="64"/>
      <c r="AV997" s="69"/>
      <c r="AW997" s="64"/>
      <c r="AX997" s="69"/>
      <c r="AY997" s="64"/>
      <c r="AZ997" s="69"/>
      <c r="BA997" s="64"/>
      <c r="BB997" s="69"/>
      <c r="BC997" s="64"/>
      <c r="BD997" s="69"/>
      <c r="BE997" s="64"/>
      <c r="BF997" s="69"/>
      <c r="BG997" s="64"/>
      <c r="BH997" s="69"/>
      <c r="BI997" s="64"/>
      <c r="BJ997" s="69"/>
      <c r="BK997" s="64"/>
      <c r="BL997" s="69"/>
      <c r="BM997" s="64"/>
      <c r="BN997" s="69"/>
      <c r="BO997" s="64"/>
      <c r="BP997" s="69"/>
      <c r="BQ997" s="64"/>
      <c r="BR997" s="69"/>
      <c r="BS997" s="64"/>
      <c r="BT997" s="69"/>
      <c r="BU997" t="b">
        <f t="shared" ref="BU997:BU1000" si="16">NOT(AND(BR997="",BP997="",BN997="",BL997="",BJ997="",BH997="",BF997="",BD997="",BB997="",AZ997="",AX997="",AV997="",AT997="",AR997="",AP997="",AN997="",AL997="",AJ997="",AH997="",AF997="",AD997="",AB997="",Z997="",X997="",V997="",T997="",R997="",P997="",N997="", L997="",J997=""))</f>
        <v>0</v>
      </c>
    </row>
    <row r="998" spans="1:73" x14ac:dyDescent="0.25">
      <c r="A998" s="28"/>
      <c r="B998" s="29"/>
      <c r="C998" s="29"/>
      <c r="D998" s="30"/>
      <c r="E998" s="29"/>
      <c r="F998" s="30"/>
      <c r="G998" s="29"/>
      <c r="H998" s="69"/>
      <c r="I998" s="64"/>
      <c r="J998" s="69"/>
      <c r="K998" s="64"/>
      <c r="L998" s="69"/>
      <c r="M998" s="65"/>
      <c r="N998" s="69"/>
      <c r="O998" s="64"/>
      <c r="P998" s="69"/>
      <c r="Q998" s="64"/>
      <c r="R998" s="69"/>
      <c r="S998" s="64"/>
      <c r="T998" s="69"/>
      <c r="U998" s="64"/>
      <c r="V998" s="69"/>
      <c r="W998" s="65"/>
      <c r="X998" s="69"/>
      <c r="Y998" s="64"/>
      <c r="Z998" s="69"/>
      <c r="AA998" s="64"/>
      <c r="AB998" s="69"/>
      <c r="AC998" s="64"/>
      <c r="AD998" s="69"/>
      <c r="AE998" s="65"/>
      <c r="AF998" s="69"/>
      <c r="AG998" s="65"/>
      <c r="AH998" s="69"/>
      <c r="AI998" s="64"/>
      <c r="AJ998" s="69"/>
      <c r="AK998" s="64"/>
      <c r="AL998" s="69"/>
      <c r="AM998" s="64"/>
      <c r="AN998" s="69"/>
      <c r="AO998" s="64"/>
      <c r="AP998" s="69"/>
      <c r="AQ998" s="64"/>
      <c r="AR998" s="69"/>
      <c r="AS998" s="64"/>
      <c r="AT998" s="69"/>
      <c r="AU998" s="64"/>
      <c r="AV998" s="69"/>
      <c r="AW998" s="64"/>
      <c r="AX998" s="69"/>
      <c r="AY998" s="64"/>
      <c r="AZ998" s="69"/>
      <c r="BA998" s="64"/>
      <c r="BB998" s="69"/>
      <c r="BC998" s="64"/>
      <c r="BD998" s="69"/>
      <c r="BE998" s="64"/>
      <c r="BF998" s="69"/>
      <c r="BG998" s="64"/>
      <c r="BH998" s="69"/>
      <c r="BI998" s="64"/>
      <c r="BJ998" s="69"/>
      <c r="BK998" s="64"/>
      <c r="BL998" s="69"/>
      <c r="BM998" s="64"/>
      <c r="BN998" s="69"/>
      <c r="BO998" s="64"/>
      <c r="BP998" s="69"/>
      <c r="BQ998" s="64"/>
      <c r="BR998" s="69"/>
      <c r="BS998" s="64"/>
      <c r="BT998" s="69"/>
      <c r="BU998" t="b">
        <f t="shared" si="16"/>
        <v>0</v>
      </c>
    </row>
    <row r="999" spans="1:73" x14ac:dyDescent="0.25">
      <c r="A999" s="28"/>
      <c r="B999" s="29"/>
      <c r="C999" s="29"/>
      <c r="D999" s="30"/>
      <c r="E999" s="29"/>
      <c r="F999" s="30"/>
      <c r="G999" s="29"/>
      <c r="H999" s="69"/>
      <c r="I999" s="64"/>
      <c r="J999" s="69"/>
      <c r="K999" s="64"/>
      <c r="L999" s="69"/>
      <c r="M999" s="65"/>
      <c r="N999" s="69"/>
      <c r="O999" s="64"/>
      <c r="P999" s="69"/>
      <c r="Q999" s="64"/>
      <c r="R999" s="69"/>
      <c r="S999" s="64"/>
      <c r="T999" s="69"/>
      <c r="U999" s="64"/>
      <c r="V999" s="69"/>
      <c r="W999" s="65"/>
      <c r="X999" s="69"/>
      <c r="Y999" s="64"/>
      <c r="Z999" s="69"/>
      <c r="AA999" s="64"/>
      <c r="AB999" s="69"/>
      <c r="AC999" s="64"/>
      <c r="AD999" s="69"/>
      <c r="AE999" s="65"/>
      <c r="AF999" s="69"/>
      <c r="AG999" s="65"/>
      <c r="AH999" s="69"/>
      <c r="AI999" s="64"/>
      <c r="AJ999" s="69"/>
      <c r="AK999" s="64"/>
      <c r="AL999" s="69"/>
      <c r="AM999" s="64"/>
      <c r="AN999" s="69"/>
      <c r="AO999" s="64"/>
      <c r="AP999" s="69"/>
      <c r="AQ999" s="64"/>
      <c r="AR999" s="69"/>
      <c r="AS999" s="64"/>
      <c r="AT999" s="69"/>
      <c r="AU999" s="64"/>
      <c r="AV999" s="69"/>
      <c r="AW999" s="64"/>
      <c r="AX999" s="69"/>
      <c r="AY999" s="64"/>
      <c r="AZ999" s="69"/>
      <c r="BA999" s="64"/>
      <c r="BB999" s="69"/>
      <c r="BC999" s="64"/>
      <c r="BD999" s="69"/>
      <c r="BE999" s="64"/>
      <c r="BF999" s="69"/>
      <c r="BG999" s="64"/>
      <c r="BH999" s="69"/>
      <c r="BI999" s="64"/>
      <c r="BJ999" s="69"/>
      <c r="BK999" s="64"/>
      <c r="BL999" s="69"/>
      <c r="BM999" s="64"/>
      <c r="BN999" s="69"/>
      <c r="BO999" s="64"/>
      <c r="BP999" s="69"/>
      <c r="BQ999" s="64"/>
      <c r="BR999" s="69"/>
      <c r="BS999" s="64"/>
      <c r="BT999" s="69"/>
      <c r="BU999" t="b">
        <f t="shared" si="16"/>
        <v>0</v>
      </c>
    </row>
    <row r="1000" spans="1:73" x14ac:dyDescent="0.25">
      <c r="A1000" s="28"/>
      <c r="B1000" s="29"/>
      <c r="C1000" s="29"/>
      <c r="D1000" s="30"/>
      <c r="E1000" s="29"/>
      <c r="F1000" s="30"/>
      <c r="G1000" s="29"/>
      <c r="H1000" s="69"/>
      <c r="I1000" s="64"/>
      <c r="J1000" s="69"/>
      <c r="K1000" s="64"/>
      <c r="L1000" s="69"/>
      <c r="M1000" s="65"/>
      <c r="N1000" s="69"/>
      <c r="O1000" s="64"/>
      <c r="P1000" s="69"/>
      <c r="Q1000" s="64"/>
      <c r="R1000" s="69"/>
      <c r="S1000" s="64"/>
      <c r="T1000" s="69"/>
      <c r="U1000" s="64"/>
      <c r="V1000" s="69"/>
      <c r="W1000" s="65"/>
      <c r="X1000" s="69"/>
      <c r="Y1000" s="64"/>
      <c r="Z1000" s="69"/>
      <c r="AA1000" s="64"/>
      <c r="AB1000" s="69"/>
      <c r="AC1000" s="64"/>
      <c r="AD1000" s="69"/>
      <c r="AE1000" s="65"/>
      <c r="AF1000" s="69"/>
      <c r="AG1000" s="65"/>
      <c r="AH1000" s="69"/>
      <c r="AI1000" s="64"/>
      <c r="AJ1000" s="69"/>
      <c r="AK1000" s="64"/>
      <c r="AL1000" s="69"/>
      <c r="AM1000" s="64"/>
      <c r="AN1000" s="69"/>
      <c r="AO1000" s="64"/>
      <c r="AP1000" s="69"/>
      <c r="AQ1000" s="64"/>
      <c r="AR1000" s="69"/>
      <c r="AS1000" s="64"/>
      <c r="AT1000" s="69"/>
      <c r="AU1000" s="64"/>
      <c r="AV1000" s="69"/>
      <c r="AW1000" s="64"/>
      <c r="AX1000" s="69"/>
      <c r="AY1000" s="64"/>
      <c r="AZ1000" s="69"/>
      <c r="BA1000" s="64"/>
      <c r="BB1000" s="69"/>
      <c r="BC1000" s="64"/>
      <c r="BD1000" s="69"/>
      <c r="BE1000" s="64"/>
      <c r="BF1000" s="69"/>
      <c r="BG1000" s="64"/>
      <c r="BH1000" s="69"/>
      <c r="BI1000" s="64"/>
      <c r="BJ1000" s="69"/>
      <c r="BK1000" s="64"/>
      <c r="BL1000" s="69"/>
      <c r="BM1000" s="64"/>
      <c r="BN1000" s="69"/>
      <c r="BO1000" s="64"/>
      <c r="BP1000" s="69"/>
      <c r="BQ1000" s="64"/>
      <c r="BR1000" s="69"/>
      <c r="BS1000" s="64"/>
      <c r="BT1000" s="69"/>
      <c r="BU1000" t="b">
        <f t="shared" si="16"/>
        <v>0</v>
      </c>
    </row>
  </sheetData>
  <phoneticPr fontId="4" type="noConversion"/>
  <conditionalFormatting sqref="AE3:AE1000 AG3:AG1000 I3:I1000 BS3:BS1000 BQ3:BQ1000 BO3:BO1000 BC3:BC1000 AQ3:AQ1000 AO3:AO1000 AM3:AM1000 AK3:AK1000 AC3:AC1000 AA3:AA1000 BM3:BM1000 BK3:BK1000 BI3:BI1000 BG3:BG1000 BE3:BE1000 BA3:BA1000 AY3:AY1000 AW3:AW1000 AU3:AU1000 AS3:AS1000 Y3:Y1000 W3:W1000 U3:U1000 S3:S1000 Q3:Q1000 E3:E1000 G3:G1000 K3:K1000 M3:M1000 O4:O1000">
    <cfRule type="expression" dxfId="40" priority="1049">
      <formula>F3&lt;&gt;""</formula>
    </cfRule>
  </conditionalFormatting>
  <conditionalFormatting sqref="M2">
    <cfRule type="expression" dxfId="39" priority="1046">
      <formula>N2&lt;&gt;""</formula>
    </cfRule>
  </conditionalFormatting>
  <conditionalFormatting sqref="K2">
    <cfRule type="expression" dxfId="38" priority="1043">
      <formula>L2&lt;&gt;""</formula>
    </cfRule>
  </conditionalFormatting>
  <conditionalFormatting sqref="G2">
    <cfRule type="expression" dxfId="37" priority="1040">
      <formula>H2&lt;&gt;""</formula>
    </cfRule>
  </conditionalFormatting>
  <conditionalFormatting sqref="E2">
    <cfRule type="expression" dxfId="36" priority="1037">
      <formula>F2&lt;&gt;""</formula>
    </cfRule>
  </conditionalFormatting>
  <conditionalFormatting sqref="Q2">
    <cfRule type="expression" dxfId="35" priority="1034">
      <formula>R2&lt;&gt;""</formula>
    </cfRule>
  </conditionalFormatting>
  <conditionalFormatting sqref="S2">
    <cfRule type="expression" dxfId="34" priority="1031">
      <formula>T2&lt;&gt;""</formula>
    </cfRule>
  </conditionalFormatting>
  <conditionalFormatting sqref="U2">
    <cfRule type="expression" dxfId="33" priority="1028">
      <formula>V2&lt;&gt;""</formula>
    </cfRule>
  </conditionalFormatting>
  <conditionalFormatting sqref="W2">
    <cfRule type="expression" dxfId="32" priority="1025">
      <formula>X2&lt;&gt;""</formula>
    </cfRule>
  </conditionalFormatting>
  <conditionalFormatting sqref="Y2">
    <cfRule type="expression" dxfId="31" priority="1022">
      <formula>Z2&lt;&gt;""</formula>
    </cfRule>
  </conditionalFormatting>
  <conditionalFormatting sqref="AI2:AI1000">
    <cfRule type="expression" dxfId="30" priority="809">
      <formula>AND($AG2&lt;&gt;"",$AI2="")</formula>
    </cfRule>
    <cfRule type="expression" dxfId="29" priority="1019">
      <formula>AJ2&lt;&gt;""</formula>
    </cfRule>
  </conditionalFormatting>
  <conditionalFormatting sqref="AS2">
    <cfRule type="expression" dxfId="28" priority="1018">
      <formula>AT2&lt;&gt;""</formula>
    </cfRule>
  </conditionalFormatting>
  <conditionalFormatting sqref="AU2">
    <cfRule type="expression" dxfId="27" priority="1015">
      <formula>AV2&lt;&gt;""</formula>
    </cfRule>
  </conditionalFormatting>
  <conditionalFormatting sqref="AW2">
    <cfRule type="expression" dxfId="26" priority="1012">
      <formula>AX2&lt;&gt;""</formula>
    </cfRule>
  </conditionalFormatting>
  <conditionalFormatting sqref="AY2">
    <cfRule type="expression" dxfId="25" priority="1009">
      <formula>AZ2&lt;&gt;""</formula>
    </cfRule>
  </conditionalFormatting>
  <conditionalFormatting sqref="BA2">
    <cfRule type="expression" dxfId="24" priority="1006">
      <formula>BB2&lt;&gt;""</formula>
    </cfRule>
  </conditionalFormatting>
  <conditionalFormatting sqref="BE2">
    <cfRule type="expression" dxfId="23" priority="1003">
      <formula>BF2&lt;&gt;""</formula>
    </cfRule>
  </conditionalFormatting>
  <conditionalFormatting sqref="BG2">
    <cfRule type="expression" dxfId="22" priority="1000">
      <formula>BH2&lt;&gt;""</formula>
    </cfRule>
  </conditionalFormatting>
  <conditionalFormatting sqref="BI2">
    <cfRule type="expression" dxfId="21" priority="997">
      <formula>BJ2&lt;&gt;""</formula>
    </cfRule>
  </conditionalFormatting>
  <conditionalFormatting sqref="BK2">
    <cfRule type="expression" dxfId="20" priority="994">
      <formula>BL2&lt;&gt;""</formula>
    </cfRule>
  </conditionalFormatting>
  <conditionalFormatting sqref="BM2">
    <cfRule type="expression" dxfId="19" priority="991">
      <formula>BN2&lt;&gt;""</formula>
    </cfRule>
  </conditionalFormatting>
  <conditionalFormatting sqref="AE2:AE1000 I2:I1000 BO2:BO1000 BC2:BC1000 AK2:AK1000 AC2:AC1000 AA2:AA1000 Y2:Y1000 W2:W1000 U2:U1000 S2:S1000 Q2:Q1000 O4:O1000 M2:M1000 K2:K1000">
    <cfRule type="containsBlanks" dxfId="18" priority="902">
      <formula>LEN(TRIM(I2))=0</formula>
    </cfRule>
  </conditionalFormatting>
  <conditionalFormatting sqref="AA2">
    <cfRule type="expression" dxfId="17" priority="901">
      <formula>AB2&lt;&gt;""</formula>
    </cfRule>
  </conditionalFormatting>
  <conditionalFormatting sqref="AC2">
    <cfRule type="expression" dxfId="16" priority="893">
      <formula>AD2&lt;&gt;""</formula>
    </cfRule>
  </conditionalFormatting>
  <conditionalFormatting sqref="AK2">
    <cfRule type="expression" dxfId="15" priority="885">
      <formula>AL2&lt;&gt;""</formula>
    </cfRule>
  </conditionalFormatting>
  <conditionalFormatting sqref="AM2">
    <cfRule type="expression" dxfId="14" priority="877">
      <formula>AN2&lt;&gt;""</formula>
    </cfRule>
  </conditionalFormatting>
  <conditionalFormatting sqref="AO2">
    <cfRule type="expression" dxfId="13" priority="870">
      <formula>AP2&lt;&gt;""</formula>
    </cfRule>
  </conditionalFormatting>
  <conditionalFormatting sqref="AQ2">
    <cfRule type="expression" dxfId="12" priority="862">
      <formula>AR2&lt;&gt;""</formula>
    </cfRule>
  </conditionalFormatting>
  <conditionalFormatting sqref="BC2">
    <cfRule type="expression" dxfId="11" priority="855">
      <formula>BD2&lt;&gt;""</formula>
    </cfRule>
  </conditionalFormatting>
  <conditionalFormatting sqref="BO2">
    <cfRule type="expression" dxfId="10" priority="847">
      <formula>BP2&lt;&gt;""</formula>
    </cfRule>
  </conditionalFormatting>
  <conditionalFormatting sqref="BQ2">
    <cfRule type="expression" dxfId="9" priority="839">
      <formula>BR2&lt;&gt;""</formula>
    </cfRule>
  </conditionalFormatting>
  <conditionalFormatting sqref="BS2">
    <cfRule type="expression" dxfId="8" priority="832">
      <formula>BT2&lt;&gt;""</formula>
    </cfRule>
  </conditionalFormatting>
  <conditionalFormatting sqref="I2">
    <cfRule type="expression" dxfId="7" priority="825">
      <formula>J2&lt;&gt;""</formula>
    </cfRule>
  </conditionalFormatting>
  <conditionalFormatting sqref="C2:C1000">
    <cfRule type="containsBlanks" dxfId="6" priority="817">
      <formula>LEN(TRIM(C2))=0</formula>
    </cfRule>
  </conditionalFormatting>
  <conditionalFormatting sqref="AG2">
    <cfRule type="expression" dxfId="5" priority="816">
      <formula>AH2&lt;&gt;""</formula>
    </cfRule>
  </conditionalFormatting>
  <conditionalFormatting sqref="AE2">
    <cfRule type="expression" dxfId="4" priority="12">
      <formula>AF2&lt;&gt;""</formula>
    </cfRule>
  </conditionalFormatting>
  <conditionalFormatting sqref="O2">
    <cfRule type="expression" dxfId="3" priority="4">
      <formula>P2&lt;&gt;""</formula>
    </cfRule>
  </conditionalFormatting>
  <conditionalFormatting sqref="O2">
    <cfRule type="containsBlanks" dxfId="2" priority="3">
      <formula>LEN(TRIM(O2))=0</formula>
    </cfRule>
  </conditionalFormatting>
  <conditionalFormatting sqref="O3">
    <cfRule type="expression" dxfId="1" priority="2">
      <formula>P3&lt;&gt;""</formula>
    </cfRule>
  </conditionalFormatting>
  <conditionalFormatting sqref="O3">
    <cfRule type="containsBlanks" dxfId="0" priority="1">
      <formula>LEN(TRIM(O3))=0</formula>
    </cfRule>
  </conditionalFormatting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U1"/>
  <sheetViews>
    <sheetView workbookViewId="0">
      <selection sqref="A1:BU1"/>
    </sheetView>
  </sheetViews>
  <sheetFormatPr defaultRowHeight="15" x14ac:dyDescent="0.25"/>
  <sheetData>
    <row r="1" spans="1:73" ht="120" x14ac:dyDescent="0.25">
      <c r="A1" s="3" t="s">
        <v>73</v>
      </c>
      <c r="B1" s="1" t="s">
        <v>74</v>
      </c>
      <c r="C1" s="3" t="s">
        <v>0</v>
      </c>
      <c r="D1" s="1" t="s">
        <v>1</v>
      </c>
      <c r="E1" s="3" t="s">
        <v>2</v>
      </c>
      <c r="F1" s="1" t="s">
        <v>3</v>
      </c>
      <c r="G1" s="3" t="s">
        <v>4</v>
      </c>
      <c r="H1" s="1" t="s">
        <v>5</v>
      </c>
      <c r="I1" s="3" t="s">
        <v>6</v>
      </c>
      <c r="J1" s="1" t="s">
        <v>7</v>
      </c>
      <c r="K1" s="2" t="s">
        <v>8</v>
      </c>
      <c r="L1" s="1" t="s">
        <v>9</v>
      </c>
      <c r="M1" s="9" t="s">
        <v>10</v>
      </c>
      <c r="N1" s="1" t="s">
        <v>11</v>
      </c>
      <c r="O1" s="3" t="s">
        <v>12</v>
      </c>
      <c r="P1" s="1" t="s">
        <v>13</v>
      </c>
      <c r="Q1" s="3" t="s">
        <v>14</v>
      </c>
      <c r="R1" s="1" t="s">
        <v>15</v>
      </c>
      <c r="S1" s="3" t="s">
        <v>16</v>
      </c>
      <c r="T1" s="1" t="s">
        <v>17</v>
      </c>
      <c r="U1" s="3" t="s">
        <v>18</v>
      </c>
      <c r="V1" s="1" t="s">
        <v>19</v>
      </c>
      <c r="W1" s="3" t="s">
        <v>20</v>
      </c>
      <c r="X1" s="1" t="s">
        <v>21</v>
      </c>
      <c r="Y1" s="3" t="s">
        <v>22</v>
      </c>
      <c r="Z1" s="1" t="s">
        <v>23</v>
      </c>
      <c r="AA1" s="3" t="s">
        <v>24</v>
      </c>
      <c r="AB1" s="1" t="s">
        <v>25</v>
      </c>
      <c r="AC1" s="3" t="s">
        <v>26</v>
      </c>
      <c r="AD1" s="1" t="s">
        <v>27</v>
      </c>
      <c r="AE1" s="10" t="s">
        <v>28</v>
      </c>
      <c r="AF1" s="1" t="s">
        <v>29</v>
      </c>
      <c r="AG1" s="10" t="s">
        <v>30</v>
      </c>
      <c r="AH1" s="1" t="s">
        <v>31</v>
      </c>
      <c r="AI1" s="3" t="s">
        <v>32</v>
      </c>
      <c r="AJ1" s="1" t="s">
        <v>33</v>
      </c>
      <c r="AK1" s="3" t="s">
        <v>34</v>
      </c>
      <c r="AL1" s="1" t="s">
        <v>35</v>
      </c>
      <c r="AM1" s="3" t="s">
        <v>36</v>
      </c>
      <c r="AN1" s="1" t="s">
        <v>37</v>
      </c>
      <c r="AO1" s="3" t="s">
        <v>38</v>
      </c>
      <c r="AP1" s="1" t="s">
        <v>39</v>
      </c>
      <c r="AQ1" s="3" t="s">
        <v>40</v>
      </c>
      <c r="AR1" s="1" t="s">
        <v>41</v>
      </c>
      <c r="AS1" s="3" t="s">
        <v>42</v>
      </c>
      <c r="AT1" s="1" t="s">
        <v>43</v>
      </c>
      <c r="AU1" s="3" t="s">
        <v>44</v>
      </c>
      <c r="AV1" s="1" t="s">
        <v>45</v>
      </c>
      <c r="AW1" s="3" t="s">
        <v>46</v>
      </c>
      <c r="AX1" s="1" t="s">
        <v>47</v>
      </c>
      <c r="AY1" s="3" t="s">
        <v>48</v>
      </c>
      <c r="AZ1" s="1" t="s">
        <v>49</v>
      </c>
      <c r="BA1" s="3" t="s">
        <v>50</v>
      </c>
      <c r="BB1" s="1" t="s">
        <v>51</v>
      </c>
      <c r="BC1" s="3" t="s">
        <v>52</v>
      </c>
      <c r="BD1" s="1" t="s">
        <v>53</v>
      </c>
      <c r="BE1" s="3" t="s">
        <v>54</v>
      </c>
      <c r="BF1" s="1" t="s">
        <v>55</v>
      </c>
      <c r="BG1" s="3" t="s">
        <v>56</v>
      </c>
      <c r="BH1" s="1" t="s">
        <v>57</v>
      </c>
      <c r="BI1" s="3" t="s">
        <v>58</v>
      </c>
      <c r="BJ1" s="1" t="s">
        <v>59</v>
      </c>
      <c r="BK1" s="3" t="s">
        <v>60</v>
      </c>
      <c r="BL1" s="1" t="s">
        <v>61</v>
      </c>
      <c r="BM1" s="3" t="s">
        <v>62</v>
      </c>
      <c r="BN1" s="1" t="s">
        <v>63</v>
      </c>
      <c r="BO1" s="3" t="s">
        <v>64</v>
      </c>
      <c r="BP1" s="1" t="s">
        <v>65</v>
      </c>
      <c r="BQ1" s="3" t="s">
        <v>66</v>
      </c>
      <c r="BR1" s="1" t="s">
        <v>67</v>
      </c>
      <c r="BS1" s="3" t="s">
        <v>68</v>
      </c>
      <c r="BT1" s="1" t="s">
        <v>69</v>
      </c>
      <c r="BU1" s="3" t="s">
        <v>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1000"/>
  <sheetViews>
    <sheetView workbookViewId="0">
      <pane xSplit="4" ySplit="1" topLeftCell="L80" activePane="bottomRight" state="frozen"/>
      <selection pane="topRight" activeCell="E1" sqref="E1"/>
      <selection pane="bottomLeft" activeCell="A2" sqref="A2"/>
      <selection pane="bottomRight" activeCell="U91" sqref="U91"/>
    </sheetView>
  </sheetViews>
  <sheetFormatPr defaultRowHeight="15" x14ac:dyDescent="0.25"/>
  <cols>
    <col min="7" max="7" width="10.7109375" customWidth="1"/>
    <col min="8" max="8" width="11.28515625" customWidth="1"/>
    <col min="9" max="9" width="12.140625" customWidth="1"/>
    <col min="10" max="10" width="15.42578125" customWidth="1"/>
    <col min="13" max="13" width="16.140625" customWidth="1"/>
    <col min="16" max="16" width="11.7109375" customWidth="1"/>
    <col min="25" max="25" width="15" customWidth="1"/>
    <col min="32" max="32" width="12.28515625" customWidth="1"/>
  </cols>
  <sheetData>
    <row r="1" spans="1:33" s="5" customFormat="1" ht="81" customHeight="1" x14ac:dyDescent="0.25">
      <c r="A1" s="3" t="s">
        <v>0</v>
      </c>
      <c r="B1" s="3" t="s">
        <v>6</v>
      </c>
      <c r="C1" s="4" t="s">
        <v>8</v>
      </c>
      <c r="D1" s="4" t="s">
        <v>10</v>
      </c>
      <c r="E1" s="3" t="s">
        <v>12</v>
      </c>
      <c r="F1" s="3" t="s">
        <v>14</v>
      </c>
      <c r="G1" s="3" t="s">
        <v>16</v>
      </c>
      <c r="H1" s="3" t="s">
        <v>18</v>
      </c>
      <c r="I1" s="3" t="s">
        <v>20</v>
      </c>
      <c r="J1" s="3" t="s">
        <v>22</v>
      </c>
      <c r="K1" s="3" t="s">
        <v>24</v>
      </c>
      <c r="L1" s="3" t="s">
        <v>26</v>
      </c>
      <c r="M1" s="3" t="s">
        <v>28</v>
      </c>
      <c r="N1" s="3" t="s">
        <v>30</v>
      </c>
      <c r="O1" s="3" t="s">
        <v>32</v>
      </c>
      <c r="P1" s="3" t="s">
        <v>34</v>
      </c>
      <c r="Q1" s="3" t="s">
        <v>36</v>
      </c>
      <c r="R1" s="3" t="s">
        <v>38</v>
      </c>
      <c r="S1" s="3" t="s">
        <v>40</v>
      </c>
      <c r="T1" s="3" t="s">
        <v>42</v>
      </c>
      <c r="U1" s="3" t="s">
        <v>44</v>
      </c>
      <c r="V1" s="3" t="s">
        <v>46</v>
      </c>
      <c r="W1" s="3" t="s">
        <v>48</v>
      </c>
      <c r="X1" s="3" t="s">
        <v>50</v>
      </c>
      <c r="Y1" s="3" t="s">
        <v>52</v>
      </c>
      <c r="Z1" s="3" t="s">
        <v>54</v>
      </c>
      <c r="AA1" s="3" t="s">
        <v>56</v>
      </c>
      <c r="AB1" s="3" t="s">
        <v>58</v>
      </c>
      <c r="AC1" s="3" t="s">
        <v>60</v>
      </c>
      <c r="AD1" s="3" t="s">
        <v>62</v>
      </c>
      <c r="AE1" s="3" t="s">
        <v>64</v>
      </c>
      <c r="AF1" s="3" t="s">
        <v>66</v>
      </c>
      <c r="AG1" s="3" t="s">
        <v>68</v>
      </c>
    </row>
    <row r="2" spans="1:33" x14ac:dyDescent="0.25">
      <c r="A2">
        <f>loaded!C2</f>
        <v>0</v>
      </c>
      <c r="B2">
        <f>loaded!I2</f>
        <v>0</v>
      </c>
      <c r="C2">
        <f>IF(loaded!K2="Male",1,IF(loaded!K2="Female",2,9))</f>
        <v>9</v>
      </c>
      <c r="D2" s="8">
        <f>loaded!M2</f>
        <v>0</v>
      </c>
      <c r="E2" t="str">
        <f>LEFT(loaded!O2,3)</f>
        <v/>
      </c>
      <c r="F2" t="e">
        <f>INDEX(cntry_codes,MATCH(loaded!Q2,countries,0))</f>
        <v>#N/A</v>
      </c>
      <c r="G2" t="e">
        <f>INDEX(atsi_codes,MATCH(loaded!S2,atsi,0))</f>
        <v>#N/A</v>
      </c>
      <c r="H2" t="e">
        <f>INDEX(lang_codes,MATCH(loaded!U2,lang,0))</f>
        <v>#N/A</v>
      </c>
      <c r="I2" s="8">
        <f>loaded!W2</f>
        <v>0</v>
      </c>
      <c r="J2" t="e">
        <f>INDEX(us_acc_codes,MATCH(loaded!Y2,us_acc,0))</f>
        <v>#N/A</v>
      </c>
      <c r="K2" t="e">
        <f>INDEX(client_codes,MATCH(loaded!AA2,client,0))</f>
        <v>#N/A</v>
      </c>
      <c r="L2" t="e">
        <f>INDEX(src_ref_codes,MATCH(loaded!AC2,src_ref,0))</f>
        <v>#N/A</v>
      </c>
      <c r="M2" s="8">
        <f>loaded!AE2</f>
        <v>0</v>
      </c>
      <c r="N2" s="8">
        <f>loaded!AG2</f>
        <v>0</v>
      </c>
      <c r="O2" t="e">
        <f>INDEX(reces_codes,MATCH(loaded!AI2,reason,0))</f>
        <v>#N/A</v>
      </c>
      <c r="P2" t="e">
        <f>INDEX(TDS_codes,MATCH(loaded!AK2,TDS,0))</f>
        <v>#N/A</v>
      </c>
      <c r="Q2" t="e">
        <f>IF(K2=2,"",INDEX(method_codes,MATCH(loaded!AM2,method,0)))</f>
        <v>#N/A</v>
      </c>
      <c r="R2" t="e">
        <f>IF(K2=2,"",INDEX(inj_codes,MATCH(loaded!AO2,inj,0)))</f>
        <v>#N/A</v>
      </c>
      <c r="S2" t="e">
        <f>IF(K2=2,"",INDEX(drug_codes,MATCH(loaded!AQ2,drug,0)))</f>
        <v>#N/A</v>
      </c>
      <c r="T2" t="e">
        <f>IF(K2=2,"",_xlfn.IFNA(INDEX(drug_codes,MATCH(loaded!AS2,drug,0)),""))</f>
        <v>#N/A</v>
      </c>
      <c r="U2" t="e">
        <f>IF(K2=2,"",_xlfn.IFNA(INDEX(drug_codes,MATCH(loaded!AU2,drug,0)),""))</f>
        <v>#N/A</v>
      </c>
      <c r="V2" t="e">
        <f>IF(K2=2,"",_xlfn.IFNA(INDEX(drug_codes,MATCH(loaded!AW2,drug,0)),""))</f>
        <v>#N/A</v>
      </c>
      <c r="W2" t="e">
        <f>IF(K2=2,"",_xlfn.IFNA(INDEX(drug_codes,MATCH(loaded!AY2,drug,0)),""))</f>
        <v>#N/A</v>
      </c>
      <c r="X2" t="e">
        <f>IF(K2=2,"",_xlfn.IFNA(INDEX(drug_codes,MATCH(loaded!BA2,drug,0)),""))</f>
        <v>#N/A</v>
      </c>
      <c r="Y2" t="e">
        <f>INDEX(MTT_codes,MATCH(loaded!BC2,MTT,0))</f>
        <v>#N/A</v>
      </c>
      <c r="Z2" t="str">
        <f>_xlfn.IFNA(INDEX(MTT_codes,MATCH(loaded!BE2,MTT,0)),"")</f>
        <v/>
      </c>
      <c r="AA2" t="str">
        <f>_xlfn.IFNA(INDEX(MTT_codes,MATCH(loaded!BG2,MTT,0)),"")</f>
        <v/>
      </c>
      <c r="AB2" t="str">
        <f>_xlfn.IFNA(INDEX(MTT_codes,MATCH(loaded!BI2,MTT,0)),"")</f>
        <v/>
      </c>
      <c r="AC2" t="str">
        <f>_xlfn.IFNA(INDEX(MTT_codes,MATCH(loaded!BK2,MTT,0)),"")</f>
        <v/>
      </c>
      <c r="AD2" t="str">
        <f>_xlfn.IFNA(INDEX(MTT_codes,MATCH(loaded!BM2,MTT,0)),"")</f>
        <v/>
      </c>
      <c r="AE2" t="e">
        <f>INDEX(liv_ar_codes,MATCH(loaded!BO2,liv_ar,0))</f>
        <v>#N/A</v>
      </c>
      <c r="AF2" t="str">
        <f>_xlfn.IFNA(INDEX(MTT_codes,MATCH(loaded!BQ2,MTT,0)),"")</f>
        <v/>
      </c>
      <c r="AG2">
        <f>_xlfn.IFNA(INDEX(mental_codes,MATCH(loaded!BS2,mental,0)),9)</f>
        <v>9</v>
      </c>
    </row>
    <row r="3" spans="1:33" x14ac:dyDescent="0.25">
      <c r="A3">
        <f>loaded!C3</f>
        <v>0</v>
      </c>
      <c r="B3">
        <f>loaded!I3</f>
        <v>0</v>
      </c>
      <c r="C3">
        <f>IF(loaded!K3="Male",1,IF(loaded!K3="Female",2,9))</f>
        <v>9</v>
      </c>
      <c r="D3" s="8">
        <f>loaded!M3</f>
        <v>0</v>
      </c>
      <c r="E3" t="str">
        <f>LEFT(loaded!O3,3)</f>
        <v/>
      </c>
      <c r="F3" t="e">
        <f>INDEX(cntry_codes,MATCH(loaded!Q3,countries,0))</f>
        <v>#N/A</v>
      </c>
      <c r="G3" t="e">
        <f>INDEX(atsi_codes,MATCH(loaded!S3,atsi,0))</f>
        <v>#N/A</v>
      </c>
      <c r="H3" t="e">
        <f>INDEX(lang_codes,MATCH(loaded!U3,lang,0))</f>
        <v>#N/A</v>
      </c>
      <c r="I3" s="8">
        <f>loaded!W3</f>
        <v>0</v>
      </c>
      <c r="J3" t="e">
        <f>INDEX(us_acc_codes,MATCH(loaded!Y3,us_acc,0))</f>
        <v>#N/A</v>
      </c>
      <c r="K3" t="e">
        <f>INDEX(client_codes,MATCH(loaded!AA3,client,0))</f>
        <v>#N/A</v>
      </c>
      <c r="L3" t="e">
        <f>INDEX(src_ref_codes,MATCH(loaded!AC3,src_ref,0))</f>
        <v>#N/A</v>
      </c>
      <c r="M3" s="8">
        <f>loaded!AE3</f>
        <v>0</v>
      </c>
      <c r="N3" s="8">
        <f>loaded!AG3</f>
        <v>0</v>
      </c>
      <c r="O3" t="e">
        <f>INDEX(reces_codes,MATCH(loaded!AI3,reason,0))</f>
        <v>#N/A</v>
      </c>
      <c r="P3" t="e">
        <f>INDEX(TDS_codes,MATCH(loaded!AK3,TDS,0))</f>
        <v>#N/A</v>
      </c>
      <c r="Q3" t="e">
        <f>IF(K3=2,"",INDEX(method_codes,MATCH(loaded!AM3,method,0)))</f>
        <v>#N/A</v>
      </c>
      <c r="R3" t="e">
        <f>IF(K3=2,"",INDEX(inj_codes,MATCH(loaded!AO3,inj,0)))</f>
        <v>#N/A</v>
      </c>
      <c r="S3" t="e">
        <f>IF(K3=2,"",INDEX(drug_codes,MATCH(loaded!AQ3,drug,0)))</f>
        <v>#N/A</v>
      </c>
      <c r="T3" t="e">
        <f>IF(K3=2,"",_xlfn.IFNA(INDEX(drug_codes,MATCH(loaded!AS3,drug,0)),""))</f>
        <v>#N/A</v>
      </c>
      <c r="U3" t="e">
        <f>IF(K3=2,"",_xlfn.IFNA(INDEX(drug_codes,MATCH(loaded!AU3,drug,0)),""))</f>
        <v>#N/A</v>
      </c>
      <c r="V3" t="e">
        <f>IF(K3=2,"",_xlfn.IFNA(INDEX(drug_codes,MATCH(loaded!AW3,drug,0)),""))</f>
        <v>#N/A</v>
      </c>
      <c r="W3" t="e">
        <f>IF(K3=2,"",_xlfn.IFNA(INDEX(drug_codes,MATCH(loaded!AY3,drug,0)),""))</f>
        <v>#N/A</v>
      </c>
      <c r="X3" t="e">
        <f>IF(K3=2,"",_xlfn.IFNA(INDEX(drug_codes,MATCH(loaded!BA3,drug,0)),""))</f>
        <v>#N/A</v>
      </c>
      <c r="Y3" t="e">
        <f>INDEX(MTT_codes,MATCH(loaded!BC3,MTT,0))</f>
        <v>#N/A</v>
      </c>
      <c r="Z3" t="str">
        <f>_xlfn.IFNA(INDEX(MTT_codes,MATCH(loaded!BE3,MTT,0)),"")</f>
        <v/>
      </c>
      <c r="AA3" t="str">
        <f>_xlfn.IFNA(INDEX(MTT_codes,MATCH(loaded!BG3,MTT,0)),"")</f>
        <v/>
      </c>
      <c r="AB3" t="str">
        <f>_xlfn.IFNA(INDEX(MTT_codes,MATCH(loaded!BI3,MTT,0)),"")</f>
        <v/>
      </c>
      <c r="AC3" t="str">
        <f>_xlfn.IFNA(INDEX(MTT_codes,MATCH(loaded!BK3,MTT,0)),"")</f>
        <v/>
      </c>
      <c r="AD3" t="str">
        <f>_xlfn.IFNA(INDEX(MTT_codes,MATCH(loaded!BM3,MTT,0)),"")</f>
        <v/>
      </c>
      <c r="AE3" t="e">
        <f>INDEX(liv_ar_codes,MATCH(loaded!BO3,liv_ar,0))</f>
        <v>#N/A</v>
      </c>
      <c r="AF3" t="str">
        <f>_xlfn.IFNA(INDEX(MTT_codes,MATCH(loaded!BQ3,MTT,0)),"")</f>
        <v/>
      </c>
      <c r="AG3">
        <f>_xlfn.IFNA(INDEX(mental_codes,MATCH(loaded!BS3,mental,0)),9)</f>
        <v>9</v>
      </c>
    </row>
    <row r="4" spans="1:33" x14ac:dyDescent="0.25">
      <c r="A4">
        <f>loaded!C4</f>
        <v>0</v>
      </c>
      <c r="B4">
        <f>loaded!I4</f>
        <v>0</v>
      </c>
      <c r="C4">
        <f>IF(loaded!K4="Male",1,IF(loaded!K4="Female",2,9))</f>
        <v>9</v>
      </c>
      <c r="D4" s="8">
        <f>loaded!M4</f>
        <v>0</v>
      </c>
      <c r="E4" t="str">
        <f>LEFT(loaded!O4,3)</f>
        <v/>
      </c>
      <c r="F4" t="e">
        <f>INDEX(cntry_codes,MATCH(loaded!Q4,countries,0))</f>
        <v>#N/A</v>
      </c>
      <c r="G4" t="e">
        <f>INDEX(atsi_codes,MATCH(loaded!S4,atsi,0))</f>
        <v>#N/A</v>
      </c>
      <c r="H4" t="e">
        <f>INDEX(lang_codes,MATCH(loaded!U4,lang,0))</f>
        <v>#N/A</v>
      </c>
      <c r="I4" s="8">
        <f>loaded!W4</f>
        <v>0</v>
      </c>
      <c r="J4" t="e">
        <f>INDEX(us_acc_codes,MATCH(loaded!Y4,us_acc,0))</f>
        <v>#N/A</v>
      </c>
      <c r="K4" t="e">
        <f>INDEX(client_codes,MATCH(loaded!AA4,client,0))</f>
        <v>#N/A</v>
      </c>
      <c r="L4" t="e">
        <f>INDEX(src_ref_codes,MATCH(loaded!AC4,src_ref,0))</f>
        <v>#N/A</v>
      </c>
      <c r="M4" s="8">
        <f>loaded!AE4</f>
        <v>0</v>
      </c>
      <c r="N4" s="8">
        <f>loaded!AG4</f>
        <v>0</v>
      </c>
      <c r="O4" t="e">
        <f>INDEX(reces_codes,MATCH(loaded!AI4,reason,0))</f>
        <v>#N/A</v>
      </c>
      <c r="P4" t="e">
        <f>INDEX(TDS_codes,MATCH(loaded!AK4,TDS,0))</f>
        <v>#N/A</v>
      </c>
      <c r="Q4" t="e">
        <f>IF(K4=2,"",INDEX(method_codes,MATCH(loaded!AM4,method,0)))</f>
        <v>#N/A</v>
      </c>
      <c r="R4" t="e">
        <f>IF(K4=2,"",INDEX(inj_codes,MATCH(loaded!AO4,inj,0)))</f>
        <v>#N/A</v>
      </c>
      <c r="S4" t="e">
        <f>IF(K4=2,"",INDEX(drug_codes,MATCH(loaded!AQ4,drug,0)))</f>
        <v>#N/A</v>
      </c>
      <c r="T4" t="e">
        <f>IF(K4=2,"",_xlfn.IFNA(INDEX(drug_codes,MATCH(loaded!AS4,drug,0)),""))</f>
        <v>#N/A</v>
      </c>
      <c r="U4" t="e">
        <f>IF(K4=2,"",_xlfn.IFNA(INDEX(drug_codes,MATCH(loaded!AU4,drug,0)),""))</f>
        <v>#N/A</v>
      </c>
      <c r="V4" t="e">
        <f>IF(K4=2,"",_xlfn.IFNA(INDEX(drug_codes,MATCH(loaded!AW4,drug,0)),""))</f>
        <v>#N/A</v>
      </c>
      <c r="W4" t="e">
        <f>IF(K4=2,"",_xlfn.IFNA(INDEX(drug_codes,MATCH(loaded!AY4,drug,0)),""))</f>
        <v>#N/A</v>
      </c>
      <c r="X4" t="e">
        <f>IF(K4=2,"",_xlfn.IFNA(INDEX(drug_codes,MATCH(loaded!BA4,drug,0)),""))</f>
        <v>#N/A</v>
      </c>
      <c r="Y4" t="e">
        <f>INDEX(MTT_codes,MATCH(loaded!BC4,MTT,0))</f>
        <v>#N/A</v>
      </c>
      <c r="Z4" t="str">
        <f>_xlfn.IFNA(INDEX(MTT_codes,MATCH(loaded!BE4,MTT,0)),"")</f>
        <v/>
      </c>
      <c r="AA4" t="str">
        <f>_xlfn.IFNA(INDEX(MTT_codes,MATCH(loaded!BG4,MTT,0)),"")</f>
        <v/>
      </c>
      <c r="AB4" t="str">
        <f>_xlfn.IFNA(INDEX(MTT_codes,MATCH(loaded!BI4,MTT,0)),"")</f>
        <v/>
      </c>
      <c r="AC4" t="str">
        <f>_xlfn.IFNA(INDEX(MTT_codes,MATCH(loaded!BK4,MTT,0)),"")</f>
        <v/>
      </c>
      <c r="AD4" t="str">
        <f>_xlfn.IFNA(INDEX(MTT_codes,MATCH(loaded!BM4,MTT,0)),"")</f>
        <v/>
      </c>
      <c r="AE4" t="e">
        <f>INDEX(liv_ar_codes,MATCH(loaded!BO4,liv_ar,0))</f>
        <v>#N/A</v>
      </c>
      <c r="AF4" t="str">
        <f>_xlfn.IFNA(INDEX(MTT_codes,MATCH(loaded!BQ4,MTT,0)),"")</f>
        <v/>
      </c>
      <c r="AG4">
        <f>_xlfn.IFNA(INDEX(mental_codes,MATCH(loaded!BS4,mental,0)),9)</f>
        <v>9</v>
      </c>
    </row>
    <row r="5" spans="1:33" x14ac:dyDescent="0.25">
      <c r="A5">
        <f>loaded!C5</f>
        <v>0</v>
      </c>
      <c r="B5">
        <f>loaded!I5</f>
        <v>0</v>
      </c>
      <c r="C5">
        <f>IF(loaded!K5="Male",1,IF(loaded!K5="Female",2,9))</f>
        <v>9</v>
      </c>
      <c r="D5" s="8">
        <f>loaded!M5</f>
        <v>0</v>
      </c>
      <c r="E5" t="str">
        <f>LEFT(loaded!O5,3)</f>
        <v/>
      </c>
      <c r="F5" t="e">
        <f>INDEX(cntry_codes,MATCH(loaded!Q5,countries,0))</f>
        <v>#N/A</v>
      </c>
      <c r="G5" t="e">
        <f>INDEX(atsi_codes,MATCH(loaded!S5,atsi,0))</f>
        <v>#N/A</v>
      </c>
      <c r="H5" t="e">
        <f>INDEX(lang_codes,MATCH(loaded!U5,lang,0))</f>
        <v>#N/A</v>
      </c>
      <c r="I5" s="8">
        <f>loaded!W5</f>
        <v>0</v>
      </c>
      <c r="J5" t="e">
        <f>INDEX(us_acc_codes,MATCH(loaded!Y5,us_acc,0))</f>
        <v>#N/A</v>
      </c>
      <c r="K5" t="e">
        <f>INDEX(client_codes,MATCH(loaded!AA5,client,0))</f>
        <v>#N/A</v>
      </c>
      <c r="L5" t="e">
        <f>INDEX(src_ref_codes,MATCH(loaded!AC5,src_ref,0))</f>
        <v>#N/A</v>
      </c>
      <c r="M5" s="8">
        <f>loaded!AE5</f>
        <v>0</v>
      </c>
      <c r="N5" s="8">
        <f>loaded!AG5</f>
        <v>0</v>
      </c>
      <c r="O5" t="e">
        <f>INDEX(reces_codes,MATCH(loaded!AI5,reason,0))</f>
        <v>#N/A</v>
      </c>
      <c r="P5" t="e">
        <f>INDEX(TDS_codes,MATCH(loaded!AK5,TDS,0))</f>
        <v>#N/A</v>
      </c>
      <c r="Q5" t="e">
        <f>IF(K5=2,"",INDEX(method_codes,MATCH(loaded!AM5,method,0)))</f>
        <v>#N/A</v>
      </c>
      <c r="R5" t="e">
        <f>IF(K5=2,"",INDEX(inj_codes,MATCH(loaded!AO5,inj,0)))</f>
        <v>#N/A</v>
      </c>
      <c r="S5" t="e">
        <f>IF(K5=2,"",INDEX(drug_codes,MATCH(loaded!AQ5,drug,0)))</f>
        <v>#N/A</v>
      </c>
      <c r="T5" t="e">
        <f>IF(K5=2,"",_xlfn.IFNA(INDEX(drug_codes,MATCH(loaded!AS5,drug,0)),""))</f>
        <v>#N/A</v>
      </c>
      <c r="U5" t="e">
        <f>IF(K5=2,"",_xlfn.IFNA(INDEX(drug_codes,MATCH(loaded!AU5,drug,0)),""))</f>
        <v>#N/A</v>
      </c>
      <c r="V5" t="e">
        <f>IF(K5=2,"",_xlfn.IFNA(INDEX(drug_codes,MATCH(loaded!AW5,drug,0)),""))</f>
        <v>#N/A</v>
      </c>
      <c r="W5" t="e">
        <f>IF(K5=2,"",_xlfn.IFNA(INDEX(drug_codes,MATCH(loaded!AY5,drug,0)),""))</f>
        <v>#N/A</v>
      </c>
      <c r="X5" t="e">
        <f>IF(K5=2,"",_xlfn.IFNA(INDEX(drug_codes,MATCH(loaded!BA5,drug,0)),""))</f>
        <v>#N/A</v>
      </c>
      <c r="Y5" t="e">
        <f>INDEX(MTT_codes,MATCH(loaded!BC5,MTT,0))</f>
        <v>#N/A</v>
      </c>
      <c r="Z5" t="str">
        <f>_xlfn.IFNA(INDEX(MTT_codes,MATCH(loaded!BE5,MTT,0)),"")</f>
        <v/>
      </c>
      <c r="AA5" t="str">
        <f>_xlfn.IFNA(INDEX(MTT_codes,MATCH(loaded!BG5,MTT,0)),"")</f>
        <v/>
      </c>
      <c r="AB5" t="str">
        <f>_xlfn.IFNA(INDEX(MTT_codes,MATCH(loaded!BI5,MTT,0)),"")</f>
        <v/>
      </c>
      <c r="AC5" t="str">
        <f>_xlfn.IFNA(INDEX(MTT_codes,MATCH(loaded!BK5,MTT,0)),"")</f>
        <v/>
      </c>
      <c r="AD5" t="str">
        <f>_xlfn.IFNA(INDEX(MTT_codes,MATCH(loaded!BM5,MTT,0)),"")</f>
        <v/>
      </c>
      <c r="AE5" t="e">
        <f>INDEX(liv_ar_codes,MATCH(loaded!BO5,liv_ar,0))</f>
        <v>#N/A</v>
      </c>
      <c r="AF5" t="str">
        <f>_xlfn.IFNA(INDEX(MTT_codes,MATCH(loaded!BQ5,MTT,0)),"")</f>
        <v/>
      </c>
      <c r="AG5">
        <f>_xlfn.IFNA(INDEX(mental_codes,MATCH(loaded!BS5,mental,0)),9)</f>
        <v>9</v>
      </c>
    </row>
    <row r="6" spans="1:33" x14ac:dyDescent="0.25">
      <c r="A6">
        <f>loaded!C6</f>
        <v>0</v>
      </c>
      <c r="B6">
        <f>loaded!I6</f>
        <v>0</v>
      </c>
      <c r="C6">
        <f>IF(loaded!K6="Male",1,IF(loaded!K6="Female",2,9))</f>
        <v>9</v>
      </c>
      <c r="D6" s="8">
        <f>loaded!M6</f>
        <v>0</v>
      </c>
      <c r="E6" t="str">
        <f>LEFT(loaded!O6,3)</f>
        <v/>
      </c>
      <c r="F6" t="e">
        <f>INDEX(cntry_codes,MATCH(loaded!Q6,countries,0))</f>
        <v>#N/A</v>
      </c>
      <c r="G6" t="e">
        <f>INDEX(atsi_codes,MATCH(loaded!S6,atsi,0))</f>
        <v>#N/A</v>
      </c>
      <c r="H6" t="e">
        <f>INDEX(lang_codes,MATCH(loaded!U6,lang,0))</f>
        <v>#N/A</v>
      </c>
      <c r="I6" s="8">
        <f>loaded!W6</f>
        <v>0</v>
      </c>
      <c r="J6" t="e">
        <f>INDEX(us_acc_codes,MATCH(loaded!Y6,us_acc,0))</f>
        <v>#N/A</v>
      </c>
      <c r="K6" t="e">
        <f>INDEX(client_codes,MATCH(loaded!AA6,client,0))</f>
        <v>#N/A</v>
      </c>
      <c r="L6" t="e">
        <f>INDEX(src_ref_codes,MATCH(loaded!AC6,src_ref,0))</f>
        <v>#N/A</v>
      </c>
      <c r="M6" s="8">
        <f>loaded!AE6</f>
        <v>0</v>
      </c>
      <c r="N6" s="8">
        <f>loaded!AG6</f>
        <v>0</v>
      </c>
      <c r="O6" t="e">
        <f>INDEX(reces_codes,MATCH(loaded!AI6,reason,0))</f>
        <v>#N/A</v>
      </c>
      <c r="P6" t="e">
        <f>INDEX(TDS_codes,MATCH(loaded!AK6,TDS,0))</f>
        <v>#N/A</v>
      </c>
      <c r="Q6" t="e">
        <f>IF(K6=2,"",INDEX(method_codes,MATCH(loaded!AM6,method,0)))</f>
        <v>#N/A</v>
      </c>
      <c r="R6" t="e">
        <f>IF(K6=2,"",INDEX(inj_codes,MATCH(loaded!AO6,inj,0)))</f>
        <v>#N/A</v>
      </c>
      <c r="S6" t="e">
        <f>IF(K6=2,"",INDEX(drug_codes,MATCH(loaded!AQ6,drug,0)))</f>
        <v>#N/A</v>
      </c>
      <c r="T6" t="e">
        <f>IF(K6=2,"",_xlfn.IFNA(INDEX(drug_codes,MATCH(loaded!AS6,drug,0)),""))</f>
        <v>#N/A</v>
      </c>
      <c r="U6" t="e">
        <f>IF(K6=2,"",_xlfn.IFNA(INDEX(drug_codes,MATCH(loaded!AU6,drug,0)),""))</f>
        <v>#N/A</v>
      </c>
      <c r="V6" t="e">
        <f>IF(K6=2,"",_xlfn.IFNA(INDEX(drug_codes,MATCH(loaded!AW6,drug,0)),""))</f>
        <v>#N/A</v>
      </c>
      <c r="W6" t="e">
        <f>IF(K6=2,"",_xlfn.IFNA(INDEX(drug_codes,MATCH(loaded!AY6,drug,0)),""))</f>
        <v>#N/A</v>
      </c>
      <c r="X6" t="e">
        <f>IF(K6=2,"",_xlfn.IFNA(INDEX(drug_codes,MATCH(loaded!BA6,drug,0)),""))</f>
        <v>#N/A</v>
      </c>
      <c r="Y6" t="e">
        <f>INDEX(MTT_codes,MATCH(loaded!BC6,MTT,0))</f>
        <v>#N/A</v>
      </c>
      <c r="Z6" t="str">
        <f>_xlfn.IFNA(INDEX(MTT_codes,MATCH(loaded!BE6,MTT,0)),"")</f>
        <v/>
      </c>
      <c r="AA6" t="str">
        <f>_xlfn.IFNA(INDEX(MTT_codes,MATCH(loaded!BG6,MTT,0)),"")</f>
        <v/>
      </c>
      <c r="AB6" t="str">
        <f>_xlfn.IFNA(INDEX(MTT_codes,MATCH(loaded!BI6,MTT,0)),"")</f>
        <v/>
      </c>
      <c r="AC6" t="str">
        <f>_xlfn.IFNA(INDEX(MTT_codes,MATCH(loaded!BK6,MTT,0)),"")</f>
        <v/>
      </c>
      <c r="AD6" t="str">
        <f>_xlfn.IFNA(INDEX(MTT_codes,MATCH(loaded!BM6,MTT,0)),"")</f>
        <v/>
      </c>
      <c r="AE6" t="e">
        <f>INDEX(liv_ar_codes,MATCH(loaded!BO6,liv_ar,0))</f>
        <v>#N/A</v>
      </c>
      <c r="AF6" t="str">
        <f>_xlfn.IFNA(INDEX(MTT_codes,MATCH(loaded!BQ6,MTT,0)),"")</f>
        <v/>
      </c>
      <c r="AG6">
        <f>_xlfn.IFNA(INDEX(mental_codes,MATCH(loaded!BS6,mental,0)),9)</f>
        <v>9</v>
      </c>
    </row>
    <row r="7" spans="1:33" x14ac:dyDescent="0.25">
      <c r="A7">
        <f>loaded!C7</f>
        <v>0</v>
      </c>
      <c r="B7">
        <f>loaded!I7</f>
        <v>0</v>
      </c>
      <c r="C7">
        <f>IF(loaded!K7="Male",1,IF(loaded!K7="Female",2,9))</f>
        <v>9</v>
      </c>
      <c r="D7" s="8">
        <f>loaded!M7</f>
        <v>0</v>
      </c>
      <c r="E7" t="str">
        <f>LEFT(loaded!O7,3)</f>
        <v/>
      </c>
      <c r="F7" t="e">
        <f>INDEX(cntry_codes,MATCH(loaded!Q7,countries,0))</f>
        <v>#N/A</v>
      </c>
      <c r="G7" t="e">
        <f>INDEX(atsi_codes,MATCH(loaded!S7,atsi,0))</f>
        <v>#N/A</v>
      </c>
      <c r="H7" t="e">
        <f>INDEX(lang_codes,MATCH(loaded!U7,lang,0))</f>
        <v>#N/A</v>
      </c>
      <c r="I7" s="8">
        <f>loaded!W7</f>
        <v>0</v>
      </c>
      <c r="J7" t="e">
        <f>INDEX(us_acc_codes,MATCH(loaded!Y7,us_acc,0))</f>
        <v>#N/A</v>
      </c>
      <c r="K7" t="e">
        <f>INDEX(client_codes,MATCH(loaded!AA7,client,0))</f>
        <v>#N/A</v>
      </c>
      <c r="L7" t="e">
        <f>INDEX(src_ref_codes,MATCH(loaded!AC7,src_ref,0))</f>
        <v>#N/A</v>
      </c>
      <c r="M7" s="8">
        <f>loaded!AE7</f>
        <v>0</v>
      </c>
      <c r="N7" s="8">
        <f>loaded!AG7</f>
        <v>0</v>
      </c>
      <c r="O7" t="e">
        <f>INDEX(reces_codes,MATCH(loaded!AI7,reason,0))</f>
        <v>#N/A</v>
      </c>
      <c r="P7" t="e">
        <f>INDEX(TDS_codes,MATCH(loaded!AK7,TDS,0))</f>
        <v>#N/A</v>
      </c>
      <c r="Q7" t="e">
        <f>IF(K7=2,"",INDEX(method_codes,MATCH(loaded!AM7,method,0)))</f>
        <v>#N/A</v>
      </c>
      <c r="R7" t="e">
        <f>IF(K7=2,"",INDEX(inj_codes,MATCH(loaded!AO7,inj,0)))</f>
        <v>#N/A</v>
      </c>
      <c r="S7" t="e">
        <f>IF(K7=2,"",INDEX(drug_codes,MATCH(loaded!AQ7,drug,0)))</f>
        <v>#N/A</v>
      </c>
      <c r="T7" t="e">
        <f>IF(K7=2,"",_xlfn.IFNA(INDEX(drug_codes,MATCH(loaded!AS7,drug,0)),""))</f>
        <v>#N/A</v>
      </c>
      <c r="U7" t="e">
        <f>IF(K7=2,"",_xlfn.IFNA(INDEX(drug_codes,MATCH(loaded!AU7,drug,0)),""))</f>
        <v>#N/A</v>
      </c>
      <c r="V7" t="e">
        <f>IF(K7=2,"",_xlfn.IFNA(INDEX(drug_codes,MATCH(loaded!AW7,drug,0)),""))</f>
        <v>#N/A</v>
      </c>
      <c r="W7" t="e">
        <f>IF(K7=2,"",_xlfn.IFNA(INDEX(drug_codes,MATCH(loaded!AY7,drug,0)),""))</f>
        <v>#N/A</v>
      </c>
      <c r="X7" t="e">
        <f>IF(K7=2,"",_xlfn.IFNA(INDEX(drug_codes,MATCH(loaded!BA7,drug,0)),""))</f>
        <v>#N/A</v>
      </c>
      <c r="Y7" t="e">
        <f>INDEX(MTT_codes,MATCH(loaded!BC7,MTT,0))</f>
        <v>#N/A</v>
      </c>
      <c r="Z7" t="str">
        <f>_xlfn.IFNA(INDEX(MTT_codes,MATCH(loaded!BE7,MTT,0)),"")</f>
        <v/>
      </c>
      <c r="AA7" t="str">
        <f>_xlfn.IFNA(INDEX(MTT_codes,MATCH(loaded!BG7,MTT,0)),"")</f>
        <v/>
      </c>
      <c r="AB7" t="str">
        <f>_xlfn.IFNA(INDEX(MTT_codes,MATCH(loaded!BI7,MTT,0)),"")</f>
        <v/>
      </c>
      <c r="AC7" t="str">
        <f>_xlfn.IFNA(INDEX(MTT_codes,MATCH(loaded!BK7,MTT,0)),"")</f>
        <v/>
      </c>
      <c r="AD7" t="str">
        <f>_xlfn.IFNA(INDEX(MTT_codes,MATCH(loaded!BM7,MTT,0)),"")</f>
        <v/>
      </c>
      <c r="AE7" t="e">
        <f>INDEX(liv_ar_codes,MATCH(loaded!BO7,liv_ar,0))</f>
        <v>#N/A</v>
      </c>
      <c r="AF7" t="str">
        <f>_xlfn.IFNA(INDEX(MTT_codes,MATCH(loaded!BQ7,MTT,0)),"")</f>
        <v/>
      </c>
      <c r="AG7">
        <f>_xlfn.IFNA(INDEX(mental_codes,MATCH(loaded!BS7,mental,0)),9)</f>
        <v>9</v>
      </c>
    </row>
    <row r="8" spans="1:33" x14ac:dyDescent="0.25">
      <c r="A8">
        <f>loaded!C8</f>
        <v>0</v>
      </c>
      <c r="B8">
        <f>loaded!I8</f>
        <v>0</v>
      </c>
      <c r="C8">
        <f>IF(loaded!K8="Male",1,IF(loaded!K8="Female",2,9))</f>
        <v>9</v>
      </c>
      <c r="D8" s="8">
        <f>loaded!M8</f>
        <v>0</v>
      </c>
      <c r="E8" t="str">
        <f>LEFT(loaded!O8,3)</f>
        <v/>
      </c>
      <c r="F8" t="e">
        <f>INDEX(cntry_codes,MATCH(loaded!Q8,countries,0))</f>
        <v>#N/A</v>
      </c>
      <c r="G8" t="e">
        <f>INDEX(atsi_codes,MATCH(loaded!S8,atsi,0))</f>
        <v>#N/A</v>
      </c>
      <c r="H8" t="e">
        <f>INDEX(lang_codes,MATCH(loaded!U8,lang,0))</f>
        <v>#N/A</v>
      </c>
      <c r="I8" s="8">
        <f>loaded!W8</f>
        <v>0</v>
      </c>
      <c r="J8" t="e">
        <f>INDEX(us_acc_codes,MATCH(loaded!Y8,us_acc,0))</f>
        <v>#N/A</v>
      </c>
      <c r="K8" t="e">
        <f>INDEX(client_codes,MATCH(loaded!AA8,client,0))</f>
        <v>#N/A</v>
      </c>
      <c r="L8" t="e">
        <f>INDEX(src_ref_codes,MATCH(loaded!AC8,src_ref,0))</f>
        <v>#N/A</v>
      </c>
      <c r="M8" s="8">
        <f>loaded!AE8</f>
        <v>0</v>
      </c>
      <c r="N8" s="8">
        <f>loaded!AG8</f>
        <v>0</v>
      </c>
      <c r="O8" t="e">
        <f>INDEX(reces_codes,MATCH(loaded!AI8,reason,0))</f>
        <v>#N/A</v>
      </c>
      <c r="P8" t="e">
        <f>INDEX(TDS_codes,MATCH(loaded!AK8,TDS,0))</f>
        <v>#N/A</v>
      </c>
      <c r="Q8" t="e">
        <f>IF(K8=2,"",INDEX(method_codes,MATCH(loaded!AM8,method,0)))</f>
        <v>#N/A</v>
      </c>
      <c r="R8" t="e">
        <f>IF(K8=2,"",INDEX(inj_codes,MATCH(loaded!AO8,inj,0)))</f>
        <v>#N/A</v>
      </c>
      <c r="S8" t="e">
        <f>IF(K8=2,"",INDEX(drug_codes,MATCH(loaded!AQ8,drug,0)))</f>
        <v>#N/A</v>
      </c>
      <c r="T8" t="e">
        <f>IF(K8=2,"",_xlfn.IFNA(INDEX(drug_codes,MATCH(loaded!AS8,drug,0)),""))</f>
        <v>#N/A</v>
      </c>
      <c r="U8" t="e">
        <f>IF(K8=2,"",_xlfn.IFNA(INDEX(drug_codes,MATCH(loaded!AU8,drug,0)),""))</f>
        <v>#N/A</v>
      </c>
      <c r="V8" t="e">
        <f>IF(K8=2,"",_xlfn.IFNA(INDEX(drug_codes,MATCH(loaded!AW8,drug,0)),""))</f>
        <v>#N/A</v>
      </c>
      <c r="W8" t="e">
        <f>IF(K8=2,"",_xlfn.IFNA(INDEX(drug_codes,MATCH(loaded!AY8,drug,0)),""))</f>
        <v>#N/A</v>
      </c>
      <c r="X8" t="e">
        <f>IF(K8=2,"",_xlfn.IFNA(INDEX(drug_codes,MATCH(loaded!BA8,drug,0)),""))</f>
        <v>#N/A</v>
      </c>
      <c r="Y8" t="e">
        <f>INDEX(MTT_codes,MATCH(loaded!BC8,MTT,0))</f>
        <v>#N/A</v>
      </c>
      <c r="Z8" t="str">
        <f>_xlfn.IFNA(INDEX(MTT_codes,MATCH(loaded!BE8,MTT,0)),"")</f>
        <v/>
      </c>
      <c r="AA8" t="str">
        <f>_xlfn.IFNA(INDEX(MTT_codes,MATCH(loaded!BG8,MTT,0)),"")</f>
        <v/>
      </c>
      <c r="AB8" t="str">
        <f>_xlfn.IFNA(INDEX(MTT_codes,MATCH(loaded!BI8,MTT,0)),"")</f>
        <v/>
      </c>
      <c r="AC8" t="str">
        <f>_xlfn.IFNA(INDEX(MTT_codes,MATCH(loaded!BK8,MTT,0)),"")</f>
        <v/>
      </c>
      <c r="AD8" t="str">
        <f>_xlfn.IFNA(INDEX(MTT_codes,MATCH(loaded!BM8,MTT,0)),"")</f>
        <v/>
      </c>
      <c r="AE8" t="e">
        <f>INDEX(liv_ar_codes,MATCH(loaded!BO8,liv_ar,0))</f>
        <v>#N/A</v>
      </c>
      <c r="AF8" t="str">
        <f>_xlfn.IFNA(INDEX(MTT_codes,MATCH(loaded!BQ8,MTT,0)),"")</f>
        <v/>
      </c>
      <c r="AG8">
        <f>_xlfn.IFNA(INDEX(mental_codes,MATCH(loaded!BS8,mental,0)),9)</f>
        <v>9</v>
      </c>
    </row>
    <row r="9" spans="1:33" x14ac:dyDescent="0.25">
      <c r="A9">
        <f>loaded!C9</f>
        <v>0</v>
      </c>
      <c r="B9">
        <f>loaded!I9</f>
        <v>0</v>
      </c>
      <c r="C9">
        <f>IF(loaded!K9="Male",1,IF(loaded!K9="Female",2,9))</f>
        <v>9</v>
      </c>
      <c r="D9" s="8">
        <f>loaded!M9</f>
        <v>0</v>
      </c>
      <c r="E9" t="str">
        <f>LEFT(loaded!O9,3)</f>
        <v/>
      </c>
      <c r="F9" t="e">
        <f>INDEX(cntry_codes,MATCH(loaded!Q9,countries,0))</f>
        <v>#N/A</v>
      </c>
      <c r="G9" t="e">
        <f>INDEX(atsi_codes,MATCH(loaded!S9,atsi,0))</f>
        <v>#N/A</v>
      </c>
      <c r="H9" t="e">
        <f>INDEX(lang_codes,MATCH(loaded!U9,lang,0))</f>
        <v>#N/A</v>
      </c>
      <c r="I9" s="8">
        <f>loaded!W9</f>
        <v>0</v>
      </c>
      <c r="J9" t="e">
        <f>INDEX(us_acc_codes,MATCH(loaded!Y9,us_acc,0))</f>
        <v>#N/A</v>
      </c>
      <c r="K9" t="e">
        <f>INDEX(client_codes,MATCH(loaded!AA9,client,0))</f>
        <v>#N/A</v>
      </c>
      <c r="L9" t="e">
        <f>INDEX(src_ref_codes,MATCH(loaded!AC9,src_ref,0))</f>
        <v>#N/A</v>
      </c>
      <c r="M9" s="8">
        <f>loaded!AE9</f>
        <v>0</v>
      </c>
      <c r="N9" s="8">
        <f>loaded!AG9</f>
        <v>0</v>
      </c>
      <c r="O9" t="e">
        <f>INDEX(reces_codes,MATCH(loaded!AI9,reason,0))</f>
        <v>#N/A</v>
      </c>
      <c r="P9" t="e">
        <f>INDEX(TDS_codes,MATCH(loaded!AK9,TDS,0))</f>
        <v>#N/A</v>
      </c>
      <c r="Q9" t="e">
        <f>IF(K9=2,"",INDEX(method_codes,MATCH(loaded!AM9,method,0)))</f>
        <v>#N/A</v>
      </c>
      <c r="R9" t="e">
        <f>IF(K9=2,"",INDEX(inj_codes,MATCH(loaded!AO9,inj,0)))</f>
        <v>#N/A</v>
      </c>
      <c r="S9" t="e">
        <f>IF(K9=2,"",INDEX(drug_codes,MATCH(loaded!AQ9,drug,0)))</f>
        <v>#N/A</v>
      </c>
      <c r="T9" t="e">
        <f>IF(K9=2,"",_xlfn.IFNA(INDEX(drug_codes,MATCH(loaded!AS9,drug,0)),""))</f>
        <v>#N/A</v>
      </c>
      <c r="U9" t="e">
        <f>IF(K9=2,"",_xlfn.IFNA(INDEX(drug_codes,MATCH(loaded!AU9,drug,0)),""))</f>
        <v>#N/A</v>
      </c>
      <c r="V9" t="e">
        <f>IF(K9=2,"",_xlfn.IFNA(INDEX(drug_codes,MATCH(loaded!AW9,drug,0)),""))</f>
        <v>#N/A</v>
      </c>
      <c r="W9" t="e">
        <f>IF(K9=2,"",_xlfn.IFNA(INDEX(drug_codes,MATCH(loaded!AY9,drug,0)),""))</f>
        <v>#N/A</v>
      </c>
      <c r="X9" t="e">
        <f>IF(K9=2,"",_xlfn.IFNA(INDEX(drug_codes,MATCH(loaded!BA9,drug,0)),""))</f>
        <v>#N/A</v>
      </c>
      <c r="Y9" t="e">
        <f>INDEX(MTT_codes,MATCH(loaded!BC9,MTT,0))</f>
        <v>#N/A</v>
      </c>
      <c r="Z9" t="str">
        <f>_xlfn.IFNA(INDEX(MTT_codes,MATCH(loaded!BE9,MTT,0)),"")</f>
        <v/>
      </c>
      <c r="AA9" t="str">
        <f>_xlfn.IFNA(INDEX(MTT_codes,MATCH(loaded!BG9,MTT,0)),"")</f>
        <v/>
      </c>
      <c r="AB9" t="str">
        <f>_xlfn.IFNA(INDEX(MTT_codes,MATCH(loaded!BI9,MTT,0)),"")</f>
        <v/>
      </c>
      <c r="AC9" t="str">
        <f>_xlfn.IFNA(INDEX(MTT_codes,MATCH(loaded!BK9,MTT,0)),"")</f>
        <v/>
      </c>
      <c r="AD9" t="str">
        <f>_xlfn.IFNA(INDEX(MTT_codes,MATCH(loaded!BM9,MTT,0)),"")</f>
        <v/>
      </c>
      <c r="AE9" t="e">
        <f>INDEX(liv_ar_codes,MATCH(loaded!BO9,liv_ar,0))</f>
        <v>#N/A</v>
      </c>
      <c r="AF9" t="str">
        <f>_xlfn.IFNA(INDEX(MTT_codes,MATCH(loaded!BQ9,MTT,0)),"")</f>
        <v/>
      </c>
      <c r="AG9">
        <f>_xlfn.IFNA(INDEX(mental_codes,MATCH(loaded!BS9,mental,0)),9)</f>
        <v>9</v>
      </c>
    </row>
    <row r="10" spans="1:33" x14ac:dyDescent="0.25">
      <c r="A10">
        <f>loaded!C10</f>
        <v>0</v>
      </c>
      <c r="B10">
        <f>loaded!I10</f>
        <v>0</v>
      </c>
      <c r="C10">
        <f>IF(loaded!K10="Male",1,IF(loaded!K10="Female",2,9))</f>
        <v>9</v>
      </c>
      <c r="D10" s="8">
        <f>loaded!M10</f>
        <v>0</v>
      </c>
      <c r="E10" t="str">
        <f>LEFT(loaded!O10,3)</f>
        <v/>
      </c>
      <c r="F10" t="e">
        <f>INDEX(cntry_codes,MATCH(loaded!Q10,countries,0))</f>
        <v>#N/A</v>
      </c>
      <c r="G10" t="e">
        <f>INDEX(atsi_codes,MATCH(loaded!S10,atsi,0))</f>
        <v>#N/A</v>
      </c>
      <c r="H10" t="e">
        <f>INDEX(lang_codes,MATCH(loaded!U10,lang,0))</f>
        <v>#N/A</v>
      </c>
      <c r="I10" s="8">
        <f>loaded!W10</f>
        <v>0</v>
      </c>
      <c r="J10" t="e">
        <f>INDEX(us_acc_codes,MATCH(loaded!Y10,us_acc,0))</f>
        <v>#N/A</v>
      </c>
      <c r="K10" t="e">
        <f>INDEX(client_codes,MATCH(loaded!AA10,client,0))</f>
        <v>#N/A</v>
      </c>
      <c r="L10" t="e">
        <f>INDEX(src_ref_codes,MATCH(loaded!AC10,src_ref,0))</f>
        <v>#N/A</v>
      </c>
      <c r="M10" s="8">
        <f>loaded!AE10</f>
        <v>0</v>
      </c>
      <c r="N10" s="8">
        <f>loaded!AG10</f>
        <v>0</v>
      </c>
      <c r="O10" t="e">
        <f>INDEX(reces_codes,MATCH(loaded!AI10,reason,0))</f>
        <v>#N/A</v>
      </c>
      <c r="P10" t="e">
        <f>INDEX(TDS_codes,MATCH(loaded!AK10,TDS,0))</f>
        <v>#N/A</v>
      </c>
      <c r="Q10" t="e">
        <f>IF(K10=2,"",INDEX(method_codes,MATCH(loaded!AM10,method,0)))</f>
        <v>#N/A</v>
      </c>
      <c r="R10" t="e">
        <f>IF(K10=2,"",INDEX(inj_codes,MATCH(loaded!AO10,inj,0)))</f>
        <v>#N/A</v>
      </c>
      <c r="S10" t="e">
        <f>IF(K10=2,"",INDEX(drug_codes,MATCH(loaded!AQ10,drug,0)))</f>
        <v>#N/A</v>
      </c>
      <c r="T10" t="e">
        <f>IF(K10=2,"",_xlfn.IFNA(INDEX(drug_codes,MATCH(loaded!AS10,drug,0)),""))</f>
        <v>#N/A</v>
      </c>
      <c r="U10" t="e">
        <f>IF(K10=2,"",_xlfn.IFNA(INDEX(drug_codes,MATCH(loaded!AU10,drug,0)),""))</f>
        <v>#N/A</v>
      </c>
      <c r="V10" t="e">
        <f>IF(K10=2,"",_xlfn.IFNA(INDEX(drug_codes,MATCH(loaded!AW10,drug,0)),""))</f>
        <v>#N/A</v>
      </c>
      <c r="W10" t="e">
        <f>IF(K10=2,"",_xlfn.IFNA(INDEX(drug_codes,MATCH(loaded!AY10,drug,0)),""))</f>
        <v>#N/A</v>
      </c>
      <c r="X10" t="e">
        <f>IF(K10=2,"",_xlfn.IFNA(INDEX(drug_codes,MATCH(loaded!BA10,drug,0)),""))</f>
        <v>#N/A</v>
      </c>
      <c r="Y10" t="e">
        <f>INDEX(MTT_codes,MATCH(loaded!BC10,MTT,0))</f>
        <v>#N/A</v>
      </c>
      <c r="Z10" t="str">
        <f>_xlfn.IFNA(INDEX(MTT_codes,MATCH(loaded!BE10,MTT,0)),"")</f>
        <v/>
      </c>
      <c r="AA10" t="str">
        <f>_xlfn.IFNA(INDEX(MTT_codes,MATCH(loaded!BG10,MTT,0)),"")</f>
        <v/>
      </c>
      <c r="AB10" t="str">
        <f>_xlfn.IFNA(INDEX(MTT_codes,MATCH(loaded!BI10,MTT,0)),"")</f>
        <v/>
      </c>
      <c r="AC10" t="str">
        <f>_xlfn.IFNA(INDEX(MTT_codes,MATCH(loaded!BK10,MTT,0)),"")</f>
        <v/>
      </c>
      <c r="AD10" t="str">
        <f>_xlfn.IFNA(INDEX(MTT_codes,MATCH(loaded!BM10,MTT,0)),"")</f>
        <v/>
      </c>
      <c r="AE10" t="e">
        <f>INDEX(liv_ar_codes,MATCH(loaded!BO10,liv_ar,0))</f>
        <v>#N/A</v>
      </c>
      <c r="AF10" t="str">
        <f>_xlfn.IFNA(INDEX(MTT_codes,MATCH(loaded!BQ10,MTT,0)),"")</f>
        <v/>
      </c>
      <c r="AG10">
        <f>_xlfn.IFNA(INDEX(mental_codes,MATCH(loaded!BS10,mental,0)),9)</f>
        <v>9</v>
      </c>
    </row>
    <row r="11" spans="1:33" x14ac:dyDescent="0.25">
      <c r="A11">
        <f>loaded!C11</f>
        <v>0</v>
      </c>
      <c r="B11">
        <f>loaded!I11</f>
        <v>0</v>
      </c>
      <c r="C11">
        <f>IF(loaded!K11="Male",1,IF(loaded!K11="Female",2,9))</f>
        <v>9</v>
      </c>
      <c r="D11" s="8">
        <f>loaded!M11</f>
        <v>0</v>
      </c>
      <c r="E11" t="str">
        <f>LEFT(loaded!O11,3)</f>
        <v/>
      </c>
      <c r="F11" t="e">
        <f>INDEX(cntry_codes,MATCH(loaded!Q11,countries,0))</f>
        <v>#N/A</v>
      </c>
      <c r="G11" t="e">
        <f>INDEX(atsi_codes,MATCH(loaded!S11,atsi,0))</f>
        <v>#N/A</v>
      </c>
      <c r="H11" t="e">
        <f>INDEX(lang_codes,MATCH(loaded!U11,lang,0))</f>
        <v>#N/A</v>
      </c>
      <c r="I11" s="8">
        <f>loaded!W11</f>
        <v>0</v>
      </c>
      <c r="J11" t="e">
        <f>INDEX(us_acc_codes,MATCH(loaded!Y11,us_acc,0))</f>
        <v>#N/A</v>
      </c>
      <c r="K11" t="e">
        <f>INDEX(client_codes,MATCH(loaded!AA11,client,0))</f>
        <v>#N/A</v>
      </c>
      <c r="L11" t="e">
        <f>INDEX(src_ref_codes,MATCH(loaded!AC11,src_ref,0))</f>
        <v>#N/A</v>
      </c>
      <c r="M11" s="8">
        <f>loaded!AE11</f>
        <v>0</v>
      </c>
      <c r="N11" s="8">
        <f>loaded!AG11</f>
        <v>0</v>
      </c>
      <c r="O11" t="e">
        <f>INDEX(reces_codes,MATCH(loaded!AI11,reason,0))</f>
        <v>#N/A</v>
      </c>
      <c r="P11" t="e">
        <f>INDEX(TDS_codes,MATCH(loaded!AK11,TDS,0))</f>
        <v>#N/A</v>
      </c>
      <c r="Q11" t="e">
        <f>IF(K11=2,"",INDEX(method_codes,MATCH(loaded!AM11,method,0)))</f>
        <v>#N/A</v>
      </c>
      <c r="R11" t="e">
        <f>IF(K11=2,"",INDEX(inj_codes,MATCH(loaded!AO11,inj,0)))</f>
        <v>#N/A</v>
      </c>
      <c r="S11" t="e">
        <f>IF(K11=2,"",INDEX(drug_codes,MATCH(loaded!AQ11,drug,0)))</f>
        <v>#N/A</v>
      </c>
      <c r="T11" t="e">
        <f>IF(K11=2,"",_xlfn.IFNA(INDEX(drug_codes,MATCH(loaded!AS11,drug,0)),""))</f>
        <v>#N/A</v>
      </c>
      <c r="U11" t="e">
        <f>IF(K11=2,"",_xlfn.IFNA(INDEX(drug_codes,MATCH(loaded!AU11,drug,0)),""))</f>
        <v>#N/A</v>
      </c>
      <c r="V11" t="e">
        <f>IF(K11=2,"",_xlfn.IFNA(INDEX(drug_codes,MATCH(loaded!AW11,drug,0)),""))</f>
        <v>#N/A</v>
      </c>
      <c r="W11" t="e">
        <f>IF(K11=2,"",_xlfn.IFNA(INDEX(drug_codes,MATCH(loaded!AY11,drug,0)),""))</f>
        <v>#N/A</v>
      </c>
      <c r="X11" t="e">
        <f>IF(K11=2,"",_xlfn.IFNA(INDEX(drug_codes,MATCH(loaded!BA11,drug,0)),""))</f>
        <v>#N/A</v>
      </c>
      <c r="Y11" t="e">
        <f>INDEX(MTT_codes,MATCH(loaded!BC11,MTT,0))</f>
        <v>#N/A</v>
      </c>
      <c r="Z11" t="str">
        <f>_xlfn.IFNA(INDEX(MTT_codes,MATCH(loaded!BE11,MTT,0)),"")</f>
        <v/>
      </c>
      <c r="AA11" t="str">
        <f>_xlfn.IFNA(INDEX(MTT_codes,MATCH(loaded!BG11,MTT,0)),"")</f>
        <v/>
      </c>
      <c r="AB11" t="str">
        <f>_xlfn.IFNA(INDEX(MTT_codes,MATCH(loaded!BI11,MTT,0)),"")</f>
        <v/>
      </c>
      <c r="AC11" t="str">
        <f>_xlfn.IFNA(INDEX(MTT_codes,MATCH(loaded!BK11,MTT,0)),"")</f>
        <v/>
      </c>
      <c r="AD11" t="str">
        <f>_xlfn.IFNA(INDEX(MTT_codes,MATCH(loaded!BM11,MTT,0)),"")</f>
        <v/>
      </c>
      <c r="AE11" t="e">
        <f>INDEX(liv_ar_codes,MATCH(loaded!BO11,liv_ar,0))</f>
        <v>#N/A</v>
      </c>
      <c r="AF11" t="str">
        <f>_xlfn.IFNA(INDEX(MTT_codes,MATCH(loaded!BQ11,MTT,0)),"")</f>
        <v/>
      </c>
      <c r="AG11">
        <f>_xlfn.IFNA(INDEX(mental_codes,MATCH(loaded!BS11,mental,0)),9)</f>
        <v>9</v>
      </c>
    </row>
    <row r="12" spans="1:33" x14ac:dyDescent="0.25">
      <c r="A12">
        <f>loaded!C12</f>
        <v>0</v>
      </c>
      <c r="B12">
        <f>loaded!I12</f>
        <v>0</v>
      </c>
      <c r="C12">
        <f>IF(loaded!K12="Male",1,IF(loaded!K12="Female",2,9))</f>
        <v>9</v>
      </c>
      <c r="D12" s="8">
        <f>loaded!M12</f>
        <v>0</v>
      </c>
      <c r="E12" t="str">
        <f>LEFT(loaded!O12,3)</f>
        <v/>
      </c>
      <c r="F12" t="e">
        <f>INDEX(cntry_codes,MATCH(loaded!Q12,countries,0))</f>
        <v>#N/A</v>
      </c>
      <c r="G12" t="e">
        <f>INDEX(atsi_codes,MATCH(loaded!S12,atsi,0))</f>
        <v>#N/A</v>
      </c>
      <c r="H12" t="e">
        <f>INDEX(lang_codes,MATCH(loaded!U12,lang,0))</f>
        <v>#N/A</v>
      </c>
      <c r="I12" s="8">
        <f>loaded!W12</f>
        <v>0</v>
      </c>
      <c r="J12" t="e">
        <f>INDEX(us_acc_codes,MATCH(loaded!Y12,us_acc,0))</f>
        <v>#N/A</v>
      </c>
      <c r="K12" t="e">
        <f>INDEX(client_codes,MATCH(loaded!AA12,client,0))</f>
        <v>#N/A</v>
      </c>
      <c r="L12" t="e">
        <f>INDEX(src_ref_codes,MATCH(loaded!AC12,src_ref,0))</f>
        <v>#N/A</v>
      </c>
      <c r="M12" s="8">
        <f>loaded!AE12</f>
        <v>0</v>
      </c>
      <c r="N12" s="8">
        <f>loaded!AG12</f>
        <v>0</v>
      </c>
      <c r="O12" t="e">
        <f>INDEX(reces_codes,MATCH(loaded!AI12,reason,0))</f>
        <v>#N/A</v>
      </c>
      <c r="P12" t="e">
        <f>INDEX(TDS_codes,MATCH(loaded!AK12,TDS,0))</f>
        <v>#N/A</v>
      </c>
      <c r="Q12" t="e">
        <f>IF(K12=2,"",INDEX(method_codes,MATCH(loaded!AM12,method,0)))</f>
        <v>#N/A</v>
      </c>
      <c r="R12" t="e">
        <f>IF(K12=2,"",INDEX(inj_codes,MATCH(loaded!AO12,inj,0)))</f>
        <v>#N/A</v>
      </c>
      <c r="S12" t="e">
        <f>IF(K12=2,"",INDEX(drug_codes,MATCH(loaded!AQ12,drug,0)))</f>
        <v>#N/A</v>
      </c>
      <c r="T12" t="e">
        <f>IF(K12=2,"",_xlfn.IFNA(INDEX(drug_codes,MATCH(loaded!AS12,drug,0)),""))</f>
        <v>#N/A</v>
      </c>
      <c r="U12" t="e">
        <f>IF(K12=2,"",_xlfn.IFNA(INDEX(drug_codes,MATCH(loaded!AU12,drug,0)),""))</f>
        <v>#N/A</v>
      </c>
      <c r="V12" t="e">
        <f>IF(K12=2,"",_xlfn.IFNA(INDEX(drug_codes,MATCH(loaded!AW12,drug,0)),""))</f>
        <v>#N/A</v>
      </c>
      <c r="W12" t="e">
        <f>IF(K12=2,"",_xlfn.IFNA(INDEX(drug_codes,MATCH(loaded!AY12,drug,0)),""))</f>
        <v>#N/A</v>
      </c>
      <c r="X12" t="e">
        <f>IF(K12=2,"",_xlfn.IFNA(INDEX(drug_codes,MATCH(loaded!BA12,drug,0)),""))</f>
        <v>#N/A</v>
      </c>
      <c r="Y12" t="e">
        <f>INDEX(MTT_codes,MATCH(loaded!BC12,MTT,0))</f>
        <v>#N/A</v>
      </c>
      <c r="Z12" t="str">
        <f>_xlfn.IFNA(INDEX(MTT_codes,MATCH(loaded!BE12,MTT,0)),"")</f>
        <v/>
      </c>
      <c r="AA12" t="str">
        <f>_xlfn.IFNA(INDEX(MTT_codes,MATCH(loaded!BG12,MTT,0)),"")</f>
        <v/>
      </c>
      <c r="AB12" t="str">
        <f>_xlfn.IFNA(INDEX(MTT_codes,MATCH(loaded!BI12,MTT,0)),"")</f>
        <v/>
      </c>
      <c r="AC12" t="str">
        <f>_xlfn.IFNA(INDEX(MTT_codes,MATCH(loaded!BK12,MTT,0)),"")</f>
        <v/>
      </c>
      <c r="AD12" t="str">
        <f>_xlfn.IFNA(INDEX(MTT_codes,MATCH(loaded!BM12,MTT,0)),"")</f>
        <v/>
      </c>
      <c r="AE12" t="e">
        <f>INDEX(liv_ar_codes,MATCH(loaded!BO12,liv_ar,0))</f>
        <v>#N/A</v>
      </c>
      <c r="AF12" t="str">
        <f>_xlfn.IFNA(INDEX(MTT_codes,MATCH(loaded!BQ12,MTT,0)),"")</f>
        <v/>
      </c>
      <c r="AG12">
        <f>_xlfn.IFNA(INDEX(mental_codes,MATCH(loaded!BS12,mental,0)),9)</f>
        <v>9</v>
      </c>
    </row>
    <row r="13" spans="1:33" x14ac:dyDescent="0.25">
      <c r="A13">
        <f>loaded!C13</f>
        <v>0</v>
      </c>
      <c r="B13">
        <f>loaded!I13</f>
        <v>0</v>
      </c>
      <c r="C13">
        <f>IF(loaded!K13="Male",1,IF(loaded!K13="Female",2,9))</f>
        <v>9</v>
      </c>
      <c r="D13" s="8">
        <f>loaded!M13</f>
        <v>0</v>
      </c>
      <c r="E13" t="str">
        <f>LEFT(loaded!O13,3)</f>
        <v/>
      </c>
      <c r="F13" t="e">
        <f>INDEX(cntry_codes,MATCH(loaded!Q13,countries,0))</f>
        <v>#N/A</v>
      </c>
      <c r="G13" t="e">
        <f>INDEX(atsi_codes,MATCH(loaded!S13,atsi,0))</f>
        <v>#N/A</v>
      </c>
      <c r="H13" t="e">
        <f>INDEX(lang_codes,MATCH(loaded!U13,lang,0))</f>
        <v>#N/A</v>
      </c>
      <c r="I13" s="8">
        <f>loaded!W13</f>
        <v>0</v>
      </c>
      <c r="J13" t="e">
        <f>INDEX(us_acc_codes,MATCH(loaded!Y13,us_acc,0))</f>
        <v>#N/A</v>
      </c>
      <c r="K13" t="e">
        <f>INDEX(client_codes,MATCH(loaded!AA13,client,0))</f>
        <v>#N/A</v>
      </c>
      <c r="L13" t="e">
        <f>INDEX(src_ref_codes,MATCH(loaded!AC13,src_ref,0))</f>
        <v>#N/A</v>
      </c>
      <c r="M13" s="8">
        <f>loaded!AE13</f>
        <v>0</v>
      </c>
      <c r="N13" s="8">
        <f>loaded!AG13</f>
        <v>0</v>
      </c>
      <c r="O13" t="e">
        <f>INDEX(reces_codes,MATCH(loaded!AI13,reason,0))</f>
        <v>#N/A</v>
      </c>
      <c r="P13" t="e">
        <f>INDEX(TDS_codes,MATCH(loaded!AK13,TDS,0))</f>
        <v>#N/A</v>
      </c>
      <c r="Q13" t="e">
        <f>IF(K13=2,"",INDEX(method_codes,MATCH(loaded!AM13,method,0)))</f>
        <v>#N/A</v>
      </c>
      <c r="R13" t="e">
        <f>IF(K13=2,"",INDEX(inj_codes,MATCH(loaded!AO13,inj,0)))</f>
        <v>#N/A</v>
      </c>
      <c r="S13" t="e">
        <f>IF(K13=2,"",INDEX(drug_codes,MATCH(loaded!AQ13,drug,0)))</f>
        <v>#N/A</v>
      </c>
      <c r="T13" t="e">
        <f>IF(K13=2,"",_xlfn.IFNA(INDEX(drug_codes,MATCH(loaded!AS13,drug,0)),""))</f>
        <v>#N/A</v>
      </c>
      <c r="U13" t="e">
        <f>IF(K13=2,"",_xlfn.IFNA(INDEX(drug_codes,MATCH(loaded!AU13,drug,0)),""))</f>
        <v>#N/A</v>
      </c>
      <c r="V13" t="e">
        <f>IF(K13=2,"",_xlfn.IFNA(INDEX(drug_codes,MATCH(loaded!AW13,drug,0)),""))</f>
        <v>#N/A</v>
      </c>
      <c r="W13" t="e">
        <f>IF(K13=2,"",_xlfn.IFNA(INDEX(drug_codes,MATCH(loaded!AY13,drug,0)),""))</f>
        <v>#N/A</v>
      </c>
      <c r="X13" t="e">
        <f>IF(K13=2,"",_xlfn.IFNA(INDEX(drug_codes,MATCH(loaded!BA13,drug,0)),""))</f>
        <v>#N/A</v>
      </c>
      <c r="Y13" t="e">
        <f>INDEX(MTT_codes,MATCH(loaded!BC13,MTT,0))</f>
        <v>#N/A</v>
      </c>
      <c r="Z13" t="str">
        <f>_xlfn.IFNA(INDEX(MTT_codes,MATCH(loaded!BE13,MTT,0)),"")</f>
        <v/>
      </c>
      <c r="AA13" t="str">
        <f>_xlfn.IFNA(INDEX(MTT_codes,MATCH(loaded!BG13,MTT,0)),"")</f>
        <v/>
      </c>
      <c r="AB13" t="str">
        <f>_xlfn.IFNA(INDEX(MTT_codes,MATCH(loaded!BI13,MTT,0)),"")</f>
        <v/>
      </c>
      <c r="AC13" t="str">
        <f>_xlfn.IFNA(INDEX(MTT_codes,MATCH(loaded!BK13,MTT,0)),"")</f>
        <v/>
      </c>
      <c r="AD13" t="str">
        <f>_xlfn.IFNA(INDEX(MTT_codes,MATCH(loaded!BM13,MTT,0)),"")</f>
        <v/>
      </c>
      <c r="AE13" t="e">
        <f>INDEX(liv_ar_codes,MATCH(loaded!BO13,liv_ar,0))</f>
        <v>#N/A</v>
      </c>
      <c r="AF13" t="str">
        <f>_xlfn.IFNA(INDEX(MTT_codes,MATCH(loaded!BQ13,MTT,0)),"")</f>
        <v/>
      </c>
      <c r="AG13">
        <f>_xlfn.IFNA(INDEX(mental_codes,MATCH(loaded!BS13,mental,0)),9)</f>
        <v>9</v>
      </c>
    </row>
    <row r="14" spans="1:33" x14ac:dyDescent="0.25">
      <c r="A14">
        <f>loaded!C14</f>
        <v>0</v>
      </c>
      <c r="B14">
        <f>loaded!I14</f>
        <v>0</v>
      </c>
      <c r="C14">
        <f>IF(loaded!K14="Male",1,IF(loaded!K14="Female",2,9))</f>
        <v>9</v>
      </c>
      <c r="D14" s="8">
        <f>loaded!M14</f>
        <v>0</v>
      </c>
      <c r="E14" t="str">
        <f>LEFT(loaded!O14,3)</f>
        <v/>
      </c>
      <c r="F14" t="e">
        <f>INDEX(cntry_codes,MATCH(loaded!Q14,countries,0))</f>
        <v>#N/A</v>
      </c>
      <c r="G14" t="e">
        <f>INDEX(atsi_codes,MATCH(loaded!S14,atsi,0))</f>
        <v>#N/A</v>
      </c>
      <c r="H14" t="e">
        <f>INDEX(lang_codes,MATCH(loaded!U14,lang,0))</f>
        <v>#N/A</v>
      </c>
      <c r="I14" s="8">
        <f>loaded!W14</f>
        <v>0</v>
      </c>
      <c r="J14" t="e">
        <f>INDEX(us_acc_codes,MATCH(loaded!Y14,us_acc,0))</f>
        <v>#N/A</v>
      </c>
      <c r="K14" t="e">
        <f>INDEX(client_codes,MATCH(loaded!AA14,client,0))</f>
        <v>#N/A</v>
      </c>
      <c r="L14" t="e">
        <f>INDEX(src_ref_codes,MATCH(loaded!AC14,src_ref,0))</f>
        <v>#N/A</v>
      </c>
      <c r="M14" s="8">
        <f>loaded!AE14</f>
        <v>0</v>
      </c>
      <c r="N14" s="8">
        <f>loaded!AG14</f>
        <v>0</v>
      </c>
      <c r="O14" t="e">
        <f>INDEX(reces_codes,MATCH(loaded!AI14,reason,0))</f>
        <v>#N/A</v>
      </c>
      <c r="P14" t="e">
        <f>INDEX(TDS_codes,MATCH(loaded!AK14,TDS,0))</f>
        <v>#N/A</v>
      </c>
      <c r="Q14" t="e">
        <f>IF(K14=2,"",INDEX(method_codes,MATCH(loaded!AM14,method,0)))</f>
        <v>#N/A</v>
      </c>
      <c r="R14" t="e">
        <f>IF(K14=2,"",INDEX(inj_codes,MATCH(loaded!AO14,inj,0)))</f>
        <v>#N/A</v>
      </c>
      <c r="S14" t="e">
        <f>IF(K14=2,"",INDEX(drug_codes,MATCH(loaded!AQ14,drug,0)))</f>
        <v>#N/A</v>
      </c>
      <c r="T14" t="e">
        <f>IF(K14=2,"",_xlfn.IFNA(INDEX(drug_codes,MATCH(loaded!AS14,drug,0)),""))</f>
        <v>#N/A</v>
      </c>
      <c r="U14" t="e">
        <f>IF(K14=2,"",_xlfn.IFNA(INDEX(drug_codes,MATCH(loaded!AU14,drug,0)),""))</f>
        <v>#N/A</v>
      </c>
      <c r="V14" t="e">
        <f>IF(K14=2,"",_xlfn.IFNA(INDEX(drug_codes,MATCH(loaded!AW14,drug,0)),""))</f>
        <v>#N/A</v>
      </c>
      <c r="W14" t="e">
        <f>IF(K14=2,"",_xlfn.IFNA(INDEX(drug_codes,MATCH(loaded!AY14,drug,0)),""))</f>
        <v>#N/A</v>
      </c>
      <c r="X14" t="e">
        <f>IF(K14=2,"",_xlfn.IFNA(INDEX(drug_codes,MATCH(loaded!BA14,drug,0)),""))</f>
        <v>#N/A</v>
      </c>
      <c r="Y14" t="e">
        <f>INDEX(MTT_codes,MATCH(loaded!BC14,MTT,0))</f>
        <v>#N/A</v>
      </c>
      <c r="Z14" t="str">
        <f>_xlfn.IFNA(INDEX(MTT_codes,MATCH(loaded!BE14,MTT,0)),"")</f>
        <v/>
      </c>
      <c r="AA14" t="str">
        <f>_xlfn.IFNA(INDEX(MTT_codes,MATCH(loaded!BG14,MTT,0)),"")</f>
        <v/>
      </c>
      <c r="AB14" t="str">
        <f>_xlfn.IFNA(INDEX(MTT_codes,MATCH(loaded!BI14,MTT,0)),"")</f>
        <v/>
      </c>
      <c r="AC14" t="str">
        <f>_xlfn.IFNA(INDEX(MTT_codes,MATCH(loaded!BK14,MTT,0)),"")</f>
        <v/>
      </c>
      <c r="AD14" t="str">
        <f>_xlfn.IFNA(INDEX(MTT_codes,MATCH(loaded!BM14,MTT,0)),"")</f>
        <v/>
      </c>
      <c r="AE14" t="e">
        <f>INDEX(liv_ar_codes,MATCH(loaded!BO14,liv_ar,0))</f>
        <v>#N/A</v>
      </c>
      <c r="AF14" t="str">
        <f>_xlfn.IFNA(INDEX(MTT_codes,MATCH(loaded!BQ14,MTT,0)),"")</f>
        <v/>
      </c>
      <c r="AG14">
        <f>_xlfn.IFNA(INDEX(mental_codes,MATCH(loaded!BS14,mental,0)),9)</f>
        <v>9</v>
      </c>
    </row>
    <row r="15" spans="1:33" x14ac:dyDescent="0.25">
      <c r="A15">
        <f>loaded!C15</f>
        <v>0</v>
      </c>
      <c r="B15">
        <f>loaded!I15</f>
        <v>0</v>
      </c>
      <c r="C15">
        <f>IF(loaded!K15="Male",1,IF(loaded!K15="Female",2,9))</f>
        <v>9</v>
      </c>
      <c r="D15" s="8">
        <f>loaded!M15</f>
        <v>0</v>
      </c>
      <c r="E15" t="str">
        <f>LEFT(loaded!O15,3)</f>
        <v/>
      </c>
      <c r="F15" t="e">
        <f>INDEX(cntry_codes,MATCH(loaded!Q15,countries,0))</f>
        <v>#N/A</v>
      </c>
      <c r="G15" t="e">
        <f>INDEX(atsi_codes,MATCH(loaded!S15,atsi,0))</f>
        <v>#N/A</v>
      </c>
      <c r="H15" t="e">
        <f>INDEX(lang_codes,MATCH(loaded!U15,lang,0))</f>
        <v>#N/A</v>
      </c>
      <c r="I15" s="8">
        <f>loaded!W15</f>
        <v>0</v>
      </c>
      <c r="J15" t="e">
        <f>INDEX(us_acc_codes,MATCH(loaded!Y15,us_acc,0))</f>
        <v>#N/A</v>
      </c>
      <c r="K15" t="e">
        <f>INDEX(client_codes,MATCH(loaded!AA15,client,0))</f>
        <v>#N/A</v>
      </c>
      <c r="L15" t="e">
        <f>INDEX(src_ref_codes,MATCH(loaded!AC15,src_ref,0))</f>
        <v>#N/A</v>
      </c>
      <c r="M15" s="8">
        <f>loaded!AE15</f>
        <v>0</v>
      </c>
      <c r="N15" s="8">
        <f>loaded!AG15</f>
        <v>0</v>
      </c>
      <c r="O15" t="e">
        <f>INDEX(reces_codes,MATCH(loaded!AI15,reason,0))</f>
        <v>#N/A</v>
      </c>
      <c r="P15" t="e">
        <f>INDEX(TDS_codes,MATCH(loaded!AK15,TDS,0))</f>
        <v>#N/A</v>
      </c>
      <c r="Q15" t="e">
        <f>IF(K15=2,"",INDEX(method_codes,MATCH(loaded!AM15,method,0)))</f>
        <v>#N/A</v>
      </c>
      <c r="R15" t="e">
        <f>IF(K15=2,"",INDEX(inj_codes,MATCH(loaded!AO15,inj,0)))</f>
        <v>#N/A</v>
      </c>
      <c r="S15" t="e">
        <f>IF(K15=2,"",INDEX(drug_codes,MATCH(loaded!AQ15,drug,0)))</f>
        <v>#N/A</v>
      </c>
      <c r="T15" t="e">
        <f>IF(K15=2,"",_xlfn.IFNA(INDEX(drug_codes,MATCH(loaded!AS15,drug,0)),""))</f>
        <v>#N/A</v>
      </c>
      <c r="U15" t="e">
        <f>IF(K15=2,"",_xlfn.IFNA(INDEX(drug_codes,MATCH(loaded!AU15,drug,0)),""))</f>
        <v>#N/A</v>
      </c>
      <c r="V15" t="e">
        <f>IF(K15=2,"",_xlfn.IFNA(INDEX(drug_codes,MATCH(loaded!AW15,drug,0)),""))</f>
        <v>#N/A</v>
      </c>
      <c r="W15" t="e">
        <f>IF(K15=2,"",_xlfn.IFNA(INDEX(drug_codes,MATCH(loaded!AY15,drug,0)),""))</f>
        <v>#N/A</v>
      </c>
      <c r="X15" t="e">
        <f>IF(K15=2,"",_xlfn.IFNA(INDEX(drug_codes,MATCH(loaded!BA15,drug,0)),""))</f>
        <v>#N/A</v>
      </c>
      <c r="Y15" t="e">
        <f>INDEX(MTT_codes,MATCH(loaded!BC15,MTT,0))</f>
        <v>#N/A</v>
      </c>
      <c r="Z15" t="str">
        <f>_xlfn.IFNA(INDEX(MTT_codes,MATCH(loaded!BE15,MTT,0)),"")</f>
        <v/>
      </c>
      <c r="AA15" t="str">
        <f>_xlfn.IFNA(INDEX(MTT_codes,MATCH(loaded!BG15,MTT,0)),"")</f>
        <v/>
      </c>
      <c r="AB15" t="str">
        <f>_xlfn.IFNA(INDEX(MTT_codes,MATCH(loaded!BI15,MTT,0)),"")</f>
        <v/>
      </c>
      <c r="AC15" t="str">
        <f>_xlfn.IFNA(INDEX(MTT_codes,MATCH(loaded!BK15,MTT,0)),"")</f>
        <v/>
      </c>
      <c r="AD15" t="str">
        <f>_xlfn.IFNA(INDEX(MTT_codes,MATCH(loaded!BM15,MTT,0)),"")</f>
        <v/>
      </c>
      <c r="AE15" t="e">
        <f>INDEX(liv_ar_codes,MATCH(loaded!BO15,liv_ar,0))</f>
        <v>#N/A</v>
      </c>
      <c r="AF15" t="str">
        <f>_xlfn.IFNA(INDEX(MTT_codes,MATCH(loaded!BQ15,MTT,0)),"")</f>
        <v/>
      </c>
      <c r="AG15">
        <f>_xlfn.IFNA(INDEX(mental_codes,MATCH(loaded!BS15,mental,0)),9)</f>
        <v>9</v>
      </c>
    </row>
    <row r="16" spans="1:33" x14ac:dyDescent="0.25">
      <c r="A16">
        <f>loaded!C16</f>
        <v>0</v>
      </c>
      <c r="B16">
        <f>loaded!I16</f>
        <v>0</v>
      </c>
      <c r="C16">
        <f>IF(loaded!K16="Male",1,IF(loaded!K16="Female",2,9))</f>
        <v>9</v>
      </c>
      <c r="D16" s="8">
        <f>loaded!M16</f>
        <v>0</v>
      </c>
      <c r="E16" t="str">
        <f>LEFT(loaded!O16,3)</f>
        <v/>
      </c>
      <c r="F16" t="e">
        <f>INDEX(cntry_codes,MATCH(loaded!Q16,countries,0))</f>
        <v>#N/A</v>
      </c>
      <c r="G16" t="e">
        <f>INDEX(atsi_codes,MATCH(loaded!S16,atsi,0))</f>
        <v>#N/A</v>
      </c>
      <c r="H16" t="e">
        <f>INDEX(lang_codes,MATCH(loaded!U16,lang,0))</f>
        <v>#N/A</v>
      </c>
      <c r="I16" s="8">
        <f>loaded!W16</f>
        <v>0</v>
      </c>
      <c r="J16" t="e">
        <f>INDEX(us_acc_codes,MATCH(loaded!Y16,us_acc,0))</f>
        <v>#N/A</v>
      </c>
      <c r="K16" t="e">
        <f>INDEX(client_codes,MATCH(loaded!AA16,client,0))</f>
        <v>#N/A</v>
      </c>
      <c r="L16" t="e">
        <f>INDEX(src_ref_codes,MATCH(loaded!AC16,src_ref,0))</f>
        <v>#N/A</v>
      </c>
      <c r="M16" s="8">
        <f>loaded!AE16</f>
        <v>0</v>
      </c>
      <c r="N16" s="8">
        <f>loaded!AG16</f>
        <v>0</v>
      </c>
      <c r="O16" t="e">
        <f>INDEX(reces_codes,MATCH(loaded!AI16,reason,0))</f>
        <v>#N/A</v>
      </c>
      <c r="P16" t="e">
        <f>INDEX(TDS_codes,MATCH(loaded!AK16,TDS,0))</f>
        <v>#N/A</v>
      </c>
      <c r="Q16" t="e">
        <f>IF(K16=2,"",INDEX(method_codes,MATCH(loaded!AM16,method,0)))</f>
        <v>#N/A</v>
      </c>
      <c r="R16" t="e">
        <f>IF(K16=2,"",INDEX(inj_codes,MATCH(loaded!AO16,inj,0)))</f>
        <v>#N/A</v>
      </c>
      <c r="S16" t="e">
        <f>IF(K16=2,"",INDEX(drug_codes,MATCH(loaded!AQ16,drug,0)))</f>
        <v>#N/A</v>
      </c>
      <c r="T16" t="e">
        <f>IF(K16=2,"",_xlfn.IFNA(INDEX(drug_codes,MATCH(loaded!AS16,drug,0)),""))</f>
        <v>#N/A</v>
      </c>
      <c r="U16" t="e">
        <f>IF(K16=2,"",_xlfn.IFNA(INDEX(drug_codes,MATCH(loaded!AU16,drug,0)),""))</f>
        <v>#N/A</v>
      </c>
      <c r="V16" t="e">
        <f>IF(K16=2,"",_xlfn.IFNA(INDEX(drug_codes,MATCH(loaded!AW16,drug,0)),""))</f>
        <v>#N/A</v>
      </c>
      <c r="W16" t="e">
        <f>IF(K16=2,"",_xlfn.IFNA(INDEX(drug_codes,MATCH(loaded!AY16,drug,0)),""))</f>
        <v>#N/A</v>
      </c>
      <c r="X16" t="e">
        <f>IF(K16=2,"",_xlfn.IFNA(INDEX(drug_codes,MATCH(loaded!BA16,drug,0)),""))</f>
        <v>#N/A</v>
      </c>
      <c r="Y16" t="e">
        <f>INDEX(MTT_codes,MATCH(loaded!BC16,MTT,0))</f>
        <v>#N/A</v>
      </c>
      <c r="Z16" t="str">
        <f>_xlfn.IFNA(INDEX(MTT_codes,MATCH(loaded!BE16,MTT,0)),"")</f>
        <v/>
      </c>
      <c r="AA16" t="str">
        <f>_xlfn.IFNA(INDEX(MTT_codes,MATCH(loaded!BG16,MTT,0)),"")</f>
        <v/>
      </c>
      <c r="AB16" t="str">
        <f>_xlfn.IFNA(INDEX(MTT_codes,MATCH(loaded!BI16,MTT,0)),"")</f>
        <v/>
      </c>
      <c r="AC16" t="str">
        <f>_xlfn.IFNA(INDEX(MTT_codes,MATCH(loaded!BK16,MTT,0)),"")</f>
        <v/>
      </c>
      <c r="AD16" t="str">
        <f>_xlfn.IFNA(INDEX(MTT_codes,MATCH(loaded!BM16,MTT,0)),"")</f>
        <v/>
      </c>
      <c r="AE16" t="e">
        <f>INDEX(liv_ar_codes,MATCH(loaded!BO16,liv_ar,0))</f>
        <v>#N/A</v>
      </c>
      <c r="AF16" t="str">
        <f>_xlfn.IFNA(INDEX(MTT_codes,MATCH(loaded!BQ16,MTT,0)),"")</f>
        <v/>
      </c>
      <c r="AG16">
        <f>_xlfn.IFNA(INDEX(mental_codes,MATCH(loaded!BS16,mental,0)),9)</f>
        <v>9</v>
      </c>
    </row>
    <row r="17" spans="1:33" x14ac:dyDescent="0.25">
      <c r="A17">
        <f>loaded!C17</f>
        <v>0</v>
      </c>
      <c r="B17">
        <f>loaded!I17</f>
        <v>0</v>
      </c>
      <c r="C17">
        <f>IF(loaded!K17="Male",1,IF(loaded!K17="Female",2,9))</f>
        <v>9</v>
      </c>
      <c r="D17" s="8">
        <f>loaded!M17</f>
        <v>0</v>
      </c>
      <c r="E17" t="str">
        <f>LEFT(loaded!O17,3)</f>
        <v/>
      </c>
      <c r="F17" t="e">
        <f>INDEX(cntry_codes,MATCH(loaded!Q17,countries,0))</f>
        <v>#N/A</v>
      </c>
      <c r="G17" t="e">
        <f>INDEX(atsi_codes,MATCH(loaded!S17,atsi,0))</f>
        <v>#N/A</v>
      </c>
      <c r="H17" t="e">
        <f>INDEX(lang_codes,MATCH(loaded!U17,lang,0))</f>
        <v>#N/A</v>
      </c>
      <c r="I17" s="8">
        <f>loaded!W17</f>
        <v>0</v>
      </c>
      <c r="J17" t="e">
        <f>INDEX(us_acc_codes,MATCH(loaded!Y17,us_acc,0))</f>
        <v>#N/A</v>
      </c>
      <c r="K17" t="e">
        <f>INDEX(client_codes,MATCH(loaded!AA17,client,0))</f>
        <v>#N/A</v>
      </c>
      <c r="L17" t="e">
        <f>INDEX(src_ref_codes,MATCH(loaded!AC17,src_ref,0))</f>
        <v>#N/A</v>
      </c>
      <c r="M17" s="8">
        <f>loaded!AE17</f>
        <v>0</v>
      </c>
      <c r="N17" s="8">
        <f>loaded!AG17</f>
        <v>0</v>
      </c>
      <c r="O17" t="e">
        <f>INDEX(reces_codes,MATCH(loaded!AI17,reason,0))</f>
        <v>#N/A</v>
      </c>
      <c r="P17" t="e">
        <f>INDEX(TDS_codes,MATCH(loaded!AK17,TDS,0))</f>
        <v>#N/A</v>
      </c>
      <c r="Q17" t="e">
        <f>IF(K17=2,"",INDEX(method_codes,MATCH(loaded!AM17,method,0)))</f>
        <v>#N/A</v>
      </c>
      <c r="R17" t="e">
        <f>IF(K17=2,"",INDEX(inj_codes,MATCH(loaded!AO17,inj,0)))</f>
        <v>#N/A</v>
      </c>
      <c r="S17" t="e">
        <f>IF(K17=2,"",INDEX(drug_codes,MATCH(loaded!AQ17,drug,0)))</f>
        <v>#N/A</v>
      </c>
      <c r="T17" t="e">
        <f>IF(K17=2,"",_xlfn.IFNA(INDEX(drug_codes,MATCH(loaded!AS17,drug,0)),""))</f>
        <v>#N/A</v>
      </c>
      <c r="U17" t="e">
        <f>IF(K17=2,"",_xlfn.IFNA(INDEX(drug_codes,MATCH(loaded!AU17,drug,0)),""))</f>
        <v>#N/A</v>
      </c>
      <c r="V17" t="e">
        <f>IF(K17=2,"",_xlfn.IFNA(INDEX(drug_codes,MATCH(loaded!AW17,drug,0)),""))</f>
        <v>#N/A</v>
      </c>
      <c r="W17" t="e">
        <f>IF(K17=2,"",_xlfn.IFNA(INDEX(drug_codes,MATCH(loaded!AY17,drug,0)),""))</f>
        <v>#N/A</v>
      </c>
      <c r="X17" t="e">
        <f>IF(K17=2,"",_xlfn.IFNA(INDEX(drug_codes,MATCH(loaded!BA17,drug,0)),""))</f>
        <v>#N/A</v>
      </c>
      <c r="Y17" t="e">
        <f>INDEX(MTT_codes,MATCH(loaded!BC17,MTT,0))</f>
        <v>#N/A</v>
      </c>
      <c r="Z17" t="str">
        <f>_xlfn.IFNA(INDEX(MTT_codes,MATCH(loaded!BE17,MTT,0)),"")</f>
        <v/>
      </c>
      <c r="AA17" t="str">
        <f>_xlfn.IFNA(INDEX(MTT_codes,MATCH(loaded!BG17,MTT,0)),"")</f>
        <v/>
      </c>
      <c r="AB17" t="str">
        <f>_xlfn.IFNA(INDEX(MTT_codes,MATCH(loaded!BI17,MTT,0)),"")</f>
        <v/>
      </c>
      <c r="AC17" t="str">
        <f>_xlfn.IFNA(INDEX(MTT_codes,MATCH(loaded!BK17,MTT,0)),"")</f>
        <v/>
      </c>
      <c r="AD17" t="str">
        <f>_xlfn.IFNA(INDEX(MTT_codes,MATCH(loaded!BM17,MTT,0)),"")</f>
        <v/>
      </c>
      <c r="AE17" t="e">
        <f>INDEX(liv_ar_codes,MATCH(loaded!BO17,liv_ar,0))</f>
        <v>#N/A</v>
      </c>
      <c r="AF17" t="str">
        <f>_xlfn.IFNA(INDEX(MTT_codes,MATCH(loaded!BQ17,MTT,0)),"")</f>
        <v/>
      </c>
      <c r="AG17">
        <f>_xlfn.IFNA(INDEX(mental_codes,MATCH(loaded!BS17,mental,0)),9)</f>
        <v>9</v>
      </c>
    </row>
    <row r="18" spans="1:33" x14ac:dyDescent="0.25">
      <c r="A18">
        <f>loaded!C18</f>
        <v>0</v>
      </c>
      <c r="B18">
        <f>loaded!I18</f>
        <v>0</v>
      </c>
      <c r="C18">
        <f>IF(loaded!K18="Male",1,IF(loaded!K18="Female",2,9))</f>
        <v>9</v>
      </c>
      <c r="D18" s="8">
        <f>loaded!M18</f>
        <v>0</v>
      </c>
      <c r="E18" t="str">
        <f>LEFT(loaded!O18,3)</f>
        <v/>
      </c>
      <c r="F18" t="e">
        <f>INDEX(cntry_codes,MATCH(loaded!Q18,countries,0))</f>
        <v>#N/A</v>
      </c>
      <c r="G18" t="e">
        <f>INDEX(atsi_codes,MATCH(loaded!S18,atsi,0))</f>
        <v>#N/A</v>
      </c>
      <c r="H18" t="e">
        <f>INDEX(lang_codes,MATCH(loaded!U18,lang,0))</f>
        <v>#N/A</v>
      </c>
      <c r="I18" s="8">
        <f>loaded!W18</f>
        <v>0</v>
      </c>
      <c r="J18" t="e">
        <f>INDEX(us_acc_codes,MATCH(loaded!Y18,us_acc,0))</f>
        <v>#N/A</v>
      </c>
      <c r="K18" t="e">
        <f>INDEX(client_codes,MATCH(loaded!AA18,client,0))</f>
        <v>#N/A</v>
      </c>
      <c r="L18" t="e">
        <f>INDEX(src_ref_codes,MATCH(loaded!AC18,src_ref,0))</f>
        <v>#N/A</v>
      </c>
      <c r="M18" s="8">
        <f>loaded!AE18</f>
        <v>0</v>
      </c>
      <c r="N18" s="8">
        <f>loaded!AG18</f>
        <v>0</v>
      </c>
      <c r="O18" t="e">
        <f>INDEX(reces_codes,MATCH(loaded!AI18,reason,0))</f>
        <v>#N/A</v>
      </c>
      <c r="P18" t="e">
        <f>INDEX(TDS_codes,MATCH(loaded!AK18,TDS,0))</f>
        <v>#N/A</v>
      </c>
      <c r="Q18" t="e">
        <f>IF(K18=2,"",INDEX(method_codes,MATCH(loaded!AM18,method,0)))</f>
        <v>#N/A</v>
      </c>
      <c r="R18" t="e">
        <f>IF(K18=2,"",INDEX(inj_codes,MATCH(loaded!AO18,inj,0)))</f>
        <v>#N/A</v>
      </c>
      <c r="S18" t="e">
        <f>IF(K18=2,"",INDEX(drug_codes,MATCH(loaded!AQ18,drug,0)))</f>
        <v>#N/A</v>
      </c>
      <c r="T18" t="e">
        <f>IF(K18=2,"",_xlfn.IFNA(INDEX(drug_codes,MATCH(loaded!AS18,drug,0)),""))</f>
        <v>#N/A</v>
      </c>
      <c r="U18" t="e">
        <f>IF(K18=2,"",_xlfn.IFNA(INDEX(drug_codes,MATCH(loaded!AU18,drug,0)),""))</f>
        <v>#N/A</v>
      </c>
      <c r="V18" t="e">
        <f>IF(K18=2,"",_xlfn.IFNA(INDEX(drug_codes,MATCH(loaded!AW18,drug,0)),""))</f>
        <v>#N/A</v>
      </c>
      <c r="W18" t="e">
        <f>IF(K18=2,"",_xlfn.IFNA(INDEX(drug_codes,MATCH(loaded!AY18,drug,0)),""))</f>
        <v>#N/A</v>
      </c>
      <c r="X18" t="e">
        <f>IF(K18=2,"",_xlfn.IFNA(INDEX(drug_codes,MATCH(loaded!BA18,drug,0)),""))</f>
        <v>#N/A</v>
      </c>
      <c r="Y18" t="e">
        <f>INDEX(MTT_codes,MATCH(loaded!BC18,MTT,0))</f>
        <v>#N/A</v>
      </c>
      <c r="Z18" t="str">
        <f>_xlfn.IFNA(INDEX(MTT_codes,MATCH(loaded!BE18,MTT,0)),"")</f>
        <v/>
      </c>
      <c r="AA18" t="str">
        <f>_xlfn.IFNA(INDEX(MTT_codes,MATCH(loaded!BG18,MTT,0)),"")</f>
        <v/>
      </c>
      <c r="AB18" t="str">
        <f>_xlfn.IFNA(INDEX(MTT_codes,MATCH(loaded!BI18,MTT,0)),"")</f>
        <v/>
      </c>
      <c r="AC18" t="str">
        <f>_xlfn.IFNA(INDEX(MTT_codes,MATCH(loaded!BK18,MTT,0)),"")</f>
        <v/>
      </c>
      <c r="AD18" t="str">
        <f>_xlfn.IFNA(INDEX(MTT_codes,MATCH(loaded!BM18,MTT,0)),"")</f>
        <v/>
      </c>
      <c r="AE18" t="e">
        <f>INDEX(liv_ar_codes,MATCH(loaded!BO18,liv_ar,0))</f>
        <v>#N/A</v>
      </c>
      <c r="AF18" t="str">
        <f>_xlfn.IFNA(INDEX(MTT_codes,MATCH(loaded!BQ18,MTT,0)),"")</f>
        <v/>
      </c>
      <c r="AG18">
        <f>_xlfn.IFNA(INDEX(mental_codes,MATCH(loaded!BS18,mental,0)),9)</f>
        <v>9</v>
      </c>
    </row>
    <row r="19" spans="1:33" x14ac:dyDescent="0.25">
      <c r="A19">
        <f>loaded!C19</f>
        <v>0</v>
      </c>
      <c r="B19">
        <f>loaded!I19</f>
        <v>0</v>
      </c>
      <c r="C19">
        <f>IF(loaded!K19="Male",1,IF(loaded!K19="Female",2,9))</f>
        <v>9</v>
      </c>
      <c r="D19" s="8">
        <f>loaded!M19</f>
        <v>0</v>
      </c>
      <c r="E19" t="str">
        <f>LEFT(loaded!O19,3)</f>
        <v/>
      </c>
      <c r="F19" t="e">
        <f>INDEX(cntry_codes,MATCH(loaded!Q19,countries,0))</f>
        <v>#N/A</v>
      </c>
      <c r="G19" t="e">
        <f>INDEX(atsi_codes,MATCH(loaded!S19,atsi,0))</f>
        <v>#N/A</v>
      </c>
      <c r="H19" t="e">
        <f>INDEX(lang_codes,MATCH(loaded!U19,lang,0))</f>
        <v>#N/A</v>
      </c>
      <c r="I19" s="8">
        <f>loaded!W19</f>
        <v>0</v>
      </c>
      <c r="J19" t="e">
        <f>INDEX(us_acc_codes,MATCH(loaded!Y19,us_acc,0))</f>
        <v>#N/A</v>
      </c>
      <c r="K19" t="e">
        <f>INDEX(client_codes,MATCH(loaded!AA19,client,0))</f>
        <v>#N/A</v>
      </c>
      <c r="L19" t="e">
        <f>INDEX(src_ref_codes,MATCH(loaded!AC19,src_ref,0))</f>
        <v>#N/A</v>
      </c>
      <c r="M19" s="8">
        <f>loaded!AE19</f>
        <v>0</v>
      </c>
      <c r="N19" s="8">
        <f>loaded!AG19</f>
        <v>0</v>
      </c>
      <c r="O19" t="e">
        <f>INDEX(reces_codes,MATCH(loaded!AI19,reason,0))</f>
        <v>#N/A</v>
      </c>
      <c r="P19" t="e">
        <f>INDEX(TDS_codes,MATCH(loaded!AK19,TDS,0))</f>
        <v>#N/A</v>
      </c>
      <c r="Q19" t="e">
        <f>IF(K19=2,"",INDEX(method_codes,MATCH(loaded!AM19,method,0)))</f>
        <v>#N/A</v>
      </c>
      <c r="R19" t="e">
        <f>IF(K19=2,"",INDEX(inj_codes,MATCH(loaded!AO19,inj,0)))</f>
        <v>#N/A</v>
      </c>
      <c r="S19" t="e">
        <f>IF(K19=2,"",INDEX(drug_codes,MATCH(loaded!AQ19,drug,0)))</f>
        <v>#N/A</v>
      </c>
      <c r="T19" t="e">
        <f>IF(K19=2,"",_xlfn.IFNA(INDEX(drug_codes,MATCH(loaded!AS19,drug,0)),""))</f>
        <v>#N/A</v>
      </c>
      <c r="U19" t="e">
        <f>IF(K19=2,"",_xlfn.IFNA(INDEX(drug_codes,MATCH(loaded!AU19,drug,0)),""))</f>
        <v>#N/A</v>
      </c>
      <c r="V19" t="e">
        <f>IF(K19=2,"",_xlfn.IFNA(INDEX(drug_codes,MATCH(loaded!AW19,drug,0)),""))</f>
        <v>#N/A</v>
      </c>
      <c r="W19" t="e">
        <f>IF(K19=2,"",_xlfn.IFNA(INDEX(drug_codes,MATCH(loaded!AY19,drug,0)),""))</f>
        <v>#N/A</v>
      </c>
      <c r="X19" t="e">
        <f>IF(K19=2,"",_xlfn.IFNA(INDEX(drug_codes,MATCH(loaded!BA19,drug,0)),""))</f>
        <v>#N/A</v>
      </c>
      <c r="Y19" t="e">
        <f>INDEX(MTT_codes,MATCH(loaded!BC19,MTT,0))</f>
        <v>#N/A</v>
      </c>
      <c r="Z19" t="str">
        <f>_xlfn.IFNA(INDEX(MTT_codes,MATCH(loaded!BE19,MTT,0)),"")</f>
        <v/>
      </c>
      <c r="AA19" t="str">
        <f>_xlfn.IFNA(INDEX(MTT_codes,MATCH(loaded!BG19,MTT,0)),"")</f>
        <v/>
      </c>
      <c r="AB19" t="str">
        <f>_xlfn.IFNA(INDEX(MTT_codes,MATCH(loaded!BI19,MTT,0)),"")</f>
        <v/>
      </c>
      <c r="AC19" t="str">
        <f>_xlfn.IFNA(INDEX(MTT_codes,MATCH(loaded!BK19,MTT,0)),"")</f>
        <v/>
      </c>
      <c r="AD19" t="str">
        <f>_xlfn.IFNA(INDEX(MTT_codes,MATCH(loaded!BM19,MTT,0)),"")</f>
        <v/>
      </c>
      <c r="AE19" t="e">
        <f>INDEX(liv_ar_codes,MATCH(loaded!BO19,liv_ar,0))</f>
        <v>#N/A</v>
      </c>
      <c r="AF19" t="str">
        <f>_xlfn.IFNA(INDEX(MTT_codes,MATCH(loaded!BQ19,MTT,0)),"")</f>
        <v/>
      </c>
      <c r="AG19">
        <f>_xlfn.IFNA(INDEX(mental_codes,MATCH(loaded!BS19,mental,0)),9)</f>
        <v>9</v>
      </c>
    </row>
    <row r="20" spans="1:33" x14ac:dyDescent="0.25">
      <c r="A20">
        <f>loaded!C20</f>
        <v>0</v>
      </c>
      <c r="B20">
        <f>loaded!I20</f>
        <v>0</v>
      </c>
      <c r="C20">
        <f>IF(loaded!K20="Male",1,IF(loaded!K20="Female",2,9))</f>
        <v>9</v>
      </c>
      <c r="D20" s="8">
        <f>loaded!M20</f>
        <v>0</v>
      </c>
      <c r="E20" t="str">
        <f>LEFT(loaded!O20,3)</f>
        <v/>
      </c>
      <c r="F20" t="e">
        <f>INDEX(cntry_codes,MATCH(loaded!Q20,countries,0))</f>
        <v>#N/A</v>
      </c>
      <c r="G20" t="e">
        <f>INDEX(atsi_codes,MATCH(loaded!S20,atsi,0))</f>
        <v>#N/A</v>
      </c>
      <c r="H20" t="e">
        <f>INDEX(lang_codes,MATCH(loaded!U20,lang,0))</f>
        <v>#N/A</v>
      </c>
      <c r="I20" s="8">
        <f>loaded!W20</f>
        <v>0</v>
      </c>
      <c r="J20" t="e">
        <f>INDEX(us_acc_codes,MATCH(loaded!Y20,us_acc,0))</f>
        <v>#N/A</v>
      </c>
      <c r="K20" t="e">
        <f>INDEX(client_codes,MATCH(loaded!AA20,client,0))</f>
        <v>#N/A</v>
      </c>
      <c r="L20" t="e">
        <f>INDEX(src_ref_codes,MATCH(loaded!AC20,src_ref,0))</f>
        <v>#N/A</v>
      </c>
      <c r="M20" s="8">
        <f>loaded!AE20</f>
        <v>0</v>
      </c>
      <c r="N20" s="8">
        <f>loaded!AG20</f>
        <v>0</v>
      </c>
      <c r="O20" t="e">
        <f>INDEX(reces_codes,MATCH(loaded!AI20,reason,0))</f>
        <v>#N/A</v>
      </c>
      <c r="P20" t="e">
        <f>INDEX(TDS_codes,MATCH(loaded!AK20,TDS,0))</f>
        <v>#N/A</v>
      </c>
      <c r="Q20" t="e">
        <f>IF(K20=2,"",INDEX(method_codes,MATCH(loaded!AM20,method,0)))</f>
        <v>#N/A</v>
      </c>
      <c r="R20" t="e">
        <f>IF(K20=2,"",INDEX(inj_codes,MATCH(loaded!AO20,inj,0)))</f>
        <v>#N/A</v>
      </c>
      <c r="S20" t="e">
        <f>IF(K20=2,"",INDEX(drug_codes,MATCH(loaded!AQ20,drug,0)))</f>
        <v>#N/A</v>
      </c>
      <c r="T20" t="e">
        <f>IF(K20=2,"",_xlfn.IFNA(INDEX(drug_codes,MATCH(loaded!AS20,drug,0)),""))</f>
        <v>#N/A</v>
      </c>
      <c r="U20" t="e">
        <f>IF(K20=2,"",_xlfn.IFNA(INDEX(drug_codes,MATCH(loaded!AU20,drug,0)),""))</f>
        <v>#N/A</v>
      </c>
      <c r="V20" t="e">
        <f>IF(K20=2,"",_xlfn.IFNA(INDEX(drug_codes,MATCH(loaded!AW20,drug,0)),""))</f>
        <v>#N/A</v>
      </c>
      <c r="W20" t="e">
        <f>IF(K20=2,"",_xlfn.IFNA(INDEX(drug_codes,MATCH(loaded!AY20,drug,0)),""))</f>
        <v>#N/A</v>
      </c>
      <c r="X20" t="e">
        <f>IF(K20=2,"",_xlfn.IFNA(INDEX(drug_codes,MATCH(loaded!BA20,drug,0)),""))</f>
        <v>#N/A</v>
      </c>
      <c r="Y20" t="e">
        <f>INDEX(MTT_codes,MATCH(loaded!BC20,MTT,0))</f>
        <v>#N/A</v>
      </c>
      <c r="Z20" t="str">
        <f>_xlfn.IFNA(INDEX(MTT_codes,MATCH(loaded!BE20,MTT,0)),"")</f>
        <v/>
      </c>
      <c r="AA20" t="str">
        <f>_xlfn.IFNA(INDEX(MTT_codes,MATCH(loaded!BG20,MTT,0)),"")</f>
        <v/>
      </c>
      <c r="AB20" t="str">
        <f>_xlfn.IFNA(INDEX(MTT_codes,MATCH(loaded!BI20,MTT,0)),"")</f>
        <v/>
      </c>
      <c r="AC20" t="str">
        <f>_xlfn.IFNA(INDEX(MTT_codes,MATCH(loaded!BK20,MTT,0)),"")</f>
        <v/>
      </c>
      <c r="AD20" t="str">
        <f>_xlfn.IFNA(INDEX(MTT_codes,MATCH(loaded!BM20,MTT,0)),"")</f>
        <v/>
      </c>
      <c r="AE20" t="e">
        <f>INDEX(liv_ar_codes,MATCH(loaded!BO20,liv_ar,0))</f>
        <v>#N/A</v>
      </c>
      <c r="AF20" t="str">
        <f>_xlfn.IFNA(INDEX(MTT_codes,MATCH(loaded!BQ20,MTT,0)),"")</f>
        <v/>
      </c>
      <c r="AG20">
        <f>_xlfn.IFNA(INDEX(mental_codes,MATCH(loaded!BS20,mental,0)),9)</f>
        <v>9</v>
      </c>
    </row>
    <row r="21" spans="1:33" x14ac:dyDescent="0.25">
      <c r="A21">
        <f>loaded!C21</f>
        <v>0</v>
      </c>
      <c r="B21">
        <f>loaded!I21</f>
        <v>0</v>
      </c>
      <c r="C21">
        <f>IF(loaded!K21="Male",1,IF(loaded!K21="Female",2,9))</f>
        <v>9</v>
      </c>
      <c r="D21" s="8">
        <f>loaded!M21</f>
        <v>0</v>
      </c>
      <c r="E21" t="str">
        <f>LEFT(loaded!O21,3)</f>
        <v/>
      </c>
      <c r="F21" t="e">
        <f>INDEX(cntry_codes,MATCH(loaded!Q21,countries,0))</f>
        <v>#N/A</v>
      </c>
      <c r="G21" t="e">
        <f>INDEX(atsi_codes,MATCH(loaded!S21,atsi,0))</f>
        <v>#N/A</v>
      </c>
      <c r="H21" t="e">
        <f>INDEX(lang_codes,MATCH(loaded!U21,lang,0))</f>
        <v>#N/A</v>
      </c>
      <c r="I21" s="8">
        <f>loaded!W21</f>
        <v>0</v>
      </c>
      <c r="J21" t="e">
        <f>INDEX(us_acc_codes,MATCH(loaded!Y21,us_acc,0))</f>
        <v>#N/A</v>
      </c>
      <c r="K21" t="e">
        <f>INDEX(client_codes,MATCH(loaded!AA21,client,0))</f>
        <v>#N/A</v>
      </c>
      <c r="L21" t="e">
        <f>INDEX(src_ref_codes,MATCH(loaded!AC21,src_ref,0))</f>
        <v>#N/A</v>
      </c>
      <c r="M21" s="8">
        <f>loaded!AE21</f>
        <v>0</v>
      </c>
      <c r="N21" s="8">
        <f>loaded!AG21</f>
        <v>0</v>
      </c>
      <c r="O21" t="e">
        <f>INDEX(reces_codes,MATCH(loaded!AI21,reason,0))</f>
        <v>#N/A</v>
      </c>
      <c r="P21" t="e">
        <f>INDEX(TDS_codes,MATCH(loaded!AK21,TDS,0))</f>
        <v>#N/A</v>
      </c>
      <c r="Q21" t="e">
        <f>IF(K21=2,"",INDEX(method_codes,MATCH(loaded!AM21,method,0)))</f>
        <v>#N/A</v>
      </c>
      <c r="R21" t="e">
        <f>IF(K21=2,"",INDEX(inj_codes,MATCH(loaded!AO21,inj,0)))</f>
        <v>#N/A</v>
      </c>
      <c r="S21" t="e">
        <f>IF(K21=2,"",INDEX(drug_codes,MATCH(loaded!AQ21,drug,0)))</f>
        <v>#N/A</v>
      </c>
      <c r="T21" t="e">
        <f>IF(K21=2,"",_xlfn.IFNA(INDEX(drug_codes,MATCH(loaded!AS21,drug,0)),""))</f>
        <v>#N/A</v>
      </c>
      <c r="U21" t="e">
        <f>IF(K21=2,"",_xlfn.IFNA(INDEX(drug_codes,MATCH(loaded!AU21,drug,0)),""))</f>
        <v>#N/A</v>
      </c>
      <c r="V21" t="e">
        <f>IF(K21=2,"",_xlfn.IFNA(INDEX(drug_codes,MATCH(loaded!AW21,drug,0)),""))</f>
        <v>#N/A</v>
      </c>
      <c r="W21" t="e">
        <f>IF(K21=2,"",_xlfn.IFNA(INDEX(drug_codes,MATCH(loaded!AY21,drug,0)),""))</f>
        <v>#N/A</v>
      </c>
      <c r="X21" t="e">
        <f>IF(K21=2,"",_xlfn.IFNA(INDEX(drug_codes,MATCH(loaded!BA21,drug,0)),""))</f>
        <v>#N/A</v>
      </c>
      <c r="Y21" t="e">
        <f>INDEX(MTT_codes,MATCH(loaded!BC21,MTT,0))</f>
        <v>#N/A</v>
      </c>
      <c r="Z21" t="str">
        <f>_xlfn.IFNA(INDEX(MTT_codes,MATCH(loaded!BE21,MTT,0)),"")</f>
        <v/>
      </c>
      <c r="AA21" t="str">
        <f>_xlfn.IFNA(INDEX(MTT_codes,MATCH(loaded!BG21,MTT,0)),"")</f>
        <v/>
      </c>
      <c r="AB21" t="str">
        <f>_xlfn.IFNA(INDEX(MTT_codes,MATCH(loaded!BI21,MTT,0)),"")</f>
        <v/>
      </c>
      <c r="AC21" t="str">
        <f>_xlfn.IFNA(INDEX(MTT_codes,MATCH(loaded!BK21,MTT,0)),"")</f>
        <v/>
      </c>
      <c r="AD21" t="str">
        <f>_xlfn.IFNA(INDEX(MTT_codes,MATCH(loaded!BM21,MTT,0)),"")</f>
        <v/>
      </c>
      <c r="AE21" t="e">
        <f>INDEX(liv_ar_codes,MATCH(loaded!BO21,liv_ar,0))</f>
        <v>#N/A</v>
      </c>
      <c r="AF21" t="str">
        <f>_xlfn.IFNA(INDEX(MTT_codes,MATCH(loaded!BQ21,MTT,0)),"")</f>
        <v/>
      </c>
      <c r="AG21">
        <f>_xlfn.IFNA(INDEX(mental_codes,MATCH(loaded!BS21,mental,0)),9)</f>
        <v>9</v>
      </c>
    </row>
    <row r="22" spans="1:33" x14ac:dyDescent="0.25">
      <c r="A22">
        <f>loaded!C22</f>
        <v>0</v>
      </c>
      <c r="B22">
        <f>loaded!I22</f>
        <v>0</v>
      </c>
      <c r="C22">
        <f>IF(loaded!K22="Male",1,IF(loaded!K22="Female",2,9))</f>
        <v>9</v>
      </c>
      <c r="D22" s="8">
        <f>loaded!M22</f>
        <v>0</v>
      </c>
      <c r="E22" t="str">
        <f>LEFT(loaded!O22,3)</f>
        <v/>
      </c>
      <c r="F22" t="e">
        <f>INDEX(cntry_codes,MATCH(loaded!Q22,countries,0))</f>
        <v>#N/A</v>
      </c>
      <c r="G22" t="e">
        <f>INDEX(atsi_codes,MATCH(loaded!S22,atsi,0))</f>
        <v>#N/A</v>
      </c>
      <c r="H22" t="e">
        <f>INDEX(lang_codes,MATCH(loaded!U22,lang,0))</f>
        <v>#N/A</v>
      </c>
      <c r="I22" s="8">
        <f>loaded!W22</f>
        <v>0</v>
      </c>
      <c r="J22" t="e">
        <f>INDEX(us_acc_codes,MATCH(loaded!Y22,us_acc,0))</f>
        <v>#N/A</v>
      </c>
      <c r="K22" t="e">
        <f>INDEX(client_codes,MATCH(loaded!AA22,client,0))</f>
        <v>#N/A</v>
      </c>
      <c r="L22" t="e">
        <f>INDEX(src_ref_codes,MATCH(loaded!AC22,src_ref,0))</f>
        <v>#N/A</v>
      </c>
      <c r="M22" s="8">
        <f>loaded!AE22</f>
        <v>0</v>
      </c>
      <c r="N22" s="8">
        <f>loaded!AG22</f>
        <v>0</v>
      </c>
      <c r="O22" t="e">
        <f>INDEX(reces_codes,MATCH(loaded!AI22,reason,0))</f>
        <v>#N/A</v>
      </c>
      <c r="P22" t="e">
        <f>INDEX(TDS_codes,MATCH(loaded!AK22,TDS,0))</f>
        <v>#N/A</v>
      </c>
      <c r="Q22" t="e">
        <f>IF(K22=2,"",INDEX(method_codes,MATCH(loaded!AM22,method,0)))</f>
        <v>#N/A</v>
      </c>
      <c r="R22" t="e">
        <f>IF(K22=2,"",INDEX(inj_codes,MATCH(loaded!AO22,inj,0)))</f>
        <v>#N/A</v>
      </c>
      <c r="S22" t="e">
        <f>IF(K22=2,"",INDEX(drug_codes,MATCH(loaded!AQ22,drug,0)))</f>
        <v>#N/A</v>
      </c>
      <c r="T22" t="e">
        <f>IF(K22=2,"",_xlfn.IFNA(INDEX(drug_codes,MATCH(loaded!AS22,drug,0)),""))</f>
        <v>#N/A</v>
      </c>
      <c r="U22" t="e">
        <f>IF(K22=2,"",_xlfn.IFNA(INDEX(drug_codes,MATCH(loaded!AU22,drug,0)),""))</f>
        <v>#N/A</v>
      </c>
      <c r="V22" t="e">
        <f>IF(K22=2,"",_xlfn.IFNA(INDEX(drug_codes,MATCH(loaded!AW22,drug,0)),""))</f>
        <v>#N/A</v>
      </c>
      <c r="W22" t="e">
        <f>IF(K22=2,"",_xlfn.IFNA(INDEX(drug_codes,MATCH(loaded!AY22,drug,0)),""))</f>
        <v>#N/A</v>
      </c>
      <c r="X22" t="e">
        <f>IF(K22=2,"",_xlfn.IFNA(INDEX(drug_codes,MATCH(loaded!BA22,drug,0)),""))</f>
        <v>#N/A</v>
      </c>
      <c r="Y22" t="e">
        <f>INDEX(MTT_codes,MATCH(loaded!BC22,MTT,0))</f>
        <v>#N/A</v>
      </c>
      <c r="Z22" t="str">
        <f>_xlfn.IFNA(INDEX(MTT_codes,MATCH(loaded!BE22,MTT,0)),"")</f>
        <v/>
      </c>
      <c r="AA22" t="str">
        <f>_xlfn.IFNA(INDEX(MTT_codes,MATCH(loaded!BG22,MTT,0)),"")</f>
        <v/>
      </c>
      <c r="AB22" t="str">
        <f>_xlfn.IFNA(INDEX(MTT_codes,MATCH(loaded!BI22,MTT,0)),"")</f>
        <v/>
      </c>
      <c r="AC22" t="str">
        <f>_xlfn.IFNA(INDEX(MTT_codes,MATCH(loaded!BK22,MTT,0)),"")</f>
        <v/>
      </c>
      <c r="AD22" t="str">
        <f>_xlfn.IFNA(INDEX(MTT_codes,MATCH(loaded!BM22,MTT,0)),"")</f>
        <v/>
      </c>
      <c r="AE22" t="e">
        <f>INDEX(liv_ar_codes,MATCH(loaded!BO22,liv_ar,0))</f>
        <v>#N/A</v>
      </c>
      <c r="AF22" t="str">
        <f>_xlfn.IFNA(INDEX(MTT_codes,MATCH(loaded!BQ22,MTT,0)),"")</f>
        <v/>
      </c>
      <c r="AG22">
        <f>_xlfn.IFNA(INDEX(mental_codes,MATCH(loaded!BS22,mental,0)),9)</f>
        <v>9</v>
      </c>
    </row>
    <row r="23" spans="1:33" x14ac:dyDescent="0.25">
      <c r="A23">
        <f>loaded!C23</f>
        <v>0</v>
      </c>
      <c r="B23">
        <f>loaded!I23</f>
        <v>0</v>
      </c>
      <c r="C23">
        <f>IF(loaded!K23="Male",1,IF(loaded!K23="Female",2,9))</f>
        <v>9</v>
      </c>
      <c r="D23" s="8">
        <f>loaded!M23</f>
        <v>0</v>
      </c>
      <c r="E23" t="str">
        <f>LEFT(loaded!O23,3)</f>
        <v/>
      </c>
      <c r="F23" t="e">
        <f>INDEX(cntry_codes,MATCH(loaded!Q23,countries,0))</f>
        <v>#N/A</v>
      </c>
      <c r="G23" t="e">
        <f>INDEX(atsi_codes,MATCH(loaded!S23,atsi,0))</f>
        <v>#N/A</v>
      </c>
      <c r="H23" t="e">
        <f>INDEX(lang_codes,MATCH(loaded!U23,lang,0))</f>
        <v>#N/A</v>
      </c>
      <c r="I23" s="8">
        <f>loaded!W23</f>
        <v>0</v>
      </c>
      <c r="J23" t="e">
        <f>INDEX(us_acc_codes,MATCH(loaded!Y23,us_acc,0))</f>
        <v>#N/A</v>
      </c>
      <c r="K23" t="e">
        <f>INDEX(client_codes,MATCH(loaded!AA23,client,0))</f>
        <v>#N/A</v>
      </c>
      <c r="L23" t="e">
        <f>INDEX(src_ref_codes,MATCH(loaded!AC23,src_ref,0))</f>
        <v>#N/A</v>
      </c>
      <c r="M23" s="8">
        <f>loaded!AE23</f>
        <v>0</v>
      </c>
      <c r="N23" s="8">
        <f>loaded!AG23</f>
        <v>0</v>
      </c>
      <c r="O23" t="e">
        <f>INDEX(reces_codes,MATCH(loaded!AI23,reason,0))</f>
        <v>#N/A</v>
      </c>
      <c r="P23" t="e">
        <f>INDEX(TDS_codes,MATCH(loaded!AK23,TDS,0))</f>
        <v>#N/A</v>
      </c>
      <c r="Q23" t="e">
        <f>IF(K23=2,"",INDEX(method_codes,MATCH(loaded!AM23,method,0)))</f>
        <v>#N/A</v>
      </c>
      <c r="R23" t="e">
        <f>IF(K23=2,"",INDEX(inj_codes,MATCH(loaded!AO23,inj,0)))</f>
        <v>#N/A</v>
      </c>
      <c r="S23" t="e">
        <f>IF(K23=2,"",INDEX(drug_codes,MATCH(loaded!AQ23,drug,0)))</f>
        <v>#N/A</v>
      </c>
      <c r="T23" t="e">
        <f>IF(K23=2,"",_xlfn.IFNA(INDEX(drug_codes,MATCH(loaded!AS23,drug,0)),""))</f>
        <v>#N/A</v>
      </c>
      <c r="U23" t="e">
        <f>IF(K23=2,"",_xlfn.IFNA(INDEX(drug_codes,MATCH(loaded!AU23,drug,0)),""))</f>
        <v>#N/A</v>
      </c>
      <c r="V23" t="e">
        <f>IF(K23=2,"",_xlfn.IFNA(INDEX(drug_codes,MATCH(loaded!AW23,drug,0)),""))</f>
        <v>#N/A</v>
      </c>
      <c r="W23" t="e">
        <f>IF(K23=2,"",_xlfn.IFNA(INDEX(drug_codes,MATCH(loaded!AY23,drug,0)),""))</f>
        <v>#N/A</v>
      </c>
      <c r="X23" t="e">
        <f>IF(K23=2,"",_xlfn.IFNA(INDEX(drug_codes,MATCH(loaded!BA23,drug,0)),""))</f>
        <v>#N/A</v>
      </c>
      <c r="Y23" t="e">
        <f>INDEX(MTT_codes,MATCH(loaded!BC23,MTT,0))</f>
        <v>#N/A</v>
      </c>
      <c r="Z23" t="str">
        <f>_xlfn.IFNA(INDEX(MTT_codes,MATCH(loaded!BE23,MTT,0)),"")</f>
        <v/>
      </c>
      <c r="AA23" t="str">
        <f>_xlfn.IFNA(INDEX(MTT_codes,MATCH(loaded!BG23,MTT,0)),"")</f>
        <v/>
      </c>
      <c r="AB23" t="str">
        <f>_xlfn.IFNA(INDEX(MTT_codes,MATCH(loaded!BI23,MTT,0)),"")</f>
        <v/>
      </c>
      <c r="AC23" t="str">
        <f>_xlfn.IFNA(INDEX(MTT_codes,MATCH(loaded!BK23,MTT,0)),"")</f>
        <v/>
      </c>
      <c r="AD23" t="str">
        <f>_xlfn.IFNA(INDEX(MTT_codes,MATCH(loaded!BM23,MTT,0)),"")</f>
        <v/>
      </c>
      <c r="AE23" t="e">
        <f>INDEX(liv_ar_codes,MATCH(loaded!BO23,liv_ar,0))</f>
        <v>#N/A</v>
      </c>
      <c r="AF23" t="str">
        <f>_xlfn.IFNA(INDEX(MTT_codes,MATCH(loaded!BQ23,MTT,0)),"")</f>
        <v/>
      </c>
      <c r="AG23">
        <f>_xlfn.IFNA(INDEX(mental_codes,MATCH(loaded!BS23,mental,0)),9)</f>
        <v>9</v>
      </c>
    </row>
    <row r="24" spans="1:33" x14ac:dyDescent="0.25">
      <c r="A24">
        <f>loaded!C24</f>
        <v>0</v>
      </c>
      <c r="B24">
        <f>loaded!I24</f>
        <v>0</v>
      </c>
      <c r="C24">
        <f>IF(loaded!K24="Male",1,IF(loaded!K24="Female",2,9))</f>
        <v>9</v>
      </c>
      <c r="D24" s="8">
        <f>loaded!M24</f>
        <v>0</v>
      </c>
      <c r="E24" t="str">
        <f>LEFT(loaded!O24,3)</f>
        <v/>
      </c>
      <c r="F24" t="e">
        <f>INDEX(cntry_codes,MATCH(loaded!Q24,countries,0))</f>
        <v>#N/A</v>
      </c>
      <c r="G24" t="e">
        <f>INDEX(atsi_codes,MATCH(loaded!S24,atsi,0))</f>
        <v>#N/A</v>
      </c>
      <c r="H24" t="e">
        <f>INDEX(lang_codes,MATCH(loaded!U24,lang,0))</f>
        <v>#N/A</v>
      </c>
      <c r="I24" s="8">
        <f>loaded!W24</f>
        <v>0</v>
      </c>
      <c r="J24" t="e">
        <f>INDEX(us_acc_codes,MATCH(loaded!Y24,us_acc,0))</f>
        <v>#N/A</v>
      </c>
      <c r="K24" t="e">
        <f>INDEX(client_codes,MATCH(loaded!AA24,client,0))</f>
        <v>#N/A</v>
      </c>
      <c r="L24" t="e">
        <f>INDEX(src_ref_codes,MATCH(loaded!AC24,src_ref,0))</f>
        <v>#N/A</v>
      </c>
      <c r="M24" s="8">
        <f>loaded!AE24</f>
        <v>0</v>
      </c>
      <c r="N24" s="8">
        <f>loaded!AG24</f>
        <v>0</v>
      </c>
      <c r="O24" t="e">
        <f>INDEX(reces_codes,MATCH(loaded!AI24,reason,0))</f>
        <v>#N/A</v>
      </c>
      <c r="P24" t="e">
        <f>INDEX(TDS_codes,MATCH(loaded!AK24,TDS,0))</f>
        <v>#N/A</v>
      </c>
      <c r="Q24" t="e">
        <f>IF(K24=2,"",INDEX(method_codes,MATCH(loaded!AM24,method,0)))</f>
        <v>#N/A</v>
      </c>
      <c r="R24" t="e">
        <f>IF(K24=2,"",INDEX(inj_codes,MATCH(loaded!AO24,inj,0)))</f>
        <v>#N/A</v>
      </c>
      <c r="S24" t="e">
        <f>IF(K24=2,"",INDEX(drug_codes,MATCH(loaded!AQ24,drug,0)))</f>
        <v>#N/A</v>
      </c>
      <c r="T24" t="e">
        <f>IF(K24=2,"",_xlfn.IFNA(INDEX(drug_codes,MATCH(loaded!AS24,drug,0)),""))</f>
        <v>#N/A</v>
      </c>
      <c r="U24" t="e">
        <f>IF(K24=2,"",_xlfn.IFNA(INDEX(drug_codes,MATCH(loaded!AU24,drug,0)),""))</f>
        <v>#N/A</v>
      </c>
      <c r="V24" t="e">
        <f>IF(K24=2,"",_xlfn.IFNA(INDEX(drug_codes,MATCH(loaded!AW24,drug,0)),""))</f>
        <v>#N/A</v>
      </c>
      <c r="W24" t="e">
        <f>IF(K24=2,"",_xlfn.IFNA(INDEX(drug_codes,MATCH(loaded!AY24,drug,0)),""))</f>
        <v>#N/A</v>
      </c>
      <c r="X24" t="e">
        <f>IF(K24=2,"",_xlfn.IFNA(INDEX(drug_codes,MATCH(loaded!BA24,drug,0)),""))</f>
        <v>#N/A</v>
      </c>
      <c r="Y24" t="e">
        <f>INDEX(MTT_codes,MATCH(loaded!BC24,MTT,0))</f>
        <v>#N/A</v>
      </c>
      <c r="Z24" t="str">
        <f>_xlfn.IFNA(INDEX(MTT_codes,MATCH(loaded!BE24,MTT,0)),"")</f>
        <v/>
      </c>
      <c r="AA24" t="str">
        <f>_xlfn.IFNA(INDEX(MTT_codes,MATCH(loaded!BG24,MTT,0)),"")</f>
        <v/>
      </c>
      <c r="AB24" t="str">
        <f>_xlfn.IFNA(INDEX(MTT_codes,MATCH(loaded!BI24,MTT,0)),"")</f>
        <v/>
      </c>
      <c r="AC24" t="str">
        <f>_xlfn.IFNA(INDEX(MTT_codes,MATCH(loaded!BK24,MTT,0)),"")</f>
        <v/>
      </c>
      <c r="AD24" t="str">
        <f>_xlfn.IFNA(INDEX(MTT_codes,MATCH(loaded!BM24,MTT,0)),"")</f>
        <v/>
      </c>
      <c r="AE24" t="e">
        <f>INDEX(liv_ar_codes,MATCH(loaded!BO24,liv_ar,0))</f>
        <v>#N/A</v>
      </c>
      <c r="AF24" t="str">
        <f>_xlfn.IFNA(INDEX(MTT_codes,MATCH(loaded!BQ24,MTT,0)),"")</f>
        <v/>
      </c>
      <c r="AG24">
        <f>_xlfn.IFNA(INDEX(mental_codes,MATCH(loaded!BS24,mental,0)),9)</f>
        <v>9</v>
      </c>
    </row>
    <row r="25" spans="1:33" x14ac:dyDescent="0.25">
      <c r="A25">
        <f>loaded!C25</f>
        <v>0</v>
      </c>
      <c r="B25">
        <f>loaded!I25</f>
        <v>0</v>
      </c>
      <c r="C25">
        <f>IF(loaded!K25="Male",1,IF(loaded!K25="Female",2,9))</f>
        <v>9</v>
      </c>
      <c r="D25" s="8">
        <f>loaded!M25</f>
        <v>0</v>
      </c>
      <c r="E25" t="str">
        <f>LEFT(loaded!O25,3)</f>
        <v/>
      </c>
      <c r="F25" t="e">
        <f>INDEX(cntry_codes,MATCH(loaded!Q25,countries,0))</f>
        <v>#N/A</v>
      </c>
      <c r="G25" t="e">
        <f>INDEX(atsi_codes,MATCH(loaded!S25,atsi,0))</f>
        <v>#N/A</v>
      </c>
      <c r="H25" t="e">
        <f>INDEX(lang_codes,MATCH(loaded!U25,lang,0))</f>
        <v>#N/A</v>
      </c>
      <c r="I25" s="8">
        <f>loaded!W25</f>
        <v>0</v>
      </c>
      <c r="J25" t="e">
        <f>INDEX(us_acc_codes,MATCH(loaded!Y25,us_acc,0))</f>
        <v>#N/A</v>
      </c>
      <c r="K25" t="e">
        <f>INDEX(client_codes,MATCH(loaded!AA25,client,0))</f>
        <v>#N/A</v>
      </c>
      <c r="L25" t="e">
        <f>INDEX(src_ref_codes,MATCH(loaded!AC25,src_ref,0))</f>
        <v>#N/A</v>
      </c>
      <c r="M25" s="8">
        <f>loaded!AE25</f>
        <v>0</v>
      </c>
      <c r="N25" s="8">
        <f>loaded!AG25</f>
        <v>0</v>
      </c>
      <c r="O25" t="e">
        <f>INDEX(reces_codes,MATCH(loaded!AI25,reason,0))</f>
        <v>#N/A</v>
      </c>
      <c r="P25" t="e">
        <f>INDEX(TDS_codes,MATCH(loaded!AK25,TDS,0))</f>
        <v>#N/A</v>
      </c>
      <c r="Q25" t="e">
        <f>IF(K25=2,"",INDEX(method_codes,MATCH(loaded!AM25,method,0)))</f>
        <v>#N/A</v>
      </c>
      <c r="R25" t="e">
        <f>IF(K25=2,"",INDEX(inj_codes,MATCH(loaded!AO25,inj,0)))</f>
        <v>#N/A</v>
      </c>
      <c r="S25" t="e">
        <f>IF(K25=2,"",INDEX(drug_codes,MATCH(loaded!AQ25,drug,0)))</f>
        <v>#N/A</v>
      </c>
      <c r="T25" t="e">
        <f>IF(K25=2,"",_xlfn.IFNA(INDEX(drug_codes,MATCH(loaded!AS25,drug,0)),""))</f>
        <v>#N/A</v>
      </c>
      <c r="U25" t="e">
        <f>IF(K25=2,"",_xlfn.IFNA(INDEX(drug_codes,MATCH(loaded!AU25,drug,0)),""))</f>
        <v>#N/A</v>
      </c>
      <c r="V25" t="e">
        <f>IF(K25=2,"",_xlfn.IFNA(INDEX(drug_codes,MATCH(loaded!AW25,drug,0)),""))</f>
        <v>#N/A</v>
      </c>
      <c r="W25" t="e">
        <f>IF(K25=2,"",_xlfn.IFNA(INDEX(drug_codes,MATCH(loaded!AY25,drug,0)),""))</f>
        <v>#N/A</v>
      </c>
      <c r="X25" t="e">
        <f>IF(K25=2,"",_xlfn.IFNA(INDEX(drug_codes,MATCH(loaded!BA25,drug,0)),""))</f>
        <v>#N/A</v>
      </c>
      <c r="Y25" t="e">
        <f>INDEX(MTT_codes,MATCH(loaded!BC25,MTT,0))</f>
        <v>#N/A</v>
      </c>
      <c r="Z25" t="str">
        <f>_xlfn.IFNA(INDEX(MTT_codes,MATCH(loaded!BE25,MTT,0)),"")</f>
        <v/>
      </c>
      <c r="AA25" t="str">
        <f>_xlfn.IFNA(INDEX(MTT_codes,MATCH(loaded!BG25,MTT,0)),"")</f>
        <v/>
      </c>
      <c r="AB25" t="str">
        <f>_xlfn.IFNA(INDEX(MTT_codes,MATCH(loaded!BI25,MTT,0)),"")</f>
        <v/>
      </c>
      <c r="AC25" t="str">
        <f>_xlfn.IFNA(INDEX(MTT_codes,MATCH(loaded!BK25,MTT,0)),"")</f>
        <v/>
      </c>
      <c r="AD25" t="str">
        <f>_xlfn.IFNA(INDEX(MTT_codes,MATCH(loaded!BM25,MTT,0)),"")</f>
        <v/>
      </c>
      <c r="AE25" t="e">
        <f>INDEX(liv_ar_codes,MATCH(loaded!BO25,liv_ar,0))</f>
        <v>#N/A</v>
      </c>
      <c r="AF25" t="str">
        <f>_xlfn.IFNA(INDEX(MTT_codes,MATCH(loaded!BQ25,MTT,0)),"")</f>
        <v/>
      </c>
      <c r="AG25">
        <f>_xlfn.IFNA(INDEX(mental_codes,MATCH(loaded!BS25,mental,0)),9)</f>
        <v>9</v>
      </c>
    </row>
    <row r="26" spans="1:33" x14ac:dyDescent="0.25">
      <c r="A26">
        <f>loaded!C26</f>
        <v>0</v>
      </c>
      <c r="B26">
        <f>loaded!I26</f>
        <v>0</v>
      </c>
      <c r="C26">
        <f>IF(loaded!K26="Male",1,IF(loaded!K26="Female",2,9))</f>
        <v>9</v>
      </c>
      <c r="D26" s="8">
        <f>loaded!M26</f>
        <v>0</v>
      </c>
      <c r="E26" t="str">
        <f>LEFT(loaded!O26,3)</f>
        <v/>
      </c>
      <c r="F26" t="e">
        <f>INDEX(cntry_codes,MATCH(loaded!Q26,countries,0))</f>
        <v>#N/A</v>
      </c>
      <c r="G26" t="e">
        <f>INDEX(atsi_codes,MATCH(loaded!S26,atsi,0))</f>
        <v>#N/A</v>
      </c>
      <c r="H26" t="e">
        <f>INDEX(lang_codes,MATCH(loaded!U26,lang,0))</f>
        <v>#N/A</v>
      </c>
      <c r="I26" s="8">
        <f>loaded!W26</f>
        <v>0</v>
      </c>
      <c r="J26" t="e">
        <f>INDEX(us_acc_codes,MATCH(loaded!Y26,us_acc,0))</f>
        <v>#N/A</v>
      </c>
      <c r="K26" t="e">
        <f>INDEX(client_codes,MATCH(loaded!AA26,client,0))</f>
        <v>#N/A</v>
      </c>
      <c r="L26" t="e">
        <f>INDEX(src_ref_codes,MATCH(loaded!AC26,src_ref,0))</f>
        <v>#N/A</v>
      </c>
      <c r="M26" s="8">
        <f>loaded!AE26</f>
        <v>0</v>
      </c>
      <c r="N26" s="8">
        <f>loaded!AG26</f>
        <v>0</v>
      </c>
      <c r="O26" t="e">
        <f>INDEX(reces_codes,MATCH(loaded!AI26,reason,0))</f>
        <v>#N/A</v>
      </c>
      <c r="P26" t="e">
        <f>INDEX(TDS_codes,MATCH(loaded!AK26,TDS,0))</f>
        <v>#N/A</v>
      </c>
      <c r="Q26" t="e">
        <f>IF(K26=2,"",INDEX(method_codes,MATCH(loaded!AM26,method,0)))</f>
        <v>#N/A</v>
      </c>
      <c r="R26" t="e">
        <f>IF(K26=2,"",INDEX(inj_codes,MATCH(loaded!AO26,inj,0)))</f>
        <v>#N/A</v>
      </c>
      <c r="S26" t="e">
        <f>IF(K26=2,"",INDEX(drug_codes,MATCH(loaded!AQ26,drug,0)))</f>
        <v>#N/A</v>
      </c>
      <c r="T26" t="e">
        <f>IF(K26=2,"",_xlfn.IFNA(INDEX(drug_codes,MATCH(loaded!AS26,drug,0)),""))</f>
        <v>#N/A</v>
      </c>
      <c r="U26" t="e">
        <f>IF(K26=2,"",_xlfn.IFNA(INDEX(drug_codes,MATCH(loaded!AU26,drug,0)),""))</f>
        <v>#N/A</v>
      </c>
      <c r="V26" t="e">
        <f>IF(K26=2,"",_xlfn.IFNA(INDEX(drug_codes,MATCH(loaded!AW26,drug,0)),""))</f>
        <v>#N/A</v>
      </c>
      <c r="W26" t="e">
        <f>IF(K26=2,"",_xlfn.IFNA(INDEX(drug_codes,MATCH(loaded!AY26,drug,0)),""))</f>
        <v>#N/A</v>
      </c>
      <c r="X26" t="e">
        <f>IF(K26=2,"",_xlfn.IFNA(INDEX(drug_codes,MATCH(loaded!BA26,drug,0)),""))</f>
        <v>#N/A</v>
      </c>
      <c r="Y26" t="e">
        <f>INDEX(MTT_codes,MATCH(loaded!BC26,MTT,0))</f>
        <v>#N/A</v>
      </c>
      <c r="Z26" t="str">
        <f>_xlfn.IFNA(INDEX(MTT_codes,MATCH(loaded!BE26,MTT,0)),"")</f>
        <v/>
      </c>
      <c r="AA26" t="str">
        <f>_xlfn.IFNA(INDEX(MTT_codes,MATCH(loaded!BG26,MTT,0)),"")</f>
        <v/>
      </c>
      <c r="AB26" t="str">
        <f>_xlfn.IFNA(INDEX(MTT_codes,MATCH(loaded!BI26,MTT,0)),"")</f>
        <v/>
      </c>
      <c r="AC26" t="str">
        <f>_xlfn.IFNA(INDEX(MTT_codes,MATCH(loaded!BK26,MTT,0)),"")</f>
        <v/>
      </c>
      <c r="AD26" t="str">
        <f>_xlfn.IFNA(INDEX(MTT_codes,MATCH(loaded!BM26,MTT,0)),"")</f>
        <v/>
      </c>
      <c r="AE26" t="e">
        <f>INDEX(liv_ar_codes,MATCH(loaded!BO26,liv_ar,0))</f>
        <v>#N/A</v>
      </c>
      <c r="AF26" t="str">
        <f>_xlfn.IFNA(INDEX(MTT_codes,MATCH(loaded!BQ26,MTT,0)),"")</f>
        <v/>
      </c>
      <c r="AG26">
        <f>_xlfn.IFNA(INDEX(mental_codes,MATCH(loaded!BS26,mental,0)),9)</f>
        <v>9</v>
      </c>
    </row>
    <row r="27" spans="1:33" x14ac:dyDescent="0.25">
      <c r="A27">
        <f>loaded!C27</f>
        <v>0</v>
      </c>
      <c r="B27">
        <f>loaded!I27</f>
        <v>0</v>
      </c>
      <c r="C27">
        <f>IF(loaded!K27="Male",1,IF(loaded!K27="Female",2,9))</f>
        <v>9</v>
      </c>
      <c r="D27" s="8">
        <f>loaded!M27</f>
        <v>0</v>
      </c>
      <c r="E27" t="str">
        <f>LEFT(loaded!O27,3)</f>
        <v/>
      </c>
      <c r="F27" t="e">
        <f>INDEX(cntry_codes,MATCH(loaded!Q27,countries,0))</f>
        <v>#N/A</v>
      </c>
      <c r="G27" t="e">
        <f>INDEX(atsi_codes,MATCH(loaded!S27,atsi,0))</f>
        <v>#N/A</v>
      </c>
      <c r="H27" t="e">
        <f>INDEX(lang_codes,MATCH(loaded!U27,lang,0))</f>
        <v>#N/A</v>
      </c>
      <c r="I27" s="8">
        <f>loaded!W27</f>
        <v>0</v>
      </c>
      <c r="J27" t="e">
        <f>INDEX(us_acc_codes,MATCH(loaded!Y27,us_acc,0))</f>
        <v>#N/A</v>
      </c>
      <c r="K27" t="e">
        <f>INDEX(client_codes,MATCH(loaded!AA27,client,0))</f>
        <v>#N/A</v>
      </c>
      <c r="L27" t="e">
        <f>INDEX(src_ref_codes,MATCH(loaded!AC27,src_ref,0))</f>
        <v>#N/A</v>
      </c>
      <c r="M27" s="8">
        <f>loaded!AE27</f>
        <v>0</v>
      </c>
      <c r="N27" s="8">
        <f>loaded!AG27</f>
        <v>0</v>
      </c>
      <c r="O27" t="e">
        <f>INDEX(reces_codes,MATCH(loaded!AI27,reason,0))</f>
        <v>#N/A</v>
      </c>
      <c r="P27" t="e">
        <f>INDEX(TDS_codes,MATCH(loaded!AK27,TDS,0))</f>
        <v>#N/A</v>
      </c>
      <c r="Q27" t="e">
        <f>IF(K27=2,"",INDEX(method_codes,MATCH(loaded!AM27,method,0)))</f>
        <v>#N/A</v>
      </c>
      <c r="R27" t="e">
        <f>IF(K27=2,"",INDEX(inj_codes,MATCH(loaded!AO27,inj,0)))</f>
        <v>#N/A</v>
      </c>
      <c r="S27" t="e">
        <f>IF(K27=2,"",INDEX(drug_codes,MATCH(loaded!AQ27,drug,0)))</f>
        <v>#N/A</v>
      </c>
      <c r="T27" t="e">
        <f>IF(K27=2,"",_xlfn.IFNA(INDEX(drug_codes,MATCH(loaded!AS27,drug,0)),""))</f>
        <v>#N/A</v>
      </c>
      <c r="U27" t="e">
        <f>IF(K27=2,"",_xlfn.IFNA(INDEX(drug_codes,MATCH(loaded!AU27,drug,0)),""))</f>
        <v>#N/A</v>
      </c>
      <c r="V27" t="e">
        <f>IF(K27=2,"",_xlfn.IFNA(INDEX(drug_codes,MATCH(loaded!AW27,drug,0)),""))</f>
        <v>#N/A</v>
      </c>
      <c r="W27" t="e">
        <f>IF(K27=2,"",_xlfn.IFNA(INDEX(drug_codes,MATCH(loaded!AY27,drug,0)),""))</f>
        <v>#N/A</v>
      </c>
      <c r="X27" t="e">
        <f>IF(K27=2,"",_xlfn.IFNA(INDEX(drug_codes,MATCH(loaded!BA27,drug,0)),""))</f>
        <v>#N/A</v>
      </c>
      <c r="Y27" t="e">
        <f>INDEX(MTT_codes,MATCH(loaded!BC27,MTT,0))</f>
        <v>#N/A</v>
      </c>
      <c r="Z27" t="str">
        <f>_xlfn.IFNA(INDEX(MTT_codes,MATCH(loaded!BE27,MTT,0)),"")</f>
        <v/>
      </c>
      <c r="AA27" t="str">
        <f>_xlfn.IFNA(INDEX(MTT_codes,MATCH(loaded!BG27,MTT,0)),"")</f>
        <v/>
      </c>
      <c r="AB27" t="str">
        <f>_xlfn.IFNA(INDEX(MTT_codes,MATCH(loaded!BI27,MTT,0)),"")</f>
        <v/>
      </c>
      <c r="AC27" t="str">
        <f>_xlfn.IFNA(INDEX(MTT_codes,MATCH(loaded!BK27,MTT,0)),"")</f>
        <v/>
      </c>
      <c r="AD27" t="str">
        <f>_xlfn.IFNA(INDEX(MTT_codes,MATCH(loaded!BM27,MTT,0)),"")</f>
        <v/>
      </c>
      <c r="AE27" t="e">
        <f>INDEX(liv_ar_codes,MATCH(loaded!BO27,liv_ar,0))</f>
        <v>#N/A</v>
      </c>
      <c r="AF27" t="str">
        <f>_xlfn.IFNA(INDEX(MTT_codes,MATCH(loaded!BQ27,MTT,0)),"")</f>
        <v/>
      </c>
      <c r="AG27">
        <f>_xlfn.IFNA(INDEX(mental_codes,MATCH(loaded!BS27,mental,0)),9)</f>
        <v>9</v>
      </c>
    </row>
    <row r="28" spans="1:33" x14ac:dyDescent="0.25">
      <c r="A28">
        <f>loaded!C28</f>
        <v>0</v>
      </c>
      <c r="B28">
        <f>loaded!I28</f>
        <v>0</v>
      </c>
      <c r="C28">
        <f>IF(loaded!K28="Male",1,IF(loaded!K28="Female",2,9))</f>
        <v>9</v>
      </c>
      <c r="D28" s="8">
        <f>loaded!M28</f>
        <v>0</v>
      </c>
      <c r="E28" t="str">
        <f>LEFT(loaded!O28,3)</f>
        <v/>
      </c>
      <c r="F28" t="e">
        <f>INDEX(cntry_codes,MATCH(loaded!Q28,countries,0))</f>
        <v>#N/A</v>
      </c>
      <c r="G28" t="e">
        <f>INDEX(atsi_codes,MATCH(loaded!S28,atsi,0))</f>
        <v>#N/A</v>
      </c>
      <c r="H28" t="e">
        <f>INDEX(lang_codes,MATCH(loaded!U28,lang,0))</f>
        <v>#N/A</v>
      </c>
      <c r="I28" s="8">
        <f>loaded!W28</f>
        <v>0</v>
      </c>
      <c r="J28" t="e">
        <f>INDEX(us_acc_codes,MATCH(loaded!Y28,us_acc,0))</f>
        <v>#N/A</v>
      </c>
      <c r="K28" t="e">
        <f>INDEX(client_codes,MATCH(loaded!AA28,client,0))</f>
        <v>#N/A</v>
      </c>
      <c r="L28" t="e">
        <f>INDEX(src_ref_codes,MATCH(loaded!AC28,src_ref,0))</f>
        <v>#N/A</v>
      </c>
      <c r="M28" s="8">
        <f>loaded!AE28</f>
        <v>0</v>
      </c>
      <c r="N28" s="8">
        <f>loaded!AG28</f>
        <v>0</v>
      </c>
      <c r="O28" t="e">
        <f>INDEX(reces_codes,MATCH(loaded!AI28,reason,0))</f>
        <v>#N/A</v>
      </c>
      <c r="P28" t="e">
        <f>INDEX(TDS_codes,MATCH(loaded!AK28,TDS,0))</f>
        <v>#N/A</v>
      </c>
      <c r="Q28" t="e">
        <f>IF(K28=2,"",INDEX(method_codes,MATCH(loaded!AM28,method,0)))</f>
        <v>#N/A</v>
      </c>
      <c r="R28" t="e">
        <f>IF(K28=2,"",INDEX(inj_codes,MATCH(loaded!AO28,inj,0)))</f>
        <v>#N/A</v>
      </c>
      <c r="S28" t="e">
        <f>IF(K28=2,"",INDEX(drug_codes,MATCH(loaded!AQ28,drug,0)))</f>
        <v>#N/A</v>
      </c>
      <c r="T28" t="e">
        <f>IF(K28=2,"",_xlfn.IFNA(INDEX(drug_codes,MATCH(loaded!AS28,drug,0)),""))</f>
        <v>#N/A</v>
      </c>
      <c r="U28" t="e">
        <f>IF(K28=2,"",_xlfn.IFNA(INDEX(drug_codes,MATCH(loaded!AU28,drug,0)),""))</f>
        <v>#N/A</v>
      </c>
      <c r="V28" t="e">
        <f>IF(K28=2,"",_xlfn.IFNA(INDEX(drug_codes,MATCH(loaded!AW28,drug,0)),""))</f>
        <v>#N/A</v>
      </c>
      <c r="W28" t="e">
        <f>IF(K28=2,"",_xlfn.IFNA(INDEX(drug_codes,MATCH(loaded!AY28,drug,0)),""))</f>
        <v>#N/A</v>
      </c>
      <c r="X28" t="e">
        <f>IF(K28=2,"",_xlfn.IFNA(INDEX(drug_codes,MATCH(loaded!BA28,drug,0)),""))</f>
        <v>#N/A</v>
      </c>
      <c r="Y28" t="e">
        <f>INDEX(MTT_codes,MATCH(loaded!BC28,MTT,0))</f>
        <v>#N/A</v>
      </c>
      <c r="Z28" t="str">
        <f>_xlfn.IFNA(INDEX(MTT_codes,MATCH(loaded!BE28,MTT,0)),"")</f>
        <v/>
      </c>
      <c r="AA28" t="str">
        <f>_xlfn.IFNA(INDEX(MTT_codes,MATCH(loaded!BG28,MTT,0)),"")</f>
        <v/>
      </c>
      <c r="AB28" t="str">
        <f>_xlfn.IFNA(INDEX(MTT_codes,MATCH(loaded!BI28,MTT,0)),"")</f>
        <v/>
      </c>
      <c r="AC28" t="str">
        <f>_xlfn.IFNA(INDEX(MTT_codes,MATCH(loaded!BK28,MTT,0)),"")</f>
        <v/>
      </c>
      <c r="AD28" t="str">
        <f>_xlfn.IFNA(INDEX(MTT_codes,MATCH(loaded!BM28,MTT,0)),"")</f>
        <v/>
      </c>
      <c r="AE28" t="e">
        <f>INDEX(liv_ar_codes,MATCH(loaded!BO28,liv_ar,0))</f>
        <v>#N/A</v>
      </c>
      <c r="AF28" t="str">
        <f>_xlfn.IFNA(INDEX(MTT_codes,MATCH(loaded!BQ28,MTT,0)),"")</f>
        <v/>
      </c>
      <c r="AG28">
        <f>_xlfn.IFNA(INDEX(mental_codes,MATCH(loaded!BS28,mental,0)),9)</f>
        <v>9</v>
      </c>
    </row>
    <row r="29" spans="1:33" x14ac:dyDescent="0.25">
      <c r="A29">
        <f>loaded!C29</f>
        <v>0</v>
      </c>
      <c r="B29">
        <f>loaded!I29</f>
        <v>0</v>
      </c>
      <c r="C29">
        <f>IF(loaded!K29="Male",1,IF(loaded!K29="Female",2,9))</f>
        <v>9</v>
      </c>
      <c r="D29" s="8">
        <f>loaded!M29</f>
        <v>0</v>
      </c>
      <c r="E29" t="str">
        <f>LEFT(loaded!O29,3)</f>
        <v/>
      </c>
      <c r="F29" t="e">
        <f>INDEX(cntry_codes,MATCH(loaded!Q29,countries,0))</f>
        <v>#N/A</v>
      </c>
      <c r="G29" t="e">
        <f>INDEX(atsi_codes,MATCH(loaded!S29,atsi,0))</f>
        <v>#N/A</v>
      </c>
      <c r="H29" t="e">
        <f>INDEX(lang_codes,MATCH(loaded!U29,lang,0))</f>
        <v>#N/A</v>
      </c>
      <c r="I29" s="8">
        <f>loaded!W29</f>
        <v>0</v>
      </c>
      <c r="J29" t="e">
        <f>INDEX(us_acc_codes,MATCH(loaded!Y29,us_acc,0))</f>
        <v>#N/A</v>
      </c>
      <c r="K29" t="e">
        <f>INDEX(client_codes,MATCH(loaded!AA29,client,0))</f>
        <v>#N/A</v>
      </c>
      <c r="L29" t="e">
        <f>INDEX(src_ref_codes,MATCH(loaded!AC29,src_ref,0))</f>
        <v>#N/A</v>
      </c>
      <c r="M29" s="8">
        <f>loaded!AE29</f>
        <v>0</v>
      </c>
      <c r="N29" s="8">
        <f>loaded!AG29</f>
        <v>0</v>
      </c>
      <c r="O29" t="e">
        <f>INDEX(reces_codes,MATCH(loaded!AI29,reason,0))</f>
        <v>#N/A</v>
      </c>
      <c r="P29" t="e">
        <f>INDEX(TDS_codes,MATCH(loaded!AK29,TDS,0))</f>
        <v>#N/A</v>
      </c>
      <c r="Q29" t="e">
        <f>IF(K29=2,"",INDEX(method_codes,MATCH(loaded!AM29,method,0)))</f>
        <v>#N/A</v>
      </c>
      <c r="R29" t="e">
        <f>IF(K29=2,"",INDEX(inj_codes,MATCH(loaded!AO29,inj,0)))</f>
        <v>#N/A</v>
      </c>
      <c r="S29" t="e">
        <f>IF(K29=2,"",INDEX(drug_codes,MATCH(loaded!AQ29,drug,0)))</f>
        <v>#N/A</v>
      </c>
      <c r="T29" t="e">
        <f>IF(K29=2,"",_xlfn.IFNA(INDEX(drug_codes,MATCH(loaded!AS29,drug,0)),""))</f>
        <v>#N/A</v>
      </c>
      <c r="U29" t="e">
        <f>IF(K29=2,"",_xlfn.IFNA(INDEX(drug_codes,MATCH(loaded!AU29,drug,0)),""))</f>
        <v>#N/A</v>
      </c>
      <c r="V29" t="e">
        <f>IF(K29=2,"",_xlfn.IFNA(INDEX(drug_codes,MATCH(loaded!AW29,drug,0)),""))</f>
        <v>#N/A</v>
      </c>
      <c r="W29" t="e">
        <f>IF(K29=2,"",_xlfn.IFNA(INDEX(drug_codes,MATCH(loaded!AY29,drug,0)),""))</f>
        <v>#N/A</v>
      </c>
      <c r="X29" t="e">
        <f>IF(K29=2,"",_xlfn.IFNA(INDEX(drug_codes,MATCH(loaded!BA29,drug,0)),""))</f>
        <v>#N/A</v>
      </c>
      <c r="Y29" t="e">
        <f>INDEX(MTT_codes,MATCH(loaded!BC29,MTT,0))</f>
        <v>#N/A</v>
      </c>
      <c r="Z29" t="str">
        <f>_xlfn.IFNA(INDEX(MTT_codes,MATCH(loaded!BE29,MTT,0)),"")</f>
        <v/>
      </c>
      <c r="AA29" t="str">
        <f>_xlfn.IFNA(INDEX(MTT_codes,MATCH(loaded!BG29,MTT,0)),"")</f>
        <v/>
      </c>
      <c r="AB29" t="str">
        <f>_xlfn.IFNA(INDEX(MTT_codes,MATCH(loaded!BI29,MTT,0)),"")</f>
        <v/>
      </c>
      <c r="AC29" t="str">
        <f>_xlfn.IFNA(INDEX(MTT_codes,MATCH(loaded!BK29,MTT,0)),"")</f>
        <v/>
      </c>
      <c r="AD29" t="str">
        <f>_xlfn.IFNA(INDEX(MTT_codes,MATCH(loaded!BM29,MTT,0)),"")</f>
        <v/>
      </c>
      <c r="AE29" t="e">
        <f>INDEX(liv_ar_codes,MATCH(loaded!BO29,liv_ar,0))</f>
        <v>#N/A</v>
      </c>
      <c r="AF29" t="str">
        <f>_xlfn.IFNA(INDEX(MTT_codes,MATCH(loaded!BQ29,MTT,0)),"")</f>
        <v/>
      </c>
      <c r="AG29">
        <f>_xlfn.IFNA(INDEX(mental_codes,MATCH(loaded!BS29,mental,0)),9)</f>
        <v>9</v>
      </c>
    </row>
    <row r="30" spans="1:33" x14ac:dyDescent="0.25">
      <c r="A30">
        <f>loaded!C30</f>
        <v>0</v>
      </c>
      <c r="B30">
        <f>loaded!I30</f>
        <v>0</v>
      </c>
      <c r="C30">
        <f>IF(loaded!K30="Male",1,IF(loaded!K30="Female",2,9))</f>
        <v>9</v>
      </c>
      <c r="D30" s="8">
        <f>loaded!M30</f>
        <v>0</v>
      </c>
      <c r="E30" t="str">
        <f>LEFT(loaded!O30,3)</f>
        <v/>
      </c>
      <c r="F30" t="e">
        <f>INDEX(cntry_codes,MATCH(loaded!Q30,countries,0))</f>
        <v>#N/A</v>
      </c>
      <c r="G30" t="e">
        <f>INDEX(atsi_codes,MATCH(loaded!S30,atsi,0))</f>
        <v>#N/A</v>
      </c>
      <c r="H30" t="e">
        <f>INDEX(lang_codes,MATCH(loaded!U30,lang,0))</f>
        <v>#N/A</v>
      </c>
      <c r="I30" s="8">
        <f>loaded!W30</f>
        <v>0</v>
      </c>
      <c r="J30" t="e">
        <f>INDEX(us_acc_codes,MATCH(loaded!Y30,us_acc,0))</f>
        <v>#N/A</v>
      </c>
      <c r="K30" t="e">
        <f>INDEX(client_codes,MATCH(loaded!AA30,client,0))</f>
        <v>#N/A</v>
      </c>
      <c r="L30" t="e">
        <f>INDEX(src_ref_codes,MATCH(loaded!AC30,src_ref,0))</f>
        <v>#N/A</v>
      </c>
      <c r="M30" s="8">
        <f>loaded!AE30</f>
        <v>0</v>
      </c>
      <c r="N30" s="8">
        <f>loaded!AG30</f>
        <v>0</v>
      </c>
      <c r="O30" t="e">
        <f>INDEX(reces_codes,MATCH(loaded!AI30,reason,0))</f>
        <v>#N/A</v>
      </c>
      <c r="P30" t="e">
        <f>INDEX(TDS_codes,MATCH(loaded!AK30,TDS,0))</f>
        <v>#N/A</v>
      </c>
      <c r="Q30" t="e">
        <f>IF(K30=2,"",INDEX(method_codes,MATCH(loaded!AM30,method,0)))</f>
        <v>#N/A</v>
      </c>
      <c r="R30" t="e">
        <f>IF(K30=2,"",INDEX(inj_codes,MATCH(loaded!AO30,inj,0)))</f>
        <v>#N/A</v>
      </c>
      <c r="S30" t="e">
        <f>IF(K30=2,"",INDEX(drug_codes,MATCH(loaded!AQ30,drug,0)))</f>
        <v>#N/A</v>
      </c>
      <c r="T30" t="e">
        <f>IF(K30=2,"",_xlfn.IFNA(INDEX(drug_codes,MATCH(loaded!AS30,drug,0)),""))</f>
        <v>#N/A</v>
      </c>
      <c r="U30" t="e">
        <f>IF(K30=2,"",_xlfn.IFNA(INDEX(drug_codes,MATCH(loaded!AU30,drug,0)),""))</f>
        <v>#N/A</v>
      </c>
      <c r="V30" t="e">
        <f>IF(K30=2,"",_xlfn.IFNA(INDEX(drug_codes,MATCH(loaded!AW30,drug,0)),""))</f>
        <v>#N/A</v>
      </c>
      <c r="W30" t="e">
        <f>IF(K30=2,"",_xlfn.IFNA(INDEX(drug_codes,MATCH(loaded!AY30,drug,0)),""))</f>
        <v>#N/A</v>
      </c>
      <c r="X30" t="e">
        <f>IF(K30=2,"",_xlfn.IFNA(INDEX(drug_codes,MATCH(loaded!BA30,drug,0)),""))</f>
        <v>#N/A</v>
      </c>
      <c r="Y30" t="e">
        <f>INDEX(MTT_codes,MATCH(loaded!BC30,MTT,0))</f>
        <v>#N/A</v>
      </c>
      <c r="Z30" t="str">
        <f>_xlfn.IFNA(INDEX(MTT_codes,MATCH(loaded!BE30,MTT,0)),"")</f>
        <v/>
      </c>
      <c r="AA30" t="str">
        <f>_xlfn.IFNA(INDEX(MTT_codes,MATCH(loaded!BG30,MTT,0)),"")</f>
        <v/>
      </c>
      <c r="AB30" t="str">
        <f>_xlfn.IFNA(INDEX(MTT_codes,MATCH(loaded!BI30,MTT,0)),"")</f>
        <v/>
      </c>
      <c r="AC30" t="str">
        <f>_xlfn.IFNA(INDEX(MTT_codes,MATCH(loaded!BK30,MTT,0)),"")</f>
        <v/>
      </c>
      <c r="AD30" t="str">
        <f>_xlfn.IFNA(INDEX(MTT_codes,MATCH(loaded!BM30,MTT,0)),"")</f>
        <v/>
      </c>
      <c r="AE30" t="e">
        <f>INDEX(liv_ar_codes,MATCH(loaded!BO30,liv_ar,0))</f>
        <v>#N/A</v>
      </c>
      <c r="AF30" t="str">
        <f>_xlfn.IFNA(INDEX(MTT_codes,MATCH(loaded!BQ30,MTT,0)),"")</f>
        <v/>
      </c>
      <c r="AG30">
        <f>_xlfn.IFNA(INDEX(mental_codes,MATCH(loaded!BS30,mental,0)),9)</f>
        <v>9</v>
      </c>
    </row>
    <row r="31" spans="1:33" x14ac:dyDescent="0.25">
      <c r="A31">
        <f>loaded!C31</f>
        <v>0</v>
      </c>
      <c r="B31">
        <f>loaded!I31</f>
        <v>0</v>
      </c>
      <c r="C31">
        <f>IF(loaded!K31="Male",1,IF(loaded!K31="Female",2,9))</f>
        <v>9</v>
      </c>
      <c r="D31" s="8">
        <f>loaded!M31</f>
        <v>0</v>
      </c>
      <c r="E31" t="str">
        <f>LEFT(loaded!O31,3)</f>
        <v/>
      </c>
      <c r="F31" t="e">
        <f>INDEX(cntry_codes,MATCH(loaded!Q31,countries,0))</f>
        <v>#N/A</v>
      </c>
      <c r="G31" t="e">
        <f>INDEX(atsi_codes,MATCH(loaded!S31,atsi,0))</f>
        <v>#N/A</v>
      </c>
      <c r="H31" t="e">
        <f>INDEX(lang_codes,MATCH(loaded!U31,lang,0))</f>
        <v>#N/A</v>
      </c>
      <c r="I31" s="8">
        <f>loaded!W31</f>
        <v>0</v>
      </c>
      <c r="J31" t="e">
        <f>INDEX(us_acc_codes,MATCH(loaded!Y31,us_acc,0))</f>
        <v>#N/A</v>
      </c>
      <c r="K31" t="e">
        <f>INDEX(client_codes,MATCH(loaded!AA31,client,0))</f>
        <v>#N/A</v>
      </c>
      <c r="L31" t="e">
        <f>INDEX(src_ref_codes,MATCH(loaded!AC31,src_ref,0))</f>
        <v>#N/A</v>
      </c>
      <c r="M31" s="8">
        <f>loaded!AE31</f>
        <v>0</v>
      </c>
      <c r="N31" s="8">
        <f>loaded!AG31</f>
        <v>0</v>
      </c>
      <c r="O31" t="e">
        <f>INDEX(reces_codes,MATCH(loaded!AI31,reason,0))</f>
        <v>#N/A</v>
      </c>
      <c r="P31" t="e">
        <f>INDEX(TDS_codes,MATCH(loaded!AK31,TDS,0))</f>
        <v>#N/A</v>
      </c>
      <c r="Q31" t="e">
        <f>IF(K31=2,"",INDEX(method_codes,MATCH(loaded!AM31,method,0)))</f>
        <v>#N/A</v>
      </c>
      <c r="R31" t="e">
        <f>IF(K31=2,"",INDEX(inj_codes,MATCH(loaded!AO31,inj,0)))</f>
        <v>#N/A</v>
      </c>
      <c r="S31" t="e">
        <f>IF(K31=2,"",INDEX(drug_codes,MATCH(loaded!AQ31,drug,0)))</f>
        <v>#N/A</v>
      </c>
      <c r="T31" t="e">
        <f>IF(K31=2,"",_xlfn.IFNA(INDEX(drug_codes,MATCH(loaded!AS31,drug,0)),""))</f>
        <v>#N/A</v>
      </c>
      <c r="U31" t="e">
        <f>IF(K31=2,"",_xlfn.IFNA(INDEX(drug_codes,MATCH(loaded!AU31,drug,0)),""))</f>
        <v>#N/A</v>
      </c>
      <c r="V31" t="e">
        <f>IF(K31=2,"",_xlfn.IFNA(INDEX(drug_codes,MATCH(loaded!AW31,drug,0)),""))</f>
        <v>#N/A</v>
      </c>
      <c r="W31" t="e">
        <f>IF(K31=2,"",_xlfn.IFNA(INDEX(drug_codes,MATCH(loaded!AY31,drug,0)),""))</f>
        <v>#N/A</v>
      </c>
      <c r="X31" t="e">
        <f>IF(K31=2,"",_xlfn.IFNA(INDEX(drug_codes,MATCH(loaded!BA31,drug,0)),""))</f>
        <v>#N/A</v>
      </c>
      <c r="Y31" t="e">
        <f>INDEX(MTT_codes,MATCH(loaded!BC31,MTT,0))</f>
        <v>#N/A</v>
      </c>
      <c r="Z31" t="str">
        <f>_xlfn.IFNA(INDEX(MTT_codes,MATCH(loaded!BE31,MTT,0)),"")</f>
        <v/>
      </c>
      <c r="AA31" t="str">
        <f>_xlfn.IFNA(INDEX(MTT_codes,MATCH(loaded!BG31,MTT,0)),"")</f>
        <v/>
      </c>
      <c r="AB31" t="str">
        <f>_xlfn.IFNA(INDEX(MTT_codes,MATCH(loaded!BI31,MTT,0)),"")</f>
        <v/>
      </c>
      <c r="AC31" t="str">
        <f>_xlfn.IFNA(INDEX(MTT_codes,MATCH(loaded!BK31,MTT,0)),"")</f>
        <v/>
      </c>
      <c r="AD31" t="str">
        <f>_xlfn.IFNA(INDEX(MTT_codes,MATCH(loaded!BM31,MTT,0)),"")</f>
        <v/>
      </c>
      <c r="AE31" t="e">
        <f>INDEX(liv_ar_codes,MATCH(loaded!BO31,liv_ar,0))</f>
        <v>#N/A</v>
      </c>
      <c r="AF31" t="str">
        <f>_xlfn.IFNA(INDEX(MTT_codes,MATCH(loaded!BQ31,MTT,0)),"")</f>
        <v/>
      </c>
      <c r="AG31">
        <f>_xlfn.IFNA(INDEX(mental_codes,MATCH(loaded!BS31,mental,0)),9)</f>
        <v>9</v>
      </c>
    </row>
    <row r="32" spans="1:33" x14ac:dyDescent="0.25">
      <c r="A32">
        <f>loaded!C32</f>
        <v>0</v>
      </c>
      <c r="B32">
        <f>loaded!I32</f>
        <v>0</v>
      </c>
      <c r="C32">
        <f>IF(loaded!K32="Male",1,IF(loaded!K32="Female",2,9))</f>
        <v>9</v>
      </c>
      <c r="D32" s="8">
        <f>loaded!M32</f>
        <v>0</v>
      </c>
      <c r="E32" t="str">
        <f>LEFT(loaded!O32,3)</f>
        <v/>
      </c>
      <c r="F32" t="e">
        <f>INDEX(cntry_codes,MATCH(loaded!Q32,countries,0))</f>
        <v>#N/A</v>
      </c>
      <c r="G32" t="e">
        <f>INDEX(atsi_codes,MATCH(loaded!S32,atsi,0))</f>
        <v>#N/A</v>
      </c>
      <c r="H32" t="e">
        <f>INDEX(lang_codes,MATCH(loaded!U32,lang,0))</f>
        <v>#N/A</v>
      </c>
      <c r="I32" s="8">
        <f>loaded!W32</f>
        <v>0</v>
      </c>
      <c r="J32" t="e">
        <f>INDEX(us_acc_codes,MATCH(loaded!Y32,us_acc,0))</f>
        <v>#N/A</v>
      </c>
      <c r="K32" t="e">
        <f>INDEX(client_codes,MATCH(loaded!AA32,client,0))</f>
        <v>#N/A</v>
      </c>
      <c r="L32" t="e">
        <f>INDEX(src_ref_codes,MATCH(loaded!AC32,src_ref,0))</f>
        <v>#N/A</v>
      </c>
      <c r="M32" s="8">
        <f>loaded!AE32</f>
        <v>0</v>
      </c>
      <c r="N32" s="8">
        <f>loaded!AG32</f>
        <v>0</v>
      </c>
      <c r="O32" t="e">
        <f>INDEX(reces_codes,MATCH(loaded!AI32,reason,0))</f>
        <v>#N/A</v>
      </c>
      <c r="P32" t="e">
        <f>INDEX(TDS_codes,MATCH(loaded!AK32,TDS,0))</f>
        <v>#N/A</v>
      </c>
      <c r="Q32" t="e">
        <f>IF(K32=2,"",INDEX(method_codes,MATCH(loaded!AM32,method,0)))</f>
        <v>#N/A</v>
      </c>
      <c r="R32" t="e">
        <f>IF(K32=2,"",INDEX(inj_codes,MATCH(loaded!AO32,inj,0)))</f>
        <v>#N/A</v>
      </c>
      <c r="S32" t="e">
        <f>IF(K32=2,"",INDEX(drug_codes,MATCH(loaded!AQ32,drug,0)))</f>
        <v>#N/A</v>
      </c>
      <c r="T32" t="e">
        <f>IF(K32=2,"",_xlfn.IFNA(INDEX(drug_codes,MATCH(loaded!AS32,drug,0)),""))</f>
        <v>#N/A</v>
      </c>
      <c r="U32" t="e">
        <f>IF(K32=2,"",_xlfn.IFNA(INDEX(drug_codes,MATCH(loaded!AU32,drug,0)),""))</f>
        <v>#N/A</v>
      </c>
      <c r="V32" t="e">
        <f>IF(K32=2,"",_xlfn.IFNA(INDEX(drug_codes,MATCH(loaded!AW32,drug,0)),""))</f>
        <v>#N/A</v>
      </c>
      <c r="W32" t="e">
        <f>IF(K32=2,"",_xlfn.IFNA(INDEX(drug_codes,MATCH(loaded!AY32,drug,0)),""))</f>
        <v>#N/A</v>
      </c>
      <c r="X32" t="e">
        <f>IF(K32=2,"",_xlfn.IFNA(INDEX(drug_codes,MATCH(loaded!BA32,drug,0)),""))</f>
        <v>#N/A</v>
      </c>
      <c r="Y32" t="e">
        <f>INDEX(MTT_codes,MATCH(loaded!BC32,MTT,0))</f>
        <v>#N/A</v>
      </c>
      <c r="Z32" t="str">
        <f>_xlfn.IFNA(INDEX(MTT_codes,MATCH(loaded!BE32,MTT,0)),"")</f>
        <v/>
      </c>
      <c r="AA32" t="str">
        <f>_xlfn.IFNA(INDEX(MTT_codes,MATCH(loaded!BG32,MTT,0)),"")</f>
        <v/>
      </c>
      <c r="AB32" t="str">
        <f>_xlfn.IFNA(INDEX(MTT_codes,MATCH(loaded!BI32,MTT,0)),"")</f>
        <v/>
      </c>
      <c r="AC32" t="str">
        <f>_xlfn.IFNA(INDEX(MTT_codes,MATCH(loaded!BK32,MTT,0)),"")</f>
        <v/>
      </c>
      <c r="AD32" t="str">
        <f>_xlfn.IFNA(INDEX(MTT_codes,MATCH(loaded!BM32,MTT,0)),"")</f>
        <v/>
      </c>
      <c r="AE32" t="e">
        <f>INDEX(liv_ar_codes,MATCH(loaded!BO32,liv_ar,0))</f>
        <v>#N/A</v>
      </c>
      <c r="AF32" t="str">
        <f>_xlfn.IFNA(INDEX(MTT_codes,MATCH(loaded!BQ32,MTT,0)),"")</f>
        <v/>
      </c>
      <c r="AG32">
        <f>_xlfn.IFNA(INDEX(mental_codes,MATCH(loaded!BS32,mental,0)),9)</f>
        <v>9</v>
      </c>
    </row>
    <row r="33" spans="1:33" x14ac:dyDescent="0.25">
      <c r="A33">
        <f>loaded!C33</f>
        <v>0</v>
      </c>
      <c r="B33">
        <f>loaded!I33</f>
        <v>0</v>
      </c>
      <c r="C33">
        <f>IF(loaded!K33="Male",1,IF(loaded!K33="Female",2,9))</f>
        <v>9</v>
      </c>
      <c r="D33" s="8">
        <f>loaded!M33</f>
        <v>0</v>
      </c>
      <c r="E33" t="str">
        <f>LEFT(loaded!O33,3)</f>
        <v/>
      </c>
      <c r="F33" t="e">
        <f>INDEX(cntry_codes,MATCH(loaded!Q33,countries,0))</f>
        <v>#N/A</v>
      </c>
      <c r="G33" t="e">
        <f>INDEX(atsi_codes,MATCH(loaded!S33,atsi,0))</f>
        <v>#N/A</v>
      </c>
      <c r="H33" t="e">
        <f>INDEX(lang_codes,MATCH(loaded!U33,lang,0))</f>
        <v>#N/A</v>
      </c>
      <c r="I33" s="8">
        <f>loaded!W33</f>
        <v>0</v>
      </c>
      <c r="J33" t="e">
        <f>INDEX(us_acc_codes,MATCH(loaded!Y33,us_acc,0))</f>
        <v>#N/A</v>
      </c>
      <c r="K33" t="e">
        <f>INDEX(client_codes,MATCH(loaded!AA33,client,0))</f>
        <v>#N/A</v>
      </c>
      <c r="L33" t="e">
        <f>INDEX(src_ref_codes,MATCH(loaded!AC33,src_ref,0))</f>
        <v>#N/A</v>
      </c>
      <c r="M33" s="8">
        <f>loaded!AE33</f>
        <v>0</v>
      </c>
      <c r="N33" s="8">
        <f>loaded!AG33</f>
        <v>0</v>
      </c>
      <c r="O33" t="e">
        <f>INDEX(reces_codes,MATCH(loaded!AI33,reason,0))</f>
        <v>#N/A</v>
      </c>
      <c r="P33" t="e">
        <f>INDEX(TDS_codes,MATCH(loaded!AK33,TDS,0))</f>
        <v>#N/A</v>
      </c>
      <c r="Q33" t="e">
        <f>IF(K33=2,"",INDEX(method_codes,MATCH(loaded!AM33,method,0)))</f>
        <v>#N/A</v>
      </c>
      <c r="R33" t="e">
        <f>IF(K33=2,"",INDEX(inj_codes,MATCH(loaded!AO33,inj,0)))</f>
        <v>#N/A</v>
      </c>
      <c r="S33" t="e">
        <f>IF(K33=2,"",INDEX(drug_codes,MATCH(loaded!AQ33,drug,0)))</f>
        <v>#N/A</v>
      </c>
      <c r="T33" t="e">
        <f>IF(K33=2,"",_xlfn.IFNA(INDEX(drug_codes,MATCH(loaded!AS33,drug,0)),""))</f>
        <v>#N/A</v>
      </c>
      <c r="U33" t="e">
        <f>IF(K33=2,"",_xlfn.IFNA(INDEX(drug_codes,MATCH(loaded!AU33,drug,0)),""))</f>
        <v>#N/A</v>
      </c>
      <c r="V33" t="e">
        <f>IF(K33=2,"",_xlfn.IFNA(INDEX(drug_codes,MATCH(loaded!AW33,drug,0)),""))</f>
        <v>#N/A</v>
      </c>
      <c r="W33" t="e">
        <f>IF(K33=2,"",_xlfn.IFNA(INDEX(drug_codes,MATCH(loaded!AY33,drug,0)),""))</f>
        <v>#N/A</v>
      </c>
      <c r="X33" t="e">
        <f>IF(K33=2,"",_xlfn.IFNA(INDEX(drug_codes,MATCH(loaded!BA33,drug,0)),""))</f>
        <v>#N/A</v>
      </c>
      <c r="Y33" t="e">
        <f>INDEX(MTT_codes,MATCH(loaded!BC33,MTT,0))</f>
        <v>#N/A</v>
      </c>
      <c r="Z33" t="str">
        <f>_xlfn.IFNA(INDEX(MTT_codes,MATCH(loaded!BE33,MTT,0)),"")</f>
        <v/>
      </c>
      <c r="AA33" t="str">
        <f>_xlfn.IFNA(INDEX(MTT_codes,MATCH(loaded!BG33,MTT,0)),"")</f>
        <v/>
      </c>
      <c r="AB33" t="str">
        <f>_xlfn.IFNA(INDEX(MTT_codes,MATCH(loaded!BI33,MTT,0)),"")</f>
        <v/>
      </c>
      <c r="AC33" t="str">
        <f>_xlfn.IFNA(INDEX(MTT_codes,MATCH(loaded!BK33,MTT,0)),"")</f>
        <v/>
      </c>
      <c r="AD33" t="str">
        <f>_xlfn.IFNA(INDEX(MTT_codes,MATCH(loaded!BM33,MTT,0)),"")</f>
        <v/>
      </c>
      <c r="AE33" t="e">
        <f>INDEX(liv_ar_codes,MATCH(loaded!BO33,liv_ar,0))</f>
        <v>#N/A</v>
      </c>
      <c r="AF33" t="str">
        <f>_xlfn.IFNA(INDEX(MTT_codes,MATCH(loaded!BQ33,MTT,0)),"")</f>
        <v/>
      </c>
      <c r="AG33">
        <f>_xlfn.IFNA(INDEX(mental_codes,MATCH(loaded!BS33,mental,0)),9)</f>
        <v>9</v>
      </c>
    </row>
    <row r="34" spans="1:33" x14ac:dyDescent="0.25">
      <c r="A34">
        <f>loaded!C34</f>
        <v>0</v>
      </c>
      <c r="B34">
        <f>loaded!I34</f>
        <v>0</v>
      </c>
      <c r="C34">
        <f>IF(loaded!K34="Male",1,IF(loaded!K34="Female",2,9))</f>
        <v>9</v>
      </c>
      <c r="D34" s="8">
        <f>loaded!M34</f>
        <v>0</v>
      </c>
      <c r="E34" t="str">
        <f>LEFT(loaded!O34,3)</f>
        <v/>
      </c>
      <c r="F34" t="e">
        <f>INDEX(cntry_codes,MATCH(loaded!Q34,countries,0))</f>
        <v>#N/A</v>
      </c>
      <c r="G34" t="e">
        <f>INDEX(atsi_codes,MATCH(loaded!S34,atsi,0))</f>
        <v>#N/A</v>
      </c>
      <c r="H34" t="e">
        <f>INDEX(lang_codes,MATCH(loaded!U34,lang,0))</f>
        <v>#N/A</v>
      </c>
      <c r="I34" s="8">
        <f>loaded!W34</f>
        <v>0</v>
      </c>
      <c r="J34" t="e">
        <f>INDEX(us_acc_codes,MATCH(loaded!Y34,us_acc,0))</f>
        <v>#N/A</v>
      </c>
      <c r="K34" t="e">
        <f>INDEX(client_codes,MATCH(loaded!AA34,client,0))</f>
        <v>#N/A</v>
      </c>
      <c r="L34" t="e">
        <f>INDEX(src_ref_codes,MATCH(loaded!AC34,src_ref,0))</f>
        <v>#N/A</v>
      </c>
      <c r="M34" s="8">
        <f>loaded!AE34</f>
        <v>0</v>
      </c>
      <c r="N34" s="8">
        <f>loaded!AG34</f>
        <v>0</v>
      </c>
      <c r="O34" t="e">
        <f>INDEX(reces_codes,MATCH(loaded!AI34,reason,0))</f>
        <v>#N/A</v>
      </c>
      <c r="P34" t="e">
        <f>INDEX(TDS_codes,MATCH(loaded!AK34,TDS,0))</f>
        <v>#N/A</v>
      </c>
      <c r="Q34" t="e">
        <f>IF(K34=2,"",INDEX(method_codes,MATCH(loaded!AM34,method,0)))</f>
        <v>#N/A</v>
      </c>
      <c r="R34" t="e">
        <f>IF(K34=2,"",INDEX(inj_codes,MATCH(loaded!AO34,inj,0)))</f>
        <v>#N/A</v>
      </c>
      <c r="S34" t="e">
        <f>IF(K34=2,"",INDEX(drug_codes,MATCH(loaded!AQ34,drug,0)))</f>
        <v>#N/A</v>
      </c>
      <c r="T34" t="e">
        <f>IF(K34=2,"",_xlfn.IFNA(INDEX(drug_codes,MATCH(loaded!AS34,drug,0)),""))</f>
        <v>#N/A</v>
      </c>
      <c r="U34" t="e">
        <f>IF(K34=2,"",_xlfn.IFNA(INDEX(drug_codes,MATCH(loaded!AU34,drug,0)),""))</f>
        <v>#N/A</v>
      </c>
      <c r="V34" t="e">
        <f>IF(K34=2,"",_xlfn.IFNA(INDEX(drug_codes,MATCH(loaded!AW34,drug,0)),""))</f>
        <v>#N/A</v>
      </c>
      <c r="W34" t="e">
        <f>IF(K34=2,"",_xlfn.IFNA(INDEX(drug_codes,MATCH(loaded!AY34,drug,0)),""))</f>
        <v>#N/A</v>
      </c>
      <c r="X34" t="e">
        <f>IF(K34=2,"",_xlfn.IFNA(INDEX(drug_codes,MATCH(loaded!BA34,drug,0)),""))</f>
        <v>#N/A</v>
      </c>
      <c r="Y34" t="e">
        <f>INDEX(MTT_codes,MATCH(loaded!BC34,MTT,0))</f>
        <v>#N/A</v>
      </c>
      <c r="Z34" t="str">
        <f>_xlfn.IFNA(INDEX(MTT_codes,MATCH(loaded!BE34,MTT,0)),"")</f>
        <v/>
      </c>
      <c r="AA34" t="str">
        <f>_xlfn.IFNA(INDEX(MTT_codes,MATCH(loaded!BG34,MTT,0)),"")</f>
        <v/>
      </c>
      <c r="AB34" t="str">
        <f>_xlfn.IFNA(INDEX(MTT_codes,MATCH(loaded!BI34,MTT,0)),"")</f>
        <v/>
      </c>
      <c r="AC34" t="str">
        <f>_xlfn.IFNA(INDEX(MTT_codes,MATCH(loaded!BK34,MTT,0)),"")</f>
        <v/>
      </c>
      <c r="AD34" t="str">
        <f>_xlfn.IFNA(INDEX(MTT_codes,MATCH(loaded!BM34,MTT,0)),"")</f>
        <v/>
      </c>
      <c r="AE34" t="e">
        <f>INDEX(liv_ar_codes,MATCH(loaded!BO34,liv_ar,0))</f>
        <v>#N/A</v>
      </c>
      <c r="AF34" t="str">
        <f>_xlfn.IFNA(INDEX(MTT_codes,MATCH(loaded!BQ34,MTT,0)),"")</f>
        <v/>
      </c>
      <c r="AG34">
        <f>_xlfn.IFNA(INDEX(mental_codes,MATCH(loaded!BS34,mental,0)),9)</f>
        <v>9</v>
      </c>
    </row>
    <row r="35" spans="1:33" x14ac:dyDescent="0.25">
      <c r="A35">
        <f>loaded!C35</f>
        <v>0</v>
      </c>
      <c r="B35">
        <f>loaded!I35</f>
        <v>0</v>
      </c>
      <c r="C35">
        <f>IF(loaded!K35="Male",1,IF(loaded!K35="Female",2,9))</f>
        <v>9</v>
      </c>
      <c r="D35" s="8">
        <f>loaded!M35</f>
        <v>0</v>
      </c>
      <c r="E35" t="str">
        <f>LEFT(loaded!O35,3)</f>
        <v/>
      </c>
      <c r="F35" t="e">
        <f>INDEX(cntry_codes,MATCH(loaded!Q35,countries,0))</f>
        <v>#N/A</v>
      </c>
      <c r="G35" t="e">
        <f>INDEX(atsi_codes,MATCH(loaded!S35,atsi,0))</f>
        <v>#N/A</v>
      </c>
      <c r="H35" t="e">
        <f>INDEX(lang_codes,MATCH(loaded!U35,lang,0))</f>
        <v>#N/A</v>
      </c>
      <c r="I35" s="8">
        <f>loaded!W35</f>
        <v>0</v>
      </c>
      <c r="J35" t="e">
        <f>INDEX(us_acc_codes,MATCH(loaded!Y35,us_acc,0))</f>
        <v>#N/A</v>
      </c>
      <c r="K35" t="e">
        <f>INDEX(client_codes,MATCH(loaded!AA35,client,0))</f>
        <v>#N/A</v>
      </c>
      <c r="L35" t="e">
        <f>INDEX(src_ref_codes,MATCH(loaded!AC35,src_ref,0))</f>
        <v>#N/A</v>
      </c>
      <c r="M35" s="8">
        <f>loaded!AE35</f>
        <v>0</v>
      </c>
      <c r="N35" s="8">
        <f>loaded!AG35</f>
        <v>0</v>
      </c>
      <c r="O35" t="e">
        <f>INDEX(reces_codes,MATCH(loaded!AI35,reason,0))</f>
        <v>#N/A</v>
      </c>
      <c r="P35" t="e">
        <f>INDEX(TDS_codes,MATCH(loaded!AK35,TDS,0))</f>
        <v>#N/A</v>
      </c>
      <c r="Q35" t="e">
        <f>IF(K35=2,"",INDEX(method_codes,MATCH(loaded!AM35,method,0)))</f>
        <v>#N/A</v>
      </c>
      <c r="R35" t="e">
        <f>IF(K35=2,"",INDEX(inj_codes,MATCH(loaded!AO35,inj,0)))</f>
        <v>#N/A</v>
      </c>
      <c r="S35" t="e">
        <f>IF(K35=2,"",INDEX(drug_codes,MATCH(loaded!AQ35,drug,0)))</f>
        <v>#N/A</v>
      </c>
      <c r="T35" t="e">
        <f>IF(K35=2,"",_xlfn.IFNA(INDEX(drug_codes,MATCH(loaded!AS35,drug,0)),""))</f>
        <v>#N/A</v>
      </c>
      <c r="U35" t="e">
        <f>IF(K35=2,"",_xlfn.IFNA(INDEX(drug_codes,MATCH(loaded!AU35,drug,0)),""))</f>
        <v>#N/A</v>
      </c>
      <c r="V35" t="e">
        <f>IF(K35=2,"",_xlfn.IFNA(INDEX(drug_codes,MATCH(loaded!AW35,drug,0)),""))</f>
        <v>#N/A</v>
      </c>
      <c r="W35" t="e">
        <f>IF(K35=2,"",_xlfn.IFNA(INDEX(drug_codes,MATCH(loaded!AY35,drug,0)),""))</f>
        <v>#N/A</v>
      </c>
      <c r="X35" t="e">
        <f>IF(K35=2,"",_xlfn.IFNA(INDEX(drug_codes,MATCH(loaded!BA35,drug,0)),""))</f>
        <v>#N/A</v>
      </c>
      <c r="Y35" t="e">
        <f>INDEX(MTT_codes,MATCH(loaded!BC35,MTT,0))</f>
        <v>#N/A</v>
      </c>
      <c r="Z35" t="str">
        <f>_xlfn.IFNA(INDEX(MTT_codes,MATCH(loaded!BE35,MTT,0)),"")</f>
        <v/>
      </c>
      <c r="AA35" t="str">
        <f>_xlfn.IFNA(INDEX(MTT_codes,MATCH(loaded!BG35,MTT,0)),"")</f>
        <v/>
      </c>
      <c r="AB35" t="str">
        <f>_xlfn.IFNA(INDEX(MTT_codes,MATCH(loaded!BI35,MTT,0)),"")</f>
        <v/>
      </c>
      <c r="AC35" t="str">
        <f>_xlfn.IFNA(INDEX(MTT_codes,MATCH(loaded!BK35,MTT,0)),"")</f>
        <v/>
      </c>
      <c r="AD35" t="str">
        <f>_xlfn.IFNA(INDEX(MTT_codes,MATCH(loaded!BM35,MTT,0)),"")</f>
        <v/>
      </c>
      <c r="AE35" t="e">
        <f>INDEX(liv_ar_codes,MATCH(loaded!BO35,liv_ar,0))</f>
        <v>#N/A</v>
      </c>
      <c r="AF35" t="str">
        <f>_xlfn.IFNA(INDEX(MTT_codes,MATCH(loaded!BQ35,MTT,0)),"")</f>
        <v/>
      </c>
      <c r="AG35">
        <f>_xlfn.IFNA(INDEX(mental_codes,MATCH(loaded!BS35,mental,0)),9)</f>
        <v>9</v>
      </c>
    </row>
    <row r="36" spans="1:33" x14ac:dyDescent="0.25">
      <c r="A36">
        <f>loaded!C36</f>
        <v>0</v>
      </c>
      <c r="B36">
        <f>loaded!I36</f>
        <v>0</v>
      </c>
      <c r="C36">
        <f>IF(loaded!K36="Male",1,IF(loaded!K36="Female",2,9))</f>
        <v>9</v>
      </c>
      <c r="D36" s="8">
        <f>loaded!M36</f>
        <v>0</v>
      </c>
      <c r="E36" t="str">
        <f>LEFT(loaded!O36,3)</f>
        <v/>
      </c>
      <c r="F36" t="e">
        <f>INDEX(cntry_codes,MATCH(loaded!Q36,countries,0))</f>
        <v>#N/A</v>
      </c>
      <c r="G36" t="e">
        <f>INDEX(atsi_codes,MATCH(loaded!S36,atsi,0))</f>
        <v>#N/A</v>
      </c>
      <c r="H36" t="e">
        <f>INDEX(lang_codes,MATCH(loaded!U36,lang,0))</f>
        <v>#N/A</v>
      </c>
      <c r="I36" s="8">
        <f>loaded!W36</f>
        <v>0</v>
      </c>
      <c r="J36" t="e">
        <f>INDEX(us_acc_codes,MATCH(loaded!Y36,us_acc,0))</f>
        <v>#N/A</v>
      </c>
      <c r="K36" t="e">
        <f>INDEX(client_codes,MATCH(loaded!AA36,client,0))</f>
        <v>#N/A</v>
      </c>
      <c r="L36" t="e">
        <f>INDEX(src_ref_codes,MATCH(loaded!AC36,src_ref,0))</f>
        <v>#N/A</v>
      </c>
      <c r="M36" s="8">
        <f>loaded!AE36</f>
        <v>0</v>
      </c>
      <c r="N36" s="8">
        <f>loaded!AG36</f>
        <v>0</v>
      </c>
      <c r="O36" t="e">
        <f>INDEX(reces_codes,MATCH(loaded!AI36,reason,0))</f>
        <v>#N/A</v>
      </c>
      <c r="P36" t="e">
        <f>INDEX(TDS_codes,MATCH(loaded!AK36,TDS,0))</f>
        <v>#N/A</v>
      </c>
      <c r="Q36" t="e">
        <f>IF(K36=2,"",INDEX(method_codes,MATCH(loaded!AM36,method,0)))</f>
        <v>#N/A</v>
      </c>
      <c r="R36" t="e">
        <f>IF(K36=2,"",INDEX(inj_codes,MATCH(loaded!AO36,inj,0)))</f>
        <v>#N/A</v>
      </c>
      <c r="S36" t="e">
        <f>IF(K36=2,"",INDEX(drug_codes,MATCH(loaded!AQ36,drug,0)))</f>
        <v>#N/A</v>
      </c>
      <c r="T36" t="e">
        <f>IF(K36=2,"",_xlfn.IFNA(INDEX(drug_codes,MATCH(loaded!AS36,drug,0)),""))</f>
        <v>#N/A</v>
      </c>
      <c r="U36" t="e">
        <f>IF(K36=2,"",_xlfn.IFNA(INDEX(drug_codes,MATCH(loaded!AU36,drug,0)),""))</f>
        <v>#N/A</v>
      </c>
      <c r="V36" t="e">
        <f>IF(K36=2,"",_xlfn.IFNA(INDEX(drug_codes,MATCH(loaded!AW36,drug,0)),""))</f>
        <v>#N/A</v>
      </c>
      <c r="W36" t="e">
        <f>IF(K36=2,"",_xlfn.IFNA(INDEX(drug_codes,MATCH(loaded!AY36,drug,0)),""))</f>
        <v>#N/A</v>
      </c>
      <c r="X36" t="e">
        <f>IF(K36=2,"",_xlfn.IFNA(INDEX(drug_codes,MATCH(loaded!BA36,drug,0)),""))</f>
        <v>#N/A</v>
      </c>
      <c r="Y36" t="e">
        <f>INDEX(MTT_codes,MATCH(loaded!BC36,MTT,0))</f>
        <v>#N/A</v>
      </c>
      <c r="Z36" t="str">
        <f>_xlfn.IFNA(INDEX(MTT_codes,MATCH(loaded!BE36,MTT,0)),"")</f>
        <v/>
      </c>
      <c r="AA36" t="str">
        <f>_xlfn.IFNA(INDEX(MTT_codes,MATCH(loaded!BG36,MTT,0)),"")</f>
        <v/>
      </c>
      <c r="AB36" t="str">
        <f>_xlfn.IFNA(INDEX(MTT_codes,MATCH(loaded!BI36,MTT,0)),"")</f>
        <v/>
      </c>
      <c r="AC36" t="str">
        <f>_xlfn.IFNA(INDEX(MTT_codes,MATCH(loaded!BK36,MTT,0)),"")</f>
        <v/>
      </c>
      <c r="AD36" t="str">
        <f>_xlfn.IFNA(INDEX(MTT_codes,MATCH(loaded!BM36,MTT,0)),"")</f>
        <v/>
      </c>
      <c r="AE36" t="e">
        <f>INDEX(liv_ar_codes,MATCH(loaded!BO36,liv_ar,0))</f>
        <v>#N/A</v>
      </c>
      <c r="AF36" t="str">
        <f>_xlfn.IFNA(INDEX(MTT_codes,MATCH(loaded!BQ36,MTT,0)),"")</f>
        <v/>
      </c>
      <c r="AG36">
        <f>_xlfn.IFNA(INDEX(mental_codes,MATCH(loaded!BS36,mental,0)),9)</f>
        <v>9</v>
      </c>
    </row>
    <row r="37" spans="1:33" x14ac:dyDescent="0.25">
      <c r="A37">
        <f>loaded!C37</f>
        <v>0</v>
      </c>
      <c r="B37">
        <f>loaded!I37</f>
        <v>0</v>
      </c>
      <c r="C37">
        <f>IF(loaded!K37="Male",1,IF(loaded!K37="Female",2,9))</f>
        <v>9</v>
      </c>
      <c r="D37" s="8">
        <f>loaded!M37</f>
        <v>0</v>
      </c>
      <c r="E37" t="str">
        <f>LEFT(loaded!O37,3)</f>
        <v/>
      </c>
      <c r="F37" t="e">
        <f>INDEX(cntry_codes,MATCH(loaded!Q37,countries,0))</f>
        <v>#N/A</v>
      </c>
      <c r="G37" t="e">
        <f>INDEX(atsi_codes,MATCH(loaded!S37,atsi,0))</f>
        <v>#N/A</v>
      </c>
      <c r="H37" t="e">
        <f>INDEX(lang_codes,MATCH(loaded!U37,lang,0))</f>
        <v>#N/A</v>
      </c>
      <c r="I37" s="8">
        <f>loaded!W37</f>
        <v>0</v>
      </c>
      <c r="J37" t="e">
        <f>INDEX(us_acc_codes,MATCH(loaded!Y37,us_acc,0))</f>
        <v>#N/A</v>
      </c>
      <c r="K37" t="e">
        <f>INDEX(client_codes,MATCH(loaded!AA37,client,0))</f>
        <v>#N/A</v>
      </c>
      <c r="L37" t="e">
        <f>INDEX(src_ref_codes,MATCH(loaded!AC37,src_ref,0))</f>
        <v>#N/A</v>
      </c>
      <c r="M37" s="8">
        <f>loaded!AE37</f>
        <v>0</v>
      </c>
      <c r="N37" s="8">
        <f>loaded!AG37</f>
        <v>0</v>
      </c>
      <c r="O37" t="e">
        <f>INDEX(reces_codes,MATCH(loaded!AI37,reason,0))</f>
        <v>#N/A</v>
      </c>
      <c r="P37" t="e">
        <f>INDEX(TDS_codes,MATCH(loaded!AK37,TDS,0))</f>
        <v>#N/A</v>
      </c>
      <c r="Q37" t="e">
        <f>IF(K37=2,"",INDEX(method_codes,MATCH(loaded!AM37,method,0)))</f>
        <v>#N/A</v>
      </c>
      <c r="R37" t="e">
        <f>IF(K37=2,"",INDEX(inj_codes,MATCH(loaded!AO37,inj,0)))</f>
        <v>#N/A</v>
      </c>
      <c r="S37" t="e">
        <f>IF(K37=2,"",INDEX(drug_codes,MATCH(loaded!AQ37,drug,0)))</f>
        <v>#N/A</v>
      </c>
      <c r="T37" t="e">
        <f>IF(K37=2,"",_xlfn.IFNA(INDEX(drug_codes,MATCH(loaded!AS37,drug,0)),""))</f>
        <v>#N/A</v>
      </c>
      <c r="U37" t="e">
        <f>IF(K37=2,"",_xlfn.IFNA(INDEX(drug_codes,MATCH(loaded!AU37,drug,0)),""))</f>
        <v>#N/A</v>
      </c>
      <c r="V37" t="e">
        <f>IF(K37=2,"",_xlfn.IFNA(INDEX(drug_codes,MATCH(loaded!AW37,drug,0)),""))</f>
        <v>#N/A</v>
      </c>
      <c r="W37" t="e">
        <f>IF(K37=2,"",_xlfn.IFNA(INDEX(drug_codes,MATCH(loaded!AY37,drug,0)),""))</f>
        <v>#N/A</v>
      </c>
      <c r="X37" t="e">
        <f>IF(K37=2,"",_xlfn.IFNA(INDEX(drug_codes,MATCH(loaded!BA37,drug,0)),""))</f>
        <v>#N/A</v>
      </c>
      <c r="Y37" t="e">
        <f>INDEX(MTT_codes,MATCH(loaded!BC37,MTT,0))</f>
        <v>#N/A</v>
      </c>
      <c r="Z37" t="str">
        <f>_xlfn.IFNA(INDEX(MTT_codes,MATCH(loaded!BE37,MTT,0)),"")</f>
        <v/>
      </c>
      <c r="AA37" t="str">
        <f>_xlfn.IFNA(INDEX(MTT_codes,MATCH(loaded!BG37,MTT,0)),"")</f>
        <v/>
      </c>
      <c r="AB37" t="str">
        <f>_xlfn.IFNA(INDEX(MTT_codes,MATCH(loaded!BI37,MTT,0)),"")</f>
        <v/>
      </c>
      <c r="AC37" t="str">
        <f>_xlfn.IFNA(INDEX(MTT_codes,MATCH(loaded!BK37,MTT,0)),"")</f>
        <v/>
      </c>
      <c r="AD37" t="str">
        <f>_xlfn.IFNA(INDEX(MTT_codes,MATCH(loaded!BM37,MTT,0)),"")</f>
        <v/>
      </c>
      <c r="AE37" t="e">
        <f>INDEX(liv_ar_codes,MATCH(loaded!BO37,liv_ar,0))</f>
        <v>#N/A</v>
      </c>
      <c r="AF37" t="str">
        <f>_xlfn.IFNA(INDEX(MTT_codes,MATCH(loaded!BQ37,MTT,0)),"")</f>
        <v/>
      </c>
      <c r="AG37">
        <f>_xlfn.IFNA(INDEX(mental_codes,MATCH(loaded!BS37,mental,0)),9)</f>
        <v>9</v>
      </c>
    </row>
    <row r="38" spans="1:33" x14ac:dyDescent="0.25">
      <c r="A38">
        <f>loaded!C38</f>
        <v>0</v>
      </c>
      <c r="B38">
        <f>loaded!I38</f>
        <v>0</v>
      </c>
      <c r="C38">
        <f>IF(loaded!K38="Male",1,IF(loaded!K38="Female",2,9))</f>
        <v>9</v>
      </c>
      <c r="D38" s="8">
        <f>loaded!M38</f>
        <v>0</v>
      </c>
      <c r="E38" t="str">
        <f>LEFT(loaded!O38,3)</f>
        <v/>
      </c>
      <c r="F38" t="e">
        <f>INDEX(cntry_codes,MATCH(loaded!Q38,countries,0))</f>
        <v>#N/A</v>
      </c>
      <c r="G38" t="e">
        <f>INDEX(atsi_codes,MATCH(loaded!S38,atsi,0))</f>
        <v>#N/A</v>
      </c>
      <c r="H38" t="e">
        <f>INDEX(lang_codes,MATCH(loaded!U38,lang,0))</f>
        <v>#N/A</v>
      </c>
      <c r="I38" s="8">
        <f>loaded!W38</f>
        <v>0</v>
      </c>
      <c r="J38" t="e">
        <f>INDEX(us_acc_codes,MATCH(loaded!Y38,us_acc,0))</f>
        <v>#N/A</v>
      </c>
      <c r="K38" t="e">
        <f>INDEX(client_codes,MATCH(loaded!AA38,client,0))</f>
        <v>#N/A</v>
      </c>
      <c r="L38" t="e">
        <f>INDEX(src_ref_codes,MATCH(loaded!AC38,src_ref,0))</f>
        <v>#N/A</v>
      </c>
      <c r="M38" s="8">
        <f>loaded!AE38</f>
        <v>0</v>
      </c>
      <c r="N38" s="8">
        <f>loaded!AG38</f>
        <v>0</v>
      </c>
      <c r="O38" t="e">
        <f>INDEX(reces_codes,MATCH(loaded!AI38,reason,0))</f>
        <v>#N/A</v>
      </c>
      <c r="P38" t="e">
        <f>INDEX(TDS_codes,MATCH(loaded!AK38,TDS,0))</f>
        <v>#N/A</v>
      </c>
      <c r="Q38" t="e">
        <f>IF(K38=2,"",INDEX(method_codes,MATCH(loaded!AM38,method,0)))</f>
        <v>#N/A</v>
      </c>
      <c r="R38" t="e">
        <f>IF(K38=2,"",INDEX(inj_codes,MATCH(loaded!AO38,inj,0)))</f>
        <v>#N/A</v>
      </c>
      <c r="S38" t="e">
        <f>IF(K38=2,"",INDEX(drug_codes,MATCH(loaded!AQ38,drug,0)))</f>
        <v>#N/A</v>
      </c>
      <c r="T38" t="e">
        <f>IF(K38=2,"",_xlfn.IFNA(INDEX(drug_codes,MATCH(loaded!AS38,drug,0)),""))</f>
        <v>#N/A</v>
      </c>
      <c r="U38" t="e">
        <f>IF(K38=2,"",_xlfn.IFNA(INDEX(drug_codes,MATCH(loaded!AU38,drug,0)),""))</f>
        <v>#N/A</v>
      </c>
      <c r="V38" t="e">
        <f>IF(K38=2,"",_xlfn.IFNA(INDEX(drug_codes,MATCH(loaded!AW38,drug,0)),""))</f>
        <v>#N/A</v>
      </c>
      <c r="W38" t="e">
        <f>IF(K38=2,"",_xlfn.IFNA(INDEX(drug_codes,MATCH(loaded!AY38,drug,0)),""))</f>
        <v>#N/A</v>
      </c>
      <c r="X38" t="e">
        <f>IF(K38=2,"",_xlfn.IFNA(INDEX(drug_codes,MATCH(loaded!BA38,drug,0)),""))</f>
        <v>#N/A</v>
      </c>
      <c r="Y38" t="e">
        <f>INDEX(MTT_codes,MATCH(loaded!BC38,MTT,0))</f>
        <v>#N/A</v>
      </c>
      <c r="Z38" t="str">
        <f>_xlfn.IFNA(INDEX(MTT_codes,MATCH(loaded!BE38,MTT,0)),"")</f>
        <v/>
      </c>
      <c r="AA38" t="str">
        <f>_xlfn.IFNA(INDEX(MTT_codes,MATCH(loaded!BG38,MTT,0)),"")</f>
        <v/>
      </c>
      <c r="AB38" t="str">
        <f>_xlfn.IFNA(INDEX(MTT_codes,MATCH(loaded!BI38,MTT,0)),"")</f>
        <v/>
      </c>
      <c r="AC38" t="str">
        <f>_xlfn.IFNA(INDEX(MTT_codes,MATCH(loaded!BK38,MTT,0)),"")</f>
        <v/>
      </c>
      <c r="AD38" t="str">
        <f>_xlfn.IFNA(INDEX(MTT_codes,MATCH(loaded!BM38,MTT,0)),"")</f>
        <v/>
      </c>
      <c r="AE38" t="e">
        <f>INDEX(liv_ar_codes,MATCH(loaded!BO38,liv_ar,0))</f>
        <v>#N/A</v>
      </c>
      <c r="AF38" t="str">
        <f>_xlfn.IFNA(INDEX(MTT_codes,MATCH(loaded!BQ38,MTT,0)),"")</f>
        <v/>
      </c>
      <c r="AG38">
        <f>_xlfn.IFNA(INDEX(mental_codes,MATCH(loaded!BS38,mental,0)),9)</f>
        <v>9</v>
      </c>
    </row>
    <row r="39" spans="1:33" x14ac:dyDescent="0.25">
      <c r="A39">
        <f>loaded!C39</f>
        <v>0</v>
      </c>
      <c r="B39">
        <f>loaded!I39</f>
        <v>0</v>
      </c>
      <c r="C39">
        <f>IF(loaded!K39="Male",1,IF(loaded!K39="Female",2,9))</f>
        <v>9</v>
      </c>
      <c r="D39" s="8">
        <f>loaded!M39</f>
        <v>0</v>
      </c>
      <c r="E39" t="str">
        <f>LEFT(loaded!O39,3)</f>
        <v/>
      </c>
      <c r="F39" t="e">
        <f>INDEX(cntry_codes,MATCH(loaded!Q39,countries,0))</f>
        <v>#N/A</v>
      </c>
      <c r="G39" t="e">
        <f>INDEX(atsi_codes,MATCH(loaded!S39,atsi,0))</f>
        <v>#N/A</v>
      </c>
      <c r="H39" t="e">
        <f>INDEX(lang_codes,MATCH(loaded!U39,lang,0))</f>
        <v>#N/A</v>
      </c>
      <c r="I39" s="8">
        <f>loaded!W39</f>
        <v>0</v>
      </c>
      <c r="J39" t="e">
        <f>INDEX(us_acc_codes,MATCH(loaded!Y39,us_acc,0))</f>
        <v>#N/A</v>
      </c>
      <c r="K39" t="e">
        <f>INDEX(client_codes,MATCH(loaded!AA39,client,0))</f>
        <v>#N/A</v>
      </c>
      <c r="L39" t="e">
        <f>INDEX(src_ref_codes,MATCH(loaded!AC39,src_ref,0))</f>
        <v>#N/A</v>
      </c>
      <c r="M39" s="8">
        <f>loaded!AE39</f>
        <v>0</v>
      </c>
      <c r="N39" s="8">
        <f>loaded!AG39</f>
        <v>0</v>
      </c>
      <c r="O39" t="e">
        <f>INDEX(reces_codes,MATCH(loaded!AI39,reason,0))</f>
        <v>#N/A</v>
      </c>
      <c r="P39" t="e">
        <f>INDEX(TDS_codes,MATCH(loaded!AK39,TDS,0))</f>
        <v>#N/A</v>
      </c>
      <c r="Q39" t="e">
        <f>IF(K39=2,"",INDEX(method_codes,MATCH(loaded!AM39,method,0)))</f>
        <v>#N/A</v>
      </c>
      <c r="R39" t="e">
        <f>IF(K39=2,"",INDEX(inj_codes,MATCH(loaded!AO39,inj,0)))</f>
        <v>#N/A</v>
      </c>
      <c r="S39" t="e">
        <f>IF(K39=2,"",INDEX(drug_codes,MATCH(loaded!AQ39,drug,0)))</f>
        <v>#N/A</v>
      </c>
      <c r="T39" t="e">
        <f>IF(K39=2,"",_xlfn.IFNA(INDEX(drug_codes,MATCH(loaded!AS39,drug,0)),""))</f>
        <v>#N/A</v>
      </c>
      <c r="U39" t="e">
        <f>IF(K39=2,"",_xlfn.IFNA(INDEX(drug_codes,MATCH(loaded!AU39,drug,0)),""))</f>
        <v>#N/A</v>
      </c>
      <c r="V39" t="e">
        <f>IF(K39=2,"",_xlfn.IFNA(INDEX(drug_codes,MATCH(loaded!AW39,drug,0)),""))</f>
        <v>#N/A</v>
      </c>
      <c r="W39" t="e">
        <f>IF(K39=2,"",_xlfn.IFNA(INDEX(drug_codes,MATCH(loaded!AY39,drug,0)),""))</f>
        <v>#N/A</v>
      </c>
      <c r="X39" t="e">
        <f>IF(K39=2,"",_xlfn.IFNA(INDEX(drug_codes,MATCH(loaded!BA39,drug,0)),""))</f>
        <v>#N/A</v>
      </c>
      <c r="Y39" t="e">
        <f>INDEX(MTT_codes,MATCH(loaded!BC39,MTT,0))</f>
        <v>#N/A</v>
      </c>
      <c r="Z39" t="str">
        <f>_xlfn.IFNA(INDEX(MTT_codes,MATCH(loaded!BE39,MTT,0)),"")</f>
        <v/>
      </c>
      <c r="AA39" t="str">
        <f>_xlfn.IFNA(INDEX(MTT_codes,MATCH(loaded!BG39,MTT,0)),"")</f>
        <v/>
      </c>
      <c r="AB39" t="str">
        <f>_xlfn.IFNA(INDEX(MTT_codes,MATCH(loaded!BI39,MTT,0)),"")</f>
        <v/>
      </c>
      <c r="AC39" t="str">
        <f>_xlfn.IFNA(INDEX(MTT_codes,MATCH(loaded!BK39,MTT,0)),"")</f>
        <v/>
      </c>
      <c r="AD39" t="str">
        <f>_xlfn.IFNA(INDEX(MTT_codes,MATCH(loaded!BM39,MTT,0)),"")</f>
        <v/>
      </c>
      <c r="AE39" t="e">
        <f>INDEX(liv_ar_codes,MATCH(loaded!BO39,liv_ar,0))</f>
        <v>#N/A</v>
      </c>
      <c r="AF39" t="str">
        <f>_xlfn.IFNA(INDEX(MTT_codes,MATCH(loaded!BQ39,MTT,0)),"")</f>
        <v/>
      </c>
      <c r="AG39">
        <f>_xlfn.IFNA(INDEX(mental_codes,MATCH(loaded!BS39,mental,0)),9)</f>
        <v>9</v>
      </c>
    </row>
    <row r="40" spans="1:33" x14ac:dyDescent="0.25">
      <c r="A40">
        <f>loaded!C40</f>
        <v>0</v>
      </c>
      <c r="B40">
        <f>loaded!I40</f>
        <v>0</v>
      </c>
      <c r="C40">
        <f>IF(loaded!K40="Male",1,IF(loaded!K40="Female",2,9))</f>
        <v>9</v>
      </c>
      <c r="D40" s="8">
        <f>loaded!M40</f>
        <v>0</v>
      </c>
      <c r="E40" t="str">
        <f>LEFT(loaded!O40,3)</f>
        <v/>
      </c>
      <c r="F40" t="e">
        <f>INDEX(cntry_codes,MATCH(loaded!Q40,countries,0))</f>
        <v>#N/A</v>
      </c>
      <c r="G40" t="e">
        <f>INDEX(atsi_codes,MATCH(loaded!S40,atsi,0))</f>
        <v>#N/A</v>
      </c>
      <c r="H40" t="e">
        <f>INDEX(lang_codes,MATCH(loaded!U40,lang,0))</f>
        <v>#N/A</v>
      </c>
      <c r="I40" s="8">
        <f>loaded!W40</f>
        <v>0</v>
      </c>
      <c r="J40" t="e">
        <f>INDEX(us_acc_codes,MATCH(loaded!Y40,us_acc,0))</f>
        <v>#N/A</v>
      </c>
      <c r="K40" t="e">
        <f>INDEX(client_codes,MATCH(loaded!AA40,client,0))</f>
        <v>#N/A</v>
      </c>
      <c r="L40" t="e">
        <f>INDEX(src_ref_codes,MATCH(loaded!AC40,src_ref,0))</f>
        <v>#N/A</v>
      </c>
      <c r="M40" s="8">
        <f>loaded!AE40</f>
        <v>0</v>
      </c>
      <c r="N40" s="8">
        <f>loaded!AG40</f>
        <v>0</v>
      </c>
      <c r="O40" t="e">
        <f>INDEX(reces_codes,MATCH(loaded!AI40,reason,0))</f>
        <v>#N/A</v>
      </c>
      <c r="P40" t="e">
        <f>INDEX(TDS_codes,MATCH(loaded!AK40,TDS,0))</f>
        <v>#N/A</v>
      </c>
      <c r="Q40" t="e">
        <f>IF(K40=2,"",INDEX(method_codes,MATCH(loaded!AM40,method,0)))</f>
        <v>#N/A</v>
      </c>
      <c r="R40" t="e">
        <f>IF(K40=2,"",INDEX(inj_codes,MATCH(loaded!AO40,inj,0)))</f>
        <v>#N/A</v>
      </c>
      <c r="S40" t="e">
        <f>IF(K40=2,"",INDEX(drug_codes,MATCH(loaded!AQ40,drug,0)))</f>
        <v>#N/A</v>
      </c>
      <c r="T40" t="e">
        <f>IF(K40=2,"",_xlfn.IFNA(INDEX(drug_codes,MATCH(loaded!AS40,drug,0)),""))</f>
        <v>#N/A</v>
      </c>
      <c r="U40" t="e">
        <f>IF(K40=2,"",_xlfn.IFNA(INDEX(drug_codes,MATCH(loaded!AU40,drug,0)),""))</f>
        <v>#N/A</v>
      </c>
      <c r="V40" t="e">
        <f>IF(K40=2,"",_xlfn.IFNA(INDEX(drug_codes,MATCH(loaded!AW40,drug,0)),""))</f>
        <v>#N/A</v>
      </c>
      <c r="W40" t="e">
        <f>IF(K40=2,"",_xlfn.IFNA(INDEX(drug_codes,MATCH(loaded!AY40,drug,0)),""))</f>
        <v>#N/A</v>
      </c>
      <c r="X40" t="e">
        <f>IF(K40=2,"",_xlfn.IFNA(INDEX(drug_codes,MATCH(loaded!BA40,drug,0)),""))</f>
        <v>#N/A</v>
      </c>
      <c r="Y40" t="e">
        <f>INDEX(MTT_codes,MATCH(loaded!BC40,MTT,0))</f>
        <v>#N/A</v>
      </c>
      <c r="Z40" t="str">
        <f>_xlfn.IFNA(INDEX(MTT_codes,MATCH(loaded!BE40,MTT,0)),"")</f>
        <v/>
      </c>
      <c r="AA40" t="str">
        <f>_xlfn.IFNA(INDEX(MTT_codes,MATCH(loaded!BG40,MTT,0)),"")</f>
        <v/>
      </c>
      <c r="AB40" t="str">
        <f>_xlfn.IFNA(INDEX(MTT_codes,MATCH(loaded!BI40,MTT,0)),"")</f>
        <v/>
      </c>
      <c r="AC40" t="str">
        <f>_xlfn.IFNA(INDEX(MTT_codes,MATCH(loaded!BK40,MTT,0)),"")</f>
        <v/>
      </c>
      <c r="AD40" t="str">
        <f>_xlfn.IFNA(INDEX(MTT_codes,MATCH(loaded!BM40,MTT,0)),"")</f>
        <v/>
      </c>
      <c r="AE40" t="e">
        <f>INDEX(liv_ar_codes,MATCH(loaded!BO40,liv_ar,0))</f>
        <v>#N/A</v>
      </c>
      <c r="AF40" t="str">
        <f>_xlfn.IFNA(INDEX(MTT_codes,MATCH(loaded!BQ40,MTT,0)),"")</f>
        <v/>
      </c>
      <c r="AG40">
        <f>_xlfn.IFNA(INDEX(mental_codes,MATCH(loaded!BS40,mental,0)),9)</f>
        <v>9</v>
      </c>
    </row>
    <row r="41" spans="1:33" x14ac:dyDescent="0.25">
      <c r="A41">
        <f>loaded!C41</f>
        <v>0</v>
      </c>
      <c r="B41">
        <f>loaded!I41</f>
        <v>0</v>
      </c>
      <c r="C41">
        <f>IF(loaded!K41="Male",1,IF(loaded!K41="Female",2,9))</f>
        <v>9</v>
      </c>
      <c r="D41" s="8">
        <f>loaded!M41</f>
        <v>0</v>
      </c>
      <c r="E41" t="str">
        <f>LEFT(loaded!O41,3)</f>
        <v/>
      </c>
      <c r="F41" t="e">
        <f>INDEX(cntry_codes,MATCH(loaded!Q41,countries,0))</f>
        <v>#N/A</v>
      </c>
      <c r="G41" t="e">
        <f>INDEX(atsi_codes,MATCH(loaded!S41,atsi,0))</f>
        <v>#N/A</v>
      </c>
      <c r="H41" t="e">
        <f>INDEX(lang_codes,MATCH(loaded!U41,lang,0))</f>
        <v>#N/A</v>
      </c>
      <c r="I41" s="8">
        <f>loaded!W41</f>
        <v>0</v>
      </c>
      <c r="J41" t="e">
        <f>INDEX(us_acc_codes,MATCH(loaded!Y41,us_acc,0))</f>
        <v>#N/A</v>
      </c>
      <c r="K41" t="e">
        <f>INDEX(client_codes,MATCH(loaded!AA41,client,0))</f>
        <v>#N/A</v>
      </c>
      <c r="L41" t="e">
        <f>INDEX(src_ref_codes,MATCH(loaded!AC41,src_ref,0))</f>
        <v>#N/A</v>
      </c>
      <c r="M41" s="8">
        <f>loaded!AE41</f>
        <v>0</v>
      </c>
      <c r="N41" s="8">
        <f>loaded!AG41</f>
        <v>0</v>
      </c>
      <c r="O41" t="e">
        <f>INDEX(reces_codes,MATCH(loaded!AI41,reason,0))</f>
        <v>#N/A</v>
      </c>
      <c r="P41" t="e">
        <f>INDEX(TDS_codes,MATCH(loaded!AK41,TDS,0))</f>
        <v>#N/A</v>
      </c>
      <c r="Q41" t="e">
        <f>IF(K41=2,"",INDEX(method_codes,MATCH(loaded!AM41,method,0)))</f>
        <v>#N/A</v>
      </c>
      <c r="R41" t="e">
        <f>IF(K41=2,"",INDEX(inj_codes,MATCH(loaded!AO41,inj,0)))</f>
        <v>#N/A</v>
      </c>
      <c r="S41" t="e">
        <f>IF(K41=2,"",INDEX(drug_codes,MATCH(loaded!AQ41,drug,0)))</f>
        <v>#N/A</v>
      </c>
      <c r="T41" t="e">
        <f>IF(K41=2,"",_xlfn.IFNA(INDEX(drug_codes,MATCH(loaded!AS41,drug,0)),""))</f>
        <v>#N/A</v>
      </c>
      <c r="U41" t="e">
        <f>IF(K41=2,"",_xlfn.IFNA(INDEX(drug_codes,MATCH(loaded!AU41,drug,0)),""))</f>
        <v>#N/A</v>
      </c>
      <c r="V41" t="e">
        <f>IF(K41=2,"",_xlfn.IFNA(INDEX(drug_codes,MATCH(loaded!AW41,drug,0)),""))</f>
        <v>#N/A</v>
      </c>
      <c r="W41" t="e">
        <f>IF(K41=2,"",_xlfn.IFNA(INDEX(drug_codes,MATCH(loaded!AY41,drug,0)),""))</f>
        <v>#N/A</v>
      </c>
      <c r="X41" t="e">
        <f>IF(K41=2,"",_xlfn.IFNA(INDEX(drug_codes,MATCH(loaded!BA41,drug,0)),""))</f>
        <v>#N/A</v>
      </c>
      <c r="Y41" t="e">
        <f>INDEX(MTT_codes,MATCH(loaded!BC41,MTT,0))</f>
        <v>#N/A</v>
      </c>
      <c r="Z41" t="str">
        <f>_xlfn.IFNA(INDEX(MTT_codes,MATCH(loaded!BE41,MTT,0)),"")</f>
        <v/>
      </c>
      <c r="AA41" t="str">
        <f>_xlfn.IFNA(INDEX(MTT_codes,MATCH(loaded!BG41,MTT,0)),"")</f>
        <v/>
      </c>
      <c r="AB41" t="str">
        <f>_xlfn.IFNA(INDEX(MTT_codes,MATCH(loaded!BI41,MTT,0)),"")</f>
        <v/>
      </c>
      <c r="AC41" t="str">
        <f>_xlfn.IFNA(INDEX(MTT_codes,MATCH(loaded!BK41,MTT,0)),"")</f>
        <v/>
      </c>
      <c r="AD41" t="str">
        <f>_xlfn.IFNA(INDEX(MTT_codes,MATCH(loaded!BM41,MTT,0)),"")</f>
        <v/>
      </c>
      <c r="AE41" t="e">
        <f>INDEX(liv_ar_codes,MATCH(loaded!BO41,liv_ar,0))</f>
        <v>#N/A</v>
      </c>
      <c r="AF41" t="str">
        <f>_xlfn.IFNA(INDEX(MTT_codes,MATCH(loaded!BQ41,MTT,0)),"")</f>
        <v/>
      </c>
      <c r="AG41">
        <f>_xlfn.IFNA(INDEX(mental_codes,MATCH(loaded!BS41,mental,0)),9)</f>
        <v>9</v>
      </c>
    </row>
    <row r="42" spans="1:33" x14ac:dyDescent="0.25">
      <c r="A42">
        <f>loaded!C42</f>
        <v>0</v>
      </c>
      <c r="B42">
        <f>loaded!I42</f>
        <v>0</v>
      </c>
      <c r="C42">
        <f>IF(loaded!K42="Male",1,IF(loaded!K42="Female",2,9))</f>
        <v>9</v>
      </c>
      <c r="D42" s="8">
        <f>loaded!M42</f>
        <v>0</v>
      </c>
      <c r="E42" t="str">
        <f>LEFT(loaded!O42,3)</f>
        <v/>
      </c>
      <c r="F42" t="e">
        <f>INDEX(cntry_codes,MATCH(loaded!Q42,countries,0))</f>
        <v>#N/A</v>
      </c>
      <c r="G42" t="e">
        <f>INDEX(atsi_codes,MATCH(loaded!S42,atsi,0))</f>
        <v>#N/A</v>
      </c>
      <c r="H42" t="e">
        <f>INDEX(lang_codes,MATCH(loaded!U42,lang,0))</f>
        <v>#N/A</v>
      </c>
      <c r="I42" s="8">
        <f>loaded!W42</f>
        <v>0</v>
      </c>
      <c r="J42" t="e">
        <f>INDEX(us_acc_codes,MATCH(loaded!Y42,us_acc,0))</f>
        <v>#N/A</v>
      </c>
      <c r="K42" t="e">
        <f>INDEX(client_codes,MATCH(loaded!AA42,client,0))</f>
        <v>#N/A</v>
      </c>
      <c r="L42" t="e">
        <f>INDEX(src_ref_codes,MATCH(loaded!AC42,src_ref,0))</f>
        <v>#N/A</v>
      </c>
      <c r="M42" s="8">
        <f>loaded!AE42</f>
        <v>0</v>
      </c>
      <c r="N42" s="8">
        <f>loaded!AG42</f>
        <v>0</v>
      </c>
      <c r="O42" t="e">
        <f>INDEX(reces_codes,MATCH(loaded!AI42,reason,0))</f>
        <v>#N/A</v>
      </c>
      <c r="P42" t="e">
        <f>INDEX(TDS_codes,MATCH(loaded!AK42,TDS,0))</f>
        <v>#N/A</v>
      </c>
      <c r="Q42" t="e">
        <f>IF(K42=2,"",INDEX(method_codes,MATCH(loaded!AM42,method,0)))</f>
        <v>#N/A</v>
      </c>
      <c r="R42" t="e">
        <f>IF(K42=2,"",INDEX(inj_codes,MATCH(loaded!AO42,inj,0)))</f>
        <v>#N/A</v>
      </c>
      <c r="S42" t="e">
        <f>IF(K42=2,"",INDEX(drug_codes,MATCH(loaded!AQ42,drug,0)))</f>
        <v>#N/A</v>
      </c>
      <c r="T42" t="e">
        <f>IF(K42=2,"",_xlfn.IFNA(INDEX(drug_codes,MATCH(loaded!AS42,drug,0)),""))</f>
        <v>#N/A</v>
      </c>
      <c r="U42" t="e">
        <f>IF(K42=2,"",_xlfn.IFNA(INDEX(drug_codes,MATCH(loaded!AU42,drug,0)),""))</f>
        <v>#N/A</v>
      </c>
      <c r="V42" t="e">
        <f>IF(K42=2,"",_xlfn.IFNA(INDEX(drug_codes,MATCH(loaded!AW42,drug,0)),""))</f>
        <v>#N/A</v>
      </c>
      <c r="W42" t="e">
        <f>IF(K42=2,"",_xlfn.IFNA(INDEX(drug_codes,MATCH(loaded!AY42,drug,0)),""))</f>
        <v>#N/A</v>
      </c>
      <c r="X42" t="e">
        <f>IF(K42=2,"",_xlfn.IFNA(INDEX(drug_codes,MATCH(loaded!BA42,drug,0)),""))</f>
        <v>#N/A</v>
      </c>
      <c r="Y42" t="e">
        <f>INDEX(MTT_codes,MATCH(loaded!BC42,MTT,0))</f>
        <v>#N/A</v>
      </c>
      <c r="Z42" t="str">
        <f>_xlfn.IFNA(INDEX(MTT_codes,MATCH(loaded!BE42,MTT,0)),"")</f>
        <v/>
      </c>
      <c r="AA42" t="str">
        <f>_xlfn.IFNA(INDEX(MTT_codes,MATCH(loaded!BG42,MTT,0)),"")</f>
        <v/>
      </c>
      <c r="AB42" t="str">
        <f>_xlfn.IFNA(INDEX(MTT_codes,MATCH(loaded!BI42,MTT,0)),"")</f>
        <v/>
      </c>
      <c r="AC42" t="str">
        <f>_xlfn.IFNA(INDEX(MTT_codes,MATCH(loaded!BK42,MTT,0)),"")</f>
        <v/>
      </c>
      <c r="AD42" t="str">
        <f>_xlfn.IFNA(INDEX(MTT_codes,MATCH(loaded!BM42,MTT,0)),"")</f>
        <v/>
      </c>
      <c r="AE42" t="e">
        <f>INDEX(liv_ar_codes,MATCH(loaded!BO42,liv_ar,0))</f>
        <v>#N/A</v>
      </c>
      <c r="AF42" t="str">
        <f>_xlfn.IFNA(INDEX(MTT_codes,MATCH(loaded!BQ42,MTT,0)),"")</f>
        <v/>
      </c>
      <c r="AG42">
        <f>_xlfn.IFNA(INDEX(mental_codes,MATCH(loaded!BS42,mental,0)),9)</f>
        <v>9</v>
      </c>
    </row>
    <row r="43" spans="1:33" x14ac:dyDescent="0.25">
      <c r="A43">
        <f>loaded!C43</f>
        <v>0</v>
      </c>
      <c r="B43">
        <f>loaded!I43</f>
        <v>0</v>
      </c>
      <c r="C43">
        <f>IF(loaded!K43="Male",1,IF(loaded!K43="Female",2,9))</f>
        <v>9</v>
      </c>
      <c r="D43" s="8">
        <f>loaded!M43</f>
        <v>0</v>
      </c>
      <c r="E43" t="str">
        <f>LEFT(loaded!O43,3)</f>
        <v/>
      </c>
      <c r="F43" t="e">
        <f>INDEX(cntry_codes,MATCH(loaded!Q43,countries,0))</f>
        <v>#N/A</v>
      </c>
      <c r="G43" t="e">
        <f>INDEX(atsi_codes,MATCH(loaded!S43,atsi,0))</f>
        <v>#N/A</v>
      </c>
      <c r="H43" t="e">
        <f>INDEX(lang_codes,MATCH(loaded!U43,lang,0))</f>
        <v>#N/A</v>
      </c>
      <c r="I43" s="8">
        <f>loaded!W43</f>
        <v>0</v>
      </c>
      <c r="J43" t="e">
        <f>INDEX(us_acc_codes,MATCH(loaded!Y43,us_acc,0))</f>
        <v>#N/A</v>
      </c>
      <c r="K43" t="e">
        <f>INDEX(client_codes,MATCH(loaded!AA43,client,0))</f>
        <v>#N/A</v>
      </c>
      <c r="L43" t="e">
        <f>INDEX(src_ref_codes,MATCH(loaded!AC43,src_ref,0))</f>
        <v>#N/A</v>
      </c>
      <c r="M43" s="8">
        <f>loaded!AE43</f>
        <v>0</v>
      </c>
      <c r="N43" s="8">
        <f>loaded!AG43</f>
        <v>0</v>
      </c>
      <c r="O43" t="e">
        <f>INDEX(reces_codes,MATCH(loaded!AI43,reason,0))</f>
        <v>#N/A</v>
      </c>
      <c r="P43" t="e">
        <f>INDEX(TDS_codes,MATCH(loaded!AK43,TDS,0))</f>
        <v>#N/A</v>
      </c>
      <c r="Q43" t="e">
        <f>IF(K43=2,"",INDEX(method_codes,MATCH(loaded!AM43,method,0)))</f>
        <v>#N/A</v>
      </c>
      <c r="R43" t="e">
        <f>IF(K43=2,"",INDEX(inj_codes,MATCH(loaded!AO43,inj,0)))</f>
        <v>#N/A</v>
      </c>
      <c r="S43" t="e">
        <f>IF(K43=2,"",INDEX(drug_codes,MATCH(loaded!AQ43,drug,0)))</f>
        <v>#N/A</v>
      </c>
      <c r="T43" t="e">
        <f>IF(K43=2,"",_xlfn.IFNA(INDEX(drug_codes,MATCH(loaded!AS43,drug,0)),""))</f>
        <v>#N/A</v>
      </c>
      <c r="U43" t="e">
        <f>IF(K43=2,"",_xlfn.IFNA(INDEX(drug_codes,MATCH(loaded!AU43,drug,0)),""))</f>
        <v>#N/A</v>
      </c>
      <c r="V43" t="e">
        <f>IF(K43=2,"",_xlfn.IFNA(INDEX(drug_codes,MATCH(loaded!AW43,drug,0)),""))</f>
        <v>#N/A</v>
      </c>
      <c r="W43" t="e">
        <f>IF(K43=2,"",_xlfn.IFNA(INDEX(drug_codes,MATCH(loaded!AY43,drug,0)),""))</f>
        <v>#N/A</v>
      </c>
      <c r="X43" t="e">
        <f>IF(K43=2,"",_xlfn.IFNA(INDEX(drug_codes,MATCH(loaded!BA43,drug,0)),""))</f>
        <v>#N/A</v>
      </c>
      <c r="Y43" t="e">
        <f>INDEX(MTT_codes,MATCH(loaded!BC43,MTT,0))</f>
        <v>#N/A</v>
      </c>
      <c r="Z43" t="str">
        <f>_xlfn.IFNA(INDEX(MTT_codes,MATCH(loaded!BE43,MTT,0)),"")</f>
        <v/>
      </c>
      <c r="AA43" t="str">
        <f>_xlfn.IFNA(INDEX(MTT_codes,MATCH(loaded!BG43,MTT,0)),"")</f>
        <v/>
      </c>
      <c r="AB43" t="str">
        <f>_xlfn.IFNA(INDEX(MTT_codes,MATCH(loaded!BI43,MTT,0)),"")</f>
        <v/>
      </c>
      <c r="AC43" t="str">
        <f>_xlfn.IFNA(INDEX(MTT_codes,MATCH(loaded!BK43,MTT,0)),"")</f>
        <v/>
      </c>
      <c r="AD43" t="str">
        <f>_xlfn.IFNA(INDEX(MTT_codes,MATCH(loaded!BM43,MTT,0)),"")</f>
        <v/>
      </c>
      <c r="AE43" t="e">
        <f>INDEX(liv_ar_codes,MATCH(loaded!BO43,liv_ar,0))</f>
        <v>#N/A</v>
      </c>
      <c r="AF43" t="str">
        <f>_xlfn.IFNA(INDEX(MTT_codes,MATCH(loaded!BQ43,MTT,0)),"")</f>
        <v/>
      </c>
      <c r="AG43">
        <f>_xlfn.IFNA(INDEX(mental_codes,MATCH(loaded!BS43,mental,0)),9)</f>
        <v>9</v>
      </c>
    </row>
    <row r="44" spans="1:33" x14ac:dyDescent="0.25">
      <c r="A44">
        <f>loaded!C44</f>
        <v>0</v>
      </c>
      <c r="B44">
        <f>loaded!I44</f>
        <v>0</v>
      </c>
      <c r="C44">
        <f>IF(loaded!K44="Male",1,IF(loaded!K44="Female",2,9))</f>
        <v>9</v>
      </c>
      <c r="D44" s="8">
        <f>loaded!M44</f>
        <v>0</v>
      </c>
      <c r="E44" t="str">
        <f>LEFT(loaded!O44,3)</f>
        <v/>
      </c>
      <c r="F44" t="e">
        <f>INDEX(cntry_codes,MATCH(loaded!Q44,countries,0))</f>
        <v>#N/A</v>
      </c>
      <c r="G44" t="e">
        <f>INDEX(atsi_codes,MATCH(loaded!S44,atsi,0))</f>
        <v>#N/A</v>
      </c>
      <c r="H44" t="e">
        <f>INDEX(lang_codes,MATCH(loaded!U44,lang,0))</f>
        <v>#N/A</v>
      </c>
      <c r="I44" s="8">
        <f>loaded!W44</f>
        <v>0</v>
      </c>
      <c r="J44" t="e">
        <f>INDEX(us_acc_codes,MATCH(loaded!Y44,us_acc,0))</f>
        <v>#N/A</v>
      </c>
      <c r="K44" t="e">
        <f>INDEX(client_codes,MATCH(loaded!AA44,client,0))</f>
        <v>#N/A</v>
      </c>
      <c r="L44" t="e">
        <f>INDEX(src_ref_codes,MATCH(loaded!AC44,src_ref,0))</f>
        <v>#N/A</v>
      </c>
      <c r="M44" s="8">
        <f>loaded!AE44</f>
        <v>0</v>
      </c>
      <c r="N44" s="8">
        <f>loaded!AG44</f>
        <v>0</v>
      </c>
      <c r="O44" t="e">
        <f>INDEX(reces_codes,MATCH(loaded!AI44,reason,0))</f>
        <v>#N/A</v>
      </c>
      <c r="P44" t="e">
        <f>INDEX(TDS_codes,MATCH(loaded!AK44,TDS,0))</f>
        <v>#N/A</v>
      </c>
      <c r="Q44" t="e">
        <f>IF(K44=2,"",INDEX(method_codes,MATCH(loaded!AM44,method,0)))</f>
        <v>#N/A</v>
      </c>
      <c r="R44" t="e">
        <f>IF(K44=2,"",INDEX(inj_codes,MATCH(loaded!AO44,inj,0)))</f>
        <v>#N/A</v>
      </c>
      <c r="S44" t="e">
        <f>IF(K44=2,"",INDEX(drug_codes,MATCH(loaded!AQ44,drug,0)))</f>
        <v>#N/A</v>
      </c>
      <c r="T44" t="e">
        <f>IF(K44=2,"",_xlfn.IFNA(INDEX(drug_codes,MATCH(loaded!AS44,drug,0)),""))</f>
        <v>#N/A</v>
      </c>
      <c r="U44" t="e">
        <f>IF(K44=2,"",_xlfn.IFNA(INDEX(drug_codes,MATCH(loaded!AU44,drug,0)),""))</f>
        <v>#N/A</v>
      </c>
      <c r="V44" t="e">
        <f>IF(K44=2,"",_xlfn.IFNA(INDEX(drug_codes,MATCH(loaded!AW44,drug,0)),""))</f>
        <v>#N/A</v>
      </c>
      <c r="W44" t="e">
        <f>IF(K44=2,"",_xlfn.IFNA(INDEX(drug_codes,MATCH(loaded!AY44,drug,0)),""))</f>
        <v>#N/A</v>
      </c>
      <c r="X44" t="e">
        <f>IF(K44=2,"",_xlfn.IFNA(INDEX(drug_codes,MATCH(loaded!BA44,drug,0)),""))</f>
        <v>#N/A</v>
      </c>
      <c r="Y44" t="e">
        <f>INDEX(MTT_codes,MATCH(loaded!BC44,MTT,0))</f>
        <v>#N/A</v>
      </c>
      <c r="Z44" t="str">
        <f>_xlfn.IFNA(INDEX(MTT_codes,MATCH(loaded!BE44,MTT,0)),"")</f>
        <v/>
      </c>
      <c r="AA44" t="str">
        <f>_xlfn.IFNA(INDEX(MTT_codes,MATCH(loaded!BG44,MTT,0)),"")</f>
        <v/>
      </c>
      <c r="AB44" t="str">
        <f>_xlfn.IFNA(INDEX(MTT_codes,MATCH(loaded!BI44,MTT,0)),"")</f>
        <v/>
      </c>
      <c r="AC44" t="str">
        <f>_xlfn.IFNA(INDEX(MTT_codes,MATCH(loaded!BK44,MTT,0)),"")</f>
        <v/>
      </c>
      <c r="AD44" t="str">
        <f>_xlfn.IFNA(INDEX(MTT_codes,MATCH(loaded!BM44,MTT,0)),"")</f>
        <v/>
      </c>
      <c r="AE44" t="e">
        <f>INDEX(liv_ar_codes,MATCH(loaded!BO44,liv_ar,0))</f>
        <v>#N/A</v>
      </c>
      <c r="AF44" t="str">
        <f>_xlfn.IFNA(INDEX(MTT_codes,MATCH(loaded!BQ44,MTT,0)),"")</f>
        <v/>
      </c>
      <c r="AG44">
        <f>_xlfn.IFNA(INDEX(mental_codes,MATCH(loaded!BS44,mental,0)),9)</f>
        <v>9</v>
      </c>
    </row>
    <row r="45" spans="1:33" x14ac:dyDescent="0.25">
      <c r="A45">
        <f>loaded!C45</f>
        <v>0</v>
      </c>
      <c r="B45">
        <f>loaded!I45</f>
        <v>0</v>
      </c>
      <c r="C45">
        <f>IF(loaded!K45="Male",1,IF(loaded!K45="Female",2,9))</f>
        <v>9</v>
      </c>
      <c r="D45" s="8">
        <f>loaded!M45</f>
        <v>0</v>
      </c>
      <c r="E45" t="str">
        <f>LEFT(loaded!O45,3)</f>
        <v/>
      </c>
      <c r="F45" t="e">
        <f>INDEX(cntry_codes,MATCH(loaded!Q45,countries,0))</f>
        <v>#N/A</v>
      </c>
      <c r="G45" t="e">
        <f>INDEX(atsi_codes,MATCH(loaded!S45,atsi,0))</f>
        <v>#N/A</v>
      </c>
      <c r="H45" t="e">
        <f>INDEX(lang_codes,MATCH(loaded!U45,lang,0))</f>
        <v>#N/A</v>
      </c>
      <c r="I45" s="8">
        <f>loaded!W45</f>
        <v>0</v>
      </c>
      <c r="J45" t="e">
        <f>INDEX(us_acc_codes,MATCH(loaded!Y45,us_acc,0))</f>
        <v>#N/A</v>
      </c>
      <c r="K45" t="e">
        <f>INDEX(client_codes,MATCH(loaded!AA45,client,0))</f>
        <v>#N/A</v>
      </c>
      <c r="L45" t="e">
        <f>INDEX(src_ref_codes,MATCH(loaded!AC45,src_ref,0))</f>
        <v>#N/A</v>
      </c>
      <c r="M45" s="8">
        <f>loaded!AE45</f>
        <v>0</v>
      </c>
      <c r="N45" s="8">
        <f>loaded!AG45</f>
        <v>0</v>
      </c>
      <c r="O45" t="e">
        <f>INDEX(reces_codes,MATCH(loaded!AI45,reason,0))</f>
        <v>#N/A</v>
      </c>
      <c r="P45" t="e">
        <f>INDEX(TDS_codes,MATCH(loaded!AK45,TDS,0))</f>
        <v>#N/A</v>
      </c>
      <c r="Q45" t="e">
        <f>IF(K45=2,"",INDEX(method_codes,MATCH(loaded!AM45,method,0)))</f>
        <v>#N/A</v>
      </c>
      <c r="R45" t="e">
        <f>IF(K45=2,"",INDEX(inj_codes,MATCH(loaded!AO45,inj,0)))</f>
        <v>#N/A</v>
      </c>
      <c r="S45" t="e">
        <f>IF(K45=2,"",INDEX(drug_codes,MATCH(loaded!AQ45,drug,0)))</f>
        <v>#N/A</v>
      </c>
      <c r="T45" t="e">
        <f>IF(K45=2,"",_xlfn.IFNA(INDEX(drug_codes,MATCH(loaded!AS45,drug,0)),""))</f>
        <v>#N/A</v>
      </c>
      <c r="U45" t="e">
        <f>IF(K45=2,"",_xlfn.IFNA(INDEX(drug_codes,MATCH(loaded!AU45,drug,0)),""))</f>
        <v>#N/A</v>
      </c>
      <c r="V45" t="e">
        <f>IF(K45=2,"",_xlfn.IFNA(INDEX(drug_codes,MATCH(loaded!AW45,drug,0)),""))</f>
        <v>#N/A</v>
      </c>
      <c r="W45" t="e">
        <f>IF(K45=2,"",_xlfn.IFNA(INDEX(drug_codes,MATCH(loaded!AY45,drug,0)),""))</f>
        <v>#N/A</v>
      </c>
      <c r="X45" t="e">
        <f>IF(K45=2,"",_xlfn.IFNA(INDEX(drug_codes,MATCH(loaded!BA45,drug,0)),""))</f>
        <v>#N/A</v>
      </c>
      <c r="Y45" t="e">
        <f>INDEX(MTT_codes,MATCH(loaded!BC45,MTT,0))</f>
        <v>#N/A</v>
      </c>
      <c r="Z45" t="str">
        <f>_xlfn.IFNA(INDEX(MTT_codes,MATCH(loaded!BE45,MTT,0)),"")</f>
        <v/>
      </c>
      <c r="AA45" t="str">
        <f>_xlfn.IFNA(INDEX(MTT_codes,MATCH(loaded!BG45,MTT,0)),"")</f>
        <v/>
      </c>
      <c r="AB45" t="str">
        <f>_xlfn.IFNA(INDEX(MTT_codes,MATCH(loaded!BI45,MTT,0)),"")</f>
        <v/>
      </c>
      <c r="AC45" t="str">
        <f>_xlfn.IFNA(INDEX(MTT_codes,MATCH(loaded!BK45,MTT,0)),"")</f>
        <v/>
      </c>
      <c r="AD45" t="str">
        <f>_xlfn.IFNA(INDEX(MTT_codes,MATCH(loaded!BM45,MTT,0)),"")</f>
        <v/>
      </c>
      <c r="AE45" t="e">
        <f>INDEX(liv_ar_codes,MATCH(loaded!BO45,liv_ar,0))</f>
        <v>#N/A</v>
      </c>
      <c r="AF45" t="str">
        <f>_xlfn.IFNA(INDEX(MTT_codes,MATCH(loaded!BQ45,MTT,0)),"")</f>
        <v/>
      </c>
      <c r="AG45">
        <f>_xlfn.IFNA(INDEX(mental_codes,MATCH(loaded!BS45,mental,0)),9)</f>
        <v>9</v>
      </c>
    </row>
    <row r="46" spans="1:33" x14ac:dyDescent="0.25">
      <c r="A46">
        <f>loaded!C46</f>
        <v>0</v>
      </c>
      <c r="B46">
        <f>loaded!I46</f>
        <v>0</v>
      </c>
      <c r="C46">
        <f>IF(loaded!K46="Male",1,IF(loaded!K46="Female",2,9))</f>
        <v>9</v>
      </c>
      <c r="D46" s="8">
        <f>loaded!M46</f>
        <v>0</v>
      </c>
      <c r="E46" t="str">
        <f>LEFT(loaded!O46,3)</f>
        <v/>
      </c>
      <c r="F46" t="e">
        <f>INDEX(cntry_codes,MATCH(loaded!Q46,countries,0))</f>
        <v>#N/A</v>
      </c>
      <c r="G46" t="e">
        <f>INDEX(atsi_codes,MATCH(loaded!S46,atsi,0))</f>
        <v>#N/A</v>
      </c>
      <c r="H46" t="e">
        <f>INDEX(lang_codes,MATCH(loaded!U46,lang,0))</f>
        <v>#N/A</v>
      </c>
      <c r="I46" s="8">
        <f>loaded!W46</f>
        <v>0</v>
      </c>
      <c r="J46" t="e">
        <f>INDEX(us_acc_codes,MATCH(loaded!Y46,us_acc,0))</f>
        <v>#N/A</v>
      </c>
      <c r="K46" t="e">
        <f>INDEX(client_codes,MATCH(loaded!AA46,client,0))</f>
        <v>#N/A</v>
      </c>
      <c r="L46" t="e">
        <f>INDEX(src_ref_codes,MATCH(loaded!AC46,src_ref,0))</f>
        <v>#N/A</v>
      </c>
      <c r="M46" s="8">
        <f>loaded!AE46</f>
        <v>0</v>
      </c>
      <c r="N46" s="8">
        <f>loaded!AG46</f>
        <v>0</v>
      </c>
      <c r="O46" t="e">
        <f>INDEX(reces_codes,MATCH(loaded!AI46,reason,0))</f>
        <v>#N/A</v>
      </c>
      <c r="P46" t="e">
        <f>INDEX(TDS_codes,MATCH(loaded!AK46,TDS,0))</f>
        <v>#N/A</v>
      </c>
      <c r="Q46" t="e">
        <f>IF(K46=2,"",INDEX(method_codes,MATCH(loaded!AM46,method,0)))</f>
        <v>#N/A</v>
      </c>
      <c r="R46" t="e">
        <f>IF(K46=2,"",INDEX(inj_codes,MATCH(loaded!AO46,inj,0)))</f>
        <v>#N/A</v>
      </c>
      <c r="S46" t="e">
        <f>IF(K46=2,"",INDEX(drug_codes,MATCH(loaded!AQ46,drug,0)))</f>
        <v>#N/A</v>
      </c>
      <c r="T46" t="e">
        <f>IF(K46=2,"",_xlfn.IFNA(INDEX(drug_codes,MATCH(loaded!AS46,drug,0)),""))</f>
        <v>#N/A</v>
      </c>
      <c r="U46" t="e">
        <f>IF(K46=2,"",_xlfn.IFNA(INDEX(drug_codes,MATCH(loaded!AU46,drug,0)),""))</f>
        <v>#N/A</v>
      </c>
      <c r="V46" t="e">
        <f>IF(K46=2,"",_xlfn.IFNA(INDEX(drug_codes,MATCH(loaded!AW46,drug,0)),""))</f>
        <v>#N/A</v>
      </c>
      <c r="W46" t="e">
        <f>IF(K46=2,"",_xlfn.IFNA(INDEX(drug_codes,MATCH(loaded!AY46,drug,0)),""))</f>
        <v>#N/A</v>
      </c>
      <c r="X46" t="e">
        <f>IF(K46=2,"",_xlfn.IFNA(INDEX(drug_codes,MATCH(loaded!BA46,drug,0)),""))</f>
        <v>#N/A</v>
      </c>
      <c r="Y46" t="e">
        <f>INDEX(MTT_codes,MATCH(loaded!BC46,MTT,0))</f>
        <v>#N/A</v>
      </c>
      <c r="Z46" t="str">
        <f>_xlfn.IFNA(INDEX(MTT_codes,MATCH(loaded!BE46,MTT,0)),"")</f>
        <v/>
      </c>
      <c r="AA46" t="str">
        <f>_xlfn.IFNA(INDEX(MTT_codes,MATCH(loaded!BG46,MTT,0)),"")</f>
        <v/>
      </c>
      <c r="AB46" t="str">
        <f>_xlfn.IFNA(INDEX(MTT_codes,MATCH(loaded!BI46,MTT,0)),"")</f>
        <v/>
      </c>
      <c r="AC46" t="str">
        <f>_xlfn.IFNA(INDEX(MTT_codes,MATCH(loaded!BK46,MTT,0)),"")</f>
        <v/>
      </c>
      <c r="AD46" t="str">
        <f>_xlfn.IFNA(INDEX(MTT_codes,MATCH(loaded!BM46,MTT,0)),"")</f>
        <v/>
      </c>
      <c r="AE46" t="e">
        <f>INDEX(liv_ar_codes,MATCH(loaded!BO46,liv_ar,0))</f>
        <v>#N/A</v>
      </c>
      <c r="AF46" t="str">
        <f>_xlfn.IFNA(INDEX(MTT_codes,MATCH(loaded!BQ46,MTT,0)),"")</f>
        <v/>
      </c>
      <c r="AG46">
        <f>_xlfn.IFNA(INDEX(mental_codes,MATCH(loaded!BS46,mental,0)),9)</f>
        <v>9</v>
      </c>
    </row>
    <row r="47" spans="1:33" x14ac:dyDescent="0.25">
      <c r="A47">
        <f>loaded!C47</f>
        <v>0</v>
      </c>
      <c r="B47">
        <f>loaded!I47</f>
        <v>0</v>
      </c>
      <c r="C47">
        <f>IF(loaded!K47="Male",1,IF(loaded!K47="Female",2,9))</f>
        <v>9</v>
      </c>
      <c r="D47" s="8">
        <f>loaded!M47</f>
        <v>0</v>
      </c>
      <c r="E47" t="str">
        <f>LEFT(loaded!O47,3)</f>
        <v/>
      </c>
      <c r="F47" t="e">
        <f>INDEX(cntry_codes,MATCH(loaded!Q47,countries,0))</f>
        <v>#N/A</v>
      </c>
      <c r="G47" t="e">
        <f>INDEX(atsi_codes,MATCH(loaded!S47,atsi,0))</f>
        <v>#N/A</v>
      </c>
      <c r="H47" t="e">
        <f>INDEX(lang_codes,MATCH(loaded!U47,lang,0))</f>
        <v>#N/A</v>
      </c>
      <c r="I47" s="8">
        <f>loaded!W47</f>
        <v>0</v>
      </c>
      <c r="J47" t="e">
        <f>INDEX(us_acc_codes,MATCH(loaded!Y47,us_acc,0))</f>
        <v>#N/A</v>
      </c>
      <c r="K47" t="e">
        <f>INDEX(client_codes,MATCH(loaded!AA47,client,0))</f>
        <v>#N/A</v>
      </c>
      <c r="L47" t="e">
        <f>INDEX(src_ref_codes,MATCH(loaded!AC47,src_ref,0))</f>
        <v>#N/A</v>
      </c>
      <c r="M47" s="8">
        <f>loaded!AE47</f>
        <v>0</v>
      </c>
      <c r="N47" s="8">
        <f>loaded!AG47</f>
        <v>0</v>
      </c>
      <c r="O47" t="e">
        <f>INDEX(reces_codes,MATCH(loaded!AI47,reason,0))</f>
        <v>#N/A</v>
      </c>
      <c r="P47" t="e">
        <f>INDEX(TDS_codes,MATCH(loaded!AK47,TDS,0))</f>
        <v>#N/A</v>
      </c>
      <c r="Q47" t="e">
        <f>IF(K47=2,"",INDEX(method_codes,MATCH(loaded!AM47,method,0)))</f>
        <v>#N/A</v>
      </c>
      <c r="R47" t="e">
        <f>IF(K47=2,"",INDEX(inj_codes,MATCH(loaded!AO47,inj,0)))</f>
        <v>#N/A</v>
      </c>
      <c r="S47" t="e">
        <f>IF(K47=2,"",INDEX(drug_codes,MATCH(loaded!AQ47,drug,0)))</f>
        <v>#N/A</v>
      </c>
      <c r="T47" t="e">
        <f>IF(K47=2,"",_xlfn.IFNA(INDEX(drug_codes,MATCH(loaded!AS47,drug,0)),""))</f>
        <v>#N/A</v>
      </c>
      <c r="U47" t="e">
        <f>IF(K47=2,"",_xlfn.IFNA(INDEX(drug_codes,MATCH(loaded!AU47,drug,0)),""))</f>
        <v>#N/A</v>
      </c>
      <c r="V47" t="e">
        <f>IF(K47=2,"",_xlfn.IFNA(INDEX(drug_codes,MATCH(loaded!AW47,drug,0)),""))</f>
        <v>#N/A</v>
      </c>
      <c r="W47" t="e">
        <f>IF(K47=2,"",_xlfn.IFNA(INDEX(drug_codes,MATCH(loaded!AY47,drug,0)),""))</f>
        <v>#N/A</v>
      </c>
      <c r="X47" t="e">
        <f>IF(K47=2,"",_xlfn.IFNA(INDEX(drug_codes,MATCH(loaded!BA47,drug,0)),""))</f>
        <v>#N/A</v>
      </c>
      <c r="Y47" t="e">
        <f>INDEX(MTT_codes,MATCH(loaded!BC47,MTT,0))</f>
        <v>#N/A</v>
      </c>
      <c r="Z47" t="str">
        <f>_xlfn.IFNA(INDEX(MTT_codes,MATCH(loaded!BE47,MTT,0)),"")</f>
        <v/>
      </c>
      <c r="AA47" t="str">
        <f>_xlfn.IFNA(INDEX(MTT_codes,MATCH(loaded!BG47,MTT,0)),"")</f>
        <v/>
      </c>
      <c r="AB47" t="str">
        <f>_xlfn.IFNA(INDEX(MTT_codes,MATCH(loaded!BI47,MTT,0)),"")</f>
        <v/>
      </c>
      <c r="AC47" t="str">
        <f>_xlfn.IFNA(INDEX(MTT_codes,MATCH(loaded!BK47,MTT,0)),"")</f>
        <v/>
      </c>
      <c r="AD47" t="str">
        <f>_xlfn.IFNA(INDEX(MTT_codes,MATCH(loaded!BM47,MTT,0)),"")</f>
        <v/>
      </c>
      <c r="AE47" t="e">
        <f>INDEX(liv_ar_codes,MATCH(loaded!BO47,liv_ar,0))</f>
        <v>#N/A</v>
      </c>
      <c r="AF47" t="str">
        <f>_xlfn.IFNA(INDEX(MTT_codes,MATCH(loaded!BQ47,MTT,0)),"")</f>
        <v/>
      </c>
      <c r="AG47">
        <f>_xlfn.IFNA(INDEX(mental_codes,MATCH(loaded!BS47,mental,0)),9)</f>
        <v>9</v>
      </c>
    </row>
    <row r="48" spans="1:33" x14ac:dyDescent="0.25">
      <c r="A48">
        <f>loaded!C48</f>
        <v>0</v>
      </c>
      <c r="B48">
        <f>loaded!I48</f>
        <v>0</v>
      </c>
      <c r="C48">
        <f>IF(loaded!K48="Male",1,IF(loaded!K48="Female",2,9))</f>
        <v>9</v>
      </c>
      <c r="D48" s="8">
        <f>loaded!M48</f>
        <v>0</v>
      </c>
      <c r="E48" t="str">
        <f>LEFT(loaded!O48,3)</f>
        <v/>
      </c>
      <c r="F48" t="e">
        <f>INDEX(cntry_codes,MATCH(loaded!Q48,countries,0))</f>
        <v>#N/A</v>
      </c>
      <c r="G48" t="e">
        <f>INDEX(atsi_codes,MATCH(loaded!S48,atsi,0))</f>
        <v>#N/A</v>
      </c>
      <c r="H48" t="e">
        <f>INDEX(lang_codes,MATCH(loaded!U48,lang,0))</f>
        <v>#N/A</v>
      </c>
      <c r="I48" s="8">
        <f>loaded!W48</f>
        <v>0</v>
      </c>
      <c r="J48" t="e">
        <f>INDEX(us_acc_codes,MATCH(loaded!Y48,us_acc,0))</f>
        <v>#N/A</v>
      </c>
      <c r="K48" t="e">
        <f>INDEX(client_codes,MATCH(loaded!AA48,client,0))</f>
        <v>#N/A</v>
      </c>
      <c r="L48" t="e">
        <f>INDEX(src_ref_codes,MATCH(loaded!AC48,src_ref,0))</f>
        <v>#N/A</v>
      </c>
      <c r="M48" s="8">
        <f>loaded!AE48</f>
        <v>0</v>
      </c>
      <c r="N48" s="8">
        <f>loaded!AG48</f>
        <v>0</v>
      </c>
      <c r="O48" t="e">
        <f>INDEX(reces_codes,MATCH(loaded!AI48,reason,0))</f>
        <v>#N/A</v>
      </c>
      <c r="P48" t="e">
        <f>INDEX(TDS_codes,MATCH(loaded!AK48,TDS,0))</f>
        <v>#N/A</v>
      </c>
      <c r="Q48" t="e">
        <f>IF(K48=2,"",INDEX(method_codes,MATCH(loaded!AM48,method,0)))</f>
        <v>#N/A</v>
      </c>
      <c r="R48" t="e">
        <f>IF(K48=2,"",INDEX(inj_codes,MATCH(loaded!AO48,inj,0)))</f>
        <v>#N/A</v>
      </c>
      <c r="S48" t="e">
        <f>IF(K48=2,"",INDEX(drug_codes,MATCH(loaded!AQ48,drug,0)))</f>
        <v>#N/A</v>
      </c>
      <c r="T48" t="e">
        <f>IF(K48=2,"",_xlfn.IFNA(INDEX(drug_codes,MATCH(loaded!AS48,drug,0)),""))</f>
        <v>#N/A</v>
      </c>
      <c r="U48" t="e">
        <f>IF(K48=2,"",_xlfn.IFNA(INDEX(drug_codes,MATCH(loaded!AU48,drug,0)),""))</f>
        <v>#N/A</v>
      </c>
      <c r="V48" t="e">
        <f>IF(K48=2,"",_xlfn.IFNA(INDEX(drug_codes,MATCH(loaded!AW48,drug,0)),""))</f>
        <v>#N/A</v>
      </c>
      <c r="W48" t="e">
        <f>IF(K48=2,"",_xlfn.IFNA(INDEX(drug_codes,MATCH(loaded!AY48,drug,0)),""))</f>
        <v>#N/A</v>
      </c>
      <c r="X48" t="e">
        <f>IF(K48=2,"",_xlfn.IFNA(INDEX(drug_codes,MATCH(loaded!BA48,drug,0)),""))</f>
        <v>#N/A</v>
      </c>
      <c r="Y48" t="e">
        <f>INDEX(MTT_codes,MATCH(loaded!BC48,MTT,0))</f>
        <v>#N/A</v>
      </c>
      <c r="Z48" t="str">
        <f>_xlfn.IFNA(INDEX(MTT_codes,MATCH(loaded!BE48,MTT,0)),"")</f>
        <v/>
      </c>
      <c r="AA48" t="str">
        <f>_xlfn.IFNA(INDEX(MTT_codes,MATCH(loaded!BG48,MTT,0)),"")</f>
        <v/>
      </c>
      <c r="AB48" t="str">
        <f>_xlfn.IFNA(INDEX(MTT_codes,MATCH(loaded!BI48,MTT,0)),"")</f>
        <v/>
      </c>
      <c r="AC48" t="str">
        <f>_xlfn.IFNA(INDEX(MTT_codes,MATCH(loaded!BK48,MTT,0)),"")</f>
        <v/>
      </c>
      <c r="AD48" t="str">
        <f>_xlfn.IFNA(INDEX(MTT_codes,MATCH(loaded!BM48,MTT,0)),"")</f>
        <v/>
      </c>
      <c r="AE48" t="e">
        <f>INDEX(liv_ar_codes,MATCH(loaded!BO48,liv_ar,0))</f>
        <v>#N/A</v>
      </c>
      <c r="AF48" t="str">
        <f>_xlfn.IFNA(INDEX(MTT_codes,MATCH(loaded!BQ48,MTT,0)),"")</f>
        <v/>
      </c>
      <c r="AG48">
        <f>_xlfn.IFNA(INDEX(mental_codes,MATCH(loaded!BS48,mental,0)),9)</f>
        <v>9</v>
      </c>
    </row>
    <row r="49" spans="1:33" x14ac:dyDescent="0.25">
      <c r="A49">
        <f>loaded!C49</f>
        <v>0</v>
      </c>
      <c r="B49">
        <f>loaded!I49</f>
        <v>0</v>
      </c>
      <c r="C49">
        <f>IF(loaded!K49="Male",1,IF(loaded!K49="Female",2,9))</f>
        <v>9</v>
      </c>
      <c r="D49" s="8">
        <f>loaded!M49</f>
        <v>0</v>
      </c>
      <c r="E49" t="str">
        <f>LEFT(loaded!O49,3)</f>
        <v/>
      </c>
      <c r="F49" t="e">
        <f>INDEX(cntry_codes,MATCH(loaded!Q49,countries,0))</f>
        <v>#N/A</v>
      </c>
      <c r="G49" t="e">
        <f>INDEX(atsi_codes,MATCH(loaded!S49,atsi,0))</f>
        <v>#N/A</v>
      </c>
      <c r="H49" t="e">
        <f>INDEX(lang_codes,MATCH(loaded!U49,lang,0))</f>
        <v>#N/A</v>
      </c>
      <c r="I49" s="8">
        <f>loaded!W49</f>
        <v>0</v>
      </c>
      <c r="J49" t="e">
        <f>INDEX(us_acc_codes,MATCH(loaded!Y49,us_acc,0))</f>
        <v>#N/A</v>
      </c>
      <c r="K49" t="e">
        <f>INDEX(client_codes,MATCH(loaded!AA49,client,0))</f>
        <v>#N/A</v>
      </c>
      <c r="L49" t="e">
        <f>INDEX(src_ref_codes,MATCH(loaded!AC49,src_ref,0))</f>
        <v>#N/A</v>
      </c>
      <c r="M49" s="8">
        <f>loaded!AE49</f>
        <v>0</v>
      </c>
      <c r="N49" s="8">
        <f>loaded!AG49</f>
        <v>0</v>
      </c>
      <c r="O49" t="e">
        <f>INDEX(reces_codes,MATCH(loaded!AI49,reason,0))</f>
        <v>#N/A</v>
      </c>
      <c r="P49" t="e">
        <f>INDEX(TDS_codes,MATCH(loaded!AK49,TDS,0))</f>
        <v>#N/A</v>
      </c>
      <c r="Q49" t="e">
        <f>IF(K49=2,"",INDEX(method_codes,MATCH(loaded!AM49,method,0)))</f>
        <v>#N/A</v>
      </c>
      <c r="R49" t="e">
        <f>IF(K49=2,"",INDEX(inj_codes,MATCH(loaded!AO49,inj,0)))</f>
        <v>#N/A</v>
      </c>
      <c r="S49" t="e">
        <f>IF(K49=2,"",INDEX(drug_codes,MATCH(loaded!AQ49,drug,0)))</f>
        <v>#N/A</v>
      </c>
      <c r="T49" t="e">
        <f>IF(K49=2,"",_xlfn.IFNA(INDEX(drug_codes,MATCH(loaded!AS49,drug,0)),""))</f>
        <v>#N/A</v>
      </c>
      <c r="U49" t="e">
        <f>IF(K49=2,"",_xlfn.IFNA(INDEX(drug_codes,MATCH(loaded!AU49,drug,0)),""))</f>
        <v>#N/A</v>
      </c>
      <c r="V49" t="e">
        <f>IF(K49=2,"",_xlfn.IFNA(INDEX(drug_codes,MATCH(loaded!AW49,drug,0)),""))</f>
        <v>#N/A</v>
      </c>
      <c r="W49" t="e">
        <f>IF(K49=2,"",_xlfn.IFNA(INDEX(drug_codes,MATCH(loaded!AY49,drug,0)),""))</f>
        <v>#N/A</v>
      </c>
      <c r="X49" t="e">
        <f>IF(K49=2,"",_xlfn.IFNA(INDEX(drug_codes,MATCH(loaded!BA49,drug,0)),""))</f>
        <v>#N/A</v>
      </c>
      <c r="Y49" t="e">
        <f>INDEX(MTT_codes,MATCH(loaded!BC49,MTT,0))</f>
        <v>#N/A</v>
      </c>
      <c r="Z49" t="str">
        <f>_xlfn.IFNA(INDEX(MTT_codes,MATCH(loaded!BE49,MTT,0)),"")</f>
        <v/>
      </c>
      <c r="AA49" t="str">
        <f>_xlfn.IFNA(INDEX(MTT_codes,MATCH(loaded!BG49,MTT,0)),"")</f>
        <v/>
      </c>
      <c r="AB49" t="str">
        <f>_xlfn.IFNA(INDEX(MTT_codes,MATCH(loaded!BI49,MTT,0)),"")</f>
        <v/>
      </c>
      <c r="AC49" t="str">
        <f>_xlfn.IFNA(INDEX(MTT_codes,MATCH(loaded!BK49,MTT,0)),"")</f>
        <v/>
      </c>
      <c r="AD49" t="str">
        <f>_xlfn.IFNA(INDEX(MTT_codes,MATCH(loaded!BM49,MTT,0)),"")</f>
        <v/>
      </c>
      <c r="AE49" t="e">
        <f>INDEX(liv_ar_codes,MATCH(loaded!BO49,liv_ar,0))</f>
        <v>#N/A</v>
      </c>
      <c r="AF49" t="str">
        <f>_xlfn.IFNA(INDEX(MTT_codes,MATCH(loaded!BQ49,MTT,0)),"")</f>
        <v/>
      </c>
      <c r="AG49">
        <f>_xlfn.IFNA(INDEX(mental_codes,MATCH(loaded!BS49,mental,0)),9)</f>
        <v>9</v>
      </c>
    </row>
    <row r="50" spans="1:33" x14ac:dyDescent="0.25">
      <c r="A50">
        <f>loaded!C50</f>
        <v>0</v>
      </c>
      <c r="B50">
        <f>loaded!I50</f>
        <v>0</v>
      </c>
      <c r="C50">
        <f>IF(loaded!K50="Male",1,IF(loaded!K50="Female",2,9))</f>
        <v>9</v>
      </c>
      <c r="D50" s="8">
        <f>loaded!M50</f>
        <v>0</v>
      </c>
      <c r="E50" t="str">
        <f>LEFT(loaded!O50,3)</f>
        <v/>
      </c>
      <c r="F50" t="e">
        <f>INDEX(cntry_codes,MATCH(loaded!Q50,countries,0))</f>
        <v>#N/A</v>
      </c>
      <c r="G50" t="e">
        <f>INDEX(atsi_codes,MATCH(loaded!S50,atsi,0))</f>
        <v>#N/A</v>
      </c>
      <c r="H50" t="e">
        <f>INDEX(lang_codes,MATCH(loaded!U50,lang,0))</f>
        <v>#N/A</v>
      </c>
      <c r="I50" s="8">
        <f>loaded!W50</f>
        <v>0</v>
      </c>
      <c r="J50" t="e">
        <f>INDEX(us_acc_codes,MATCH(loaded!Y50,us_acc,0))</f>
        <v>#N/A</v>
      </c>
      <c r="K50" t="e">
        <f>INDEX(client_codes,MATCH(loaded!AA50,client,0))</f>
        <v>#N/A</v>
      </c>
      <c r="L50" t="e">
        <f>INDEX(src_ref_codes,MATCH(loaded!AC50,src_ref,0))</f>
        <v>#N/A</v>
      </c>
      <c r="M50" s="8">
        <f>loaded!AE50</f>
        <v>0</v>
      </c>
      <c r="N50" s="8">
        <f>loaded!AG50</f>
        <v>0</v>
      </c>
      <c r="O50" t="e">
        <f>INDEX(reces_codes,MATCH(loaded!AI50,reason,0))</f>
        <v>#N/A</v>
      </c>
      <c r="P50" t="e">
        <f>INDEX(TDS_codes,MATCH(loaded!AK50,TDS,0))</f>
        <v>#N/A</v>
      </c>
      <c r="Q50" t="e">
        <f>IF(K50=2,"",INDEX(method_codes,MATCH(loaded!AM50,method,0)))</f>
        <v>#N/A</v>
      </c>
      <c r="R50" t="e">
        <f>IF(K50=2,"",INDEX(inj_codes,MATCH(loaded!AO50,inj,0)))</f>
        <v>#N/A</v>
      </c>
      <c r="S50" t="e">
        <f>IF(K50=2,"",INDEX(drug_codes,MATCH(loaded!AQ50,drug,0)))</f>
        <v>#N/A</v>
      </c>
      <c r="T50" t="e">
        <f>IF(K50=2,"",_xlfn.IFNA(INDEX(drug_codes,MATCH(loaded!AS50,drug,0)),""))</f>
        <v>#N/A</v>
      </c>
      <c r="U50" t="e">
        <f>IF(K50=2,"",_xlfn.IFNA(INDEX(drug_codes,MATCH(loaded!AU50,drug,0)),""))</f>
        <v>#N/A</v>
      </c>
      <c r="V50" t="e">
        <f>IF(K50=2,"",_xlfn.IFNA(INDEX(drug_codes,MATCH(loaded!AW50,drug,0)),""))</f>
        <v>#N/A</v>
      </c>
      <c r="W50" t="e">
        <f>IF(K50=2,"",_xlfn.IFNA(INDEX(drug_codes,MATCH(loaded!AY50,drug,0)),""))</f>
        <v>#N/A</v>
      </c>
      <c r="X50" t="e">
        <f>IF(K50=2,"",_xlfn.IFNA(INDEX(drug_codes,MATCH(loaded!BA50,drug,0)),""))</f>
        <v>#N/A</v>
      </c>
      <c r="Y50" t="e">
        <f>INDEX(MTT_codes,MATCH(loaded!BC50,MTT,0))</f>
        <v>#N/A</v>
      </c>
      <c r="Z50" t="str">
        <f>_xlfn.IFNA(INDEX(MTT_codes,MATCH(loaded!BE50,MTT,0)),"")</f>
        <v/>
      </c>
      <c r="AA50" t="str">
        <f>_xlfn.IFNA(INDEX(MTT_codes,MATCH(loaded!BG50,MTT,0)),"")</f>
        <v/>
      </c>
      <c r="AB50" t="str">
        <f>_xlfn.IFNA(INDEX(MTT_codes,MATCH(loaded!BI50,MTT,0)),"")</f>
        <v/>
      </c>
      <c r="AC50" t="str">
        <f>_xlfn.IFNA(INDEX(MTT_codes,MATCH(loaded!BK50,MTT,0)),"")</f>
        <v/>
      </c>
      <c r="AD50" t="str">
        <f>_xlfn.IFNA(INDEX(MTT_codes,MATCH(loaded!BM50,MTT,0)),"")</f>
        <v/>
      </c>
      <c r="AE50" t="e">
        <f>INDEX(liv_ar_codes,MATCH(loaded!BO50,liv_ar,0))</f>
        <v>#N/A</v>
      </c>
      <c r="AF50" t="str">
        <f>_xlfn.IFNA(INDEX(MTT_codes,MATCH(loaded!BQ50,MTT,0)),"")</f>
        <v/>
      </c>
      <c r="AG50">
        <f>_xlfn.IFNA(INDEX(mental_codes,MATCH(loaded!BS50,mental,0)),9)</f>
        <v>9</v>
      </c>
    </row>
    <row r="51" spans="1:33" x14ac:dyDescent="0.25">
      <c r="A51">
        <f>loaded!C51</f>
        <v>0</v>
      </c>
      <c r="B51">
        <f>loaded!I51</f>
        <v>0</v>
      </c>
      <c r="C51">
        <f>IF(loaded!K51="Male",1,IF(loaded!K51="Female",2,9))</f>
        <v>9</v>
      </c>
      <c r="D51" s="8">
        <f>loaded!M51</f>
        <v>0</v>
      </c>
      <c r="E51" t="str">
        <f>LEFT(loaded!O51,3)</f>
        <v/>
      </c>
      <c r="F51" t="e">
        <f>INDEX(cntry_codes,MATCH(loaded!Q51,countries,0))</f>
        <v>#N/A</v>
      </c>
      <c r="G51" t="e">
        <f>INDEX(atsi_codes,MATCH(loaded!S51,atsi,0))</f>
        <v>#N/A</v>
      </c>
      <c r="H51" t="e">
        <f>INDEX(lang_codes,MATCH(loaded!U51,lang,0))</f>
        <v>#N/A</v>
      </c>
      <c r="I51" s="8">
        <f>loaded!W51</f>
        <v>0</v>
      </c>
      <c r="J51" t="e">
        <f>INDEX(us_acc_codes,MATCH(loaded!Y51,us_acc,0))</f>
        <v>#N/A</v>
      </c>
      <c r="K51" t="e">
        <f>INDEX(client_codes,MATCH(loaded!AA51,client,0))</f>
        <v>#N/A</v>
      </c>
      <c r="L51" t="e">
        <f>INDEX(src_ref_codes,MATCH(loaded!AC51,src_ref,0))</f>
        <v>#N/A</v>
      </c>
      <c r="M51" s="8">
        <f>loaded!AE51</f>
        <v>0</v>
      </c>
      <c r="N51" s="8">
        <f>loaded!AG51</f>
        <v>0</v>
      </c>
      <c r="O51" t="e">
        <f>INDEX(reces_codes,MATCH(loaded!AI51,reason,0))</f>
        <v>#N/A</v>
      </c>
      <c r="P51" t="e">
        <f>INDEX(TDS_codes,MATCH(loaded!AK51,TDS,0))</f>
        <v>#N/A</v>
      </c>
      <c r="Q51" t="e">
        <f>IF(K51=2,"",INDEX(method_codes,MATCH(loaded!AM51,method,0)))</f>
        <v>#N/A</v>
      </c>
      <c r="R51" t="e">
        <f>IF(K51=2,"",INDEX(inj_codes,MATCH(loaded!AO51,inj,0)))</f>
        <v>#N/A</v>
      </c>
      <c r="S51" t="e">
        <f>IF(K51=2,"",INDEX(drug_codes,MATCH(loaded!AQ51,drug,0)))</f>
        <v>#N/A</v>
      </c>
      <c r="T51" t="e">
        <f>IF(K51=2,"",_xlfn.IFNA(INDEX(drug_codes,MATCH(loaded!AS51,drug,0)),""))</f>
        <v>#N/A</v>
      </c>
      <c r="U51" t="e">
        <f>IF(K51=2,"",_xlfn.IFNA(INDEX(drug_codes,MATCH(loaded!AU51,drug,0)),""))</f>
        <v>#N/A</v>
      </c>
      <c r="V51" t="e">
        <f>IF(K51=2,"",_xlfn.IFNA(INDEX(drug_codes,MATCH(loaded!AW51,drug,0)),""))</f>
        <v>#N/A</v>
      </c>
      <c r="W51" t="e">
        <f>IF(K51=2,"",_xlfn.IFNA(INDEX(drug_codes,MATCH(loaded!AY51,drug,0)),""))</f>
        <v>#N/A</v>
      </c>
      <c r="X51" t="e">
        <f>IF(K51=2,"",_xlfn.IFNA(INDEX(drug_codes,MATCH(loaded!BA51,drug,0)),""))</f>
        <v>#N/A</v>
      </c>
      <c r="Y51" t="e">
        <f>INDEX(MTT_codes,MATCH(loaded!BC51,MTT,0))</f>
        <v>#N/A</v>
      </c>
      <c r="Z51" t="str">
        <f>_xlfn.IFNA(INDEX(MTT_codes,MATCH(loaded!BE51,MTT,0)),"")</f>
        <v/>
      </c>
      <c r="AA51" t="str">
        <f>_xlfn.IFNA(INDEX(MTT_codes,MATCH(loaded!BG51,MTT,0)),"")</f>
        <v/>
      </c>
      <c r="AB51" t="str">
        <f>_xlfn.IFNA(INDEX(MTT_codes,MATCH(loaded!BI51,MTT,0)),"")</f>
        <v/>
      </c>
      <c r="AC51" t="str">
        <f>_xlfn.IFNA(INDEX(MTT_codes,MATCH(loaded!BK51,MTT,0)),"")</f>
        <v/>
      </c>
      <c r="AD51" t="str">
        <f>_xlfn.IFNA(INDEX(MTT_codes,MATCH(loaded!BM51,MTT,0)),"")</f>
        <v/>
      </c>
      <c r="AE51" t="e">
        <f>INDEX(liv_ar_codes,MATCH(loaded!BO51,liv_ar,0))</f>
        <v>#N/A</v>
      </c>
      <c r="AF51" t="str">
        <f>_xlfn.IFNA(INDEX(MTT_codes,MATCH(loaded!BQ51,MTT,0)),"")</f>
        <v/>
      </c>
      <c r="AG51">
        <f>_xlfn.IFNA(INDEX(mental_codes,MATCH(loaded!BS51,mental,0)),9)</f>
        <v>9</v>
      </c>
    </row>
    <row r="52" spans="1:33" x14ac:dyDescent="0.25">
      <c r="A52">
        <f>loaded!C52</f>
        <v>0</v>
      </c>
      <c r="B52">
        <f>loaded!I52</f>
        <v>0</v>
      </c>
      <c r="C52">
        <f>IF(loaded!K52="Male",1,IF(loaded!K52="Female",2,9))</f>
        <v>9</v>
      </c>
      <c r="D52" s="8">
        <f>loaded!M52</f>
        <v>0</v>
      </c>
      <c r="E52" t="str">
        <f>LEFT(loaded!O52,3)</f>
        <v/>
      </c>
      <c r="F52" t="e">
        <f>INDEX(cntry_codes,MATCH(loaded!Q52,countries,0))</f>
        <v>#N/A</v>
      </c>
      <c r="G52" t="e">
        <f>INDEX(atsi_codes,MATCH(loaded!S52,atsi,0))</f>
        <v>#N/A</v>
      </c>
      <c r="H52" t="e">
        <f>INDEX(lang_codes,MATCH(loaded!U52,lang,0))</f>
        <v>#N/A</v>
      </c>
      <c r="I52" s="8">
        <f>loaded!W52</f>
        <v>0</v>
      </c>
      <c r="J52" t="e">
        <f>INDEX(us_acc_codes,MATCH(loaded!Y52,us_acc,0))</f>
        <v>#N/A</v>
      </c>
      <c r="K52" t="e">
        <f>INDEX(client_codes,MATCH(loaded!AA52,client,0))</f>
        <v>#N/A</v>
      </c>
      <c r="L52" t="e">
        <f>INDEX(src_ref_codes,MATCH(loaded!AC52,src_ref,0))</f>
        <v>#N/A</v>
      </c>
      <c r="M52" s="8">
        <f>loaded!AE52</f>
        <v>0</v>
      </c>
      <c r="N52" s="8">
        <f>loaded!AG52</f>
        <v>0</v>
      </c>
      <c r="O52" t="e">
        <f>INDEX(reces_codes,MATCH(loaded!AI52,reason,0))</f>
        <v>#N/A</v>
      </c>
      <c r="P52" t="e">
        <f>INDEX(TDS_codes,MATCH(loaded!AK52,TDS,0))</f>
        <v>#N/A</v>
      </c>
      <c r="Q52" t="e">
        <f>IF(K52=2,"",INDEX(method_codes,MATCH(loaded!AM52,method,0)))</f>
        <v>#N/A</v>
      </c>
      <c r="R52" t="e">
        <f>IF(K52=2,"",INDEX(inj_codes,MATCH(loaded!AO52,inj,0)))</f>
        <v>#N/A</v>
      </c>
      <c r="S52" t="e">
        <f>IF(K52=2,"",INDEX(drug_codes,MATCH(loaded!AQ52,drug,0)))</f>
        <v>#N/A</v>
      </c>
      <c r="T52" t="e">
        <f>IF(K52=2,"",_xlfn.IFNA(INDEX(drug_codes,MATCH(loaded!AS52,drug,0)),""))</f>
        <v>#N/A</v>
      </c>
      <c r="U52" t="e">
        <f>IF(K52=2,"",_xlfn.IFNA(INDEX(drug_codes,MATCH(loaded!AU52,drug,0)),""))</f>
        <v>#N/A</v>
      </c>
      <c r="V52" t="e">
        <f>IF(K52=2,"",_xlfn.IFNA(INDEX(drug_codes,MATCH(loaded!AW52,drug,0)),""))</f>
        <v>#N/A</v>
      </c>
      <c r="W52" t="e">
        <f>IF(K52=2,"",_xlfn.IFNA(INDEX(drug_codes,MATCH(loaded!AY52,drug,0)),""))</f>
        <v>#N/A</v>
      </c>
      <c r="X52" t="e">
        <f>IF(K52=2,"",_xlfn.IFNA(INDEX(drug_codes,MATCH(loaded!BA52,drug,0)),""))</f>
        <v>#N/A</v>
      </c>
      <c r="Y52" t="e">
        <f>INDEX(MTT_codes,MATCH(loaded!BC52,MTT,0))</f>
        <v>#N/A</v>
      </c>
      <c r="Z52" t="str">
        <f>_xlfn.IFNA(INDEX(MTT_codes,MATCH(loaded!BE52,MTT,0)),"")</f>
        <v/>
      </c>
      <c r="AA52" t="str">
        <f>_xlfn.IFNA(INDEX(MTT_codes,MATCH(loaded!BG52,MTT,0)),"")</f>
        <v/>
      </c>
      <c r="AB52" t="str">
        <f>_xlfn.IFNA(INDEX(MTT_codes,MATCH(loaded!BI52,MTT,0)),"")</f>
        <v/>
      </c>
      <c r="AC52" t="str">
        <f>_xlfn.IFNA(INDEX(MTT_codes,MATCH(loaded!BK52,MTT,0)),"")</f>
        <v/>
      </c>
      <c r="AD52" t="str">
        <f>_xlfn.IFNA(INDEX(MTT_codes,MATCH(loaded!BM52,MTT,0)),"")</f>
        <v/>
      </c>
      <c r="AE52" t="e">
        <f>INDEX(liv_ar_codes,MATCH(loaded!BO52,liv_ar,0))</f>
        <v>#N/A</v>
      </c>
      <c r="AF52" t="str">
        <f>_xlfn.IFNA(INDEX(MTT_codes,MATCH(loaded!BQ52,MTT,0)),"")</f>
        <v/>
      </c>
      <c r="AG52">
        <f>_xlfn.IFNA(INDEX(mental_codes,MATCH(loaded!BS52,mental,0)),9)</f>
        <v>9</v>
      </c>
    </row>
    <row r="53" spans="1:33" x14ac:dyDescent="0.25">
      <c r="A53">
        <f>loaded!C53</f>
        <v>0</v>
      </c>
      <c r="B53">
        <f>loaded!I53</f>
        <v>0</v>
      </c>
      <c r="C53">
        <f>IF(loaded!K53="Male",1,IF(loaded!K53="Female",2,9))</f>
        <v>9</v>
      </c>
      <c r="D53" s="8">
        <f>loaded!M53</f>
        <v>0</v>
      </c>
      <c r="E53" t="str">
        <f>LEFT(loaded!O53,3)</f>
        <v/>
      </c>
      <c r="F53" t="e">
        <f>INDEX(cntry_codes,MATCH(loaded!Q53,countries,0))</f>
        <v>#N/A</v>
      </c>
      <c r="G53" t="e">
        <f>INDEX(atsi_codes,MATCH(loaded!S53,atsi,0))</f>
        <v>#N/A</v>
      </c>
      <c r="H53" t="e">
        <f>INDEX(lang_codes,MATCH(loaded!U53,lang,0))</f>
        <v>#N/A</v>
      </c>
      <c r="I53" s="8">
        <f>loaded!W53</f>
        <v>0</v>
      </c>
      <c r="J53" t="e">
        <f>INDEX(us_acc_codes,MATCH(loaded!Y53,us_acc,0))</f>
        <v>#N/A</v>
      </c>
      <c r="K53" t="e">
        <f>INDEX(client_codes,MATCH(loaded!AA53,client,0))</f>
        <v>#N/A</v>
      </c>
      <c r="L53" t="e">
        <f>INDEX(src_ref_codes,MATCH(loaded!AC53,src_ref,0))</f>
        <v>#N/A</v>
      </c>
      <c r="M53" s="8">
        <f>loaded!AE53</f>
        <v>0</v>
      </c>
      <c r="N53" s="8">
        <f>loaded!AG53</f>
        <v>0</v>
      </c>
      <c r="O53" t="e">
        <f>INDEX(reces_codes,MATCH(loaded!AI53,reason,0))</f>
        <v>#N/A</v>
      </c>
      <c r="P53" t="e">
        <f>INDEX(TDS_codes,MATCH(loaded!AK53,TDS,0))</f>
        <v>#N/A</v>
      </c>
      <c r="Q53" t="e">
        <f>IF(K53=2,"",INDEX(method_codes,MATCH(loaded!AM53,method,0)))</f>
        <v>#N/A</v>
      </c>
      <c r="R53" t="e">
        <f>IF(K53=2,"",INDEX(inj_codes,MATCH(loaded!AO53,inj,0)))</f>
        <v>#N/A</v>
      </c>
      <c r="S53" t="e">
        <f>IF(K53=2,"",INDEX(drug_codes,MATCH(loaded!AQ53,drug,0)))</f>
        <v>#N/A</v>
      </c>
      <c r="T53" t="e">
        <f>IF(K53=2,"",_xlfn.IFNA(INDEX(drug_codes,MATCH(loaded!AS53,drug,0)),""))</f>
        <v>#N/A</v>
      </c>
      <c r="U53" t="e">
        <f>IF(K53=2,"",_xlfn.IFNA(INDEX(drug_codes,MATCH(loaded!AU53,drug,0)),""))</f>
        <v>#N/A</v>
      </c>
      <c r="V53" t="e">
        <f>IF(K53=2,"",_xlfn.IFNA(INDEX(drug_codes,MATCH(loaded!AW53,drug,0)),""))</f>
        <v>#N/A</v>
      </c>
      <c r="W53" t="e">
        <f>IF(K53=2,"",_xlfn.IFNA(INDEX(drug_codes,MATCH(loaded!AY53,drug,0)),""))</f>
        <v>#N/A</v>
      </c>
      <c r="X53" t="e">
        <f>IF(K53=2,"",_xlfn.IFNA(INDEX(drug_codes,MATCH(loaded!BA53,drug,0)),""))</f>
        <v>#N/A</v>
      </c>
      <c r="Y53" t="e">
        <f>INDEX(MTT_codes,MATCH(loaded!BC53,MTT,0))</f>
        <v>#N/A</v>
      </c>
      <c r="Z53" t="str">
        <f>_xlfn.IFNA(INDEX(MTT_codes,MATCH(loaded!BE53,MTT,0)),"")</f>
        <v/>
      </c>
      <c r="AA53" t="str">
        <f>_xlfn.IFNA(INDEX(MTT_codes,MATCH(loaded!BG53,MTT,0)),"")</f>
        <v/>
      </c>
      <c r="AB53" t="str">
        <f>_xlfn.IFNA(INDEX(MTT_codes,MATCH(loaded!BI53,MTT,0)),"")</f>
        <v/>
      </c>
      <c r="AC53" t="str">
        <f>_xlfn.IFNA(INDEX(MTT_codes,MATCH(loaded!BK53,MTT,0)),"")</f>
        <v/>
      </c>
      <c r="AD53" t="str">
        <f>_xlfn.IFNA(INDEX(MTT_codes,MATCH(loaded!BM53,MTT,0)),"")</f>
        <v/>
      </c>
      <c r="AE53" t="e">
        <f>INDEX(liv_ar_codes,MATCH(loaded!BO53,liv_ar,0))</f>
        <v>#N/A</v>
      </c>
      <c r="AF53" t="str">
        <f>_xlfn.IFNA(INDEX(MTT_codes,MATCH(loaded!BQ53,MTT,0)),"")</f>
        <v/>
      </c>
      <c r="AG53">
        <f>_xlfn.IFNA(INDEX(mental_codes,MATCH(loaded!BS53,mental,0)),9)</f>
        <v>9</v>
      </c>
    </row>
    <row r="54" spans="1:33" x14ac:dyDescent="0.25">
      <c r="A54">
        <f>loaded!C54</f>
        <v>0</v>
      </c>
      <c r="B54">
        <f>loaded!I54</f>
        <v>0</v>
      </c>
      <c r="C54">
        <f>IF(loaded!K54="Male",1,IF(loaded!K54="Female",2,9))</f>
        <v>9</v>
      </c>
      <c r="D54" s="8">
        <f>loaded!M54</f>
        <v>0</v>
      </c>
      <c r="E54" t="str">
        <f>LEFT(loaded!O54,3)</f>
        <v/>
      </c>
      <c r="F54" t="e">
        <f>INDEX(cntry_codes,MATCH(loaded!Q54,countries,0))</f>
        <v>#N/A</v>
      </c>
      <c r="G54" t="e">
        <f>INDEX(atsi_codes,MATCH(loaded!S54,atsi,0))</f>
        <v>#N/A</v>
      </c>
      <c r="H54" t="e">
        <f>INDEX(lang_codes,MATCH(loaded!U54,lang,0))</f>
        <v>#N/A</v>
      </c>
      <c r="I54" s="8">
        <f>loaded!W54</f>
        <v>0</v>
      </c>
      <c r="J54" t="e">
        <f>INDEX(us_acc_codes,MATCH(loaded!Y54,us_acc,0))</f>
        <v>#N/A</v>
      </c>
      <c r="K54" t="e">
        <f>INDEX(client_codes,MATCH(loaded!AA54,client,0))</f>
        <v>#N/A</v>
      </c>
      <c r="L54" t="e">
        <f>INDEX(src_ref_codes,MATCH(loaded!AC54,src_ref,0))</f>
        <v>#N/A</v>
      </c>
      <c r="M54" s="8">
        <f>loaded!AE54</f>
        <v>0</v>
      </c>
      <c r="N54" s="8">
        <f>loaded!AG54</f>
        <v>0</v>
      </c>
      <c r="O54" t="e">
        <f>INDEX(reces_codes,MATCH(loaded!AI54,reason,0))</f>
        <v>#N/A</v>
      </c>
      <c r="P54" t="e">
        <f>INDEX(TDS_codes,MATCH(loaded!AK54,TDS,0))</f>
        <v>#N/A</v>
      </c>
      <c r="Q54" t="e">
        <f>IF(K54=2,"",INDEX(method_codes,MATCH(loaded!AM54,method,0)))</f>
        <v>#N/A</v>
      </c>
      <c r="R54" t="e">
        <f>IF(K54=2,"",INDEX(inj_codes,MATCH(loaded!AO54,inj,0)))</f>
        <v>#N/A</v>
      </c>
      <c r="S54" t="e">
        <f>IF(K54=2,"",INDEX(drug_codes,MATCH(loaded!AQ54,drug,0)))</f>
        <v>#N/A</v>
      </c>
      <c r="T54" t="e">
        <f>IF(K54=2,"",_xlfn.IFNA(INDEX(drug_codes,MATCH(loaded!AS54,drug,0)),""))</f>
        <v>#N/A</v>
      </c>
      <c r="U54" t="e">
        <f>IF(K54=2,"",_xlfn.IFNA(INDEX(drug_codes,MATCH(loaded!AU54,drug,0)),""))</f>
        <v>#N/A</v>
      </c>
      <c r="V54" t="e">
        <f>IF(K54=2,"",_xlfn.IFNA(INDEX(drug_codes,MATCH(loaded!AW54,drug,0)),""))</f>
        <v>#N/A</v>
      </c>
      <c r="W54" t="e">
        <f>IF(K54=2,"",_xlfn.IFNA(INDEX(drug_codes,MATCH(loaded!AY54,drug,0)),""))</f>
        <v>#N/A</v>
      </c>
      <c r="X54" t="e">
        <f>IF(K54=2,"",_xlfn.IFNA(INDEX(drug_codes,MATCH(loaded!BA54,drug,0)),""))</f>
        <v>#N/A</v>
      </c>
      <c r="Y54" t="e">
        <f>INDEX(MTT_codes,MATCH(loaded!BC54,MTT,0))</f>
        <v>#N/A</v>
      </c>
      <c r="Z54" t="str">
        <f>_xlfn.IFNA(INDEX(MTT_codes,MATCH(loaded!BE54,MTT,0)),"")</f>
        <v/>
      </c>
      <c r="AA54" t="str">
        <f>_xlfn.IFNA(INDEX(MTT_codes,MATCH(loaded!BG54,MTT,0)),"")</f>
        <v/>
      </c>
      <c r="AB54" t="str">
        <f>_xlfn.IFNA(INDEX(MTT_codes,MATCH(loaded!BI54,MTT,0)),"")</f>
        <v/>
      </c>
      <c r="AC54" t="str">
        <f>_xlfn.IFNA(INDEX(MTT_codes,MATCH(loaded!BK54,MTT,0)),"")</f>
        <v/>
      </c>
      <c r="AD54" t="str">
        <f>_xlfn.IFNA(INDEX(MTT_codes,MATCH(loaded!BM54,MTT,0)),"")</f>
        <v/>
      </c>
      <c r="AE54" t="e">
        <f>INDEX(liv_ar_codes,MATCH(loaded!BO54,liv_ar,0))</f>
        <v>#N/A</v>
      </c>
      <c r="AF54" t="str">
        <f>_xlfn.IFNA(INDEX(MTT_codes,MATCH(loaded!BQ54,MTT,0)),"")</f>
        <v/>
      </c>
      <c r="AG54">
        <f>_xlfn.IFNA(INDEX(mental_codes,MATCH(loaded!BS54,mental,0)),9)</f>
        <v>9</v>
      </c>
    </row>
    <row r="55" spans="1:33" x14ac:dyDescent="0.25">
      <c r="A55">
        <f>loaded!C55</f>
        <v>0</v>
      </c>
      <c r="B55">
        <f>loaded!I55</f>
        <v>0</v>
      </c>
      <c r="C55">
        <f>IF(loaded!K55="Male",1,IF(loaded!K55="Female",2,9))</f>
        <v>9</v>
      </c>
      <c r="D55" s="8">
        <f>loaded!M55</f>
        <v>0</v>
      </c>
      <c r="E55" t="str">
        <f>LEFT(loaded!O55,3)</f>
        <v/>
      </c>
      <c r="F55" t="e">
        <f>INDEX(cntry_codes,MATCH(loaded!Q55,countries,0))</f>
        <v>#N/A</v>
      </c>
      <c r="G55" t="e">
        <f>INDEX(atsi_codes,MATCH(loaded!S55,atsi,0))</f>
        <v>#N/A</v>
      </c>
      <c r="H55" t="e">
        <f>INDEX(lang_codes,MATCH(loaded!U55,lang,0))</f>
        <v>#N/A</v>
      </c>
      <c r="I55" s="8">
        <f>loaded!W55</f>
        <v>0</v>
      </c>
      <c r="J55" t="e">
        <f>INDEX(us_acc_codes,MATCH(loaded!Y55,us_acc,0))</f>
        <v>#N/A</v>
      </c>
      <c r="K55" t="e">
        <f>INDEX(client_codes,MATCH(loaded!AA55,client,0))</f>
        <v>#N/A</v>
      </c>
      <c r="L55" t="e">
        <f>INDEX(src_ref_codes,MATCH(loaded!AC55,src_ref,0))</f>
        <v>#N/A</v>
      </c>
      <c r="M55" s="8">
        <f>loaded!AE55</f>
        <v>0</v>
      </c>
      <c r="N55" s="8">
        <f>loaded!AG55</f>
        <v>0</v>
      </c>
      <c r="O55" t="e">
        <f>INDEX(reces_codes,MATCH(loaded!AI55,reason,0))</f>
        <v>#N/A</v>
      </c>
      <c r="P55" t="e">
        <f>INDEX(TDS_codes,MATCH(loaded!AK55,TDS,0))</f>
        <v>#N/A</v>
      </c>
      <c r="Q55" t="e">
        <f>IF(K55=2,"",INDEX(method_codes,MATCH(loaded!AM55,method,0)))</f>
        <v>#N/A</v>
      </c>
      <c r="R55" t="e">
        <f>IF(K55=2,"",INDEX(inj_codes,MATCH(loaded!AO55,inj,0)))</f>
        <v>#N/A</v>
      </c>
      <c r="S55" t="e">
        <f>IF(K55=2,"",INDEX(drug_codes,MATCH(loaded!AQ55,drug,0)))</f>
        <v>#N/A</v>
      </c>
      <c r="T55" t="e">
        <f>IF(K55=2,"",_xlfn.IFNA(INDEX(drug_codes,MATCH(loaded!AS55,drug,0)),""))</f>
        <v>#N/A</v>
      </c>
      <c r="U55" t="e">
        <f>IF(K55=2,"",_xlfn.IFNA(INDEX(drug_codes,MATCH(loaded!AU55,drug,0)),""))</f>
        <v>#N/A</v>
      </c>
      <c r="V55" t="e">
        <f>IF(K55=2,"",_xlfn.IFNA(INDEX(drug_codes,MATCH(loaded!AW55,drug,0)),""))</f>
        <v>#N/A</v>
      </c>
      <c r="W55" t="e">
        <f>IF(K55=2,"",_xlfn.IFNA(INDEX(drug_codes,MATCH(loaded!AY55,drug,0)),""))</f>
        <v>#N/A</v>
      </c>
      <c r="X55" t="e">
        <f>IF(K55=2,"",_xlfn.IFNA(INDEX(drug_codes,MATCH(loaded!BA55,drug,0)),""))</f>
        <v>#N/A</v>
      </c>
      <c r="Y55" t="e">
        <f>INDEX(MTT_codes,MATCH(loaded!BC55,MTT,0))</f>
        <v>#N/A</v>
      </c>
      <c r="Z55" t="str">
        <f>_xlfn.IFNA(INDEX(MTT_codes,MATCH(loaded!BE55,MTT,0)),"")</f>
        <v/>
      </c>
      <c r="AA55" t="str">
        <f>_xlfn.IFNA(INDEX(MTT_codes,MATCH(loaded!BG55,MTT,0)),"")</f>
        <v/>
      </c>
      <c r="AB55" t="str">
        <f>_xlfn.IFNA(INDEX(MTT_codes,MATCH(loaded!BI55,MTT,0)),"")</f>
        <v/>
      </c>
      <c r="AC55" t="str">
        <f>_xlfn.IFNA(INDEX(MTT_codes,MATCH(loaded!BK55,MTT,0)),"")</f>
        <v/>
      </c>
      <c r="AD55" t="str">
        <f>_xlfn.IFNA(INDEX(MTT_codes,MATCH(loaded!BM55,MTT,0)),"")</f>
        <v/>
      </c>
      <c r="AE55" t="e">
        <f>INDEX(liv_ar_codes,MATCH(loaded!BO55,liv_ar,0))</f>
        <v>#N/A</v>
      </c>
      <c r="AF55" t="str">
        <f>_xlfn.IFNA(INDEX(MTT_codes,MATCH(loaded!BQ55,MTT,0)),"")</f>
        <v/>
      </c>
      <c r="AG55">
        <f>_xlfn.IFNA(INDEX(mental_codes,MATCH(loaded!BS55,mental,0)),9)</f>
        <v>9</v>
      </c>
    </row>
    <row r="56" spans="1:33" x14ac:dyDescent="0.25">
      <c r="A56">
        <f>loaded!C56</f>
        <v>0</v>
      </c>
      <c r="B56">
        <f>loaded!I56</f>
        <v>0</v>
      </c>
      <c r="C56">
        <f>IF(loaded!K56="Male",1,IF(loaded!K56="Female",2,9))</f>
        <v>9</v>
      </c>
      <c r="D56" s="8">
        <f>loaded!M56</f>
        <v>0</v>
      </c>
      <c r="E56" t="str">
        <f>LEFT(loaded!O56,3)</f>
        <v/>
      </c>
      <c r="F56" t="e">
        <f>INDEX(cntry_codes,MATCH(loaded!Q56,countries,0))</f>
        <v>#N/A</v>
      </c>
      <c r="G56" t="e">
        <f>INDEX(atsi_codes,MATCH(loaded!S56,atsi,0))</f>
        <v>#N/A</v>
      </c>
      <c r="H56" t="e">
        <f>INDEX(lang_codes,MATCH(loaded!U56,lang,0))</f>
        <v>#N/A</v>
      </c>
      <c r="I56" s="8">
        <f>loaded!W56</f>
        <v>0</v>
      </c>
      <c r="J56" t="e">
        <f>INDEX(us_acc_codes,MATCH(loaded!Y56,us_acc,0))</f>
        <v>#N/A</v>
      </c>
      <c r="K56" t="e">
        <f>INDEX(client_codes,MATCH(loaded!AA56,client,0))</f>
        <v>#N/A</v>
      </c>
      <c r="L56" t="e">
        <f>INDEX(src_ref_codes,MATCH(loaded!AC56,src_ref,0))</f>
        <v>#N/A</v>
      </c>
      <c r="M56" s="8">
        <f>loaded!AE56</f>
        <v>0</v>
      </c>
      <c r="N56" s="8">
        <f>loaded!AG56</f>
        <v>0</v>
      </c>
      <c r="O56" t="e">
        <f>INDEX(reces_codes,MATCH(loaded!AI56,reason,0))</f>
        <v>#N/A</v>
      </c>
      <c r="P56" t="e">
        <f>INDEX(TDS_codes,MATCH(loaded!AK56,TDS,0))</f>
        <v>#N/A</v>
      </c>
      <c r="Q56" t="e">
        <f>IF(K56=2,"",INDEX(method_codes,MATCH(loaded!AM56,method,0)))</f>
        <v>#N/A</v>
      </c>
      <c r="R56" t="e">
        <f>IF(K56=2,"",INDEX(inj_codes,MATCH(loaded!AO56,inj,0)))</f>
        <v>#N/A</v>
      </c>
      <c r="S56" t="e">
        <f>IF(K56=2,"",INDEX(drug_codes,MATCH(loaded!AQ56,drug,0)))</f>
        <v>#N/A</v>
      </c>
      <c r="T56" t="e">
        <f>IF(K56=2,"",_xlfn.IFNA(INDEX(drug_codes,MATCH(loaded!AS56,drug,0)),""))</f>
        <v>#N/A</v>
      </c>
      <c r="U56" t="e">
        <f>IF(K56=2,"",_xlfn.IFNA(INDEX(drug_codes,MATCH(loaded!AU56,drug,0)),""))</f>
        <v>#N/A</v>
      </c>
      <c r="V56" t="e">
        <f>IF(K56=2,"",_xlfn.IFNA(INDEX(drug_codes,MATCH(loaded!AW56,drug,0)),""))</f>
        <v>#N/A</v>
      </c>
      <c r="W56" t="e">
        <f>IF(K56=2,"",_xlfn.IFNA(INDEX(drug_codes,MATCH(loaded!AY56,drug,0)),""))</f>
        <v>#N/A</v>
      </c>
      <c r="X56" t="e">
        <f>IF(K56=2,"",_xlfn.IFNA(INDEX(drug_codes,MATCH(loaded!BA56,drug,0)),""))</f>
        <v>#N/A</v>
      </c>
      <c r="Y56" t="e">
        <f>INDEX(MTT_codes,MATCH(loaded!BC56,MTT,0))</f>
        <v>#N/A</v>
      </c>
      <c r="Z56" t="str">
        <f>_xlfn.IFNA(INDEX(MTT_codes,MATCH(loaded!BE56,MTT,0)),"")</f>
        <v/>
      </c>
      <c r="AA56" t="str">
        <f>_xlfn.IFNA(INDEX(MTT_codes,MATCH(loaded!BG56,MTT,0)),"")</f>
        <v/>
      </c>
      <c r="AB56" t="str">
        <f>_xlfn.IFNA(INDEX(MTT_codes,MATCH(loaded!BI56,MTT,0)),"")</f>
        <v/>
      </c>
      <c r="AC56" t="str">
        <f>_xlfn.IFNA(INDEX(MTT_codes,MATCH(loaded!BK56,MTT,0)),"")</f>
        <v/>
      </c>
      <c r="AD56" t="str">
        <f>_xlfn.IFNA(INDEX(MTT_codes,MATCH(loaded!BM56,MTT,0)),"")</f>
        <v/>
      </c>
      <c r="AE56" t="e">
        <f>INDEX(liv_ar_codes,MATCH(loaded!BO56,liv_ar,0))</f>
        <v>#N/A</v>
      </c>
      <c r="AF56" t="str">
        <f>_xlfn.IFNA(INDEX(MTT_codes,MATCH(loaded!BQ56,MTT,0)),"")</f>
        <v/>
      </c>
      <c r="AG56">
        <f>_xlfn.IFNA(INDEX(mental_codes,MATCH(loaded!BS56,mental,0)),9)</f>
        <v>9</v>
      </c>
    </row>
    <row r="57" spans="1:33" x14ac:dyDescent="0.25">
      <c r="A57">
        <f>loaded!C57</f>
        <v>0</v>
      </c>
      <c r="B57">
        <f>loaded!I57</f>
        <v>0</v>
      </c>
      <c r="C57">
        <f>IF(loaded!K57="Male",1,IF(loaded!K57="Female",2,9))</f>
        <v>9</v>
      </c>
      <c r="D57" s="8">
        <f>loaded!M57</f>
        <v>0</v>
      </c>
      <c r="E57" t="str">
        <f>LEFT(loaded!O57,3)</f>
        <v/>
      </c>
      <c r="F57" t="e">
        <f>INDEX(cntry_codes,MATCH(loaded!Q57,countries,0))</f>
        <v>#N/A</v>
      </c>
      <c r="G57" t="e">
        <f>INDEX(atsi_codes,MATCH(loaded!S57,atsi,0))</f>
        <v>#N/A</v>
      </c>
      <c r="H57" t="e">
        <f>INDEX(lang_codes,MATCH(loaded!U57,lang,0))</f>
        <v>#N/A</v>
      </c>
      <c r="I57" s="8">
        <f>loaded!W57</f>
        <v>0</v>
      </c>
      <c r="J57" t="e">
        <f>INDEX(us_acc_codes,MATCH(loaded!Y57,us_acc,0))</f>
        <v>#N/A</v>
      </c>
      <c r="K57" t="e">
        <f>INDEX(client_codes,MATCH(loaded!AA57,client,0))</f>
        <v>#N/A</v>
      </c>
      <c r="L57" t="e">
        <f>INDEX(src_ref_codes,MATCH(loaded!AC57,src_ref,0))</f>
        <v>#N/A</v>
      </c>
      <c r="M57" s="8">
        <f>loaded!AE57</f>
        <v>0</v>
      </c>
      <c r="N57" s="8">
        <f>loaded!AG57</f>
        <v>0</v>
      </c>
      <c r="O57" t="e">
        <f>INDEX(reces_codes,MATCH(loaded!AI57,reason,0))</f>
        <v>#N/A</v>
      </c>
      <c r="P57" t="e">
        <f>INDEX(TDS_codes,MATCH(loaded!AK57,TDS,0))</f>
        <v>#N/A</v>
      </c>
      <c r="Q57" t="e">
        <f>IF(K57=2,"",INDEX(method_codes,MATCH(loaded!AM57,method,0)))</f>
        <v>#N/A</v>
      </c>
      <c r="R57" t="e">
        <f>IF(K57=2,"",INDEX(inj_codes,MATCH(loaded!AO57,inj,0)))</f>
        <v>#N/A</v>
      </c>
      <c r="S57" t="e">
        <f>IF(K57=2,"",INDEX(drug_codes,MATCH(loaded!AQ57,drug,0)))</f>
        <v>#N/A</v>
      </c>
      <c r="T57" t="e">
        <f>IF(K57=2,"",_xlfn.IFNA(INDEX(drug_codes,MATCH(loaded!AS57,drug,0)),""))</f>
        <v>#N/A</v>
      </c>
      <c r="U57" t="e">
        <f>IF(K57=2,"",_xlfn.IFNA(INDEX(drug_codes,MATCH(loaded!AU57,drug,0)),""))</f>
        <v>#N/A</v>
      </c>
      <c r="V57" t="e">
        <f>IF(K57=2,"",_xlfn.IFNA(INDEX(drug_codes,MATCH(loaded!AW57,drug,0)),""))</f>
        <v>#N/A</v>
      </c>
      <c r="W57" t="e">
        <f>IF(K57=2,"",_xlfn.IFNA(INDEX(drug_codes,MATCH(loaded!AY57,drug,0)),""))</f>
        <v>#N/A</v>
      </c>
      <c r="X57" t="e">
        <f>IF(K57=2,"",_xlfn.IFNA(INDEX(drug_codes,MATCH(loaded!BA57,drug,0)),""))</f>
        <v>#N/A</v>
      </c>
      <c r="Y57" t="e">
        <f>INDEX(MTT_codes,MATCH(loaded!BC57,MTT,0))</f>
        <v>#N/A</v>
      </c>
      <c r="Z57" t="str">
        <f>_xlfn.IFNA(INDEX(MTT_codes,MATCH(loaded!BE57,MTT,0)),"")</f>
        <v/>
      </c>
      <c r="AA57" t="str">
        <f>_xlfn.IFNA(INDEX(MTT_codes,MATCH(loaded!BG57,MTT,0)),"")</f>
        <v/>
      </c>
      <c r="AB57" t="str">
        <f>_xlfn.IFNA(INDEX(MTT_codes,MATCH(loaded!BI57,MTT,0)),"")</f>
        <v/>
      </c>
      <c r="AC57" t="str">
        <f>_xlfn.IFNA(INDEX(MTT_codes,MATCH(loaded!BK57,MTT,0)),"")</f>
        <v/>
      </c>
      <c r="AD57" t="str">
        <f>_xlfn.IFNA(INDEX(MTT_codes,MATCH(loaded!BM57,MTT,0)),"")</f>
        <v/>
      </c>
      <c r="AE57" t="e">
        <f>INDEX(liv_ar_codes,MATCH(loaded!BO57,liv_ar,0))</f>
        <v>#N/A</v>
      </c>
      <c r="AF57" t="str">
        <f>_xlfn.IFNA(INDEX(MTT_codes,MATCH(loaded!BQ57,MTT,0)),"")</f>
        <v/>
      </c>
      <c r="AG57">
        <f>_xlfn.IFNA(INDEX(mental_codes,MATCH(loaded!BS57,mental,0)),9)</f>
        <v>9</v>
      </c>
    </row>
    <row r="58" spans="1:33" x14ac:dyDescent="0.25">
      <c r="A58">
        <f>loaded!C58</f>
        <v>0</v>
      </c>
      <c r="B58">
        <f>loaded!I58</f>
        <v>0</v>
      </c>
      <c r="C58">
        <f>IF(loaded!K58="Male",1,IF(loaded!K58="Female",2,9))</f>
        <v>9</v>
      </c>
      <c r="D58" s="8">
        <f>loaded!M58</f>
        <v>0</v>
      </c>
      <c r="E58" t="str">
        <f>LEFT(loaded!O58,3)</f>
        <v/>
      </c>
      <c r="F58" t="e">
        <f>INDEX(cntry_codes,MATCH(loaded!Q58,countries,0))</f>
        <v>#N/A</v>
      </c>
      <c r="G58" t="e">
        <f>INDEX(atsi_codes,MATCH(loaded!S58,atsi,0))</f>
        <v>#N/A</v>
      </c>
      <c r="H58" t="e">
        <f>INDEX(lang_codes,MATCH(loaded!U58,lang,0))</f>
        <v>#N/A</v>
      </c>
      <c r="I58" s="8">
        <f>loaded!W58</f>
        <v>0</v>
      </c>
      <c r="J58" t="e">
        <f>INDEX(us_acc_codes,MATCH(loaded!Y58,us_acc,0))</f>
        <v>#N/A</v>
      </c>
      <c r="K58" t="e">
        <f>INDEX(client_codes,MATCH(loaded!AA58,client,0))</f>
        <v>#N/A</v>
      </c>
      <c r="L58" t="e">
        <f>INDEX(src_ref_codes,MATCH(loaded!AC58,src_ref,0))</f>
        <v>#N/A</v>
      </c>
      <c r="M58" s="8">
        <f>loaded!AE58</f>
        <v>0</v>
      </c>
      <c r="N58" s="8">
        <f>loaded!AG58</f>
        <v>0</v>
      </c>
      <c r="O58" t="e">
        <f>INDEX(reces_codes,MATCH(loaded!AI58,reason,0))</f>
        <v>#N/A</v>
      </c>
      <c r="P58" t="e">
        <f>INDEX(TDS_codes,MATCH(loaded!AK58,TDS,0))</f>
        <v>#N/A</v>
      </c>
      <c r="Q58" t="e">
        <f>IF(K58=2,"",INDEX(method_codes,MATCH(loaded!AM58,method,0)))</f>
        <v>#N/A</v>
      </c>
      <c r="R58" t="e">
        <f>IF(K58=2,"",INDEX(inj_codes,MATCH(loaded!AO58,inj,0)))</f>
        <v>#N/A</v>
      </c>
      <c r="S58" t="e">
        <f>IF(K58=2,"",INDEX(drug_codes,MATCH(loaded!AQ58,drug,0)))</f>
        <v>#N/A</v>
      </c>
      <c r="T58" t="e">
        <f>IF(K58=2,"",_xlfn.IFNA(INDEX(drug_codes,MATCH(loaded!AS58,drug,0)),""))</f>
        <v>#N/A</v>
      </c>
      <c r="U58" t="e">
        <f>IF(K58=2,"",_xlfn.IFNA(INDEX(drug_codes,MATCH(loaded!AU58,drug,0)),""))</f>
        <v>#N/A</v>
      </c>
      <c r="V58" t="e">
        <f>IF(K58=2,"",_xlfn.IFNA(INDEX(drug_codes,MATCH(loaded!AW58,drug,0)),""))</f>
        <v>#N/A</v>
      </c>
      <c r="W58" t="e">
        <f>IF(K58=2,"",_xlfn.IFNA(INDEX(drug_codes,MATCH(loaded!AY58,drug,0)),""))</f>
        <v>#N/A</v>
      </c>
      <c r="X58" t="e">
        <f>IF(K58=2,"",_xlfn.IFNA(INDEX(drug_codes,MATCH(loaded!BA58,drug,0)),""))</f>
        <v>#N/A</v>
      </c>
      <c r="Y58" t="e">
        <f>INDEX(MTT_codes,MATCH(loaded!BC58,MTT,0))</f>
        <v>#N/A</v>
      </c>
      <c r="Z58" t="str">
        <f>_xlfn.IFNA(INDEX(MTT_codes,MATCH(loaded!BE58,MTT,0)),"")</f>
        <v/>
      </c>
      <c r="AA58" t="str">
        <f>_xlfn.IFNA(INDEX(MTT_codes,MATCH(loaded!BG58,MTT,0)),"")</f>
        <v/>
      </c>
      <c r="AB58" t="str">
        <f>_xlfn.IFNA(INDEX(MTT_codes,MATCH(loaded!BI58,MTT,0)),"")</f>
        <v/>
      </c>
      <c r="AC58" t="str">
        <f>_xlfn.IFNA(INDEX(MTT_codes,MATCH(loaded!BK58,MTT,0)),"")</f>
        <v/>
      </c>
      <c r="AD58" t="str">
        <f>_xlfn.IFNA(INDEX(MTT_codes,MATCH(loaded!BM58,MTT,0)),"")</f>
        <v/>
      </c>
      <c r="AE58" t="e">
        <f>INDEX(liv_ar_codes,MATCH(loaded!BO58,liv_ar,0))</f>
        <v>#N/A</v>
      </c>
      <c r="AF58" t="str">
        <f>_xlfn.IFNA(INDEX(MTT_codes,MATCH(loaded!BQ58,MTT,0)),"")</f>
        <v/>
      </c>
      <c r="AG58">
        <f>_xlfn.IFNA(INDEX(mental_codes,MATCH(loaded!BS58,mental,0)),9)</f>
        <v>9</v>
      </c>
    </row>
    <row r="59" spans="1:33" x14ac:dyDescent="0.25">
      <c r="A59">
        <f>loaded!C59</f>
        <v>0</v>
      </c>
      <c r="B59">
        <f>loaded!I59</f>
        <v>0</v>
      </c>
      <c r="C59">
        <f>IF(loaded!K59="Male",1,IF(loaded!K59="Female",2,9))</f>
        <v>9</v>
      </c>
      <c r="D59" s="8">
        <f>loaded!M59</f>
        <v>0</v>
      </c>
      <c r="E59" t="str">
        <f>LEFT(loaded!O59,3)</f>
        <v/>
      </c>
      <c r="F59" t="e">
        <f>INDEX(cntry_codes,MATCH(loaded!Q59,countries,0))</f>
        <v>#N/A</v>
      </c>
      <c r="G59" t="e">
        <f>INDEX(atsi_codes,MATCH(loaded!S59,atsi,0))</f>
        <v>#N/A</v>
      </c>
      <c r="H59" t="e">
        <f>INDEX(lang_codes,MATCH(loaded!U59,lang,0))</f>
        <v>#N/A</v>
      </c>
      <c r="I59" s="8">
        <f>loaded!W59</f>
        <v>0</v>
      </c>
      <c r="J59" t="e">
        <f>INDEX(us_acc_codes,MATCH(loaded!Y59,us_acc,0))</f>
        <v>#N/A</v>
      </c>
      <c r="K59" t="e">
        <f>INDEX(client_codes,MATCH(loaded!AA59,client,0))</f>
        <v>#N/A</v>
      </c>
      <c r="L59" t="e">
        <f>INDEX(src_ref_codes,MATCH(loaded!AC59,src_ref,0))</f>
        <v>#N/A</v>
      </c>
      <c r="M59" s="8">
        <f>loaded!AE59</f>
        <v>0</v>
      </c>
      <c r="N59" s="8">
        <f>loaded!AG59</f>
        <v>0</v>
      </c>
      <c r="O59" t="e">
        <f>INDEX(reces_codes,MATCH(loaded!AI59,reason,0))</f>
        <v>#N/A</v>
      </c>
      <c r="P59" t="e">
        <f>INDEX(TDS_codes,MATCH(loaded!AK59,TDS,0))</f>
        <v>#N/A</v>
      </c>
      <c r="Q59" t="e">
        <f>IF(K59=2,"",INDEX(method_codes,MATCH(loaded!AM59,method,0)))</f>
        <v>#N/A</v>
      </c>
      <c r="R59" t="e">
        <f>IF(K59=2,"",INDEX(inj_codes,MATCH(loaded!AO59,inj,0)))</f>
        <v>#N/A</v>
      </c>
      <c r="S59" t="e">
        <f>IF(K59=2,"",INDEX(drug_codes,MATCH(loaded!AQ59,drug,0)))</f>
        <v>#N/A</v>
      </c>
      <c r="T59" t="e">
        <f>IF(K59=2,"",_xlfn.IFNA(INDEX(drug_codes,MATCH(loaded!AS59,drug,0)),""))</f>
        <v>#N/A</v>
      </c>
      <c r="U59" t="e">
        <f>IF(K59=2,"",_xlfn.IFNA(INDEX(drug_codes,MATCH(loaded!AU59,drug,0)),""))</f>
        <v>#N/A</v>
      </c>
      <c r="V59" t="e">
        <f>IF(K59=2,"",_xlfn.IFNA(INDEX(drug_codes,MATCH(loaded!AW59,drug,0)),""))</f>
        <v>#N/A</v>
      </c>
      <c r="W59" t="e">
        <f>IF(K59=2,"",_xlfn.IFNA(INDEX(drug_codes,MATCH(loaded!AY59,drug,0)),""))</f>
        <v>#N/A</v>
      </c>
      <c r="X59" t="e">
        <f>IF(K59=2,"",_xlfn.IFNA(INDEX(drug_codes,MATCH(loaded!BA59,drug,0)),""))</f>
        <v>#N/A</v>
      </c>
      <c r="Y59" t="e">
        <f>INDEX(MTT_codes,MATCH(loaded!BC59,MTT,0))</f>
        <v>#N/A</v>
      </c>
      <c r="Z59" t="str">
        <f>_xlfn.IFNA(INDEX(MTT_codes,MATCH(loaded!BE59,MTT,0)),"")</f>
        <v/>
      </c>
      <c r="AA59" t="str">
        <f>_xlfn.IFNA(INDEX(MTT_codes,MATCH(loaded!BG59,MTT,0)),"")</f>
        <v/>
      </c>
      <c r="AB59" t="str">
        <f>_xlfn.IFNA(INDEX(MTT_codes,MATCH(loaded!BI59,MTT,0)),"")</f>
        <v/>
      </c>
      <c r="AC59" t="str">
        <f>_xlfn.IFNA(INDEX(MTT_codes,MATCH(loaded!BK59,MTT,0)),"")</f>
        <v/>
      </c>
      <c r="AD59" t="str">
        <f>_xlfn.IFNA(INDEX(MTT_codes,MATCH(loaded!BM59,MTT,0)),"")</f>
        <v/>
      </c>
      <c r="AE59" t="e">
        <f>INDEX(liv_ar_codes,MATCH(loaded!BO59,liv_ar,0))</f>
        <v>#N/A</v>
      </c>
      <c r="AF59" t="str">
        <f>_xlfn.IFNA(INDEX(MTT_codes,MATCH(loaded!BQ59,MTT,0)),"")</f>
        <v/>
      </c>
      <c r="AG59">
        <f>_xlfn.IFNA(INDEX(mental_codes,MATCH(loaded!BS59,mental,0)),9)</f>
        <v>9</v>
      </c>
    </row>
    <row r="60" spans="1:33" x14ac:dyDescent="0.25">
      <c r="A60">
        <f>loaded!C60</f>
        <v>0</v>
      </c>
      <c r="B60">
        <f>loaded!I60</f>
        <v>0</v>
      </c>
      <c r="C60">
        <f>IF(loaded!K60="Male",1,IF(loaded!K60="Female",2,9))</f>
        <v>9</v>
      </c>
      <c r="D60" s="8">
        <f>loaded!M60</f>
        <v>0</v>
      </c>
      <c r="E60" t="str">
        <f>LEFT(loaded!O60,3)</f>
        <v/>
      </c>
      <c r="F60" t="e">
        <f>INDEX(cntry_codes,MATCH(loaded!Q60,countries,0))</f>
        <v>#N/A</v>
      </c>
      <c r="G60" t="e">
        <f>INDEX(atsi_codes,MATCH(loaded!S60,atsi,0))</f>
        <v>#N/A</v>
      </c>
      <c r="H60" t="e">
        <f>INDEX(lang_codes,MATCH(loaded!U60,lang,0))</f>
        <v>#N/A</v>
      </c>
      <c r="I60" s="8">
        <f>loaded!W60</f>
        <v>0</v>
      </c>
      <c r="J60" t="e">
        <f>INDEX(us_acc_codes,MATCH(loaded!Y60,us_acc,0))</f>
        <v>#N/A</v>
      </c>
      <c r="K60" t="e">
        <f>INDEX(client_codes,MATCH(loaded!AA60,client,0))</f>
        <v>#N/A</v>
      </c>
      <c r="L60" t="e">
        <f>INDEX(src_ref_codes,MATCH(loaded!AC60,src_ref,0))</f>
        <v>#N/A</v>
      </c>
      <c r="M60" s="8">
        <f>loaded!AE60</f>
        <v>0</v>
      </c>
      <c r="N60" s="8">
        <f>loaded!AG60</f>
        <v>0</v>
      </c>
      <c r="O60" t="e">
        <f>INDEX(reces_codes,MATCH(loaded!AI60,reason,0))</f>
        <v>#N/A</v>
      </c>
      <c r="P60" t="e">
        <f>INDEX(TDS_codes,MATCH(loaded!AK60,TDS,0))</f>
        <v>#N/A</v>
      </c>
      <c r="Q60" t="e">
        <f>IF(K60=2,"",INDEX(method_codes,MATCH(loaded!AM60,method,0)))</f>
        <v>#N/A</v>
      </c>
      <c r="R60" t="e">
        <f>IF(K60=2,"",INDEX(inj_codes,MATCH(loaded!AO60,inj,0)))</f>
        <v>#N/A</v>
      </c>
      <c r="S60" t="e">
        <f>IF(K60=2,"",INDEX(drug_codes,MATCH(loaded!AQ60,drug,0)))</f>
        <v>#N/A</v>
      </c>
      <c r="T60" t="e">
        <f>IF(K60=2,"",_xlfn.IFNA(INDEX(drug_codes,MATCH(loaded!AS60,drug,0)),""))</f>
        <v>#N/A</v>
      </c>
      <c r="U60" t="e">
        <f>IF(K60=2,"",_xlfn.IFNA(INDEX(drug_codes,MATCH(loaded!AU60,drug,0)),""))</f>
        <v>#N/A</v>
      </c>
      <c r="V60" t="e">
        <f>IF(K60=2,"",_xlfn.IFNA(INDEX(drug_codes,MATCH(loaded!AW60,drug,0)),""))</f>
        <v>#N/A</v>
      </c>
      <c r="W60" t="e">
        <f>IF(K60=2,"",_xlfn.IFNA(INDEX(drug_codes,MATCH(loaded!AY60,drug,0)),""))</f>
        <v>#N/A</v>
      </c>
      <c r="X60" t="e">
        <f>IF(K60=2,"",_xlfn.IFNA(INDEX(drug_codes,MATCH(loaded!BA60,drug,0)),""))</f>
        <v>#N/A</v>
      </c>
      <c r="Y60" t="e">
        <f>INDEX(MTT_codes,MATCH(loaded!BC60,MTT,0))</f>
        <v>#N/A</v>
      </c>
      <c r="Z60" t="str">
        <f>_xlfn.IFNA(INDEX(MTT_codes,MATCH(loaded!BE60,MTT,0)),"")</f>
        <v/>
      </c>
      <c r="AA60" t="str">
        <f>_xlfn.IFNA(INDEX(MTT_codes,MATCH(loaded!BG60,MTT,0)),"")</f>
        <v/>
      </c>
      <c r="AB60" t="str">
        <f>_xlfn.IFNA(INDEX(MTT_codes,MATCH(loaded!BI60,MTT,0)),"")</f>
        <v/>
      </c>
      <c r="AC60" t="str">
        <f>_xlfn.IFNA(INDEX(MTT_codes,MATCH(loaded!BK60,MTT,0)),"")</f>
        <v/>
      </c>
      <c r="AD60" t="str">
        <f>_xlfn.IFNA(INDEX(MTT_codes,MATCH(loaded!BM60,MTT,0)),"")</f>
        <v/>
      </c>
      <c r="AE60" t="e">
        <f>INDEX(liv_ar_codes,MATCH(loaded!BO60,liv_ar,0))</f>
        <v>#N/A</v>
      </c>
      <c r="AF60" t="str">
        <f>_xlfn.IFNA(INDEX(MTT_codes,MATCH(loaded!BQ60,MTT,0)),"")</f>
        <v/>
      </c>
      <c r="AG60">
        <f>_xlfn.IFNA(INDEX(mental_codes,MATCH(loaded!BS60,mental,0)),9)</f>
        <v>9</v>
      </c>
    </row>
    <row r="61" spans="1:33" x14ac:dyDescent="0.25">
      <c r="A61">
        <f>loaded!C61</f>
        <v>0</v>
      </c>
      <c r="B61">
        <f>loaded!I61</f>
        <v>0</v>
      </c>
      <c r="C61">
        <f>IF(loaded!K61="Male",1,IF(loaded!K61="Female",2,9))</f>
        <v>9</v>
      </c>
      <c r="D61" s="8">
        <f>loaded!M61</f>
        <v>0</v>
      </c>
      <c r="E61" t="str">
        <f>LEFT(loaded!O61,3)</f>
        <v/>
      </c>
      <c r="F61" t="e">
        <f>INDEX(cntry_codes,MATCH(loaded!Q61,countries,0))</f>
        <v>#N/A</v>
      </c>
      <c r="G61" t="e">
        <f>INDEX(atsi_codes,MATCH(loaded!S61,atsi,0))</f>
        <v>#N/A</v>
      </c>
      <c r="H61" t="e">
        <f>INDEX(lang_codes,MATCH(loaded!U61,lang,0))</f>
        <v>#N/A</v>
      </c>
      <c r="I61" s="8">
        <f>loaded!W61</f>
        <v>0</v>
      </c>
      <c r="J61" t="e">
        <f>INDEX(us_acc_codes,MATCH(loaded!Y61,us_acc,0))</f>
        <v>#N/A</v>
      </c>
      <c r="K61" t="e">
        <f>INDEX(client_codes,MATCH(loaded!AA61,client,0))</f>
        <v>#N/A</v>
      </c>
      <c r="L61" t="e">
        <f>INDEX(src_ref_codes,MATCH(loaded!AC61,src_ref,0))</f>
        <v>#N/A</v>
      </c>
      <c r="M61" s="8">
        <f>loaded!AE61</f>
        <v>0</v>
      </c>
      <c r="N61" s="8">
        <f>loaded!AG61</f>
        <v>0</v>
      </c>
      <c r="O61" t="e">
        <f>INDEX(reces_codes,MATCH(loaded!AI61,reason,0))</f>
        <v>#N/A</v>
      </c>
      <c r="P61" t="e">
        <f>INDEX(TDS_codes,MATCH(loaded!AK61,TDS,0))</f>
        <v>#N/A</v>
      </c>
      <c r="Q61" t="e">
        <f>IF(K61=2,"",INDEX(method_codes,MATCH(loaded!AM61,method,0)))</f>
        <v>#N/A</v>
      </c>
      <c r="R61" t="e">
        <f>IF(K61=2,"",INDEX(inj_codes,MATCH(loaded!AO61,inj,0)))</f>
        <v>#N/A</v>
      </c>
      <c r="S61" t="e">
        <f>IF(K61=2,"",INDEX(drug_codes,MATCH(loaded!AQ61,drug,0)))</f>
        <v>#N/A</v>
      </c>
      <c r="T61" t="e">
        <f>IF(K61=2,"",_xlfn.IFNA(INDEX(drug_codes,MATCH(loaded!AS61,drug,0)),""))</f>
        <v>#N/A</v>
      </c>
      <c r="U61" t="e">
        <f>IF(K61=2,"",_xlfn.IFNA(INDEX(drug_codes,MATCH(loaded!AU61,drug,0)),""))</f>
        <v>#N/A</v>
      </c>
      <c r="V61" t="e">
        <f>IF(K61=2,"",_xlfn.IFNA(INDEX(drug_codes,MATCH(loaded!AW61,drug,0)),""))</f>
        <v>#N/A</v>
      </c>
      <c r="W61" t="e">
        <f>IF(K61=2,"",_xlfn.IFNA(INDEX(drug_codes,MATCH(loaded!AY61,drug,0)),""))</f>
        <v>#N/A</v>
      </c>
      <c r="X61" t="e">
        <f>IF(K61=2,"",_xlfn.IFNA(INDEX(drug_codes,MATCH(loaded!BA61,drug,0)),""))</f>
        <v>#N/A</v>
      </c>
      <c r="Y61" t="e">
        <f>INDEX(MTT_codes,MATCH(loaded!BC61,MTT,0))</f>
        <v>#N/A</v>
      </c>
      <c r="Z61" t="str">
        <f>_xlfn.IFNA(INDEX(MTT_codes,MATCH(loaded!BE61,MTT,0)),"")</f>
        <v/>
      </c>
      <c r="AA61" t="str">
        <f>_xlfn.IFNA(INDEX(MTT_codes,MATCH(loaded!BG61,MTT,0)),"")</f>
        <v/>
      </c>
      <c r="AB61" t="str">
        <f>_xlfn.IFNA(INDEX(MTT_codes,MATCH(loaded!BI61,MTT,0)),"")</f>
        <v/>
      </c>
      <c r="AC61" t="str">
        <f>_xlfn.IFNA(INDEX(MTT_codes,MATCH(loaded!BK61,MTT,0)),"")</f>
        <v/>
      </c>
      <c r="AD61" t="str">
        <f>_xlfn.IFNA(INDEX(MTT_codes,MATCH(loaded!BM61,MTT,0)),"")</f>
        <v/>
      </c>
      <c r="AE61" t="e">
        <f>INDEX(liv_ar_codes,MATCH(loaded!BO61,liv_ar,0))</f>
        <v>#N/A</v>
      </c>
      <c r="AF61" t="str">
        <f>_xlfn.IFNA(INDEX(MTT_codes,MATCH(loaded!BQ61,MTT,0)),"")</f>
        <v/>
      </c>
      <c r="AG61">
        <f>_xlfn.IFNA(INDEX(mental_codes,MATCH(loaded!BS61,mental,0)),9)</f>
        <v>9</v>
      </c>
    </row>
    <row r="62" spans="1:33" x14ac:dyDescent="0.25">
      <c r="A62">
        <f>loaded!C62</f>
        <v>0</v>
      </c>
      <c r="B62">
        <f>loaded!I62</f>
        <v>0</v>
      </c>
      <c r="C62">
        <f>IF(loaded!K62="Male",1,IF(loaded!K62="Female",2,9))</f>
        <v>9</v>
      </c>
      <c r="D62" s="8">
        <f>loaded!M62</f>
        <v>0</v>
      </c>
      <c r="E62" t="str">
        <f>LEFT(loaded!O62,3)</f>
        <v/>
      </c>
      <c r="F62" t="e">
        <f>INDEX(cntry_codes,MATCH(loaded!Q62,countries,0))</f>
        <v>#N/A</v>
      </c>
      <c r="G62" t="e">
        <f>INDEX(atsi_codes,MATCH(loaded!S62,atsi,0))</f>
        <v>#N/A</v>
      </c>
      <c r="H62" t="e">
        <f>INDEX(lang_codes,MATCH(loaded!U62,lang,0))</f>
        <v>#N/A</v>
      </c>
      <c r="I62" s="8">
        <f>loaded!W62</f>
        <v>0</v>
      </c>
      <c r="J62" t="e">
        <f>INDEX(us_acc_codes,MATCH(loaded!Y62,us_acc,0))</f>
        <v>#N/A</v>
      </c>
      <c r="K62" t="e">
        <f>INDEX(client_codes,MATCH(loaded!AA62,client,0))</f>
        <v>#N/A</v>
      </c>
      <c r="L62" t="e">
        <f>INDEX(src_ref_codes,MATCH(loaded!AC62,src_ref,0))</f>
        <v>#N/A</v>
      </c>
      <c r="M62" s="8">
        <f>loaded!AE62</f>
        <v>0</v>
      </c>
      <c r="N62" s="8">
        <f>loaded!AG62</f>
        <v>0</v>
      </c>
      <c r="O62" t="e">
        <f>INDEX(reces_codes,MATCH(loaded!AI62,reason,0))</f>
        <v>#N/A</v>
      </c>
      <c r="P62" t="e">
        <f>INDEX(TDS_codes,MATCH(loaded!AK62,TDS,0))</f>
        <v>#N/A</v>
      </c>
      <c r="Q62" t="e">
        <f>IF(K62=2,"",INDEX(method_codes,MATCH(loaded!AM62,method,0)))</f>
        <v>#N/A</v>
      </c>
      <c r="R62" t="e">
        <f>IF(K62=2,"",INDEX(inj_codes,MATCH(loaded!AO62,inj,0)))</f>
        <v>#N/A</v>
      </c>
      <c r="S62" t="e">
        <f>IF(K62=2,"",INDEX(drug_codes,MATCH(loaded!AQ62,drug,0)))</f>
        <v>#N/A</v>
      </c>
      <c r="T62" t="e">
        <f>IF(K62=2,"",_xlfn.IFNA(INDEX(drug_codes,MATCH(loaded!AS62,drug,0)),""))</f>
        <v>#N/A</v>
      </c>
      <c r="U62" t="e">
        <f>IF(K62=2,"",_xlfn.IFNA(INDEX(drug_codes,MATCH(loaded!AU62,drug,0)),""))</f>
        <v>#N/A</v>
      </c>
      <c r="V62" t="e">
        <f>IF(K62=2,"",_xlfn.IFNA(INDEX(drug_codes,MATCH(loaded!AW62,drug,0)),""))</f>
        <v>#N/A</v>
      </c>
      <c r="W62" t="e">
        <f>IF(K62=2,"",_xlfn.IFNA(INDEX(drug_codes,MATCH(loaded!AY62,drug,0)),""))</f>
        <v>#N/A</v>
      </c>
      <c r="X62" t="e">
        <f>IF(K62=2,"",_xlfn.IFNA(INDEX(drug_codes,MATCH(loaded!BA62,drug,0)),""))</f>
        <v>#N/A</v>
      </c>
      <c r="Y62" t="e">
        <f>INDEX(MTT_codes,MATCH(loaded!BC62,MTT,0))</f>
        <v>#N/A</v>
      </c>
      <c r="Z62" t="str">
        <f>_xlfn.IFNA(INDEX(MTT_codes,MATCH(loaded!BE62,MTT,0)),"")</f>
        <v/>
      </c>
      <c r="AA62" t="str">
        <f>_xlfn.IFNA(INDEX(MTT_codes,MATCH(loaded!BG62,MTT,0)),"")</f>
        <v/>
      </c>
      <c r="AB62" t="str">
        <f>_xlfn.IFNA(INDEX(MTT_codes,MATCH(loaded!BI62,MTT,0)),"")</f>
        <v/>
      </c>
      <c r="AC62" t="str">
        <f>_xlfn.IFNA(INDEX(MTT_codes,MATCH(loaded!BK62,MTT,0)),"")</f>
        <v/>
      </c>
      <c r="AD62" t="str">
        <f>_xlfn.IFNA(INDEX(MTT_codes,MATCH(loaded!BM62,MTT,0)),"")</f>
        <v/>
      </c>
      <c r="AE62" t="e">
        <f>INDEX(liv_ar_codes,MATCH(loaded!BO62,liv_ar,0))</f>
        <v>#N/A</v>
      </c>
      <c r="AF62" t="str">
        <f>_xlfn.IFNA(INDEX(MTT_codes,MATCH(loaded!BQ62,MTT,0)),"")</f>
        <v/>
      </c>
      <c r="AG62">
        <f>_xlfn.IFNA(INDEX(mental_codes,MATCH(loaded!BS62,mental,0)),9)</f>
        <v>9</v>
      </c>
    </row>
    <row r="63" spans="1:33" x14ac:dyDescent="0.25">
      <c r="A63">
        <f>loaded!C63</f>
        <v>0</v>
      </c>
      <c r="B63">
        <f>loaded!I63</f>
        <v>0</v>
      </c>
      <c r="C63">
        <f>IF(loaded!K63="Male",1,IF(loaded!K63="Female",2,9))</f>
        <v>9</v>
      </c>
      <c r="D63" s="8">
        <f>loaded!M63</f>
        <v>0</v>
      </c>
      <c r="E63" t="str">
        <f>LEFT(loaded!O63,3)</f>
        <v/>
      </c>
      <c r="F63" t="e">
        <f>INDEX(cntry_codes,MATCH(loaded!Q63,countries,0))</f>
        <v>#N/A</v>
      </c>
      <c r="G63" t="e">
        <f>INDEX(atsi_codes,MATCH(loaded!S63,atsi,0))</f>
        <v>#N/A</v>
      </c>
      <c r="H63" t="e">
        <f>INDEX(lang_codes,MATCH(loaded!U63,lang,0))</f>
        <v>#N/A</v>
      </c>
      <c r="I63" s="8">
        <f>loaded!W63</f>
        <v>0</v>
      </c>
      <c r="J63" t="e">
        <f>INDEX(us_acc_codes,MATCH(loaded!Y63,us_acc,0))</f>
        <v>#N/A</v>
      </c>
      <c r="K63" t="e">
        <f>INDEX(client_codes,MATCH(loaded!AA63,client,0))</f>
        <v>#N/A</v>
      </c>
      <c r="L63" t="e">
        <f>INDEX(src_ref_codes,MATCH(loaded!AC63,src_ref,0))</f>
        <v>#N/A</v>
      </c>
      <c r="M63" s="8">
        <f>loaded!AE63</f>
        <v>0</v>
      </c>
      <c r="N63" s="8">
        <f>loaded!AG63</f>
        <v>0</v>
      </c>
      <c r="O63" t="e">
        <f>INDEX(reces_codes,MATCH(loaded!AI63,reason,0))</f>
        <v>#N/A</v>
      </c>
      <c r="P63" t="e">
        <f>INDEX(TDS_codes,MATCH(loaded!AK63,TDS,0))</f>
        <v>#N/A</v>
      </c>
      <c r="Q63" t="e">
        <f>IF(K63=2,"",INDEX(method_codes,MATCH(loaded!AM63,method,0)))</f>
        <v>#N/A</v>
      </c>
      <c r="R63" t="e">
        <f>IF(K63=2,"",INDEX(inj_codes,MATCH(loaded!AO63,inj,0)))</f>
        <v>#N/A</v>
      </c>
      <c r="S63" t="e">
        <f>IF(K63=2,"",INDEX(drug_codes,MATCH(loaded!AQ63,drug,0)))</f>
        <v>#N/A</v>
      </c>
      <c r="T63" t="e">
        <f>IF(K63=2,"",_xlfn.IFNA(INDEX(drug_codes,MATCH(loaded!AS63,drug,0)),""))</f>
        <v>#N/A</v>
      </c>
      <c r="U63" t="e">
        <f>IF(K63=2,"",_xlfn.IFNA(INDEX(drug_codes,MATCH(loaded!AU63,drug,0)),""))</f>
        <v>#N/A</v>
      </c>
      <c r="V63" t="e">
        <f>IF(K63=2,"",_xlfn.IFNA(INDEX(drug_codes,MATCH(loaded!AW63,drug,0)),""))</f>
        <v>#N/A</v>
      </c>
      <c r="W63" t="e">
        <f>IF(K63=2,"",_xlfn.IFNA(INDEX(drug_codes,MATCH(loaded!AY63,drug,0)),""))</f>
        <v>#N/A</v>
      </c>
      <c r="X63" t="e">
        <f>IF(K63=2,"",_xlfn.IFNA(INDEX(drug_codes,MATCH(loaded!BA63,drug,0)),""))</f>
        <v>#N/A</v>
      </c>
      <c r="Y63" t="e">
        <f>INDEX(MTT_codes,MATCH(loaded!BC63,MTT,0))</f>
        <v>#N/A</v>
      </c>
      <c r="Z63" t="str">
        <f>_xlfn.IFNA(INDEX(MTT_codes,MATCH(loaded!BE63,MTT,0)),"")</f>
        <v/>
      </c>
      <c r="AA63" t="str">
        <f>_xlfn.IFNA(INDEX(MTT_codes,MATCH(loaded!BG63,MTT,0)),"")</f>
        <v/>
      </c>
      <c r="AB63" t="str">
        <f>_xlfn.IFNA(INDEX(MTT_codes,MATCH(loaded!BI63,MTT,0)),"")</f>
        <v/>
      </c>
      <c r="AC63" t="str">
        <f>_xlfn.IFNA(INDEX(MTT_codes,MATCH(loaded!BK63,MTT,0)),"")</f>
        <v/>
      </c>
      <c r="AD63" t="str">
        <f>_xlfn.IFNA(INDEX(MTT_codes,MATCH(loaded!BM63,MTT,0)),"")</f>
        <v/>
      </c>
      <c r="AE63" t="e">
        <f>INDEX(liv_ar_codes,MATCH(loaded!BO63,liv_ar,0))</f>
        <v>#N/A</v>
      </c>
      <c r="AF63" t="str">
        <f>_xlfn.IFNA(INDEX(MTT_codes,MATCH(loaded!BQ63,MTT,0)),"")</f>
        <v/>
      </c>
      <c r="AG63">
        <f>_xlfn.IFNA(INDEX(mental_codes,MATCH(loaded!BS63,mental,0)),9)</f>
        <v>9</v>
      </c>
    </row>
    <row r="64" spans="1:33" x14ac:dyDescent="0.25">
      <c r="A64">
        <f>loaded!C64</f>
        <v>0</v>
      </c>
      <c r="B64">
        <f>loaded!I64</f>
        <v>0</v>
      </c>
      <c r="C64">
        <f>IF(loaded!K64="Male",1,IF(loaded!K64="Female",2,9))</f>
        <v>9</v>
      </c>
      <c r="D64" s="8">
        <f>loaded!M64</f>
        <v>0</v>
      </c>
      <c r="E64" t="str">
        <f>LEFT(loaded!O64,3)</f>
        <v/>
      </c>
      <c r="F64" t="e">
        <f>INDEX(cntry_codes,MATCH(loaded!Q64,countries,0))</f>
        <v>#N/A</v>
      </c>
      <c r="G64" t="e">
        <f>INDEX(atsi_codes,MATCH(loaded!S64,atsi,0))</f>
        <v>#N/A</v>
      </c>
      <c r="H64" t="e">
        <f>INDEX(lang_codes,MATCH(loaded!U64,lang,0))</f>
        <v>#N/A</v>
      </c>
      <c r="I64" s="8">
        <f>loaded!W64</f>
        <v>0</v>
      </c>
      <c r="J64" t="e">
        <f>INDEX(us_acc_codes,MATCH(loaded!Y64,us_acc,0))</f>
        <v>#N/A</v>
      </c>
      <c r="K64" t="e">
        <f>INDEX(client_codes,MATCH(loaded!AA64,client,0))</f>
        <v>#N/A</v>
      </c>
      <c r="L64" t="e">
        <f>INDEX(src_ref_codes,MATCH(loaded!AC64,src_ref,0))</f>
        <v>#N/A</v>
      </c>
      <c r="M64" s="8">
        <f>loaded!AE64</f>
        <v>0</v>
      </c>
      <c r="N64" s="8">
        <f>loaded!AG64</f>
        <v>0</v>
      </c>
      <c r="O64" t="e">
        <f>INDEX(reces_codes,MATCH(loaded!AI64,reason,0))</f>
        <v>#N/A</v>
      </c>
      <c r="P64" t="e">
        <f>INDEX(TDS_codes,MATCH(loaded!AK64,TDS,0))</f>
        <v>#N/A</v>
      </c>
      <c r="Q64" t="e">
        <f>IF(K64=2,"",INDEX(method_codes,MATCH(loaded!AM64,method,0)))</f>
        <v>#N/A</v>
      </c>
      <c r="R64" t="e">
        <f>IF(K64=2,"",INDEX(inj_codes,MATCH(loaded!AO64,inj,0)))</f>
        <v>#N/A</v>
      </c>
      <c r="S64" t="e">
        <f>IF(K64=2,"",INDEX(drug_codes,MATCH(loaded!AQ64,drug,0)))</f>
        <v>#N/A</v>
      </c>
      <c r="T64" t="e">
        <f>IF(K64=2,"",_xlfn.IFNA(INDEX(drug_codes,MATCH(loaded!AS64,drug,0)),""))</f>
        <v>#N/A</v>
      </c>
      <c r="U64" t="e">
        <f>IF(K64=2,"",_xlfn.IFNA(INDEX(drug_codes,MATCH(loaded!AU64,drug,0)),""))</f>
        <v>#N/A</v>
      </c>
      <c r="V64" t="e">
        <f>IF(K64=2,"",_xlfn.IFNA(INDEX(drug_codes,MATCH(loaded!AW64,drug,0)),""))</f>
        <v>#N/A</v>
      </c>
      <c r="W64" t="e">
        <f>IF(K64=2,"",_xlfn.IFNA(INDEX(drug_codes,MATCH(loaded!AY64,drug,0)),""))</f>
        <v>#N/A</v>
      </c>
      <c r="X64" t="e">
        <f>IF(K64=2,"",_xlfn.IFNA(INDEX(drug_codes,MATCH(loaded!BA64,drug,0)),""))</f>
        <v>#N/A</v>
      </c>
      <c r="Y64" t="e">
        <f>INDEX(MTT_codes,MATCH(loaded!BC64,MTT,0))</f>
        <v>#N/A</v>
      </c>
      <c r="Z64" t="str">
        <f>_xlfn.IFNA(INDEX(MTT_codes,MATCH(loaded!BE64,MTT,0)),"")</f>
        <v/>
      </c>
      <c r="AA64" t="str">
        <f>_xlfn.IFNA(INDEX(MTT_codes,MATCH(loaded!BG64,MTT,0)),"")</f>
        <v/>
      </c>
      <c r="AB64" t="str">
        <f>_xlfn.IFNA(INDEX(MTT_codes,MATCH(loaded!BI64,MTT,0)),"")</f>
        <v/>
      </c>
      <c r="AC64" t="str">
        <f>_xlfn.IFNA(INDEX(MTT_codes,MATCH(loaded!BK64,MTT,0)),"")</f>
        <v/>
      </c>
      <c r="AD64" t="str">
        <f>_xlfn.IFNA(INDEX(MTT_codes,MATCH(loaded!BM64,MTT,0)),"")</f>
        <v/>
      </c>
      <c r="AE64" t="e">
        <f>INDEX(liv_ar_codes,MATCH(loaded!BO64,liv_ar,0))</f>
        <v>#N/A</v>
      </c>
      <c r="AF64" t="str">
        <f>_xlfn.IFNA(INDEX(MTT_codes,MATCH(loaded!BQ64,MTT,0)),"")</f>
        <v/>
      </c>
      <c r="AG64">
        <f>_xlfn.IFNA(INDEX(mental_codes,MATCH(loaded!BS64,mental,0)),9)</f>
        <v>9</v>
      </c>
    </row>
    <row r="65" spans="1:33" x14ac:dyDescent="0.25">
      <c r="A65">
        <f>loaded!C65</f>
        <v>0</v>
      </c>
      <c r="B65">
        <f>loaded!I65</f>
        <v>0</v>
      </c>
      <c r="C65">
        <f>IF(loaded!K65="Male",1,IF(loaded!K65="Female",2,9))</f>
        <v>9</v>
      </c>
      <c r="D65" s="8">
        <f>loaded!M65</f>
        <v>0</v>
      </c>
      <c r="E65" t="str">
        <f>LEFT(loaded!O65,3)</f>
        <v/>
      </c>
      <c r="F65" t="e">
        <f>INDEX(cntry_codes,MATCH(loaded!Q65,countries,0))</f>
        <v>#N/A</v>
      </c>
      <c r="G65" t="e">
        <f>INDEX(atsi_codes,MATCH(loaded!S65,atsi,0))</f>
        <v>#N/A</v>
      </c>
      <c r="H65" t="e">
        <f>INDEX(lang_codes,MATCH(loaded!U65,lang,0))</f>
        <v>#N/A</v>
      </c>
      <c r="I65" s="8">
        <f>loaded!W65</f>
        <v>0</v>
      </c>
      <c r="J65" t="e">
        <f>INDEX(us_acc_codes,MATCH(loaded!Y65,us_acc,0))</f>
        <v>#N/A</v>
      </c>
      <c r="K65" t="e">
        <f>INDEX(client_codes,MATCH(loaded!AA65,client,0))</f>
        <v>#N/A</v>
      </c>
      <c r="L65" t="e">
        <f>INDEX(src_ref_codes,MATCH(loaded!AC65,src_ref,0))</f>
        <v>#N/A</v>
      </c>
      <c r="M65" s="8">
        <f>loaded!AE65</f>
        <v>0</v>
      </c>
      <c r="N65" s="8">
        <f>loaded!AG65</f>
        <v>0</v>
      </c>
      <c r="O65" t="e">
        <f>INDEX(reces_codes,MATCH(loaded!AI65,reason,0))</f>
        <v>#N/A</v>
      </c>
      <c r="P65" t="e">
        <f>INDEX(TDS_codes,MATCH(loaded!AK65,TDS,0))</f>
        <v>#N/A</v>
      </c>
      <c r="Q65" t="e">
        <f>IF(K65=2,"",INDEX(method_codes,MATCH(loaded!AM65,method,0)))</f>
        <v>#N/A</v>
      </c>
      <c r="R65" t="e">
        <f>IF(K65=2,"",INDEX(inj_codes,MATCH(loaded!AO65,inj,0)))</f>
        <v>#N/A</v>
      </c>
      <c r="S65" t="e">
        <f>IF(K65=2,"",INDEX(drug_codes,MATCH(loaded!AQ65,drug,0)))</f>
        <v>#N/A</v>
      </c>
      <c r="T65" t="e">
        <f>IF(K65=2,"",_xlfn.IFNA(INDEX(drug_codes,MATCH(loaded!AS65,drug,0)),""))</f>
        <v>#N/A</v>
      </c>
      <c r="U65" t="e">
        <f>IF(K65=2,"",_xlfn.IFNA(INDEX(drug_codes,MATCH(loaded!AU65,drug,0)),""))</f>
        <v>#N/A</v>
      </c>
      <c r="V65" t="e">
        <f>IF(K65=2,"",_xlfn.IFNA(INDEX(drug_codes,MATCH(loaded!AW65,drug,0)),""))</f>
        <v>#N/A</v>
      </c>
      <c r="W65" t="e">
        <f>IF(K65=2,"",_xlfn.IFNA(INDEX(drug_codes,MATCH(loaded!AY65,drug,0)),""))</f>
        <v>#N/A</v>
      </c>
      <c r="X65" t="e">
        <f>IF(K65=2,"",_xlfn.IFNA(INDEX(drug_codes,MATCH(loaded!BA65,drug,0)),""))</f>
        <v>#N/A</v>
      </c>
      <c r="Y65" t="e">
        <f>INDEX(MTT_codes,MATCH(loaded!BC65,MTT,0))</f>
        <v>#N/A</v>
      </c>
      <c r="Z65" t="str">
        <f>_xlfn.IFNA(INDEX(MTT_codes,MATCH(loaded!BE65,MTT,0)),"")</f>
        <v/>
      </c>
      <c r="AA65" t="str">
        <f>_xlfn.IFNA(INDEX(MTT_codes,MATCH(loaded!BG65,MTT,0)),"")</f>
        <v/>
      </c>
      <c r="AB65" t="str">
        <f>_xlfn.IFNA(INDEX(MTT_codes,MATCH(loaded!BI65,MTT,0)),"")</f>
        <v/>
      </c>
      <c r="AC65" t="str">
        <f>_xlfn.IFNA(INDEX(MTT_codes,MATCH(loaded!BK65,MTT,0)),"")</f>
        <v/>
      </c>
      <c r="AD65" t="str">
        <f>_xlfn.IFNA(INDEX(MTT_codes,MATCH(loaded!BM65,MTT,0)),"")</f>
        <v/>
      </c>
      <c r="AE65" t="e">
        <f>INDEX(liv_ar_codes,MATCH(loaded!BO65,liv_ar,0))</f>
        <v>#N/A</v>
      </c>
      <c r="AF65" t="str">
        <f>_xlfn.IFNA(INDEX(MTT_codes,MATCH(loaded!BQ65,MTT,0)),"")</f>
        <v/>
      </c>
      <c r="AG65">
        <f>_xlfn.IFNA(INDEX(mental_codes,MATCH(loaded!BS65,mental,0)),9)</f>
        <v>9</v>
      </c>
    </row>
    <row r="66" spans="1:33" x14ac:dyDescent="0.25">
      <c r="A66">
        <f>loaded!C66</f>
        <v>0</v>
      </c>
      <c r="B66">
        <f>loaded!I66</f>
        <v>0</v>
      </c>
      <c r="C66">
        <f>IF(loaded!K66="Male",1,IF(loaded!K66="Female",2,9))</f>
        <v>9</v>
      </c>
      <c r="D66" s="8">
        <f>loaded!M66</f>
        <v>0</v>
      </c>
      <c r="E66" t="str">
        <f>LEFT(loaded!O66,3)</f>
        <v/>
      </c>
      <c r="F66" t="e">
        <f>INDEX(cntry_codes,MATCH(loaded!Q66,countries,0))</f>
        <v>#N/A</v>
      </c>
      <c r="G66" t="e">
        <f>INDEX(atsi_codes,MATCH(loaded!S66,atsi,0))</f>
        <v>#N/A</v>
      </c>
      <c r="H66" t="e">
        <f>INDEX(lang_codes,MATCH(loaded!U66,lang,0))</f>
        <v>#N/A</v>
      </c>
      <c r="I66" s="8">
        <f>loaded!W66</f>
        <v>0</v>
      </c>
      <c r="J66" t="e">
        <f>INDEX(us_acc_codes,MATCH(loaded!Y66,us_acc,0))</f>
        <v>#N/A</v>
      </c>
      <c r="K66" t="e">
        <f>INDEX(client_codes,MATCH(loaded!AA66,client,0))</f>
        <v>#N/A</v>
      </c>
      <c r="L66" t="e">
        <f>INDEX(src_ref_codes,MATCH(loaded!AC66,src_ref,0))</f>
        <v>#N/A</v>
      </c>
      <c r="M66" s="8">
        <f>loaded!AE66</f>
        <v>0</v>
      </c>
      <c r="N66" s="8">
        <f>loaded!AG66</f>
        <v>0</v>
      </c>
      <c r="O66" t="e">
        <f>INDEX(reces_codes,MATCH(loaded!AI66,reason,0))</f>
        <v>#N/A</v>
      </c>
      <c r="P66" t="e">
        <f>INDEX(TDS_codes,MATCH(loaded!AK66,TDS,0))</f>
        <v>#N/A</v>
      </c>
      <c r="Q66" t="e">
        <f>IF(K66=2,"",INDEX(method_codes,MATCH(loaded!AM66,method,0)))</f>
        <v>#N/A</v>
      </c>
      <c r="R66" t="e">
        <f>IF(K66=2,"",INDEX(inj_codes,MATCH(loaded!AO66,inj,0)))</f>
        <v>#N/A</v>
      </c>
      <c r="S66" t="e">
        <f>IF(K66=2,"",INDEX(drug_codes,MATCH(loaded!AQ66,drug,0)))</f>
        <v>#N/A</v>
      </c>
      <c r="T66" t="e">
        <f>IF(K66=2,"",_xlfn.IFNA(INDEX(drug_codes,MATCH(loaded!AS66,drug,0)),""))</f>
        <v>#N/A</v>
      </c>
      <c r="U66" t="e">
        <f>IF(K66=2,"",_xlfn.IFNA(INDEX(drug_codes,MATCH(loaded!AU66,drug,0)),""))</f>
        <v>#N/A</v>
      </c>
      <c r="V66" t="e">
        <f>IF(K66=2,"",_xlfn.IFNA(INDEX(drug_codes,MATCH(loaded!AW66,drug,0)),""))</f>
        <v>#N/A</v>
      </c>
      <c r="W66" t="e">
        <f>IF(K66=2,"",_xlfn.IFNA(INDEX(drug_codes,MATCH(loaded!AY66,drug,0)),""))</f>
        <v>#N/A</v>
      </c>
      <c r="X66" t="e">
        <f>IF(K66=2,"",_xlfn.IFNA(INDEX(drug_codes,MATCH(loaded!BA66,drug,0)),""))</f>
        <v>#N/A</v>
      </c>
      <c r="Y66" t="e">
        <f>INDEX(MTT_codes,MATCH(loaded!BC66,MTT,0))</f>
        <v>#N/A</v>
      </c>
      <c r="Z66" t="str">
        <f>_xlfn.IFNA(INDEX(MTT_codes,MATCH(loaded!BE66,MTT,0)),"")</f>
        <v/>
      </c>
      <c r="AA66" t="str">
        <f>_xlfn.IFNA(INDEX(MTT_codes,MATCH(loaded!BG66,MTT,0)),"")</f>
        <v/>
      </c>
      <c r="AB66" t="str">
        <f>_xlfn.IFNA(INDEX(MTT_codes,MATCH(loaded!BI66,MTT,0)),"")</f>
        <v/>
      </c>
      <c r="AC66" t="str">
        <f>_xlfn.IFNA(INDEX(MTT_codes,MATCH(loaded!BK66,MTT,0)),"")</f>
        <v/>
      </c>
      <c r="AD66" t="str">
        <f>_xlfn.IFNA(INDEX(MTT_codes,MATCH(loaded!BM66,MTT,0)),"")</f>
        <v/>
      </c>
      <c r="AE66" t="e">
        <f>INDEX(liv_ar_codes,MATCH(loaded!BO66,liv_ar,0))</f>
        <v>#N/A</v>
      </c>
      <c r="AF66" t="str">
        <f>_xlfn.IFNA(INDEX(MTT_codes,MATCH(loaded!BQ66,MTT,0)),"")</f>
        <v/>
      </c>
      <c r="AG66">
        <f>_xlfn.IFNA(INDEX(mental_codes,MATCH(loaded!BS66,mental,0)),9)</f>
        <v>9</v>
      </c>
    </row>
    <row r="67" spans="1:33" x14ac:dyDescent="0.25">
      <c r="A67">
        <f>loaded!C67</f>
        <v>0</v>
      </c>
      <c r="B67">
        <f>loaded!I67</f>
        <v>0</v>
      </c>
      <c r="C67">
        <f>IF(loaded!K67="Male",1,IF(loaded!K67="Female",2,9))</f>
        <v>9</v>
      </c>
      <c r="D67" s="8">
        <f>loaded!M67</f>
        <v>0</v>
      </c>
      <c r="E67" t="str">
        <f>LEFT(loaded!O67,3)</f>
        <v/>
      </c>
      <c r="F67" t="e">
        <f>INDEX(cntry_codes,MATCH(loaded!Q67,countries,0))</f>
        <v>#N/A</v>
      </c>
      <c r="G67" t="e">
        <f>INDEX(atsi_codes,MATCH(loaded!S67,atsi,0))</f>
        <v>#N/A</v>
      </c>
      <c r="H67" t="e">
        <f>INDEX(lang_codes,MATCH(loaded!U67,lang,0))</f>
        <v>#N/A</v>
      </c>
      <c r="I67" s="8">
        <f>loaded!W67</f>
        <v>0</v>
      </c>
      <c r="J67" t="e">
        <f>INDEX(us_acc_codes,MATCH(loaded!Y67,us_acc,0))</f>
        <v>#N/A</v>
      </c>
      <c r="K67" t="e">
        <f>INDEX(client_codes,MATCH(loaded!AA67,client,0))</f>
        <v>#N/A</v>
      </c>
      <c r="L67" t="e">
        <f>INDEX(src_ref_codes,MATCH(loaded!AC67,src_ref,0))</f>
        <v>#N/A</v>
      </c>
      <c r="M67" s="8">
        <f>loaded!AE67</f>
        <v>0</v>
      </c>
      <c r="N67" s="8">
        <f>loaded!AG67</f>
        <v>0</v>
      </c>
      <c r="O67" t="e">
        <f>INDEX(reces_codes,MATCH(loaded!AI67,reason,0))</f>
        <v>#N/A</v>
      </c>
      <c r="P67" t="e">
        <f>INDEX(TDS_codes,MATCH(loaded!AK67,TDS,0))</f>
        <v>#N/A</v>
      </c>
      <c r="Q67" t="e">
        <f>IF(K67=2,"",INDEX(method_codes,MATCH(loaded!AM67,method,0)))</f>
        <v>#N/A</v>
      </c>
      <c r="R67" t="e">
        <f>IF(K67=2,"",INDEX(inj_codes,MATCH(loaded!AO67,inj,0)))</f>
        <v>#N/A</v>
      </c>
      <c r="S67" t="e">
        <f>IF(K67=2,"",INDEX(drug_codes,MATCH(loaded!AQ67,drug,0)))</f>
        <v>#N/A</v>
      </c>
      <c r="T67" t="e">
        <f>IF(K67=2,"",_xlfn.IFNA(INDEX(drug_codes,MATCH(loaded!AS67,drug,0)),""))</f>
        <v>#N/A</v>
      </c>
      <c r="U67" t="e">
        <f>IF(K67=2,"",_xlfn.IFNA(INDEX(drug_codes,MATCH(loaded!AU67,drug,0)),""))</f>
        <v>#N/A</v>
      </c>
      <c r="V67" t="e">
        <f>IF(K67=2,"",_xlfn.IFNA(INDEX(drug_codes,MATCH(loaded!AW67,drug,0)),""))</f>
        <v>#N/A</v>
      </c>
      <c r="W67" t="e">
        <f>IF(K67=2,"",_xlfn.IFNA(INDEX(drug_codes,MATCH(loaded!AY67,drug,0)),""))</f>
        <v>#N/A</v>
      </c>
      <c r="X67" t="e">
        <f>IF(K67=2,"",_xlfn.IFNA(INDEX(drug_codes,MATCH(loaded!BA67,drug,0)),""))</f>
        <v>#N/A</v>
      </c>
      <c r="Y67" t="e">
        <f>INDEX(MTT_codes,MATCH(loaded!BC67,MTT,0))</f>
        <v>#N/A</v>
      </c>
      <c r="Z67" t="str">
        <f>_xlfn.IFNA(INDEX(MTT_codes,MATCH(loaded!BE67,MTT,0)),"")</f>
        <v/>
      </c>
      <c r="AA67" t="str">
        <f>_xlfn.IFNA(INDEX(MTT_codes,MATCH(loaded!BG67,MTT,0)),"")</f>
        <v/>
      </c>
      <c r="AB67" t="str">
        <f>_xlfn.IFNA(INDEX(MTT_codes,MATCH(loaded!BI67,MTT,0)),"")</f>
        <v/>
      </c>
      <c r="AC67" t="str">
        <f>_xlfn.IFNA(INDEX(MTT_codes,MATCH(loaded!BK67,MTT,0)),"")</f>
        <v/>
      </c>
      <c r="AD67" t="str">
        <f>_xlfn.IFNA(INDEX(MTT_codes,MATCH(loaded!BM67,MTT,0)),"")</f>
        <v/>
      </c>
      <c r="AE67" t="e">
        <f>INDEX(liv_ar_codes,MATCH(loaded!BO67,liv_ar,0))</f>
        <v>#N/A</v>
      </c>
      <c r="AF67" t="str">
        <f>_xlfn.IFNA(INDEX(MTT_codes,MATCH(loaded!BQ67,MTT,0)),"")</f>
        <v/>
      </c>
      <c r="AG67">
        <f>_xlfn.IFNA(INDEX(mental_codes,MATCH(loaded!BS67,mental,0)),9)</f>
        <v>9</v>
      </c>
    </row>
    <row r="68" spans="1:33" x14ac:dyDescent="0.25">
      <c r="A68">
        <f>loaded!C68</f>
        <v>0</v>
      </c>
      <c r="B68">
        <f>loaded!I68</f>
        <v>0</v>
      </c>
      <c r="C68">
        <f>IF(loaded!K68="Male",1,IF(loaded!K68="Female",2,9))</f>
        <v>9</v>
      </c>
      <c r="D68" s="8">
        <f>loaded!M68</f>
        <v>0</v>
      </c>
      <c r="E68" t="str">
        <f>LEFT(loaded!O68,3)</f>
        <v/>
      </c>
      <c r="F68" t="e">
        <f>INDEX(cntry_codes,MATCH(loaded!Q68,countries,0))</f>
        <v>#N/A</v>
      </c>
      <c r="G68" t="e">
        <f>INDEX(atsi_codes,MATCH(loaded!S68,atsi,0))</f>
        <v>#N/A</v>
      </c>
      <c r="H68" t="e">
        <f>INDEX(lang_codes,MATCH(loaded!U68,lang,0))</f>
        <v>#N/A</v>
      </c>
      <c r="I68" s="8">
        <f>loaded!W68</f>
        <v>0</v>
      </c>
      <c r="J68" t="e">
        <f>INDEX(us_acc_codes,MATCH(loaded!Y68,us_acc,0))</f>
        <v>#N/A</v>
      </c>
      <c r="K68" t="e">
        <f>INDEX(client_codes,MATCH(loaded!AA68,client,0))</f>
        <v>#N/A</v>
      </c>
      <c r="L68" t="e">
        <f>INDEX(src_ref_codes,MATCH(loaded!AC68,src_ref,0))</f>
        <v>#N/A</v>
      </c>
      <c r="M68" s="8">
        <f>loaded!AE68</f>
        <v>0</v>
      </c>
      <c r="N68" s="8">
        <f>loaded!AG68</f>
        <v>0</v>
      </c>
      <c r="O68" t="e">
        <f>INDEX(reces_codes,MATCH(loaded!AI68,reason,0))</f>
        <v>#N/A</v>
      </c>
      <c r="P68" t="e">
        <f>INDEX(TDS_codes,MATCH(loaded!AK68,TDS,0))</f>
        <v>#N/A</v>
      </c>
      <c r="Q68" t="e">
        <f>IF(K68=2,"",INDEX(method_codes,MATCH(loaded!AM68,method,0)))</f>
        <v>#N/A</v>
      </c>
      <c r="R68" t="e">
        <f>IF(K68=2,"",INDEX(inj_codes,MATCH(loaded!AO68,inj,0)))</f>
        <v>#N/A</v>
      </c>
      <c r="S68" t="e">
        <f>IF(K68=2,"",INDEX(drug_codes,MATCH(loaded!AQ68,drug,0)))</f>
        <v>#N/A</v>
      </c>
      <c r="T68" t="e">
        <f>IF(K68=2,"",_xlfn.IFNA(INDEX(drug_codes,MATCH(loaded!AS68,drug,0)),""))</f>
        <v>#N/A</v>
      </c>
      <c r="U68" t="e">
        <f>IF(K68=2,"",_xlfn.IFNA(INDEX(drug_codes,MATCH(loaded!AU68,drug,0)),""))</f>
        <v>#N/A</v>
      </c>
      <c r="V68" t="e">
        <f>IF(K68=2,"",_xlfn.IFNA(INDEX(drug_codes,MATCH(loaded!AW68,drug,0)),""))</f>
        <v>#N/A</v>
      </c>
      <c r="W68" t="e">
        <f>IF(K68=2,"",_xlfn.IFNA(INDEX(drug_codes,MATCH(loaded!AY68,drug,0)),""))</f>
        <v>#N/A</v>
      </c>
      <c r="X68" t="e">
        <f>IF(K68=2,"",_xlfn.IFNA(INDEX(drug_codes,MATCH(loaded!BA68,drug,0)),""))</f>
        <v>#N/A</v>
      </c>
      <c r="Y68" t="e">
        <f>INDEX(MTT_codes,MATCH(loaded!BC68,MTT,0))</f>
        <v>#N/A</v>
      </c>
      <c r="Z68" t="str">
        <f>_xlfn.IFNA(INDEX(MTT_codes,MATCH(loaded!BE68,MTT,0)),"")</f>
        <v/>
      </c>
      <c r="AA68" t="str">
        <f>_xlfn.IFNA(INDEX(MTT_codes,MATCH(loaded!BG68,MTT,0)),"")</f>
        <v/>
      </c>
      <c r="AB68" t="str">
        <f>_xlfn.IFNA(INDEX(MTT_codes,MATCH(loaded!BI68,MTT,0)),"")</f>
        <v/>
      </c>
      <c r="AC68" t="str">
        <f>_xlfn.IFNA(INDEX(MTT_codes,MATCH(loaded!BK68,MTT,0)),"")</f>
        <v/>
      </c>
      <c r="AD68" t="str">
        <f>_xlfn.IFNA(INDEX(MTT_codes,MATCH(loaded!BM68,MTT,0)),"")</f>
        <v/>
      </c>
      <c r="AE68" t="e">
        <f>INDEX(liv_ar_codes,MATCH(loaded!BO68,liv_ar,0))</f>
        <v>#N/A</v>
      </c>
      <c r="AF68" t="str">
        <f>_xlfn.IFNA(INDEX(MTT_codes,MATCH(loaded!BQ68,MTT,0)),"")</f>
        <v/>
      </c>
      <c r="AG68">
        <f>_xlfn.IFNA(INDEX(mental_codes,MATCH(loaded!BS68,mental,0)),9)</f>
        <v>9</v>
      </c>
    </row>
    <row r="69" spans="1:33" x14ac:dyDescent="0.25">
      <c r="A69">
        <f>loaded!C69</f>
        <v>0</v>
      </c>
      <c r="B69">
        <f>loaded!I69</f>
        <v>0</v>
      </c>
      <c r="C69">
        <f>IF(loaded!K69="Male",1,IF(loaded!K69="Female",2,9))</f>
        <v>9</v>
      </c>
      <c r="D69" s="8">
        <f>loaded!M69</f>
        <v>0</v>
      </c>
      <c r="E69" t="str">
        <f>LEFT(loaded!O69,3)</f>
        <v/>
      </c>
      <c r="F69" t="e">
        <f>INDEX(cntry_codes,MATCH(loaded!Q69,countries,0))</f>
        <v>#N/A</v>
      </c>
      <c r="G69" t="e">
        <f>INDEX(atsi_codes,MATCH(loaded!S69,atsi,0))</f>
        <v>#N/A</v>
      </c>
      <c r="H69" t="e">
        <f>INDEX(lang_codes,MATCH(loaded!U69,lang,0))</f>
        <v>#N/A</v>
      </c>
      <c r="I69" s="8">
        <f>loaded!W69</f>
        <v>0</v>
      </c>
      <c r="J69" t="e">
        <f>INDEX(us_acc_codes,MATCH(loaded!Y69,us_acc,0))</f>
        <v>#N/A</v>
      </c>
      <c r="K69" t="e">
        <f>INDEX(client_codes,MATCH(loaded!AA69,client,0))</f>
        <v>#N/A</v>
      </c>
      <c r="L69" t="e">
        <f>INDEX(src_ref_codes,MATCH(loaded!AC69,src_ref,0))</f>
        <v>#N/A</v>
      </c>
      <c r="M69" s="8">
        <f>loaded!AE69</f>
        <v>0</v>
      </c>
      <c r="N69" s="8">
        <f>loaded!AG69</f>
        <v>0</v>
      </c>
      <c r="O69" t="e">
        <f>INDEX(reces_codes,MATCH(loaded!AI69,reason,0))</f>
        <v>#N/A</v>
      </c>
      <c r="P69" t="e">
        <f>INDEX(TDS_codes,MATCH(loaded!AK69,TDS,0))</f>
        <v>#N/A</v>
      </c>
      <c r="Q69" t="e">
        <f>IF(K69=2,"",INDEX(method_codes,MATCH(loaded!AM69,method,0)))</f>
        <v>#N/A</v>
      </c>
      <c r="R69" t="e">
        <f>IF(K69=2,"",INDEX(inj_codes,MATCH(loaded!AO69,inj,0)))</f>
        <v>#N/A</v>
      </c>
      <c r="S69" t="e">
        <f>IF(K69=2,"",INDEX(drug_codes,MATCH(loaded!AQ69,drug,0)))</f>
        <v>#N/A</v>
      </c>
      <c r="T69" t="e">
        <f>IF(K69=2,"",_xlfn.IFNA(INDEX(drug_codes,MATCH(loaded!AS69,drug,0)),""))</f>
        <v>#N/A</v>
      </c>
      <c r="U69" t="e">
        <f>IF(K69=2,"",_xlfn.IFNA(INDEX(drug_codes,MATCH(loaded!AU69,drug,0)),""))</f>
        <v>#N/A</v>
      </c>
      <c r="V69" t="e">
        <f>IF(K69=2,"",_xlfn.IFNA(INDEX(drug_codes,MATCH(loaded!AW69,drug,0)),""))</f>
        <v>#N/A</v>
      </c>
      <c r="W69" t="e">
        <f>IF(K69=2,"",_xlfn.IFNA(INDEX(drug_codes,MATCH(loaded!AY69,drug,0)),""))</f>
        <v>#N/A</v>
      </c>
      <c r="X69" t="e">
        <f>IF(K69=2,"",_xlfn.IFNA(INDEX(drug_codes,MATCH(loaded!BA69,drug,0)),""))</f>
        <v>#N/A</v>
      </c>
      <c r="Y69" t="e">
        <f>INDEX(MTT_codes,MATCH(loaded!BC69,MTT,0))</f>
        <v>#N/A</v>
      </c>
      <c r="Z69" t="str">
        <f>_xlfn.IFNA(INDEX(MTT_codes,MATCH(loaded!BE69,MTT,0)),"")</f>
        <v/>
      </c>
      <c r="AA69" t="str">
        <f>_xlfn.IFNA(INDEX(MTT_codes,MATCH(loaded!BG69,MTT,0)),"")</f>
        <v/>
      </c>
      <c r="AB69" t="str">
        <f>_xlfn.IFNA(INDEX(MTT_codes,MATCH(loaded!BI69,MTT,0)),"")</f>
        <v/>
      </c>
      <c r="AC69" t="str">
        <f>_xlfn.IFNA(INDEX(MTT_codes,MATCH(loaded!BK69,MTT,0)),"")</f>
        <v/>
      </c>
      <c r="AD69" t="str">
        <f>_xlfn.IFNA(INDEX(MTT_codes,MATCH(loaded!BM69,MTT,0)),"")</f>
        <v/>
      </c>
      <c r="AE69" t="e">
        <f>INDEX(liv_ar_codes,MATCH(loaded!BO69,liv_ar,0))</f>
        <v>#N/A</v>
      </c>
      <c r="AF69" t="str">
        <f>_xlfn.IFNA(INDEX(MTT_codes,MATCH(loaded!BQ69,MTT,0)),"")</f>
        <v/>
      </c>
      <c r="AG69">
        <f>_xlfn.IFNA(INDEX(mental_codes,MATCH(loaded!BS69,mental,0)),9)</f>
        <v>9</v>
      </c>
    </row>
    <row r="70" spans="1:33" x14ac:dyDescent="0.25">
      <c r="A70">
        <f>loaded!C70</f>
        <v>0</v>
      </c>
      <c r="B70">
        <f>loaded!I70</f>
        <v>0</v>
      </c>
      <c r="C70">
        <f>IF(loaded!K70="Male",1,IF(loaded!K70="Female",2,9))</f>
        <v>9</v>
      </c>
      <c r="D70" s="8">
        <f>loaded!M70</f>
        <v>0</v>
      </c>
      <c r="E70" t="str">
        <f>LEFT(loaded!O70,3)</f>
        <v/>
      </c>
      <c r="F70" t="e">
        <f>INDEX(cntry_codes,MATCH(loaded!Q70,countries,0))</f>
        <v>#N/A</v>
      </c>
      <c r="G70" t="e">
        <f>INDEX(atsi_codes,MATCH(loaded!S70,atsi,0))</f>
        <v>#N/A</v>
      </c>
      <c r="H70" t="e">
        <f>INDEX(lang_codes,MATCH(loaded!U70,lang,0))</f>
        <v>#N/A</v>
      </c>
      <c r="I70" s="8">
        <f>loaded!W70</f>
        <v>0</v>
      </c>
      <c r="J70" t="e">
        <f>INDEX(us_acc_codes,MATCH(loaded!Y70,us_acc,0))</f>
        <v>#N/A</v>
      </c>
      <c r="K70" t="e">
        <f>INDEX(client_codes,MATCH(loaded!AA70,client,0))</f>
        <v>#N/A</v>
      </c>
      <c r="L70" t="e">
        <f>INDEX(src_ref_codes,MATCH(loaded!AC70,src_ref,0))</f>
        <v>#N/A</v>
      </c>
      <c r="M70" s="8">
        <f>loaded!AE70</f>
        <v>0</v>
      </c>
      <c r="N70" s="8">
        <f>loaded!AG70</f>
        <v>0</v>
      </c>
      <c r="O70" t="e">
        <f>INDEX(reces_codes,MATCH(loaded!AI70,reason,0))</f>
        <v>#N/A</v>
      </c>
      <c r="P70" t="e">
        <f>INDEX(TDS_codes,MATCH(loaded!AK70,TDS,0))</f>
        <v>#N/A</v>
      </c>
      <c r="Q70" t="e">
        <f>IF(K70=2,"",INDEX(method_codes,MATCH(loaded!AM70,method,0)))</f>
        <v>#N/A</v>
      </c>
      <c r="R70" t="e">
        <f>IF(K70=2,"",INDEX(inj_codes,MATCH(loaded!AO70,inj,0)))</f>
        <v>#N/A</v>
      </c>
      <c r="S70" t="e">
        <f>IF(K70=2,"",INDEX(drug_codes,MATCH(loaded!AQ70,drug,0)))</f>
        <v>#N/A</v>
      </c>
      <c r="T70" t="e">
        <f>IF(K70=2,"",_xlfn.IFNA(INDEX(drug_codes,MATCH(loaded!AS70,drug,0)),""))</f>
        <v>#N/A</v>
      </c>
      <c r="U70" t="e">
        <f>IF(K70=2,"",_xlfn.IFNA(INDEX(drug_codes,MATCH(loaded!AU70,drug,0)),""))</f>
        <v>#N/A</v>
      </c>
      <c r="V70" t="e">
        <f>IF(K70=2,"",_xlfn.IFNA(INDEX(drug_codes,MATCH(loaded!AW70,drug,0)),""))</f>
        <v>#N/A</v>
      </c>
      <c r="W70" t="e">
        <f>IF(K70=2,"",_xlfn.IFNA(INDEX(drug_codes,MATCH(loaded!AY70,drug,0)),""))</f>
        <v>#N/A</v>
      </c>
      <c r="X70" t="e">
        <f>IF(K70=2,"",_xlfn.IFNA(INDEX(drug_codes,MATCH(loaded!BA70,drug,0)),""))</f>
        <v>#N/A</v>
      </c>
      <c r="Y70" t="e">
        <f>INDEX(MTT_codes,MATCH(loaded!BC70,MTT,0))</f>
        <v>#N/A</v>
      </c>
      <c r="Z70" t="str">
        <f>_xlfn.IFNA(INDEX(MTT_codes,MATCH(loaded!BE70,MTT,0)),"")</f>
        <v/>
      </c>
      <c r="AA70" t="str">
        <f>_xlfn.IFNA(INDEX(MTT_codes,MATCH(loaded!BG70,MTT,0)),"")</f>
        <v/>
      </c>
      <c r="AB70" t="str">
        <f>_xlfn.IFNA(INDEX(MTT_codes,MATCH(loaded!BI70,MTT,0)),"")</f>
        <v/>
      </c>
      <c r="AC70" t="str">
        <f>_xlfn.IFNA(INDEX(MTT_codes,MATCH(loaded!BK70,MTT,0)),"")</f>
        <v/>
      </c>
      <c r="AD70" t="str">
        <f>_xlfn.IFNA(INDEX(MTT_codes,MATCH(loaded!BM70,MTT,0)),"")</f>
        <v/>
      </c>
      <c r="AE70" t="e">
        <f>INDEX(liv_ar_codes,MATCH(loaded!BO70,liv_ar,0))</f>
        <v>#N/A</v>
      </c>
      <c r="AF70" t="str">
        <f>_xlfn.IFNA(INDEX(MTT_codes,MATCH(loaded!BQ70,MTT,0)),"")</f>
        <v/>
      </c>
      <c r="AG70">
        <f>_xlfn.IFNA(INDEX(mental_codes,MATCH(loaded!BS70,mental,0)),9)</f>
        <v>9</v>
      </c>
    </row>
    <row r="71" spans="1:33" x14ac:dyDescent="0.25">
      <c r="A71">
        <f>loaded!C71</f>
        <v>0</v>
      </c>
      <c r="B71">
        <f>loaded!I71</f>
        <v>0</v>
      </c>
      <c r="C71">
        <f>IF(loaded!K71="Male",1,IF(loaded!K71="Female",2,9))</f>
        <v>9</v>
      </c>
      <c r="D71" s="8">
        <f>loaded!M71</f>
        <v>0</v>
      </c>
      <c r="E71" t="str">
        <f>LEFT(loaded!O71,3)</f>
        <v/>
      </c>
      <c r="F71" t="e">
        <f>INDEX(cntry_codes,MATCH(loaded!Q71,countries,0))</f>
        <v>#N/A</v>
      </c>
      <c r="G71" t="e">
        <f>INDEX(atsi_codes,MATCH(loaded!S71,atsi,0))</f>
        <v>#N/A</v>
      </c>
      <c r="H71" t="e">
        <f>INDEX(lang_codes,MATCH(loaded!U71,lang,0))</f>
        <v>#N/A</v>
      </c>
      <c r="I71" s="8">
        <f>loaded!W71</f>
        <v>0</v>
      </c>
      <c r="J71" t="e">
        <f>INDEX(us_acc_codes,MATCH(loaded!Y71,us_acc,0))</f>
        <v>#N/A</v>
      </c>
      <c r="K71" t="e">
        <f>INDEX(client_codes,MATCH(loaded!AA71,client,0))</f>
        <v>#N/A</v>
      </c>
      <c r="L71" t="e">
        <f>INDEX(src_ref_codes,MATCH(loaded!AC71,src_ref,0))</f>
        <v>#N/A</v>
      </c>
      <c r="M71" s="8">
        <f>loaded!AE71</f>
        <v>0</v>
      </c>
      <c r="N71" s="8">
        <f>loaded!AG71</f>
        <v>0</v>
      </c>
      <c r="O71" t="e">
        <f>INDEX(reces_codes,MATCH(loaded!AI71,reason,0))</f>
        <v>#N/A</v>
      </c>
      <c r="P71" t="e">
        <f>INDEX(TDS_codes,MATCH(loaded!AK71,TDS,0))</f>
        <v>#N/A</v>
      </c>
      <c r="Q71" t="e">
        <f>IF(K71=2,"",INDEX(method_codes,MATCH(loaded!AM71,method,0)))</f>
        <v>#N/A</v>
      </c>
      <c r="R71" t="e">
        <f>IF(K71=2,"",INDEX(inj_codes,MATCH(loaded!AO71,inj,0)))</f>
        <v>#N/A</v>
      </c>
      <c r="S71" t="e">
        <f>IF(K71=2,"",INDEX(drug_codes,MATCH(loaded!AQ71,drug,0)))</f>
        <v>#N/A</v>
      </c>
      <c r="T71" t="e">
        <f>IF(K71=2,"",_xlfn.IFNA(INDEX(drug_codes,MATCH(loaded!AS71,drug,0)),""))</f>
        <v>#N/A</v>
      </c>
      <c r="U71" t="e">
        <f>IF(K71=2,"",_xlfn.IFNA(INDEX(drug_codes,MATCH(loaded!AU71,drug,0)),""))</f>
        <v>#N/A</v>
      </c>
      <c r="V71" t="e">
        <f>IF(K71=2,"",_xlfn.IFNA(INDEX(drug_codes,MATCH(loaded!AW71,drug,0)),""))</f>
        <v>#N/A</v>
      </c>
      <c r="W71" t="e">
        <f>IF(K71=2,"",_xlfn.IFNA(INDEX(drug_codes,MATCH(loaded!AY71,drug,0)),""))</f>
        <v>#N/A</v>
      </c>
      <c r="X71" t="e">
        <f>IF(K71=2,"",_xlfn.IFNA(INDEX(drug_codes,MATCH(loaded!BA71,drug,0)),""))</f>
        <v>#N/A</v>
      </c>
      <c r="Y71" t="e">
        <f>INDEX(MTT_codes,MATCH(loaded!BC71,MTT,0))</f>
        <v>#N/A</v>
      </c>
      <c r="Z71" t="str">
        <f>_xlfn.IFNA(INDEX(MTT_codes,MATCH(loaded!BE71,MTT,0)),"")</f>
        <v/>
      </c>
      <c r="AA71" t="str">
        <f>_xlfn.IFNA(INDEX(MTT_codes,MATCH(loaded!BG71,MTT,0)),"")</f>
        <v/>
      </c>
      <c r="AB71" t="str">
        <f>_xlfn.IFNA(INDEX(MTT_codes,MATCH(loaded!BI71,MTT,0)),"")</f>
        <v/>
      </c>
      <c r="AC71" t="str">
        <f>_xlfn.IFNA(INDEX(MTT_codes,MATCH(loaded!BK71,MTT,0)),"")</f>
        <v/>
      </c>
      <c r="AD71" t="str">
        <f>_xlfn.IFNA(INDEX(MTT_codes,MATCH(loaded!BM71,MTT,0)),"")</f>
        <v/>
      </c>
      <c r="AE71" t="e">
        <f>INDEX(liv_ar_codes,MATCH(loaded!BO71,liv_ar,0))</f>
        <v>#N/A</v>
      </c>
      <c r="AF71" t="str">
        <f>_xlfn.IFNA(INDEX(MTT_codes,MATCH(loaded!BQ71,MTT,0)),"")</f>
        <v/>
      </c>
      <c r="AG71">
        <f>_xlfn.IFNA(INDEX(mental_codes,MATCH(loaded!BS71,mental,0)),9)</f>
        <v>9</v>
      </c>
    </row>
    <row r="72" spans="1:33" x14ac:dyDescent="0.25">
      <c r="A72">
        <f>loaded!C72</f>
        <v>0</v>
      </c>
      <c r="B72">
        <f>loaded!I72</f>
        <v>0</v>
      </c>
      <c r="C72">
        <f>IF(loaded!K72="Male",1,IF(loaded!K72="Female",2,9))</f>
        <v>9</v>
      </c>
      <c r="D72" s="8">
        <f>loaded!M72</f>
        <v>0</v>
      </c>
      <c r="E72" t="str">
        <f>LEFT(loaded!O72,3)</f>
        <v/>
      </c>
      <c r="F72" t="e">
        <f>INDEX(cntry_codes,MATCH(loaded!Q72,countries,0))</f>
        <v>#N/A</v>
      </c>
      <c r="G72" t="e">
        <f>INDEX(atsi_codes,MATCH(loaded!S72,atsi,0))</f>
        <v>#N/A</v>
      </c>
      <c r="H72" t="e">
        <f>INDEX(lang_codes,MATCH(loaded!U72,lang,0))</f>
        <v>#N/A</v>
      </c>
      <c r="I72" s="8">
        <f>loaded!W72</f>
        <v>0</v>
      </c>
      <c r="J72" t="e">
        <f>INDEX(us_acc_codes,MATCH(loaded!Y72,us_acc,0))</f>
        <v>#N/A</v>
      </c>
      <c r="K72" t="e">
        <f>INDEX(client_codes,MATCH(loaded!AA72,client,0))</f>
        <v>#N/A</v>
      </c>
      <c r="L72" t="e">
        <f>INDEX(src_ref_codes,MATCH(loaded!AC72,src_ref,0))</f>
        <v>#N/A</v>
      </c>
      <c r="M72" s="8">
        <f>loaded!AE72</f>
        <v>0</v>
      </c>
      <c r="N72" s="8">
        <f>loaded!AG72</f>
        <v>0</v>
      </c>
      <c r="O72" t="e">
        <f>INDEX(reces_codes,MATCH(loaded!AI72,reason,0))</f>
        <v>#N/A</v>
      </c>
      <c r="P72" t="e">
        <f>INDEX(TDS_codes,MATCH(loaded!AK72,TDS,0))</f>
        <v>#N/A</v>
      </c>
      <c r="Q72" t="e">
        <f>IF(K72=2,"",INDEX(method_codes,MATCH(loaded!AM72,method,0)))</f>
        <v>#N/A</v>
      </c>
      <c r="R72" t="e">
        <f>IF(K72=2,"",INDEX(inj_codes,MATCH(loaded!AO72,inj,0)))</f>
        <v>#N/A</v>
      </c>
      <c r="S72" t="e">
        <f>IF(K72=2,"",INDEX(drug_codes,MATCH(loaded!AQ72,drug,0)))</f>
        <v>#N/A</v>
      </c>
      <c r="T72" t="e">
        <f>IF(K72=2,"",_xlfn.IFNA(INDEX(drug_codes,MATCH(loaded!AS72,drug,0)),""))</f>
        <v>#N/A</v>
      </c>
      <c r="U72" t="e">
        <f>IF(K72=2,"",_xlfn.IFNA(INDEX(drug_codes,MATCH(loaded!AU72,drug,0)),""))</f>
        <v>#N/A</v>
      </c>
      <c r="V72" t="e">
        <f>IF(K72=2,"",_xlfn.IFNA(INDEX(drug_codes,MATCH(loaded!AW72,drug,0)),""))</f>
        <v>#N/A</v>
      </c>
      <c r="W72" t="e">
        <f>IF(K72=2,"",_xlfn.IFNA(INDEX(drug_codes,MATCH(loaded!AY72,drug,0)),""))</f>
        <v>#N/A</v>
      </c>
      <c r="X72" t="e">
        <f>IF(K72=2,"",_xlfn.IFNA(INDEX(drug_codes,MATCH(loaded!BA72,drug,0)),""))</f>
        <v>#N/A</v>
      </c>
      <c r="Y72" t="e">
        <f>INDEX(MTT_codes,MATCH(loaded!BC72,MTT,0))</f>
        <v>#N/A</v>
      </c>
      <c r="Z72" t="str">
        <f>_xlfn.IFNA(INDEX(MTT_codes,MATCH(loaded!BE72,MTT,0)),"")</f>
        <v/>
      </c>
      <c r="AA72" t="str">
        <f>_xlfn.IFNA(INDEX(MTT_codes,MATCH(loaded!BG72,MTT,0)),"")</f>
        <v/>
      </c>
      <c r="AB72" t="str">
        <f>_xlfn.IFNA(INDEX(MTT_codes,MATCH(loaded!BI72,MTT,0)),"")</f>
        <v/>
      </c>
      <c r="AC72" t="str">
        <f>_xlfn.IFNA(INDEX(MTT_codes,MATCH(loaded!BK72,MTT,0)),"")</f>
        <v/>
      </c>
      <c r="AD72" t="str">
        <f>_xlfn.IFNA(INDEX(MTT_codes,MATCH(loaded!BM72,MTT,0)),"")</f>
        <v/>
      </c>
      <c r="AE72" t="e">
        <f>INDEX(liv_ar_codes,MATCH(loaded!BO72,liv_ar,0))</f>
        <v>#N/A</v>
      </c>
      <c r="AF72" t="str">
        <f>_xlfn.IFNA(INDEX(MTT_codes,MATCH(loaded!BQ72,MTT,0)),"")</f>
        <v/>
      </c>
      <c r="AG72">
        <f>_xlfn.IFNA(INDEX(mental_codes,MATCH(loaded!BS72,mental,0)),9)</f>
        <v>9</v>
      </c>
    </row>
    <row r="73" spans="1:33" x14ac:dyDescent="0.25">
      <c r="A73">
        <f>loaded!C73</f>
        <v>0</v>
      </c>
      <c r="B73">
        <f>loaded!I73</f>
        <v>0</v>
      </c>
      <c r="C73">
        <f>IF(loaded!K73="Male",1,IF(loaded!K73="Female",2,9))</f>
        <v>9</v>
      </c>
      <c r="D73" s="8">
        <f>loaded!M73</f>
        <v>0</v>
      </c>
      <c r="E73" t="str">
        <f>LEFT(loaded!O73,3)</f>
        <v/>
      </c>
      <c r="F73" t="e">
        <f>INDEX(cntry_codes,MATCH(loaded!Q73,countries,0))</f>
        <v>#N/A</v>
      </c>
      <c r="G73" t="e">
        <f>INDEX(atsi_codes,MATCH(loaded!S73,atsi,0))</f>
        <v>#N/A</v>
      </c>
      <c r="H73" t="e">
        <f>INDEX(lang_codes,MATCH(loaded!U73,lang,0))</f>
        <v>#N/A</v>
      </c>
      <c r="I73" s="8">
        <f>loaded!W73</f>
        <v>0</v>
      </c>
      <c r="J73" t="e">
        <f>INDEX(us_acc_codes,MATCH(loaded!Y73,us_acc,0))</f>
        <v>#N/A</v>
      </c>
      <c r="K73" t="e">
        <f>INDEX(client_codes,MATCH(loaded!AA73,client,0))</f>
        <v>#N/A</v>
      </c>
      <c r="L73" t="e">
        <f>INDEX(src_ref_codes,MATCH(loaded!AC73,src_ref,0))</f>
        <v>#N/A</v>
      </c>
      <c r="M73" s="8">
        <f>loaded!AE73</f>
        <v>0</v>
      </c>
      <c r="N73" s="8">
        <f>loaded!AG73</f>
        <v>0</v>
      </c>
      <c r="O73" t="e">
        <f>INDEX(reces_codes,MATCH(loaded!AI73,reason,0))</f>
        <v>#N/A</v>
      </c>
      <c r="P73" t="e">
        <f>INDEX(TDS_codes,MATCH(loaded!AK73,TDS,0))</f>
        <v>#N/A</v>
      </c>
      <c r="Q73" t="e">
        <f>IF(K73=2,"",INDEX(method_codes,MATCH(loaded!AM73,method,0)))</f>
        <v>#N/A</v>
      </c>
      <c r="R73" t="e">
        <f>IF(K73=2,"",INDEX(inj_codes,MATCH(loaded!AO73,inj,0)))</f>
        <v>#N/A</v>
      </c>
      <c r="S73" t="e">
        <f>IF(K73=2,"",INDEX(drug_codes,MATCH(loaded!AQ73,drug,0)))</f>
        <v>#N/A</v>
      </c>
      <c r="T73" t="e">
        <f>IF(K73=2,"",_xlfn.IFNA(INDEX(drug_codes,MATCH(loaded!AS73,drug,0)),""))</f>
        <v>#N/A</v>
      </c>
      <c r="U73" t="e">
        <f>IF(K73=2,"",_xlfn.IFNA(INDEX(drug_codes,MATCH(loaded!AU73,drug,0)),""))</f>
        <v>#N/A</v>
      </c>
      <c r="V73" t="e">
        <f>IF(K73=2,"",_xlfn.IFNA(INDEX(drug_codes,MATCH(loaded!AW73,drug,0)),""))</f>
        <v>#N/A</v>
      </c>
      <c r="W73" t="e">
        <f>IF(K73=2,"",_xlfn.IFNA(INDEX(drug_codes,MATCH(loaded!AY73,drug,0)),""))</f>
        <v>#N/A</v>
      </c>
      <c r="X73" t="e">
        <f>IF(K73=2,"",_xlfn.IFNA(INDEX(drug_codes,MATCH(loaded!BA73,drug,0)),""))</f>
        <v>#N/A</v>
      </c>
      <c r="Y73" t="e">
        <f>INDEX(MTT_codes,MATCH(loaded!BC73,MTT,0))</f>
        <v>#N/A</v>
      </c>
      <c r="Z73" t="str">
        <f>_xlfn.IFNA(INDEX(MTT_codes,MATCH(loaded!BE73,MTT,0)),"")</f>
        <v/>
      </c>
      <c r="AA73" t="str">
        <f>_xlfn.IFNA(INDEX(MTT_codes,MATCH(loaded!BG73,MTT,0)),"")</f>
        <v/>
      </c>
      <c r="AB73" t="str">
        <f>_xlfn.IFNA(INDEX(MTT_codes,MATCH(loaded!BI73,MTT,0)),"")</f>
        <v/>
      </c>
      <c r="AC73" t="str">
        <f>_xlfn.IFNA(INDEX(MTT_codes,MATCH(loaded!BK73,MTT,0)),"")</f>
        <v/>
      </c>
      <c r="AD73" t="str">
        <f>_xlfn.IFNA(INDEX(MTT_codes,MATCH(loaded!BM73,MTT,0)),"")</f>
        <v/>
      </c>
      <c r="AE73" t="e">
        <f>INDEX(liv_ar_codes,MATCH(loaded!BO73,liv_ar,0))</f>
        <v>#N/A</v>
      </c>
      <c r="AF73" t="str">
        <f>_xlfn.IFNA(INDEX(MTT_codes,MATCH(loaded!BQ73,MTT,0)),"")</f>
        <v/>
      </c>
      <c r="AG73">
        <f>_xlfn.IFNA(INDEX(mental_codes,MATCH(loaded!BS73,mental,0)),9)</f>
        <v>9</v>
      </c>
    </row>
    <row r="74" spans="1:33" x14ac:dyDescent="0.25">
      <c r="A74">
        <f>loaded!C74</f>
        <v>0</v>
      </c>
      <c r="B74">
        <f>loaded!I74</f>
        <v>0</v>
      </c>
      <c r="C74">
        <f>IF(loaded!K74="Male",1,IF(loaded!K74="Female",2,9))</f>
        <v>9</v>
      </c>
      <c r="D74" s="8">
        <f>loaded!M74</f>
        <v>0</v>
      </c>
      <c r="E74" t="str">
        <f>LEFT(loaded!O74,3)</f>
        <v/>
      </c>
      <c r="F74" t="e">
        <f>INDEX(cntry_codes,MATCH(loaded!Q74,countries,0))</f>
        <v>#N/A</v>
      </c>
      <c r="G74" t="e">
        <f>INDEX(atsi_codes,MATCH(loaded!S74,atsi,0))</f>
        <v>#N/A</v>
      </c>
      <c r="H74" t="e">
        <f>INDEX(lang_codes,MATCH(loaded!U74,lang,0))</f>
        <v>#N/A</v>
      </c>
      <c r="I74" s="8">
        <f>loaded!W74</f>
        <v>0</v>
      </c>
      <c r="J74" t="e">
        <f>INDEX(us_acc_codes,MATCH(loaded!Y74,us_acc,0))</f>
        <v>#N/A</v>
      </c>
      <c r="K74" t="e">
        <f>INDEX(client_codes,MATCH(loaded!AA74,client,0))</f>
        <v>#N/A</v>
      </c>
      <c r="L74" t="e">
        <f>INDEX(src_ref_codes,MATCH(loaded!AC74,src_ref,0))</f>
        <v>#N/A</v>
      </c>
      <c r="M74" s="8">
        <f>loaded!AE74</f>
        <v>0</v>
      </c>
      <c r="N74" s="8">
        <f>loaded!AG74</f>
        <v>0</v>
      </c>
      <c r="O74" t="e">
        <f>INDEX(reces_codes,MATCH(loaded!AI74,reason,0))</f>
        <v>#N/A</v>
      </c>
      <c r="P74" t="e">
        <f>INDEX(TDS_codes,MATCH(loaded!AK74,TDS,0))</f>
        <v>#N/A</v>
      </c>
      <c r="Q74" t="e">
        <f>IF(K74=2,"",INDEX(method_codes,MATCH(loaded!AM74,method,0)))</f>
        <v>#N/A</v>
      </c>
      <c r="R74" t="e">
        <f>IF(K74=2,"",INDEX(inj_codes,MATCH(loaded!AO74,inj,0)))</f>
        <v>#N/A</v>
      </c>
      <c r="S74" t="e">
        <f>IF(K74=2,"",INDEX(drug_codes,MATCH(loaded!AQ74,drug,0)))</f>
        <v>#N/A</v>
      </c>
      <c r="T74" t="e">
        <f>IF(K74=2,"",_xlfn.IFNA(INDEX(drug_codes,MATCH(loaded!AS74,drug,0)),""))</f>
        <v>#N/A</v>
      </c>
      <c r="U74" t="e">
        <f>IF(K74=2,"",_xlfn.IFNA(INDEX(drug_codes,MATCH(loaded!AU74,drug,0)),""))</f>
        <v>#N/A</v>
      </c>
      <c r="V74" t="e">
        <f>IF(K74=2,"",_xlfn.IFNA(INDEX(drug_codes,MATCH(loaded!AW74,drug,0)),""))</f>
        <v>#N/A</v>
      </c>
      <c r="W74" t="e">
        <f>IF(K74=2,"",_xlfn.IFNA(INDEX(drug_codes,MATCH(loaded!AY74,drug,0)),""))</f>
        <v>#N/A</v>
      </c>
      <c r="X74" t="e">
        <f>IF(K74=2,"",_xlfn.IFNA(INDEX(drug_codes,MATCH(loaded!BA74,drug,0)),""))</f>
        <v>#N/A</v>
      </c>
      <c r="Y74" t="e">
        <f>INDEX(MTT_codes,MATCH(loaded!BC74,MTT,0))</f>
        <v>#N/A</v>
      </c>
      <c r="Z74" t="str">
        <f>_xlfn.IFNA(INDEX(MTT_codes,MATCH(loaded!BE74,MTT,0)),"")</f>
        <v/>
      </c>
      <c r="AA74" t="str">
        <f>_xlfn.IFNA(INDEX(MTT_codes,MATCH(loaded!BG74,MTT,0)),"")</f>
        <v/>
      </c>
      <c r="AB74" t="str">
        <f>_xlfn.IFNA(INDEX(MTT_codes,MATCH(loaded!BI74,MTT,0)),"")</f>
        <v/>
      </c>
      <c r="AC74" t="str">
        <f>_xlfn.IFNA(INDEX(MTT_codes,MATCH(loaded!BK74,MTT,0)),"")</f>
        <v/>
      </c>
      <c r="AD74" t="str">
        <f>_xlfn.IFNA(INDEX(MTT_codes,MATCH(loaded!BM74,MTT,0)),"")</f>
        <v/>
      </c>
      <c r="AE74" t="e">
        <f>INDEX(liv_ar_codes,MATCH(loaded!BO74,liv_ar,0))</f>
        <v>#N/A</v>
      </c>
      <c r="AF74" t="str">
        <f>_xlfn.IFNA(INDEX(MTT_codes,MATCH(loaded!BQ74,MTT,0)),"")</f>
        <v/>
      </c>
      <c r="AG74">
        <f>_xlfn.IFNA(INDEX(mental_codes,MATCH(loaded!BS74,mental,0)),9)</f>
        <v>9</v>
      </c>
    </row>
    <row r="75" spans="1:33" x14ac:dyDescent="0.25">
      <c r="A75">
        <f>loaded!C75</f>
        <v>0</v>
      </c>
      <c r="B75">
        <f>loaded!I75</f>
        <v>0</v>
      </c>
      <c r="C75">
        <f>IF(loaded!K75="Male",1,IF(loaded!K75="Female",2,9))</f>
        <v>9</v>
      </c>
      <c r="D75" s="8">
        <f>loaded!M75</f>
        <v>0</v>
      </c>
      <c r="E75" t="str">
        <f>LEFT(loaded!O75,3)</f>
        <v/>
      </c>
      <c r="F75" t="e">
        <f>INDEX(cntry_codes,MATCH(loaded!Q75,countries,0))</f>
        <v>#N/A</v>
      </c>
      <c r="G75" t="e">
        <f>INDEX(atsi_codes,MATCH(loaded!S75,atsi,0))</f>
        <v>#N/A</v>
      </c>
      <c r="H75" t="e">
        <f>INDEX(lang_codes,MATCH(loaded!U75,lang,0))</f>
        <v>#N/A</v>
      </c>
      <c r="I75" s="8">
        <f>loaded!W75</f>
        <v>0</v>
      </c>
      <c r="J75" t="e">
        <f>INDEX(us_acc_codes,MATCH(loaded!Y75,us_acc,0))</f>
        <v>#N/A</v>
      </c>
      <c r="K75" t="e">
        <f>INDEX(client_codes,MATCH(loaded!AA75,client,0))</f>
        <v>#N/A</v>
      </c>
      <c r="L75" t="e">
        <f>INDEX(src_ref_codes,MATCH(loaded!AC75,src_ref,0))</f>
        <v>#N/A</v>
      </c>
      <c r="M75" s="8">
        <f>loaded!AE75</f>
        <v>0</v>
      </c>
      <c r="N75" s="8">
        <f>loaded!AG75</f>
        <v>0</v>
      </c>
      <c r="O75" t="e">
        <f>INDEX(reces_codes,MATCH(loaded!AI75,reason,0))</f>
        <v>#N/A</v>
      </c>
      <c r="P75" t="e">
        <f>INDEX(TDS_codes,MATCH(loaded!AK75,TDS,0))</f>
        <v>#N/A</v>
      </c>
      <c r="Q75" t="e">
        <f>IF(K75=2,"",INDEX(method_codes,MATCH(loaded!AM75,method,0)))</f>
        <v>#N/A</v>
      </c>
      <c r="R75" t="e">
        <f>IF(K75=2,"",INDEX(inj_codes,MATCH(loaded!AO75,inj,0)))</f>
        <v>#N/A</v>
      </c>
      <c r="S75" t="e">
        <f>IF(K75=2,"",INDEX(drug_codes,MATCH(loaded!AQ75,drug,0)))</f>
        <v>#N/A</v>
      </c>
      <c r="T75" t="e">
        <f>IF(K75=2,"",_xlfn.IFNA(INDEX(drug_codes,MATCH(loaded!AS75,drug,0)),""))</f>
        <v>#N/A</v>
      </c>
      <c r="U75" t="e">
        <f>IF(K75=2,"",_xlfn.IFNA(INDEX(drug_codes,MATCH(loaded!AU75,drug,0)),""))</f>
        <v>#N/A</v>
      </c>
      <c r="V75" t="e">
        <f>IF(K75=2,"",_xlfn.IFNA(INDEX(drug_codes,MATCH(loaded!AW75,drug,0)),""))</f>
        <v>#N/A</v>
      </c>
      <c r="W75" t="e">
        <f>IF(K75=2,"",_xlfn.IFNA(INDEX(drug_codes,MATCH(loaded!AY75,drug,0)),""))</f>
        <v>#N/A</v>
      </c>
      <c r="X75" t="e">
        <f>IF(K75=2,"",_xlfn.IFNA(INDEX(drug_codes,MATCH(loaded!BA75,drug,0)),""))</f>
        <v>#N/A</v>
      </c>
      <c r="Y75" t="e">
        <f>INDEX(MTT_codes,MATCH(loaded!BC75,MTT,0))</f>
        <v>#N/A</v>
      </c>
      <c r="Z75" t="str">
        <f>_xlfn.IFNA(INDEX(MTT_codes,MATCH(loaded!BE75,MTT,0)),"")</f>
        <v/>
      </c>
      <c r="AA75" t="str">
        <f>_xlfn.IFNA(INDEX(MTT_codes,MATCH(loaded!BG75,MTT,0)),"")</f>
        <v/>
      </c>
      <c r="AB75" t="str">
        <f>_xlfn.IFNA(INDEX(MTT_codes,MATCH(loaded!BI75,MTT,0)),"")</f>
        <v/>
      </c>
      <c r="AC75" t="str">
        <f>_xlfn.IFNA(INDEX(MTT_codes,MATCH(loaded!BK75,MTT,0)),"")</f>
        <v/>
      </c>
      <c r="AD75" t="str">
        <f>_xlfn.IFNA(INDEX(MTT_codes,MATCH(loaded!BM75,MTT,0)),"")</f>
        <v/>
      </c>
      <c r="AE75" t="e">
        <f>INDEX(liv_ar_codes,MATCH(loaded!BO75,liv_ar,0))</f>
        <v>#N/A</v>
      </c>
      <c r="AF75" t="str">
        <f>_xlfn.IFNA(INDEX(MTT_codes,MATCH(loaded!BQ75,MTT,0)),"")</f>
        <v/>
      </c>
      <c r="AG75">
        <f>_xlfn.IFNA(INDEX(mental_codes,MATCH(loaded!BS75,mental,0)),9)</f>
        <v>9</v>
      </c>
    </row>
    <row r="76" spans="1:33" x14ac:dyDescent="0.25">
      <c r="A76">
        <f>loaded!C76</f>
        <v>0</v>
      </c>
      <c r="B76">
        <f>loaded!I76</f>
        <v>0</v>
      </c>
      <c r="C76">
        <f>IF(loaded!K76="Male",1,IF(loaded!K76="Female",2,9))</f>
        <v>9</v>
      </c>
      <c r="D76" s="8">
        <f>loaded!M76</f>
        <v>0</v>
      </c>
      <c r="E76" t="str">
        <f>LEFT(loaded!O76,3)</f>
        <v/>
      </c>
      <c r="F76" t="e">
        <f>INDEX(cntry_codes,MATCH(loaded!Q76,countries,0))</f>
        <v>#N/A</v>
      </c>
      <c r="G76" t="e">
        <f>INDEX(atsi_codes,MATCH(loaded!S76,atsi,0))</f>
        <v>#N/A</v>
      </c>
      <c r="H76" t="e">
        <f>INDEX(lang_codes,MATCH(loaded!U76,lang,0))</f>
        <v>#N/A</v>
      </c>
      <c r="I76" s="8">
        <f>loaded!W76</f>
        <v>0</v>
      </c>
      <c r="J76" t="e">
        <f>INDEX(us_acc_codes,MATCH(loaded!Y76,us_acc,0))</f>
        <v>#N/A</v>
      </c>
      <c r="K76" t="e">
        <f>INDEX(client_codes,MATCH(loaded!AA76,client,0))</f>
        <v>#N/A</v>
      </c>
      <c r="L76" t="e">
        <f>INDEX(src_ref_codes,MATCH(loaded!AC76,src_ref,0))</f>
        <v>#N/A</v>
      </c>
      <c r="M76" s="8">
        <f>loaded!AE76</f>
        <v>0</v>
      </c>
      <c r="N76" s="8">
        <f>loaded!AG76</f>
        <v>0</v>
      </c>
      <c r="O76" t="e">
        <f>INDEX(reces_codes,MATCH(loaded!AI76,reason,0))</f>
        <v>#N/A</v>
      </c>
      <c r="P76" t="e">
        <f>INDEX(TDS_codes,MATCH(loaded!AK76,TDS,0))</f>
        <v>#N/A</v>
      </c>
      <c r="Q76" t="e">
        <f>IF(K76=2,"",INDEX(method_codes,MATCH(loaded!AM76,method,0)))</f>
        <v>#N/A</v>
      </c>
      <c r="R76" t="e">
        <f>IF(K76=2,"",INDEX(inj_codes,MATCH(loaded!AO76,inj,0)))</f>
        <v>#N/A</v>
      </c>
      <c r="S76" t="e">
        <f>IF(K76=2,"",INDEX(drug_codes,MATCH(loaded!AQ76,drug,0)))</f>
        <v>#N/A</v>
      </c>
      <c r="T76" t="e">
        <f>IF(K76=2,"",_xlfn.IFNA(INDEX(drug_codes,MATCH(loaded!AS76,drug,0)),""))</f>
        <v>#N/A</v>
      </c>
      <c r="U76" t="e">
        <f>IF(K76=2,"",_xlfn.IFNA(INDEX(drug_codes,MATCH(loaded!AU76,drug,0)),""))</f>
        <v>#N/A</v>
      </c>
      <c r="V76" t="e">
        <f>IF(K76=2,"",_xlfn.IFNA(INDEX(drug_codes,MATCH(loaded!AW76,drug,0)),""))</f>
        <v>#N/A</v>
      </c>
      <c r="W76" t="e">
        <f>IF(K76=2,"",_xlfn.IFNA(INDEX(drug_codes,MATCH(loaded!AY76,drug,0)),""))</f>
        <v>#N/A</v>
      </c>
      <c r="X76" t="e">
        <f>IF(K76=2,"",_xlfn.IFNA(INDEX(drug_codes,MATCH(loaded!BA76,drug,0)),""))</f>
        <v>#N/A</v>
      </c>
      <c r="Y76" t="e">
        <f>INDEX(MTT_codes,MATCH(loaded!BC76,MTT,0))</f>
        <v>#N/A</v>
      </c>
      <c r="Z76" t="str">
        <f>_xlfn.IFNA(INDEX(MTT_codes,MATCH(loaded!BE76,MTT,0)),"")</f>
        <v/>
      </c>
      <c r="AA76" t="str">
        <f>_xlfn.IFNA(INDEX(MTT_codes,MATCH(loaded!BG76,MTT,0)),"")</f>
        <v/>
      </c>
      <c r="AB76" t="str">
        <f>_xlfn.IFNA(INDEX(MTT_codes,MATCH(loaded!BI76,MTT,0)),"")</f>
        <v/>
      </c>
      <c r="AC76" t="str">
        <f>_xlfn.IFNA(INDEX(MTT_codes,MATCH(loaded!BK76,MTT,0)),"")</f>
        <v/>
      </c>
      <c r="AD76" t="str">
        <f>_xlfn.IFNA(INDEX(MTT_codes,MATCH(loaded!BM76,MTT,0)),"")</f>
        <v/>
      </c>
      <c r="AE76" t="e">
        <f>INDEX(liv_ar_codes,MATCH(loaded!BO76,liv_ar,0))</f>
        <v>#N/A</v>
      </c>
      <c r="AF76" t="str">
        <f>_xlfn.IFNA(INDEX(MTT_codes,MATCH(loaded!BQ76,MTT,0)),"")</f>
        <v/>
      </c>
      <c r="AG76">
        <f>_xlfn.IFNA(INDEX(mental_codes,MATCH(loaded!BS76,mental,0)),9)</f>
        <v>9</v>
      </c>
    </row>
    <row r="77" spans="1:33" x14ac:dyDescent="0.25">
      <c r="A77">
        <f>loaded!C77</f>
        <v>0</v>
      </c>
      <c r="B77">
        <f>loaded!I77</f>
        <v>0</v>
      </c>
      <c r="C77">
        <f>IF(loaded!K77="Male",1,IF(loaded!K77="Female",2,9))</f>
        <v>9</v>
      </c>
      <c r="D77" s="8">
        <f>loaded!M77</f>
        <v>0</v>
      </c>
      <c r="E77" t="str">
        <f>LEFT(loaded!O77,3)</f>
        <v/>
      </c>
      <c r="F77" t="e">
        <f>INDEX(cntry_codes,MATCH(loaded!Q77,countries,0))</f>
        <v>#N/A</v>
      </c>
      <c r="G77" t="e">
        <f>INDEX(atsi_codes,MATCH(loaded!S77,atsi,0))</f>
        <v>#N/A</v>
      </c>
      <c r="H77" t="e">
        <f>INDEX(lang_codes,MATCH(loaded!U77,lang,0))</f>
        <v>#N/A</v>
      </c>
      <c r="I77" s="8">
        <f>loaded!W77</f>
        <v>0</v>
      </c>
      <c r="J77" t="e">
        <f>INDEX(us_acc_codes,MATCH(loaded!Y77,us_acc,0))</f>
        <v>#N/A</v>
      </c>
      <c r="K77" t="e">
        <f>INDEX(client_codes,MATCH(loaded!AA77,client,0))</f>
        <v>#N/A</v>
      </c>
      <c r="L77" t="e">
        <f>INDEX(src_ref_codes,MATCH(loaded!AC77,src_ref,0))</f>
        <v>#N/A</v>
      </c>
      <c r="M77" s="8">
        <f>loaded!AE77</f>
        <v>0</v>
      </c>
      <c r="N77" s="8">
        <f>loaded!AG77</f>
        <v>0</v>
      </c>
      <c r="O77" t="e">
        <f>INDEX(reces_codes,MATCH(loaded!AI77,reason,0))</f>
        <v>#N/A</v>
      </c>
      <c r="P77" t="e">
        <f>INDEX(TDS_codes,MATCH(loaded!AK77,TDS,0))</f>
        <v>#N/A</v>
      </c>
      <c r="Q77" t="e">
        <f>IF(K77=2,"",INDEX(method_codes,MATCH(loaded!AM77,method,0)))</f>
        <v>#N/A</v>
      </c>
      <c r="R77" t="e">
        <f>IF(K77=2,"",INDEX(inj_codes,MATCH(loaded!AO77,inj,0)))</f>
        <v>#N/A</v>
      </c>
      <c r="S77" t="e">
        <f>IF(K77=2,"",INDEX(drug_codes,MATCH(loaded!AQ77,drug,0)))</f>
        <v>#N/A</v>
      </c>
      <c r="T77" t="e">
        <f>IF(K77=2,"",_xlfn.IFNA(INDEX(drug_codes,MATCH(loaded!AS77,drug,0)),""))</f>
        <v>#N/A</v>
      </c>
      <c r="U77" t="e">
        <f>IF(K77=2,"",_xlfn.IFNA(INDEX(drug_codes,MATCH(loaded!AU77,drug,0)),""))</f>
        <v>#N/A</v>
      </c>
      <c r="V77" t="e">
        <f>IF(K77=2,"",_xlfn.IFNA(INDEX(drug_codes,MATCH(loaded!AW77,drug,0)),""))</f>
        <v>#N/A</v>
      </c>
      <c r="W77" t="e">
        <f>IF(K77=2,"",_xlfn.IFNA(INDEX(drug_codes,MATCH(loaded!AY77,drug,0)),""))</f>
        <v>#N/A</v>
      </c>
      <c r="X77" t="e">
        <f>IF(K77=2,"",_xlfn.IFNA(INDEX(drug_codes,MATCH(loaded!BA77,drug,0)),""))</f>
        <v>#N/A</v>
      </c>
      <c r="Y77" t="e">
        <f>INDEX(MTT_codes,MATCH(loaded!BC77,MTT,0))</f>
        <v>#N/A</v>
      </c>
      <c r="Z77" t="str">
        <f>_xlfn.IFNA(INDEX(MTT_codes,MATCH(loaded!BE77,MTT,0)),"")</f>
        <v/>
      </c>
      <c r="AA77" t="str">
        <f>_xlfn.IFNA(INDEX(MTT_codes,MATCH(loaded!BG77,MTT,0)),"")</f>
        <v/>
      </c>
      <c r="AB77" t="str">
        <f>_xlfn.IFNA(INDEX(MTT_codes,MATCH(loaded!BI77,MTT,0)),"")</f>
        <v/>
      </c>
      <c r="AC77" t="str">
        <f>_xlfn.IFNA(INDEX(MTT_codes,MATCH(loaded!BK77,MTT,0)),"")</f>
        <v/>
      </c>
      <c r="AD77" t="str">
        <f>_xlfn.IFNA(INDEX(MTT_codes,MATCH(loaded!BM77,MTT,0)),"")</f>
        <v/>
      </c>
      <c r="AE77" t="e">
        <f>INDEX(liv_ar_codes,MATCH(loaded!BO77,liv_ar,0))</f>
        <v>#N/A</v>
      </c>
      <c r="AF77" t="str">
        <f>_xlfn.IFNA(INDEX(MTT_codes,MATCH(loaded!BQ77,MTT,0)),"")</f>
        <v/>
      </c>
      <c r="AG77">
        <f>_xlfn.IFNA(INDEX(mental_codes,MATCH(loaded!BS77,mental,0)),9)</f>
        <v>9</v>
      </c>
    </row>
    <row r="78" spans="1:33" x14ac:dyDescent="0.25">
      <c r="A78">
        <f>loaded!C78</f>
        <v>0</v>
      </c>
      <c r="B78">
        <f>loaded!I78</f>
        <v>0</v>
      </c>
      <c r="C78">
        <f>IF(loaded!K78="Male",1,IF(loaded!K78="Female",2,9))</f>
        <v>9</v>
      </c>
      <c r="D78" s="8">
        <f>loaded!M78</f>
        <v>0</v>
      </c>
      <c r="E78" t="str">
        <f>LEFT(loaded!O78,3)</f>
        <v/>
      </c>
      <c r="F78" t="e">
        <f>INDEX(cntry_codes,MATCH(loaded!Q78,countries,0))</f>
        <v>#N/A</v>
      </c>
      <c r="G78" t="e">
        <f>INDEX(atsi_codes,MATCH(loaded!S78,atsi,0))</f>
        <v>#N/A</v>
      </c>
      <c r="H78" t="e">
        <f>INDEX(lang_codes,MATCH(loaded!U78,lang,0))</f>
        <v>#N/A</v>
      </c>
      <c r="I78" s="8">
        <f>loaded!W78</f>
        <v>0</v>
      </c>
      <c r="J78" t="e">
        <f>INDEX(us_acc_codes,MATCH(loaded!Y78,us_acc,0))</f>
        <v>#N/A</v>
      </c>
      <c r="K78" t="e">
        <f>INDEX(client_codes,MATCH(loaded!AA78,client,0))</f>
        <v>#N/A</v>
      </c>
      <c r="L78" t="e">
        <f>INDEX(src_ref_codes,MATCH(loaded!AC78,src_ref,0))</f>
        <v>#N/A</v>
      </c>
      <c r="M78" s="8">
        <f>loaded!AE78</f>
        <v>0</v>
      </c>
      <c r="N78" s="8">
        <f>loaded!AG78</f>
        <v>0</v>
      </c>
      <c r="O78" t="e">
        <f>INDEX(reces_codes,MATCH(loaded!AI78,reason,0))</f>
        <v>#N/A</v>
      </c>
      <c r="P78" t="e">
        <f>INDEX(TDS_codes,MATCH(loaded!AK78,TDS,0))</f>
        <v>#N/A</v>
      </c>
      <c r="Q78" t="e">
        <f>IF(K78=2,"",INDEX(method_codes,MATCH(loaded!AM78,method,0)))</f>
        <v>#N/A</v>
      </c>
      <c r="R78" t="e">
        <f>IF(K78=2,"",INDEX(inj_codes,MATCH(loaded!AO78,inj,0)))</f>
        <v>#N/A</v>
      </c>
      <c r="S78" t="e">
        <f>IF(K78=2,"",INDEX(drug_codes,MATCH(loaded!AQ78,drug,0)))</f>
        <v>#N/A</v>
      </c>
      <c r="T78" t="e">
        <f>IF(K78=2,"",_xlfn.IFNA(INDEX(drug_codes,MATCH(loaded!AS78,drug,0)),""))</f>
        <v>#N/A</v>
      </c>
      <c r="U78" t="e">
        <f>IF(K78=2,"",_xlfn.IFNA(INDEX(drug_codes,MATCH(loaded!AU78,drug,0)),""))</f>
        <v>#N/A</v>
      </c>
      <c r="V78" t="e">
        <f>IF(K78=2,"",_xlfn.IFNA(INDEX(drug_codes,MATCH(loaded!AW78,drug,0)),""))</f>
        <v>#N/A</v>
      </c>
      <c r="W78" t="e">
        <f>IF(K78=2,"",_xlfn.IFNA(INDEX(drug_codes,MATCH(loaded!AY78,drug,0)),""))</f>
        <v>#N/A</v>
      </c>
      <c r="X78" t="e">
        <f>IF(K78=2,"",_xlfn.IFNA(INDEX(drug_codes,MATCH(loaded!BA78,drug,0)),""))</f>
        <v>#N/A</v>
      </c>
      <c r="Y78" t="e">
        <f>INDEX(MTT_codes,MATCH(loaded!BC78,MTT,0))</f>
        <v>#N/A</v>
      </c>
      <c r="Z78" t="str">
        <f>_xlfn.IFNA(INDEX(MTT_codes,MATCH(loaded!BE78,MTT,0)),"")</f>
        <v/>
      </c>
      <c r="AA78" t="str">
        <f>_xlfn.IFNA(INDEX(MTT_codes,MATCH(loaded!BG78,MTT,0)),"")</f>
        <v/>
      </c>
      <c r="AB78" t="str">
        <f>_xlfn.IFNA(INDEX(MTT_codes,MATCH(loaded!BI78,MTT,0)),"")</f>
        <v/>
      </c>
      <c r="AC78" t="str">
        <f>_xlfn.IFNA(INDEX(MTT_codes,MATCH(loaded!BK78,MTT,0)),"")</f>
        <v/>
      </c>
      <c r="AD78" t="str">
        <f>_xlfn.IFNA(INDEX(MTT_codes,MATCH(loaded!BM78,MTT,0)),"")</f>
        <v/>
      </c>
      <c r="AE78" t="e">
        <f>INDEX(liv_ar_codes,MATCH(loaded!BO78,liv_ar,0))</f>
        <v>#N/A</v>
      </c>
      <c r="AF78" t="str">
        <f>_xlfn.IFNA(INDEX(MTT_codes,MATCH(loaded!BQ78,MTT,0)),"")</f>
        <v/>
      </c>
      <c r="AG78">
        <f>_xlfn.IFNA(INDEX(mental_codes,MATCH(loaded!BS78,mental,0)),9)</f>
        <v>9</v>
      </c>
    </row>
    <row r="79" spans="1:33" x14ac:dyDescent="0.25">
      <c r="A79">
        <f>loaded!C79</f>
        <v>0</v>
      </c>
      <c r="B79">
        <f>loaded!I79</f>
        <v>0</v>
      </c>
      <c r="C79">
        <f>IF(loaded!K79="Male",1,IF(loaded!K79="Female",2,9))</f>
        <v>9</v>
      </c>
      <c r="D79" s="8">
        <f>loaded!M79</f>
        <v>0</v>
      </c>
      <c r="E79" t="str">
        <f>LEFT(loaded!O79,3)</f>
        <v/>
      </c>
      <c r="F79" t="e">
        <f>INDEX(cntry_codes,MATCH(loaded!Q79,countries,0))</f>
        <v>#N/A</v>
      </c>
      <c r="G79" t="e">
        <f>INDEX(atsi_codes,MATCH(loaded!S79,atsi,0))</f>
        <v>#N/A</v>
      </c>
      <c r="H79" t="e">
        <f>INDEX(lang_codes,MATCH(loaded!U79,lang,0))</f>
        <v>#N/A</v>
      </c>
      <c r="I79" s="8">
        <f>loaded!W79</f>
        <v>0</v>
      </c>
      <c r="J79" t="e">
        <f>INDEX(us_acc_codes,MATCH(loaded!Y79,us_acc,0))</f>
        <v>#N/A</v>
      </c>
      <c r="K79" t="e">
        <f>INDEX(client_codes,MATCH(loaded!AA79,client,0))</f>
        <v>#N/A</v>
      </c>
      <c r="L79" t="e">
        <f>INDEX(src_ref_codes,MATCH(loaded!AC79,src_ref,0))</f>
        <v>#N/A</v>
      </c>
      <c r="M79" s="8">
        <f>loaded!AE79</f>
        <v>0</v>
      </c>
      <c r="N79" s="8">
        <f>loaded!AG79</f>
        <v>0</v>
      </c>
      <c r="O79" t="e">
        <f>INDEX(reces_codes,MATCH(loaded!AI79,reason,0))</f>
        <v>#N/A</v>
      </c>
      <c r="P79" t="e">
        <f>INDEX(TDS_codes,MATCH(loaded!AK79,TDS,0))</f>
        <v>#N/A</v>
      </c>
      <c r="Q79" t="e">
        <f>IF(K79=2,"",INDEX(method_codes,MATCH(loaded!AM79,method,0)))</f>
        <v>#N/A</v>
      </c>
      <c r="R79" t="e">
        <f>IF(K79=2,"",INDEX(inj_codes,MATCH(loaded!AO79,inj,0)))</f>
        <v>#N/A</v>
      </c>
      <c r="S79" t="e">
        <f>IF(K79=2,"",INDEX(drug_codes,MATCH(loaded!AQ79,drug,0)))</f>
        <v>#N/A</v>
      </c>
      <c r="T79" t="e">
        <f>IF(K79=2,"",_xlfn.IFNA(INDEX(drug_codes,MATCH(loaded!AS79,drug,0)),""))</f>
        <v>#N/A</v>
      </c>
      <c r="U79" t="e">
        <f>IF(K79=2,"",_xlfn.IFNA(INDEX(drug_codes,MATCH(loaded!AU79,drug,0)),""))</f>
        <v>#N/A</v>
      </c>
      <c r="V79" t="e">
        <f>IF(K79=2,"",_xlfn.IFNA(INDEX(drug_codes,MATCH(loaded!AW79,drug,0)),""))</f>
        <v>#N/A</v>
      </c>
      <c r="W79" t="e">
        <f>IF(K79=2,"",_xlfn.IFNA(INDEX(drug_codes,MATCH(loaded!AY79,drug,0)),""))</f>
        <v>#N/A</v>
      </c>
      <c r="X79" t="e">
        <f>IF(K79=2,"",_xlfn.IFNA(INDEX(drug_codes,MATCH(loaded!BA79,drug,0)),""))</f>
        <v>#N/A</v>
      </c>
      <c r="Y79" t="e">
        <f>INDEX(MTT_codes,MATCH(loaded!BC79,MTT,0))</f>
        <v>#N/A</v>
      </c>
      <c r="Z79" t="str">
        <f>_xlfn.IFNA(INDEX(MTT_codes,MATCH(loaded!BE79,MTT,0)),"")</f>
        <v/>
      </c>
      <c r="AA79" t="str">
        <f>_xlfn.IFNA(INDEX(MTT_codes,MATCH(loaded!BG79,MTT,0)),"")</f>
        <v/>
      </c>
      <c r="AB79" t="str">
        <f>_xlfn.IFNA(INDEX(MTT_codes,MATCH(loaded!BI79,MTT,0)),"")</f>
        <v/>
      </c>
      <c r="AC79" t="str">
        <f>_xlfn.IFNA(INDEX(MTT_codes,MATCH(loaded!BK79,MTT,0)),"")</f>
        <v/>
      </c>
      <c r="AD79" t="str">
        <f>_xlfn.IFNA(INDEX(MTT_codes,MATCH(loaded!BM79,MTT,0)),"")</f>
        <v/>
      </c>
      <c r="AE79" t="e">
        <f>INDEX(liv_ar_codes,MATCH(loaded!BO79,liv_ar,0))</f>
        <v>#N/A</v>
      </c>
      <c r="AF79" t="str">
        <f>_xlfn.IFNA(INDEX(MTT_codes,MATCH(loaded!BQ79,MTT,0)),"")</f>
        <v/>
      </c>
      <c r="AG79">
        <f>_xlfn.IFNA(INDEX(mental_codes,MATCH(loaded!BS79,mental,0)),9)</f>
        <v>9</v>
      </c>
    </row>
    <row r="80" spans="1:33" x14ac:dyDescent="0.25">
      <c r="A80">
        <f>loaded!C80</f>
        <v>0</v>
      </c>
      <c r="B80">
        <f>loaded!I80</f>
        <v>0</v>
      </c>
      <c r="C80">
        <f>IF(loaded!K80="Male",1,IF(loaded!K80="Female",2,9))</f>
        <v>9</v>
      </c>
      <c r="D80" s="8">
        <f>loaded!M80</f>
        <v>0</v>
      </c>
      <c r="E80" t="str">
        <f>LEFT(loaded!O80,3)</f>
        <v/>
      </c>
      <c r="F80" t="e">
        <f>INDEX(cntry_codes,MATCH(loaded!Q80,countries,0))</f>
        <v>#N/A</v>
      </c>
      <c r="G80" t="e">
        <f>INDEX(atsi_codes,MATCH(loaded!S80,atsi,0))</f>
        <v>#N/A</v>
      </c>
      <c r="H80" t="e">
        <f>INDEX(lang_codes,MATCH(loaded!U80,lang,0))</f>
        <v>#N/A</v>
      </c>
      <c r="I80" s="8">
        <f>loaded!W80</f>
        <v>0</v>
      </c>
      <c r="J80" t="e">
        <f>INDEX(us_acc_codes,MATCH(loaded!Y80,us_acc,0))</f>
        <v>#N/A</v>
      </c>
      <c r="K80" t="e">
        <f>INDEX(client_codes,MATCH(loaded!AA80,client,0))</f>
        <v>#N/A</v>
      </c>
      <c r="L80" t="e">
        <f>INDEX(src_ref_codes,MATCH(loaded!AC80,src_ref,0))</f>
        <v>#N/A</v>
      </c>
      <c r="M80" s="8">
        <f>loaded!AE80</f>
        <v>0</v>
      </c>
      <c r="N80" s="8">
        <f>loaded!AG80</f>
        <v>0</v>
      </c>
      <c r="O80" t="e">
        <f>INDEX(reces_codes,MATCH(loaded!AI80,reason,0))</f>
        <v>#N/A</v>
      </c>
      <c r="P80" t="e">
        <f>INDEX(TDS_codes,MATCH(loaded!AK80,TDS,0))</f>
        <v>#N/A</v>
      </c>
      <c r="Q80" t="e">
        <f>IF(K80=2,"",INDEX(method_codes,MATCH(loaded!AM80,method,0)))</f>
        <v>#N/A</v>
      </c>
      <c r="R80" t="e">
        <f>IF(K80=2,"",INDEX(inj_codes,MATCH(loaded!AO80,inj,0)))</f>
        <v>#N/A</v>
      </c>
      <c r="S80" t="e">
        <f>IF(K80=2,"",INDEX(drug_codes,MATCH(loaded!AQ80,drug,0)))</f>
        <v>#N/A</v>
      </c>
      <c r="T80" t="e">
        <f>IF(K80=2,"",_xlfn.IFNA(INDEX(drug_codes,MATCH(loaded!AS80,drug,0)),""))</f>
        <v>#N/A</v>
      </c>
      <c r="U80" t="e">
        <f>IF(K80=2,"",_xlfn.IFNA(INDEX(drug_codes,MATCH(loaded!AU80,drug,0)),""))</f>
        <v>#N/A</v>
      </c>
      <c r="V80" t="e">
        <f>IF(K80=2,"",_xlfn.IFNA(INDEX(drug_codes,MATCH(loaded!AW80,drug,0)),""))</f>
        <v>#N/A</v>
      </c>
      <c r="W80" t="e">
        <f>IF(K80=2,"",_xlfn.IFNA(INDEX(drug_codes,MATCH(loaded!AY80,drug,0)),""))</f>
        <v>#N/A</v>
      </c>
      <c r="X80" t="e">
        <f>IF(K80=2,"",_xlfn.IFNA(INDEX(drug_codes,MATCH(loaded!BA80,drug,0)),""))</f>
        <v>#N/A</v>
      </c>
      <c r="Y80" t="e">
        <f>INDEX(MTT_codes,MATCH(loaded!BC80,MTT,0))</f>
        <v>#N/A</v>
      </c>
      <c r="Z80" t="str">
        <f>_xlfn.IFNA(INDEX(MTT_codes,MATCH(loaded!BE80,MTT,0)),"")</f>
        <v/>
      </c>
      <c r="AA80" t="str">
        <f>_xlfn.IFNA(INDEX(MTT_codes,MATCH(loaded!BG80,MTT,0)),"")</f>
        <v/>
      </c>
      <c r="AB80" t="str">
        <f>_xlfn.IFNA(INDEX(MTT_codes,MATCH(loaded!BI80,MTT,0)),"")</f>
        <v/>
      </c>
      <c r="AC80" t="str">
        <f>_xlfn.IFNA(INDEX(MTT_codes,MATCH(loaded!BK80,MTT,0)),"")</f>
        <v/>
      </c>
      <c r="AD80" t="str">
        <f>_xlfn.IFNA(INDEX(MTT_codes,MATCH(loaded!BM80,MTT,0)),"")</f>
        <v/>
      </c>
      <c r="AE80" t="e">
        <f>INDEX(liv_ar_codes,MATCH(loaded!BO80,liv_ar,0))</f>
        <v>#N/A</v>
      </c>
      <c r="AF80" t="str">
        <f>_xlfn.IFNA(INDEX(MTT_codes,MATCH(loaded!BQ80,MTT,0)),"")</f>
        <v/>
      </c>
      <c r="AG80">
        <f>_xlfn.IFNA(INDEX(mental_codes,MATCH(loaded!BS80,mental,0)),9)</f>
        <v>9</v>
      </c>
    </row>
    <row r="81" spans="1:33" x14ac:dyDescent="0.25">
      <c r="A81">
        <f>loaded!C81</f>
        <v>0</v>
      </c>
      <c r="B81">
        <f>loaded!I81</f>
        <v>0</v>
      </c>
      <c r="C81">
        <f>IF(loaded!K81="Male",1,IF(loaded!K81="Female",2,9))</f>
        <v>9</v>
      </c>
      <c r="D81" s="8">
        <f>loaded!M81</f>
        <v>0</v>
      </c>
      <c r="E81" t="str">
        <f>LEFT(loaded!O81,3)</f>
        <v/>
      </c>
      <c r="F81" t="e">
        <f>INDEX(cntry_codes,MATCH(loaded!Q81,countries,0))</f>
        <v>#N/A</v>
      </c>
      <c r="G81" t="e">
        <f>INDEX(atsi_codes,MATCH(loaded!S81,atsi,0))</f>
        <v>#N/A</v>
      </c>
      <c r="H81" t="e">
        <f>INDEX(lang_codes,MATCH(loaded!U81,lang,0))</f>
        <v>#N/A</v>
      </c>
      <c r="I81" s="8">
        <f>loaded!W81</f>
        <v>0</v>
      </c>
      <c r="J81" t="e">
        <f>INDEX(us_acc_codes,MATCH(loaded!Y81,us_acc,0))</f>
        <v>#N/A</v>
      </c>
      <c r="K81" t="e">
        <f>INDEX(client_codes,MATCH(loaded!AA81,client,0))</f>
        <v>#N/A</v>
      </c>
      <c r="L81" t="e">
        <f>INDEX(src_ref_codes,MATCH(loaded!AC81,src_ref,0))</f>
        <v>#N/A</v>
      </c>
      <c r="M81" s="8">
        <f>loaded!AE81</f>
        <v>0</v>
      </c>
      <c r="N81" s="8">
        <f>loaded!AG81</f>
        <v>0</v>
      </c>
      <c r="O81" t="e">
        <f>INDEX(reces_codes,MATCH(loaded!AI81,reason,0))</f>
        <v>#N/A</v>
      </c>
      <c r="P81" t="e">
        <f>INDEX(TDS_codes,MATCH(loaded!AK81,TDS,0))</f>
        <v>#N/A</v>
      </c>
      <c r="Q81" t="e">
        <f>IF(K81=2,"",INDEX(method_codes,MATCH(loaded!AM81,method,0)))</f>
        <v>#N/A</v>
      </c>
      <c r="R81" t="e">
        <f>IF(K81=2,"",INDEX(inj_codes,MATCH(loaded!AO81,inj,0)))</f>
        <v>#N/A</v>
      </c>
      <c r="S81" t="e">
        <f>IF(K81=2,"",INDEX(drug_codes,MATCH(loaded!AQ81,drug,0)))</f>
        <v>#N/A</v>
      </c>
      <c r="T81" t="e">
        <f>IF(K81=2,"",_xlfn.IFNA(INDEX(drug_codes,MATCH(loaded!AS81,drug,0)),""))</f>
        <v>#N/A</v>
      </c>
      <c r="U81" t="e">
        <f>IF(K81=2,"",_xlfn.IFNA(INDEX(drug_codes,MATCH(loaded!AU81,drug,0)),""))</f>
        <v>#N/A</v>
      </c>
      <c r="V81" t="e">
        <f>IF(K81=2,"",_xlfn.IFNA(INDEX(drug_codes,MATCH(loaded!AW81,drug,0)),""))</f>
        <v>#N/A</v>
      </c>
      <c r="W81" t="e">
        <f>IF(K81=2,"",_xlfn.IFNA(INDEX(drug_codes,MATCH(loaded!AY81,drug,0)),""))</f>
        <v>#N/A</v>
      </c>
      <c r="X81" t="e">
        <f>IF(K81=2,"",_xlfn.IFNA(INDEX(drug_codes,MATCH(loaded!BA81,drug,0)),""))</f>
        <v>#N/A</v>
      </c>
      <c r="Y81" t="e">
        <f>INDEX(MTT_codes,MATCH(loaded!BC81,MTT,0))</f>
        <v>#N/A</v>
      </c>
      <c r="Z81" t="str">
        <f>_xlfn.IFNA(INDEX(MTT_codes,MATCH(loaded!BE81,MTT,0)),"")</f>
        <v/>
      </c>
      <c r="AA81" t="str">
        <f>_xlfn.IFNA(INDEX(MTT_codes,MATCH(loaded!BG81,MTT,0)),"")</f>
        <v/>
      </c>
      <c r="AB81" t="str">
        <f>_xlfn.IFNA(INDEX(MTT_codes,MATCH(loaded!BI81,MTT,0)),"")</f>
        <v/>
      </c>
      <c r="AC81" t="str">
        <f>_xlfn.IFNA(INDEX(MTT_codes,MATCH(loaded!BK81,MTT,0)),"")</f>
        <v/>
      </c>
      <c r="AD81" t="str">
        <f>_xlfn.IFNA(INDEX(MTT_codes,MATCH(loaded!BM81,MTT,0)),"")</f>
        <v/>
      </c>
      <c r="AE81" t="e">
        <f>INDEX(liv_ar_codes,MATCH(loaded!BO81,liv_ar,0))</f>
        <v>#N/A</v>
      </c>
      <c r="AF81" t="str">
        <f>_xlfn.IFNA(INDEX(MTT_codes,MATCH(loaded!BQ81,MTT,0)),"")</f>
        <v/>
      </c>
      <c r="AG81">
        <f>_xlfn.IFNA(INDEX(mental_codes,MATCH(loaded!BS81,mental,0)),9)</f>
        <v>9</v>
      </c>
    </row>
    <row r="82" spans="1:33" x14ac:dyDescent="0.25">
      <c r="A82">
        <f>loaded!C82</f>
        <v>0</v>
      </c>
      <c r="B82">
        <f>loaded!I82</f>
        <v>0</v>
      </c>
      <c r="C82">
        <f>IF(loaded!K82="Male",1,IF(loaded!K82="Female",2,9))</f>
        <v>9</v>
      </c>
      <c r="D82" s="8">
        <f>loaded!M82</f>
        <v>0</v>
      </c>
      <c r="E82" t="str">
        <f>LEFT(loaded!O82,3)</f>
        <v/>
      </c>
      <c r="F82" t="e">
        <f>INDEX(cntry_codes,MATCH(loaded!Q82,countries,0))</f>
        <v>#N/A</v>
      </c>
      <c r="G82" t="e">
        <f>INDEX(atsi_codes,MATCH(loaded!S82,atsi,0))</f>
        <v>#N/A</v>
      </c>
      <c r="H82" t="e">
        <f>INDEX(lang_codes,MATCH(loaded!U82,lang,0))</f>
        <v>#N/A</v>
      </c>
      <c r="I82" s="8">
        <f>loaded!W82</f>
        <v>0</v>
      </c>
      <c r="J82" t="e">
        <f>INDEX(us_acc_codes,MATCH(loaded!Y82,us_acc,0))</f>
        <v>#N/A</v>
      </c>
      <c r="K82" t="e">
        <f>INDEX(client_codes,MATCH(loaded!AA82,client,0))</f>
        <v>#N/A</v>
      </c>
      <c r="L82" t="e">
        <f>INDEX(src_ref_codes,MATCH(loaded!AC82,src_ref,0))</f>
        <v>#N/A</v>
      </c>
      <c r="M82" s="8">
        <f>loaded!AE82</f>
        <v>0</v>
      </c>
      <c r="N82" s="8">
        <f>loaded!AG82</f>
        <v>0</v>
      </c>
      <c r="O82" t="e">
        <f>INDEX(reces_codes,MATCH(loaded!AI82,reason,0))</f>
        <v>#N/A</v>
      </c>
      <c r="P82" t="e">
        <f>INDEX(TDS_codes,MATCH(loaded!AK82,TDS,0))</f>
        <v>#N/A</v>
      </c>
      <c r="Q82" t="e">
        <f>IF(K82=2,"",INDEX(method_codes,MATCH(loaded!AM82,method,0)))</f>
        <v>#N/A</v>
      </c>
      <c r="R82" t="e">
        <f>IF(K82=2,"",INDEX(inj_codes,MATCH(loaded!AO82,inj,0)))</f>
        <v>#N/A</v>
      </c>
      <c r="S82" t="e">
        <f>IF(K82=2,"",INDEX(drug_codes,MATCH(loaded!AQ82,drug,0)))</f>
        <v>#N/A</v>
      </c>
      <c r="T82" t="e">
        <f>IF(K82=2,"",_xlfn.IFNA(INDEX(drug_codes,MATCH(loaded!AS82,drug,0)),""))</f>
        <v>#N/A</v>
      </c>
      <c r="U82" t="e">
        <f>IF(K82=2,"",_xlfn.IFNA(INDEX(drug_codes,MATCH(loaded!AU82,drug,0)),""))</f>
        <v>#N/A</v>
      </c>
      <c r="V82" t="e">
        <f>IF(K82=2,"",_xlfn.IFNA(INDEX(drug_codes,MATCH(loaded!AW82,drug,0)),""))</f>
        <v>#N/A</v>
      </c>
      <c r="W82" t="e">
        <f>IF(K82=2,"",_xlfn.IFNA(INDEX(drug_codes,MATCH(loaded!AY82,drug,0)),""))</f>
        <v>#N/A</v>
      </c>
      <c r="X82" t="e">
        <f>IF(K82=2,"",_xlfn.IFNA(INDEX(drug_codes,MATCH(loaded!BA82,drug,0)),""))</f>
        <v>#N/A</v>
      </c>
      <c r="Y82" t="e">
        <f>INDEX(MTT_codes,MATCH(loaded!BC82,MTT,0))</f>
        <v>#N/A</v>
      </c>
      <c r="Z82" t="str">
        <f>_xlfn.IFNA(INDEX(MTT_codes,MATCH(loaded!BE82,MTT,0)),"")</f>
        <v/>
      </c>
      <c r="AA82" t="str">
        <f>_xlfn.IFNA(INDEX(MTT_codes,MATCH(loaded!BG82,MTT,0)),"")</f>
        <v/>
      </c>
      <c r="AB82" t="str">
        <f>_xlfn.IFNA(INDEX(MTT_codes,MATCH(loaded!BI82,MTT,0)),"")</f>
        <v/>
      </c>
      <c r="AC82" t="str">
        <f>_xlfn.IFNA(INDEX(MTT_codes,MATCH(loaded!BK82,MTT,0)),"")</f>
        <v/>
      </c>
      <c r="AD82" t="str">
        <f>_xlfn.IFNA(INDEX(MTT_codes,MATCH(loaded!BM82,MTT,0)),"")</f>
        <v/>
      </c>
      <c r="AE82" t="e">
        <f>INDEX(liv_ar_codes,MATCH(loaded!BO82,liv_ar,0))</f>
        <v>#N/A</v>
      </c>
      <c r="AF82" t="str">
        <f>_xlfn.IFNA(INDEX(MTT_codes,MATCH(loaded!BQ82,MTT,0)),"")</f>
        <v/>
      </c>
      <c r="AG82">
        <f>_xlfn.IFNA(INDEX(mental_codes,MATCH(loaded!BS82,mental,0)),9)</f>
        <v>9</v>
      </c>
    </row>
    <row r="83" spans="1:33" x14ac:dyDescent="0.25">
      <c r="A83">
        <f>loaded!C83</f>
        <v>0</v>
      </c>
      <c r="B83">
        <f>loaded!I83</f>
        <v>0</v>
      </c>
      <c r="C83">
        <f>IF(loaded!K83="Male",1,IF(loaded!K83="Female",2,9))</f>
        <v>9</v>
      </c>
      <c r="D83" s="8">
        <f>loaded!M83</f>
        <v>0</v>
      </c>
      <c r="E83" t="str">
        <f>LEFT(loaded!O83,3)</f>
        <v/>
      </c>
      <c r="F83" t="e">
        <f>INDEX(cntry_codes,MATCH(loaded!Q83,countries,0))</f>
        <v>#N/A</v>
      </c>
      <c r="G83" t="e">
        <f>INDEX(atsi_codes,MATCH(loaded!S83,atsi,0))</f>
        <v>#N/A</v>
      </c>
      <c r="H83" t="e">
        <f>INDEX(lang_codes,MATCH(loaded!U83,lang,0))</f>
        <v>#N/A</v>
      </c>
      <c r="I83" s="8">
        <f>loaded!W83</f>
        <v>0</v>
      </c>
      <c r="J83" t="e">
        <f>INDEX(us_acc_codes,MATCH(loaded!Y83,us_acc,0))</f>
        <v>#N/A</v>
      </c>
      <c r="K83" t="e">
        <f>INDEX(client_codes,MATCH(loaded!AA83,client,0))</f>
        <v>#N/A</v>
      </c>
      <c r="L83" t="e">
        <f>INDEX(src_ref_codes,MATCH(loaded!AC83,src_ref,0))</f>
        <v>#N/A</v>
      </c>
      <c r="M83" s="8">
        <f>loaded!AE83</f>
        <v>0</v>
      </c>
      <c r="N83" s="8">
        <f>loaded!AG83</f>
        <v>0</v>
      </c>
      <c r="O83" t="e">
        <f>INDEX(reces_codes,MATCH(loaded!AI83,reason,0))</f>
        <v>#N/A</v>
      </c>
      <c r="P83" t="e">
        <f>INDEX(TDS_codes,MATCH(loaded!AK83,TDS,0))</f>
        <v>#N/A</v>
      </c>
      <c r="Q83" t="e">
        <f>IF(K83=2,"",INDEX(method_codes,MATCH(loaded!AM83,method,0)))</f>
        <v>#N/A</v>
      </c>
      <c r="R83" t="e">
        <f>IF(K83=2,"",INDEX(inj_codes,MATCH(loaded!AO83,inj,0)))</f>
        <v>#N/A</v>
      </c>
      <c r="S83" t="e">
        <f>IF(K83=2,"",INDEX(drug_codes,MATCH(loaded!AQ83,drug,0)))</f>
        <v>#N/A</v>
      </c>
      <c r="T83" t="e">
        <f>IF(K83=2,"",_xlfn.IFNA(INDEX(drug_codes,MATCH(loaded!AS83,drug,0)),""))</f>
        <v>#N/A</v>
      </c>
      <c r="U83" t="e">
        <f>IF(K83=2,"",_xlfn.IFNA(INDEX(drug_codes,MATCH(loaded!AU83,drug,0)),""))</f>
        <v>#N/A</v>
      </c>
      <c r="V83" t="e">
        <f>IF(K83=2,"",_xlfn.IFNA(INDEX(drug_codes,MATCH(loaded!AW83,drug,0)),""))</f>
        <v>#N/A</v>
      </c>
      <c r="W83" t="e">
        <f>IF(K83=2,"",_xlfn.IFNA(INDEX(drug_codes,MATCH(loaded!AY83,drug,0)),""))</f>
        <v>#N/A</v>
      </c>
      <c r="X83" t="e">
        <f>IF(K83=2,"",_xlfn.IFNA(INDEX(drug_codes,MATCH(loaded!BA83,drug,0)),""))</f>
        <v>#N/A</v>
      </c>
      <c r="Y83" t="e">
        <f>INDEX(MTT_codes,MATCH(loaded!BC83,MTT,0))</f>
        <v>#N/A</v>
      </c>
      <c r="Z83" t="str">
        <f>_xlfn.IFNA(INDEX(MTT_codes,MATCH(loaded!BE83,MTT,0)),"")</f>
        <v/>
      </c>
      <c r="AA83" t="str">
        <f>_xlfn.IFNA(INDEX(MTT_codes,MATCH(loaded!BG83,MTT,0)),"")</f>
        <v/>
      </c>
      <c r="AB83" t="str">
        <f>_xlfn.IFNA(INDEX(MTT_codes,MATCH(loaded!BI83,MTT,0)),"")</f>
        <v/>
      </c>
      <c r="AC83" t="str">
        <f>_xlfn.IFNA(INDEX(MTT_codes,MATCH(loaded!BK83,MTT,0)),"")</f>
        <v/>
      </c>
      <c r="AD83" t="str">
        <f>_xlfn.IFNA(INDEX(MTT_codes,MATCH(loaded!BM83,MTT,0)),"")</f>
        <v/>
      </c>
      <c r="AE83" t="e">
        <f>INDEX(liv_ar_codes,MATCH(loaded!BO83,liv_ar,0))</f>
        <v>#N/A</v>
      </c>
      <c r="AF83" t="str">
        <f>_xlfn.IFNA(INDEX(MTT_codes,MATCH(loaded!BQ83,MTT,0)),"")</f>
        <v/>
      </c>
      <c r="AG83">
        <f>_xlfn.IFNA(INDEX(mental_codes,MATCH(loaded!BS83,mental,0)),9)</f>
        <v>9</v>
      </c>
    </row>
    <row r="84" spans="1:33" x14ac:dyDescent="0.25">
      <c r="A84">
        <f>loaded!C84</f>
        <v>0</v>
      </c>
      <c r="B84">
        <f>loaded!I84</f>
        <v>0</v>
      </c>
      <c r="C84">
        <f>IF(loaded!K84="Male",1,IF(loaded!K84="Female",2,9))</f>
        <v>9</v>
      </c>
      <c r="D84" s="8">
        <f>loaded!M84</f>
        <v>0</v>
      </c>
      <c r="E84" t="str">
        <f>LEFT(loaded!O84,3)</f>
        <v/>
      </c>
      <c r="F84" t="e">
        <f>INDEX(cntry_codes,MATCH(loaded!Q84,countries,0))</f>
        <v>#N/A</v>
      </c>
      <c r="G84" t="e">
        <f>INDEX(atsi_codes,MATCH(loaded!S84,atsi,0))</f>
        <v>#N/A</v>
      </c>
      <c r="H84" t="e">
        <f>INDEX(lang_codes,MATCH(loaded!U84,lang,0))</f>
        <v>#N/A</v>
      </c>
      <c r="I84" s="8">
        <f>loaded!W84</f>
        <v>0</v>
      </c>
      <c r="J84" t="e">
        <f>INDEX(us_acc_codes,MATCH(loaded!Y84,us_acc,0))</f>
        <v>#N/A</v>
      </c>
      <c r="K84" t="e">
        <f>INDEX(client_codes,MATCH(loaded!AA84,client,0))</f>
        <v>#N/A</v>
      </c>
      <c r="L84" t="e">
        <f>INDEX(src_ref_codes,MATCH(loaded!AC84,src_ref,0))</f>
        <v>#N/A</v>
      </c>
      <c r="M84" s="8">
        <f>loaded!AE84</f>
        <v>0</v>
      </c>
      <c r="N84" s="8">
        <f>loaded!AG84</f>
        <v>0</v>
      </c>
      <c r="O84" t="e">
        <f>INDEX(reces_codes,MATCH(loaded!AI84,reason,0))</f>
        <v>#N/A</v>
      </c>
      <c r="P84" t="e">
        <f>INDEX(TDS_codes,MATCH(loaded!AK84,TDS,0))</f>
        <v>#N/A</v>
      </c>
      <c r="Q84" t="e">
        <f>IF(K84=2,"",INDEX(method_codes,MATCH(loaded!AM84,method,0)))</f>
        <v>#N/A</v>
      </c>
      <c r="R84" t="e">
        <f>IF(K84=2,"",INDEX(inj_codes,MATCH(loaded!AO84,inj,0)))</f>
        <v>#N/A</v>
      </c>
      <c r="S84" t="e">
        <f>IF(K84=2,"",INDEX(drug_codes,MATCH(loaded!AQ84,drug,0)))</f>
        <v>#N/A</v>
      </c>
      <c r="T84" t="e">
        <f>IF(K84=2,"",_xlfn.IFNA(INDEX(drug_codes,MATCH(loaded!AS84,drug,0)),""))</f>
        <v>#N/A</v>
      </c>
      <c r="U84" t="e">
        <f>IF(K84=2,"",_xlfn.IFNA(INDEX(drug_codes,MATCH(loaded!AU84,drug,0)),""))</f>
        <v>#N/A</v>
      </c>
      <c r="V84" t="e">
        <f>IF(K84=2,"",_xlfn.IFNA(INDEX(drug_codes,MATCH(loaded!AW84,drug,0)),""))</f>
        <v>#N/A</v>
      </c>
      <c r="W84" t="e">
        <f>IF(K84=2,"",_xlfn.IFNA(INDEX(drug_codes,MATCH(loaded!AY84,drug,0)),""))</f>
        <v>#N/A</v>
      </c>
      <c r="X84" t="e">
        <f>IF(K84=2,"",_xlfn.IFNA(INDEX(drug_codes,MATCH(loaded!BA84,drug,0)),""))</f>
        <v>#N/A</v>
      </c>
      <c r="Y84" t="e">
        <f>INDEX(MTT_codes,MATCH(loaded!BC84,MTT,0))</f>
        <v>#N/A</v>
      </c>
      <c r="Z84" t="str">
        <f>_xlfn.IFNA(INDEX(MTT_codes,MATCH(loaded!BE84,MTT,0)),"")</f>
        <v/>
      </c>
      <c r="AA84" t="str">
        <f>_xlfn.IFNA(INDEX(MTT_codes,MATCH(loaded!BG84,MTT,0)),"")</f>
        <v/>
      </c>
      <c r="AB84" t="str">
        <f>_xlfn.IFNA(INDEX(MTT_codes,MATCH(loaded!BI84,MTT,0)),"")</f>
        <v/>
      </c>
      <c r="AC84" t="str">
        <f>_xlfn.IFNA(INDEX(MTT_codes,MATCH(loaded!BK84,MTT,0)),"")</f>
        <v/>
      </c>
      <c r="AD84" t="str">
        <f>_xlfn.IFNA(INDEX(MTT_codes,MATCH(loaded!BM84,MTT,0)),"")</f>
        <v/>
      </c>
      <c r="AE84" t="e">
        <f>INDEX(liv_ar_codes,MATCH(loaded!BO84,liv_ar,0))</f>
        <v>#N/A</v>
      </c>
      <c r="AF84" t="str">
        <f>_xlfn.IFNA(INDEX(MTT_codes,MATCH(loaded!BQ84,MTT,0)),"")</f>
        <v/>
      </c>
      <c r="AG84">
        <f>_xlfn.IFNA(INDEX(mental_codes,MATCH(loaded!BS84,mental,0)),9)</f>
        <v>9</v>
      </c>
    </row>
    <row r="85" spans="1:33" x14ac:dyDescent="0.25">
      <c r="A85">
        <f>loaded!C85</f>
        <v>0</v>
      </c>
      <c r="B85">
        <f>loaded!I85</f>
        <v>0</v>
      </c>
      <c r="C85">
        <f>IF(loaded!K85="Male",1,IF(loaded!K85="Female",2,9))</f>
        <v>9</v>
      </c>
      <c r="D85" s="8">
        <f>loaded!M85</f>
        <v>0</v>
      </c>
      <c r="E85" t="str">
        <f>LEFT(loaded!O85,3)</f>
        <v/>
      </c>
      <c r="F85" t="e">
        <f>INDEX(cntry_codes,MATCH(loaded!Q85,countries,0))</f>
        <v>#N/A</v>
      </c>
      <c r="G85" t="e">
        <f>INDEX(atsi_codes,MATCH(loaded!S85,atsi,0))</f>
        <v>#N/A</v>
      </c>
      <c r="H85" t="e">
        <f>INDEX(lang_codes,MATCH(loaded!U85,lang,0))</f>
        <v>#N/A</v>
      </c>
      <c r="I85" s="8">
        <f>loaded!W85</f>
        <v>0</v>
      </c>
      <c r="J85" t="e">
        <f>INDEX(us_acc_codes,MATCH(loaded!Y85,us_acc,0))</f>
        <v>#N/A</v>
      </c>
      <c r="K85" t="e">
        <f>INDEX(client_codes,MATCH(loaded!AA85,client,0))</f>
        <v>#N/A</v>
      </c>
      <c r="L85" t="e">
        <f>INDEX(src_ref_codes,MATCH(loaded!AC85,src_ref,0))</f>
        <v>#N/A</v>
      </c>
      <c r="M85" s="8">
        <f>loaded!AE85</f>
        <v>0</v>
      </c>
      <c r="N85" s="8">
        <f>loaded!AG85</f>
        <v>0</v>
      </c>
      <c r="O85" t="e">
        <f>INDEX(reces_codes,MATCH(loaded!AI85,reason,0))</f>
        <v>#N/A</v>
      </c>
      <c r="P85" t="e">
        <f>INDEX(TDS_codes,MATCH(loaded!AK85,TDS,0))</f>
        <v>#N/A</v>
      </c>
      <c r="Q85" t="e">
        <f>IF(K85=2,"",INDEX(method_codes,MATCH(loaded!AM85,method,0)))</f>
        <v>#N/A</v>
      </c>
      <c r="R85" t="e">
        <f>IF(K85=2,"",INDEX(inj_codes,MATCH(loaded!AO85,inj,0)))</f>
        <v>#N/A</v>
      </c>
      <c r="S85" t="e">
        <f>IF(K85=2,"",INDEX(drug_codes,MATCH(loaded!AQ85,drug,0)))</f>
        <v>#N/A</v>
      </c>
      <c r="T85" t="e">
        <f>IF(K85=2,"",_xlfn.IFNA(INDEX(drug_codes,MATCH(loaded!AS85,drug,0)),""))</f>
        <v>#N/A</v>
      </c>
      <c r="U85" t="e">
        <f>IF(K85=2,"",_xlfn.IFNA(INDEX(drug_codes,MATCH(loaded!AU85,drug,0)),""))</f>
        <v>#N/A</v>
      </c>
      <c r="V85" t="e">
        <f>IF(K85=2,"",_xlfn.IFNA(INDEX(drug_codes,MATCH(loaded!AW85,drug,0)),""))</f>
        <v>#N/A</v>
      </c>
      <c r="W85" t="e">
        <f>IF(K85=2,"",_xlfn.IFNA(INDEX(drug_codes,MATCH(loaded!AY85,drug,0)),""))</f>
        <v>#N/A</v>
      </c>
      <c r="X85" t="e">
        <f>IF(K85=2,"",_xlfn.IFNA(INDEX(drug_codes,MATCH(loaded!BA85,drug,0)),""))</f>
        <v>#N/A</v>
      </c>
      <c r="Y85" t="e">
        <f>INDEX(MTT_codes,MATCH(loaded!BC85,MTT,0))</f>
        <v>#N/A</v>
      </c>
      <c r="Z85" t="str">
        <f>_xlfn.IFNA(INDEX(MTT_codes,MATCH(loaded!BE85,MTT,0)),"")</f>
        <v/>
      </c>
      <c r="AA85" t="str">
        <f>_xlfn.IFNA(INDEX(MTT_codes,MATCH(loaded!BG85,MTT,0)),"")</f>
        <v/>
      </c>
      <c r="AB85" t="str">
        <f>_xlfn.IFNA(INDEX(MTT_codes,MATCH(loaded!BI85,MTT,0)),"")</f>
        <v/>
      </c>
      <c r="AC85" t="str">
        <f>_xlfn.IFNA(INDEX(MTT_codes,MATCH(loaded!BK85,MTT,0)),"")</f>
        <v/>
      </c>
      <c r="AD85" t="str">
        <f>_xlfn.IFNA(INDEX(MTT_codes,MATCH(loaded!BM85,MTT,0)),"")</f>
        <v/>
      </c>
      <c r="AE85" t="e">
        <f>INDEX(liv_ar_codes,MATCH(loaded!BO85,liv_ar,0))</f>
        <v>#N/A</v>
      </c>
      <c r="AF85" t="str">
        <f>_xlfn.IFNA(INDEX(MTT_codes,MATCH(loaded!BQ85,MTT,0)),"")</f>
        <v/>
      </c>
      <c r="AG85">
        <f>_xlfn.IFNA(INDEX(mental_codes,MATCH(loaded!BS85,mental,0)),9)</f>
        <v>9</v>
      </c>
    </row>
    <row r="86" spans="1:33" x14ac:dyDescent="0.25">
      <c r="A86">
        <f>loaded!C86</f>
        <v>0</v>
      </c>
      <c r="B86">
        <f>loaded!I86</f>
        <v>0</v>
      </c>
      <c r="C86">
        <f>IF(loaded!K86="Male",1,IF(loaded!K86="Female",2,9))</f>
        <v>9</v>
      </c>
      <c r="D86" s="8">
        <f>loaded!M86</f>
        <v>0</v>
      </c>
      <c r="E86" t="str">
        <f>LEFT(loaded!O86,3)</f>
        <v/>
      </c>
      <c r="F86" t="e">
        <f>INDEX(cntry_codes,MATCH(loaded!Q86,countries,0))</f>
        <v>#N/A</v>
      </c>
      <c r="G86" t="e">
        <f>INDEX(atsi_codes,MATCH(loaded!S86,atsi,0))</f>
        <v>#N/A</v>
      </c>
      <c r="H86" t="e">
        <f>INDEX(lang_codes,MATCH(loaded!U86,lang,0))</f>
        <v>#N/A</v>
      </c>
      <c r="I86" s="8">
        <f>loaded!W86</f>
        <v>0</v>
      </c>
      <c r="J86" t="e">
        <f>INDEX(us_acc_codes,MATCH(loaded!Y86,us_acc,0))</f>
        <v>#N/A</v>
      </c>
      <c r="K86" t="e">
        <f>INDEX(client_codes,MATCH(loaded!AA86,client,0))</f>
        <v>#N/A</v>
      </c>
      <c r="L86" t="e">
        <f>INDEX(src_ref_codes,MATCH(loaded!AC86,src_ref,0))</f>
        <v>#N/A</v>
      </c>
      <c r="M86" s="8">
        <f>loaded!AE86</f>
        <v>0</v>
      </c>
      <c r="N86" s="8">
        <f>loaded!AG86</f>
        <v>0</v>
      </c>
      <c r="O86" t="e">
        <f>INDEX(reces_codes,MATCH(loaded!AI86,reason,0))</f>
        <v>#N/A</v>
      </c>
      <c r="P86" t="e">
        <f>INDEX(TDS_codes,MATCH(loaded!AK86,TDS,0))</f>
        <v>#N/A</v>
      </c>
      <c r="Q86" t="e">
        <f>IF(K86=2,"",INDEX(method_codes,MATCH(loaded!AM86,method,0)))</f>
        <v>#N/A</v>
      </c>
      <c r="R86" t="e">
        <f>IF(K86=2,"",INDEX(inj_codes,MATCH(loaded!AO86,inj,0)))</f>
        <v>#N/A</v>
      </c>
      <c r="S86" t="e">
        <f>IF(K86=2,"",INDEX(drug_codes,MATCH(loaded!AQ86,drug,0)))</f>
        <v>#N/A</v>
      </c>
      <c r="T86" t="e">
        <f>IF(K86=2,"",_xlfn.IFNA(INDEX(drug_codes,MATCH(loaded!AS86,drug,0)),""))</f>
        <v>#N/A</v>
      </c>
      <c r="U86" t="e">
        <f>IF(K86=2,"",_xlfn.IFNA(INDEX(drug_codes,MATCH(loaded!AU86,drug,0)),""))</f>
        <v>#N/A</v>
      </c>
      <c r="V86" t="e">
        <f>IF(K86=2,"",_xlfn.IFNA(INDEX(drug_codes,MATCH(loaded!AW86,drug,0)),""))</f>
        <v>#N/A</v>
      </c>
      <c r="W86" t="e">
        <f>IF(K86=2,"",_xlfn.IFNA(INDEX(drug_codes,MATCH(loaded!AY86,drug,0)),""))</f>
        <v>#N/A</v>
      </c>
      <c r="X86" t="e">
        <f>IF(K86=2,"",_xlfn.IFNA(INDEX(drug_codes,MATCH(loaded!BA86,drug,0)),""))</f>
        <v>#N/A</v>
      </c>
      <c r="Y86" t="e">
        <f>INDEX(MTT_codes,MATCH(loaded!BC86,MTT,0))</f>
        <v>#N/A</v>
      </c>
      <c r="Z86" t="str">
        <f>_xlfn.IFNA(INDEX(MTT_codes,MATCH(loaded!BE86,MTT,0)),"")</f>
        <v/>
      </c>
      <c r="AA86" t="str">
        <f>_xlfn.IFNA(INDEX(MTT_codes,MATCH(loaded!BG86,MTT,0)),"")</f>
        <v/>
      </c>
      <c r="AB86" t="str">
        <f>_xlfn.IFNA(INDEX(MTT_codes,MATCH(loaded!BI86,MTT,0)),"")</f>
        <v/>
      </c>
      <c r="AC86" t="str">
        <f>_xlfn.IFNA(INDEX(MTT_codes,MATCH(loaded!BK86,MTT,0)),"")</f>
        <v/>
      </c>
      <c r="AD86" t="str">
        <f>_xlfn.IFNA(INDEX(MTT_codes,MATCH(loaded!BM86,MTT,0)),"")</f>
        <v/>
      </c>
      <c r="AE86" t="e">
        <f>INDEX(liv_ar_codes,MATCH(loaded!BO86,liv_ar,0))</f>
        <v>#N/A</v>
      </c>
      <c r="AF86" t="str">
        <f>_xlfn.IFNA(INDEX(MTT_codes,MATCH(loaded!BQ86,MTT,0)),"")</f>
        <v/>
      </c>
      <c r="AG86">
        <f>_xlfn.IFNA(INDEX(mental_codes,MATCH(loaded!BS86,mental,0)),9)</f>
        <v>9</v>
      </c>
    </row>
    <row r="87" spans="1:33" x14ac:dyDescent="0.25">
      <c r="A87">
        <f>loaded!C87</f>
        <v>0</v>
      </c>
      <c r="B87">
        <f>loaded!I87</f>
        <v>0</v>
      </c>
      <c r="C87">
        <f>IF(loaded!K87="Male",1,IF(loaded!K87="Female",2,9))</f>
        <v>9</v>
      </c>
      <c r="D87" s="8">
        <f>loaded!M87</f>
        <v>0</v>
      </c>
      <c r="E87" t="str">
        <f>LEFT(loaded!O87,3)</f>
        <v/>
      </c>
      <c r="F87" t="e">
        <f>INDEX(cntry_codes,MATCH(loaded!Q87,countries,0))</f>
        <v>#N/A</v>
      </c>
      <c r="G87" t="e">
        <f>INDEX(atsi_codes,MATCH(loaded!S87,atsi,0))</f>
        <v>#N/A</v>
      </c>
      <c r="H87" t="e">
        <f>INDEX(lang_codes,MATCH(loaded!U87,lang,0))</f>
        <v>#N/A</v>
      </c>
      <c r="I87" s="8">
        <f>loaded!W87</f>
        <v>0</v>
      </c>
      <c r="J87" t="e">
        <f>INDEX(us_acc_codes,MATCH(loaded!Y87,us_acc,0))</f>
        <v>#N/A</v>
      </c>
      <c r="K87" t="e">
        <f>INDEX(client_codes,MATCH(loaded!AA87,client,0))</f>
        <v>#N/A</v>
      </c>
      <c r="L87" t="e">
        <f>INDEX(src_ref_codes,MATCH(loaded!AC87,src_ref,0))</f>
        <v>#N/A</v>
      </c>
      <c r="M87" s="8">
        <f>loaded!AE87</f>
        <v>0</v>
      </c>
      <c r="N87" s="8">
        <f>loaded!AG87</f>
        <v>0</v>
      </c>
      <c r="O87" t="e">
        <f>INDEX(reces_codes,MATCH(loaded!AI87,reason,0))</f>
        <v>#N/A</v>
      </c>
      <c r="P87" t="e">
        <f>INDEX(TDS_codes,MATCH(loaded!AK87,TDS,0))</f>
        <v>#N/A</v>
      </c>
      <c r="Q87" t="e">
        <f>IF(K87=2,"",INDEX(method_codes,MATCH(loaded!AM87,method,0)))</f>
        <v>#N/A</v>
      </c>
      <c r="R87" t="e">
        <f>IF(K87=2,"",INDEX(inj_codes,MATCH(loaded!AO87,inj,0)))</f>
        <v>#N/A</v>
      </c>
      <c r="S87" t="e">
        <f>IF(K87=2,"",INDEX(drug_codes,MATCH(loaded!AQ87,drug,0)))</f>
        <v>#N/A</v>
      </c>
      <c r="T87" t="e">
        <f>IF(K87=2,"",_xlfn.IFNA(INDEX(drug_codes,MATCH(loaded!AS87,drug,0)),""))</f>
        <v>#N/A</v>
      </c>
      <c r="U87" t="e">
        <f>IF(K87=2,"",_xlfn.IFNA(INDEX(drug_codes,MATCH(loaded!AU87,drug,0)),""))</f>
        <v>#N/A</v>
      </c>
      <c r="V87" t="e">
        <f>IF(K87=2,"",_xlfn.IFNA(INDEX(drug_codes,MATCH(loaded!AW87,drug,0)),""))</f>
        <v>#N/A</v>
      </c>
      <c r="W87" t="e">
        <f>IF(K87=2,"",_xlfn.IFNA(INDEX(drug_codes,MATCH(loaded!AY87,drug,0)),""))</f>
        <v>#N/A</v>
      </c>
      <c r="X87" t="e">
        <f>IF(K87=2,"",_xlfn.IFNA(INDEX(drug_codes,MATCH(loaded!BA87,drug,0)),""))</f>
        <v>#N/A</v>
      </c>
      <c r="Y87" t="e">
        <f>INDEX(MTT_codes,MATCH(loaded!BC87,MTT,0))</f>
        <v>#N/A</v>
      </c>
      <c r="Z87" t="str">
        <f>_xlfn.IFNA(INDEX(MTT_codes,MATCH(loaded!BE87,MTT,0)),"")</f>
        <v/>
      </c>
      <c r="AA87" t="str">
        <f>_xlfn.IFNA(INDEX(MTT_codes,MATCH(loaded!BG87,MTT,0)),"")</f>
        <v/>
      </c>
      <c r="AB87" t="str">
        <f>_xlfn.IFNA(INDEX(MTT_codes,MATCH(loaded!BI87,MTT,0)),"")</f>
        <v/>
      </c>
      <c r="AC87" t="str">
        <f>_xlfn.IFNA(INDEX(MTT_codes,MATCH(loaded!BK87,MTT,0)),"")</f>
        <v/>
      </c>
      <c r="AD87" t="str">
        <f>_xlfn.IFNA(INDEX(MTT_codes,MATCH(loaded!BM87,MTT,0)),"")</f>
        <v/>
      </c>
      <c r="AE87" t="e">
        <f>INDEX(liv_ar_codes,MATCH(loaded!BO87,liv_ar,0))</f>
        <v>#N/A</v>
      </c>
      <c r="AF87" t="str">
        <f>_xlfn.IFNA(INDEX(MTT_codes,MATCH(loaded!BQ87,MTT,0)),"")</f>
        <v/>
      </c>
      <c r="AG87">
        <f>_xlfn.IFNA(INDEX(mental_codes,MATCH(loaded!BS87,mental,0)),9)</f>
        <v>9</v>
      </c>
    </row>
    <row r="88" spans="1:33" x14ac:dyDescent="0.25">
      <c r="A88">
        <f>loaded!C88</f>
        <v>0</v>
      </c>
      <c r="B88">
        <f>loaded!I88</f>
        <v>0</v>
      </c>
      <c r="C88">
        <f>IF(loaded!K88="Male",1,IF(loaded!K88="Female",2,9))</f>
        <v>9</v>
      </c>
      <c r="D88" s="8">
        <f>loaded!M88</f>
        <v>0</v>
      </c>
      <c r="E88" t="str">
        <f>LEFT(loaded!O88,3)</f>
        <v/>
      </c>
      <c r="F88" t="e">
        <f>INDEX(cntry_codes,MATCH(loaded!Q88,countries,0))</f>
        <v>#N/A</v>
      </c>
      <c r="G88" t="e">
        <f>INDEX(atsi_codes,MATCH(loaded!S88,atsi,0))</f>
        <v>#N/A</v>
      </c>
      <c r="H88" t="e">
        <f>INDEX(lang_codes,MATCH(loaded!U88,lang,0))</f>
        <v>#N/A</v>
      </c>
      <c r="I88" s="8">
        <f>loaded!W88</f>
        <v>0</v>
      </c>
      <c r="J88" t="e">
        <f>INDEX(us_acc_codes,MATCH(loaded!Y88,us_acc,0))</f>
        <v>#N/A</v>
      </c>
      <c r="K88" t="e">
        <f>INDEX(client_codes,MATCH(loaded!AA88,client,0))</f>
        <v>#N/A</v>
      </c>
      <c r="L88" t="e">
        <f>INDEX(src_ref_codes,MATCH(loaded!AC88,src_ref,0))</f>
        <v>#N/A</v>
      </c>
      <c r="M88" s="8">
        <f>loaded!AE88</f>
        <v>0</v>
      </c>
      <c r="N88" s="8">
        <f>loaded!AG88</f>
        <v>0</v>
      </c>
      <c r="O88" t="e">
        <f>INDEX(reces_codes,MATCH(loaded!AI88,reason,0))</f>
        <v>#N/A</v>
      </c>
      <c r="P88" t="e">
        <f>INDEX(TDS_codes,MATCH(loaded!AK88,TDS,0))</f>
        <v>#N/A</v>
      </c>
      <c r="Q88" t="e">
        <f>IF(K88=2,"",INDEX(method_codes,MATCH(loaded!AM88,method,0)))</f>
        <v>#N/A</v>
      </c>
      <c r="R88" t="e">
        <f>IF(K88=2,"",INDEX(inj_codes,MATCH(loaded!AO88,inj,0)))</f>
        <v>#N/A</v>
      </c>
      <c r="S88" t="e">
        <f>IF(K88=2,"",INDEX(drug_codes,MATCH(loaded!AQ88,drug,0)))</f>
        <v>#N/A</v>
      </c>
      <c r="T88" t="e">
        <f>IF(K88=2,"",_xlfn.IFNA(INDEX(drug_codes,MATCH(loaded!AS88,drug,0)),""))</f>
        <v>#N/A</v>
      </c>
      <c r="U88" t="e">
        <f>IF(K88=2,"",_xlfn.IFNA(INDEX(drug_codes,MATCH(loaded!AU88,drug,0)),""))</f>
        <v>#N/A</v>
      </c>
      <c r="V88" t="e">
        <f>IF(K88=2,"",_xlfn.IFNA(INDEX(drug_codes,MATCH(loaded!AW88,drug,0)),""))</f>
        <v>#N/A</v>
      </c>
      <c r="W88" t="e">
        <f>IF(K88=2,"",_xlfn.IFNA(INDEX(drug_codes,MATCH(loaded!AY88,drug,0)),""))</f>
        <v>#N/A</v>
      </c>
      <c r="X88" t="e">
        <f>IF(K88=2,"",_xlfn.IFNA(INDEX(drug_codes,MATCH(loaded!BA88,drug,0)),""))</f>
        <v>#N/A</v>
      </c>
      <c r="Y88" t="e">
        <f>INDEX(MTT_codes,MATCH(loaded!BC88,MTT,0))</f>
        <v>#N/A</v>
      </c>
      <c r="Z88" t="str">
        <f>_xlfn.IFNA(INDEX(MTT_codes,MATCH(loaded!BE88,MTT,0)),"")</f>
        <v/>
      </c>
      <c r="AA88" t="str">
        <f>_xlfn.IFNA(INDEX(MTT_codes,MATCH(loaded!BG88,MTT,0)),"")</f>
        <v/>
      </c>
      <c r="AB88" t="str">
        <f>_xlfn.IFNA(INDEX(MTT_codes,MATCH(loaded!BI88,MTT,0)),"")</f>
        <v/>
      </c>
      <c r="AC88" t="str">
        <f>_xlfn.IFNA(INDEX(MTT_codes,MATCH(loaded!BK88,MTT,0)),"")</f>
        <v/>
      </c>
      <c r="AD88" t="str">
        <f>_xlfn.IFNA(INDEX(MTT_codes,MATCH(loaded!BM88,MTT,0)),"")</f>
        <v/>
      </c>
      <c r="AE88" t="e">
        <f>INDEX(liv_ar_codes,MATCH(loaded!BO88,liv_ar,0))</f>
        <v>#N/A</v>
      </c>
      <c r="AF88" t="str">
        <f>_xlfn.IFNA(INDEX(MTT_codes,MATCH(loaded!BQ88,MTT,0)),"")</f>
        <v/>
      </c>
      <c r="AG88">
        <f>_xlfn.IFNA(INDEX(mental_codes,MATCH(loaded!BS88,mental,0)),9)</f>
        <v>9</v>
      </c>
    </row>
    <row r="89" spans="1:33" x14ac:dyDescent="0.25">
      <c r="A89">
        <f>loaded!C89</f>
        <v>0</v>
      </c>
      <c r="B89">
        <f>loaded!I89</f>
        <v>0</v>
      </c>
      <c r="C89">
        <f>IF(loaded!K89="Male",1,IF(loaded!K89="Female",2,9))</f>
        <v>9</v>
      </c>
      <c r="D89" s="8">
        <f>loaded!M89</f>
        <v>0</v>
      </c>
      <c r="E89" t="str">
        <f>LEFT(loaded!O89,3)</f>
        <v/>
      </c>
      <c r="F89" t="e">
        <f>INDEX(cntry_codes,MATCH(loaded!Q89,countries,0))</f>
        <v>#N/A</v>
      </c>
      <c r="G89" t="e">
        <f>INDEX(atsi_codes,MATCH(loaded!S89,atsi,0))</f>
        <v>#N/A</v>
      </c>
      <c r="H89" t="e">
        <f>INDEX(lang_codes,MATCH(loaded!U89,lang,0))</f>
        <v>#N/A</v>
      </c>
      <c r="I89" s="8">
        <f>loaded!W89</f>
        <v>0</v>
      </c>
      <c r="J89" t="e">
        <f>INDEX(us_acc_codes,MATCH(loaded!Y89,us_acc,0))</f>
        <v>#N/A</v>
      </c>
      <c r="K89" t="e">
        <f>INDEX(client_codes,MATCH(loaded!AA89,client,0))</f>
        <v>#N/A</v>
      </c>
      <c r="L89" t="e">
        <f>INDEX(src_ref_codes,MATCH(loaded!AC89,src_ref,0))</f>
        <v>#N/A</v>
      </c>
      <c r="M89" s="8">
        <f>loaded!AE89</f>
        <v>0</v>
      </c>
      <c r="N89" s="8">
        <f>loaded!AG89</f>
        <v>0</v>
      </c>
      <c r="O89" t="e">
        <f>INDEX(reces_codes,MATCH(loaded!AI89,reason,0))</f>
        <v>#N/A</v>
      </c>
      <c r="P89" t="e">
        <f>INDEX(TDS_codes,MATCH(loaded!AK89,TDS,0))</f>
        <v>#N/A</v>
      </c>
      <c r="Q89" t="e">
        <f>IF(K89=2,"",INDEX(method_codes,MATCH(loaded!AM89,method,0)))</f>
        <v>#N/A</v>
      </c>
      <c r="R89" t="e">
        <f>IF(K89=2,"",INDEX(inj_codes,MATCH(loaded!AO89,inj,0)))</f>
        <v>#N/A</v>
      </c>
      <c r="S89" t="e">
        <f>IF(K89=2,"",INDEX(drug_codes,MATCH(loaded!AQ89,drug,0)))</f>
        <v>#N/A</v>
      </c>
      <c r="T89" t="e">
        <f>IF(K89=2,"",_xlfn.IFNA(INDEX(drug_codes,MATCH(loaded!AS89,drug,0)),""))</f>
        <v>#N/A</v>
      </c>
      <c r="U89" t="e">
        <f>IF(K89=2,"",_xlfn.IFNA(INDEX(drug_codes,MATCH(loaded!AU89,drug,0)),""))</f>
        <v>#N/A</v>
      </c>
      <c r="V89" t="e">
        <f>IF(K89=2,"",_xlfn.IFNA(INDEX(drug_codes,MATCH(loaded!AW89,drug,0)),""))</f>
        <v>#N/A</v>
      </c>
      <c r="W89" t="e">
        <f>IF(K89=2,"",_xlfn.IFNA(INDEX(drug_codes,MATCH(loaded!AY89,drug,0)),""))</f>
        <v>#N/A</v>
      </c>
      <c r="X89" t="e">
        <f>IF(K89=2,"",_xlfn.IFNA(INDEX(drug_codes,MATCH(loaded!BA89,drug,0)),""))</f>
        <v>#N/A</v>
      </c>
      <c r="Y89" t="e">
        <f>INDEX(MTT_codes,MATCH(loaded!BC89,MTT,0))</f>
        <v>#N/A</v>
      </c>
      <c r="Z89" t="str">
        <f>_xlfn.IFNA(INDEX(MTT_codes,MATCH(loaded!BE89,MTT,0)),"")</f>
        <v/>
      </c>
      <c r="AA89" t="str">
        <f>_xlfn.IFNA(INDEX(MTT_codes,MATCH(loaded!BG89,MTT,0)),"")</f>
        <v/>
      </c>
      <c r="AB89" t="str">
        <f>_xlfn.IFNA(INDEX(MTT_codes,MATCH(loaded!BI89,MTT,0)),"")</f>
        <v/>
      </c>
      <c r="AC89" t="str">
        <f>_xlfn.IFNA(INDEX(MTT_codes,MATCH(loaded!BK89,MTT,0)),"")</f>
        <v/>
      </c>
      <c r="AD89" t="str">
        <f>_xlfn.IFNA(INDEX(MTT_codes,MATCH(loaded!BM89,MTT,0)),"")</f>
        <v/>
      </c>
      <c r="AE89" t="e">
        <f>INDEX(liv_ar_codes,MATCH(loaded!BO89,liv_ar,0))</f>
        <v>#N/A</v>
      </c>
      <c r="AF89" t="str">
        <f>_xlfn.IFNA(INDEX(MTT_codes,MATCH(loaded!BQ89,MTT,0)),"")</f>
        <v/>
      </c>
      <c r="AG89">
        <f>_xlfn.IFNA(INDEX(mental_codes,MATCH(loaded!BS89,mental,0)),9)</f>
        <v>9</v>
      </c>
    </row>
    <row r="90" spans="1:33" x14ac:dyDescent="0.25">
      <c r="A90">
        <f>loaded!C90</f>
        <v>0</v>
      </c>
      <c r="B90">
        <f>loaded!I90</f>
        <v>0</v>
      </c>
      <c r="C90">
        <f>IF(loaded!K90="Male",1,IF(loaded!K90="Female",2,9))</f>
        <v>9</v>
      </c>
      <c r="D90" s="8">
        <f>loaded!M90</f>
        <v>0</v>
      </c>
      <c r="E90" t="str">
        <f>LEFT(loaded!O90,3)</f>
        <v/>
      </c>
      <c r="F90" t="e">
        <f>INDEX(cntry_codes,MATCH(loaded!Q90,countries,0))</f>
        <v>#N/A</v>
      </c>
      <c r="G90" t="e">
        <f>INDEX(atsi_codes,MATCH(loaded!S90,atsi,0))</f>
        <v>#N/A</v>
      </c>
      <c r="H90" t="e">
        <f>INDEX(lang_codes,MATCH(loaded!U90,lang,0))</f>
        <v>#N/A</v>
      </c>
      <c r="I90" s="8">
        <f>loaded!W90</f>
        <v>0</v>
      </c>
      <c r="J90" t="e">
        <f>INDEX(us_acc_codes,MATCH(loaded!Y90,us_acc,0))</f>
        <v>#N/A</v>
      </c>
      <c r="K90" t="e">
        <f>INDEX(client_codes,MATCH(loaded!AA90,client,0))</f>
        <v>#N/A</v>
      </c>
      <c r="L90" t="e">
        <f>INDEX(src_ref_codes,MATCH(loaded!AC90,src_ref,0))</f>
        <v>#N/A</v>
      </c>
      <c r="M90" s="8">
        <f>loaded!AE90</f>
        <v>0</v>
      </c>
      <c r="N90" s="8">
        <f>loaded!AG90</f>
        <v>0</v>
      </c>
      <c r="O90" t="e">
        <f>INDEX(reces_codes,MATCH(loaded!AI90,reason,0))</f>
        <v>#N/A</v>
      </c>
      <c r="P90" t="e">
        <f>INDEX(TDS_codes,MATCH(loaded!AK90,TDS,0))</f>
        <v>#N/A</v>
      </c>
      <c r="Q90" t="e">
        <f>IF(K90=2,"",INDEX(method_codes,MATCH(loaded!AM90,method,0)))</f>
        <v>#N/A</v>
      </c>
      <c r="R90" t="e">
        <f>IF(K90=2,"",INDEX(inj_codes,MATCH(loaded!AO90,inj,0)))</f>
        <v>#N/A</v>
      </c>
      <c r="S90" t="e">
        <f>IF(K90=2,"",INDEX(drug_codes,MATCH(loaded!AQ90,drug,0)))</f>
        <v>#N/A</v>
      </c>
      <c r="T90" t="e">
        <f>IF(K90=2,"",_xlfn.IFNA(INDEX(drug_codes,MATCH(loaded!AS90,drug,0)),""))</f>
        <v>#N/A</v>
      </c>
      <c r="U90" t="e">
        <f>IF(K90=2,"",_xlfn.IFNA(INDEX(drug_codes,MATCH(loaded!AU90,drug,0)),""))</f>
        <v>#N/A</v>
      </c>
      <c r="V90" t="e">
        <f>IF(K90=2,"",_xlfn.IFNA(INDEX(drug_codes,MATCH(loaded!AW90,drug,0)),""))</f>
        <v>#N/A</v>
      </c>
      <c r="W90" t="e">
        <f>IF(K90=2,"",_xlfn.IFNA(INDEX(drug_codes,MATCH(loaded!AY90,drug,0)),""))</f>
        <v>#N/A</v>
      </c>
      <c r="X90" t="e">
        <f>IF(K90=2,"",_xlfn.IFNA(INDEX(drug_codes,MATCH(loaded!BA90,drug,0)),""))</f>
        <v>#N/A</v>
      </c>
      <c r="Y90" t="e">
        <f>INDEX(MTT_codes,MATCH(loaded!BC90,MTT,0))</f>
        <v>#N/A</v>
      </c>
      <c r="Z90" t="str">
        <f>_xlfn.IFNA(INDEX(MTT_codes,MATCH(loaded!BE90,MTT,0)),"")</f>
        <v/>
      </c>
      <c r="AA90" t="str">
        <f>_xlfn.IFNA(INDEX(MTT_codes,MATCH(loaded!BG90,MTT,0)),"")</f>
        <v/>
      </c>
      <c r="AB90" t="str">
        <f>_xlfn.IFNA(INDEX(MTT_codes,MATCH(loaded!BI90,MTT,0)),"")</f>
        <v/>
      </c>
      <c r="AC90" t="str">
        <f>_xlfn.IFNA(INDEX(MTT_codes,MATCH(loaded!BK90,MTT,0)),"")</f>
        <v/>
      </c>
      <c r="AD90" t="str">
        <f>_xlfn.IFNA(INDEX(MTT_codes,MATCH(loaded!BM90,MTT,0)),"")</f>
        <v/>
      </c>
      <c r="AE90" t="e">
        <f>INDEX(liv_ar_codes,MATCH(loaded!BO90,liv_ar,0))</f>
        <v>#N/A</v>
      </c>
      <c r="AF90" t="str">
        <f>_xlfn.IFNA(INDEX(MTT_codes,MATCH(loaded!BQ90,MTT,0)),"")</f>
        <v/>
      </c>
      <c r="AG90">
        <f>_xlfn.IFNA(INDEX(mental_codes,MATCH(loaded!BS90,mental,0)),9)</f>
        <v>9</v>
      </c>
    </row>
    <row r="91" spans="1:33" x14ac:dyDescent="0.25">
      <c r="A91">
        <f>loaded!C91</f>
        <v>0</v>
      </c>
      <c r="B91">
        <f>loaded!I91</f>
        <v>0</v>
      </c>
      <c r="C91">
        <f>IF(loaded!K91="Male",1,IF(loaded!K91="Female",2,9))</f>
        <v>9</v>
      </c>
      <c r="D91" s="8">
        <f>loaded!M91</f>
        <v>0</v>
      </c>
      <c r="E91" t="str">
        <f>LEFT(loaded!O91,3)</f>
        <v/>
      </c>
      <c r="F91" t="e">
        <f>INDEX(cntry_codes,MATCH(loaded!Q91,countries,0))</f>
        <v>#N/A</v>
      </c>
      <c r="G91" t="e">
        <f>INDEX(atsi_codes,MATCH(loaded!S91,atsi,0))</f>
        <v>#N/A</v>
      </c>
      <c r="H91" t="e">
        <f>INDEX(lang_codes,MATCH(loaded!U91,lang,0))</f>
        <v>#N/A</v>
      </c>
      <c r="I91" s="8">
        <f>loaded!W91</f>
        <v>0</v>
      </c>
      <c r="J91" t="e">
        <f>INDEX(us_acc_codes,MATCH(loaded!Y91,us_acc,0))</f>
        <v>#N/A</v>
      </c>
      <c r="K91" t="e">
        <f>INDEX(client_codes,MATCH(loaded!AA91,client,0))</f>
        <v>#N/A</v>
      </c>
      <c r="L91" t="e">
        <f>INDEX(src_ref_codes,MATCH(loaded!AC91,src_ref,0))</f>
        <v>#N/A</v>
      </c>
      <c r="M91" s="8">
        <f>loaded!AE91</f>
        <v>0</v>
      </c>
      <c r="N91" s="8">
        <f>loaded!AG91</f>
        <v>0</v>
      </c>
      <c r="O91" t="e">
        <f>INDEX(reces_codes,MATCH(loaded!AI91,reason,0))</f>
        <v>#N/A</v>
      </c>
      <c r="P91" t="e">
        <f>INDEX(TDS_codes,MATCH(loaded!AK91,TDS,0))</f>
        <v>#N/A</v>
      </c>
      <c r="Q91" t="e">
        <f>IF(K91=2,"",INDEX(method_codes,MATCH(loaded!AM91,method,0)))</f>
        <v>#N/A</v>
      </c>
      <c r="R91" t="e">
        <f>IF(K91=2,"",INDEX(inj_codes,MATCH(loaded!AO91,inj,0)))</f>
        <v>#N/A</v>
      </c>
      <c r="S91" t="e">
        <f>IF(K91=2,"",INDEX(drug_codes,MATCH(loaded!AQ91,drug,0)))</f>
        <v>#N/A</v>
      </c>
      <c r="T91" t="e">
        <f>IF(K91=2,"",_xlfn.IFNA(INDEX(drug_codes,MATCH(loaded!AS91,drug,0)),""))</f>
        <v>#N/A</v>
      </c>
      <c r="U91" t="e">
        <f>IF(K91=2,"",_xlfn.IFNA(INDEX(drug_codes,MATCH(loaded!AU91,drug,0)),""))</f>
        <v>#N/A</v>
      </c>
      <c r="V91" t="e">
        <f>IF(K91=2,"",_xlfn.IFNA(INDEX(drug_codes,MATCH(loaded!AW91,drug,0)),""))</f>
        <v>#N/A</v>
      </c>
      <c r="W91" t="e">
        <f>IF(K91=2,"",_xlfn.IFNA(INDEX(drug_codes,MATCH(loaded!AY91,drug,0)),""))</f>
        <v>#N/A</v>
      </c>
      <c r="X91" t="e">
        <f>IF(K91=2,"",_xlfn.IFNA(INDEX(drug_codes,MATCH(loaded!BA91,drug,0)),""))</f>
        <v>#N/A</v>
      </c>
      <c r="Y91" t="e">
        <f>INDEX(MTT_codes,MATCH(loaded!BC91,MTT,0))</f>
        <v>#N/A</v>
      </c>
      <c r="Z91" t="str">
        <f>_xlfn.IFNA(INDEX(MTT_codes,MATCH(loaded!BE91,MTT,0)),"")</f>
        <v/>
      </c>
      <c r="AA91" t="str">
        <f>_xlfn.IFNA(INDEX(MTT_codes,MATCH(loaded!BG91,MTT,0)),"")</f>
        <v/>
      </c>
      <c r="AB91" t="str">
        <f>_xlfn.IFNA(INDEX(MTT_codes,MATCH(loaded!BI91,MTT,0)),"")</f>
        <v/>
      </c>
      <c r="AC91" t="str">
        <f>_xlfn.IFNA(INDEX(MTT_codes,MATCH(loaded!BK91,MTT,0)),"")</f>
        <v/>
      </c>
      <c r="AD91" t="str">
        <f>_xlfn.IFNA(INDEX(MTT_codes,MATCH(loaded!BM91,MTT,0)),"")</f>
        <v/>
      </c>
      <c r="AE91" t="e">
        <f>INDEX(liv_ar_codes,MATCH(loaded!BO91,liv_ar,0))</f>
        <v>#N/A</v>
      </c>
      <c r="AF91" t="str">
        <f>_xlfn.IFNA(INDEX(MTT_codes,MATCH(loaded!BQ91,MTT,0)),"")</f>
        <v/>
      </c>
      <c r="AG91">
        <f>_xlfn.IFNA(INDEX(mental_codes,MATCH(loaded!BS91,mental,0)),9)</f>
        <v>9</v>
      </c>
    </row>
    <row r="92" spans="1:33" x14ac:dyDescent="0.25">
      <c r="A92">
        <f>loaded!C92</f>
        <v>0</v>
      </c>
      <c r="B92">
        <f>loaded!I92</f>
        <v>0</v>
      </c>
      <c r="C92">
        <f>IF(loaded!K92="Male",1,IF(loaded!K92="Female",2,9))</f>
        <v>9</v>
      </c>
      <c r="D92" s="8">
        <f>loaded!M92</f>
        <v>0</v>
      </c>
      <c r="E92" t="str">
        <f>LEFT(loaded!O92,3)</f>
        <v/>
      </c>
      <c r="F92" t="e">
        <f>INDEX(cntry_codes,MATCH(loaded!Q92,countries,0))</f>
        <v>#N/A</v>
      </c>
      <c r="G92" t="e">
        <f>INDEX(atsi_codes,MATCH(loaded!S92,atsi,0))</f>
        <v>#N/A</v>
      </c>
      <c r="H92" t="e">
        <f>INDEX(lang_codes,MATCH(loaded!U92,lang,0))</f>
        <v>#N/A</v>
      </c>
      <c r="I92" s="8">
        <f>loaded!W92</f>
        <v>0</v>
      </c>
      <c r="J92" t="e">
        <f>INDEX(us_acc_codes,MATCH(loaded!Y92,us_acc,0))</f>
        <v>#N/A</v>
      </c>
      <c r="K92" t="e">
        <f>INDEX(client_codes,MATCH(loaded!AA92,client,0))</f>
        <v>#N/A</v>
      </c>
      <c r="L92" t="e">
        <f>INDEX(src_ref_codes,MATCH(loaded!AC92,src_ref,0))</f>
        <v>#N/A</v>
      </c>
      <c r="M92" s="8">
        <f>loaded!AE92</f>
        <v>0</v>
      </c>
      <c r="N92" s="8">
        <f>loaded!AG92</f>
        <v>0</v>
      </c>
      <c r="O92" t="e">
        <f>INDEX(reces_codes,MATCH(loaded!AI92,reason,0))</f>
        <v>#N/A</v>
      </c>
      <c r="P92" t="e">
        <f>INDEX(TDS_codes,MATCH(loaded!AK92,TDS,0))</f>
        <v>#N/A</v>
      </c>
      <c r="Q92" t="e">
        <f>IF(K92=2,"",INDEX(method_codes,MATCH(loaded!AM92,method,0)))</f>
        <v>#N/A</v>
      </c>
      <c r="R92" t="e">
        <f>IF(K92=2,"",INDEX(inj_codes,MATCH(loaded!AO92,inj,0)))</f>
        <v>#N/A</v>
      </c>
      <c r="S92" t="e">
        <f>IF(K92=2,"",INDEX(drug_codes,MATCH(loaded!AQ92,drug,0)))</f>
        <v>#N/A</v>
      </c>
      <c r="T92" t="e">
        <f>IF(K92=2,"",_xlfn.IFNA(INDEX(drug_codes,MATCH(loaded!AS92,drug,0)),""))</f>
        <v>#N/A</v>
      </c>
      <c r="U92" t="e">
        <f>IF(K92=2,"",_xlfn.IFNA(INDEX(drug_codes,MATCH(loaded!AU92,drug,0)),""))</f>
        <v>#N/A</v>
      </c>
      <c r="V92" t="e">
        <f>IF(K92=2,"",_xlfn.IFNA(INDEX(drug_codes,MATCH(loaded!AW92,drug,0)),""))</f>
        <v>#N/A</v>
      </c>
      <c r="W92" t="e">
        <f>IF(K92=2,"",_xlfn.IFNA(INDEX(drug_codes,MATCH(loaded!AY92,drug,0)),""))</f>
        <v>#N/A</v>
      </c>
      <c r="X92" t="e">
        <f>IF(K92=2,"",_xlfn.IFNA(INDEX(drug_codes,MATCH(loaded!BA92,drug,0)),""))</f>
        <v>#N/A</v>
      </c>
      <c r="Y92" t="e">
        <f>INDEX(MTT_codes,MATCH(loaded!BC92,MTT,0))</f>
        <v>#N/A</v>
      </c>
      <c r="Z92" t="str">
        <f>_xlfn.IFNA(INDEX(MTT_codes,MATCH(loaded!BE92,MTT,0)),"")</f>
        <v/>
      </c>
      <c r="AA92" t="str">
        <f>_xlfn.IFNA(INDEX(MTT_codes,MATCH(loaded!BG92,MTT,0)),"")</f>
        <v/>
      </c>
      <c r="AB92" t="str">
        <f>_xlfn.IFNA(INDEX(MTT_codes,MATCH(loaded!BI92,MTT,0)),"")</f>
        <v/>
      </c>
      <c r="AC92" t="str">
        <f>_xlfn.IFNA(INDEX(MTT_codes,MATCH(loaded!BK92,MTT,0)),"")</f>
        <v/>
      </c>
      <c r="AD92" t="str">
        <f>_xlfn.IFNA(INDEX(MTT_codes,MATCH(loaded!BM92,MTT,0)),"")</f>
        <v/>
      </c>
      <c r="AE92" t="e">
        <f>INDEX(liv_ar_codes,MATCH(loaded!BO92,liv_ar,0))</f>
        <v>#N/A</v>
      </c>
      <c r="AF92" t="str">
        <f>_xlfn.IFNA(INDEX(MTT_codes,MATCH(loaded!BQ92,MTT,0)),"")</f>
        <v/>
      </c>
      <c r="AG92">
        <f>_xlfn.IFNA(INDEX(mental_codes,MATCH(loaded!BS92,mental,0)),9)</f>
        <v>9</v>
      </c>
    </row>
    <row r="93" spans="1:33" x14ac:dyDescent="0.25">
      <c r="A93">
        <f>loaded!C93</f>
        <v>0</v>
      </c>
      <c r="B93">
        <f>loaded!I93</f>
        <v>0</v>
      </c>
      <c r="C93">
        <f>IF(loaded!K93="Male",1,IF(loaded!K93="Female",2,9))</f>
        <v>9</v>
      </c>
      <c r="D93" s="8">
        <f>loaded!M93</f>
        <v>0</v>
      </c>
      <c r="E93" t="str">
        <f>LEFT(loaded!O93,3)</f>
        <v/>
      </c>
      <c r="F93" t="e">
        <f>INDEX(cntry_codes,MATCH(loaded!Q93,countries,0))</f>
        <v>#N/A</v>
      </c>
      <c r="G93" t="e">
        <f>INDEX(atsi_codes,MATCH(loaded!S93,atsi,0))</f>
        <v>#N/A</v>
      </c>
      <c r="H93" t="e">
        <f>INDEX(lang_codes,MATCH(loaded!U93,lang,0))</f>
        <v>#N/A</v>
      </c>
      <c r="I93" s="8">
        <f>loaded!W93</f>
        <v>0</v>
      </c>
      <c r="J93" t="e">
        <f>INDEX(us_acc_codes,MATCH(loaded!Y93,us_acc,0))</f>
        <v>#N/A</v>
      </c>
      <c r="K93" t="e">
        <f>INDEX(client_codes,MATCH(loaded!AA93,client,0))</f>
        <v>#N/A</v>
      </c>
      <c r="L93" t="e">
        <f>INDEX(src_ref_codes,MATCH(loaded!AC93,src_ref,0))</f>
        <v>#N/A</v>
      </c>
      <c r="M93" s="8">
        <f>loaded!AE93</f>
        <v>0</v>
      </c>
      <c r="N93" s="8">
        <f>loaded!AG93</f>
        <v>0</v>
      </c>
      <c r="O93" t="e">
        <f>INDEX(reces_codes,MATCH(loaded!AI93,reason,0))</f>
        <v>#N/A</v>
      </c>
      <c r="P93" t="e">
        <f>INDEX(TDS_codes,MATCH(loaded!AK93,TDS,0))</f>
        <v>#N/A</v>
      </c>
      <c r="Q93" t="e">
        <f>IF(K93=2,"",INDEX(method_codes,MATCH(loaded!AM93,method,0)))</f>
        <v>#N/A</v>
      </c>
      <c r="R93" t="e">
        <f>IF(K93=2,"",INDEX(inj_codes,MATCH(loaded!AO93,inj,0)))</f>
        <v>#N/A</v>
      </c>
      <c r="S93" t="e">
        <f>IF(K93=2,"",INDEX(drug_codes,MATCH(loaded!AQ93,drug,0)))</f>
        <v>#N/A</v>
      </c>
      <c r="T93" t="e">
        <f>IF(K93=2,"",_xlfn.IFNA(INDEX(drug_codes,MATCH(loaded!AS93,drug,0)),""))</f>
        <v>#N/A</v>
      </c>
      <c r="U93" t="e">
        <f>IF(K93=2,"",_xlfn.IFNA(INDEX(drug_codes,MATCH(loaded!AU93,drug,0)),""))</f>
        <v>#N/A</v>
      </c>
      <c r="V93" t="e">
        <f>IF(K93=2,"",_xlfn.IFNA(INDEX(drug_codes,MATCH(loaded!AW93,drug,0)),""))</f>
        <v>#N/A</v>
      </c>
      <c r="W93" t="e">
        <f>IF(K93=2,"",_xlfn.IFNA(INDEX(drug_codes,MATCH(loaded!AY93,drug,0)),""))</f>
        <v>#N/A</v>
      </c>
      <c r="X93" t="e">
        <f>IF(K93=2,"",_xlfn.IFNA(INDEX(drug_codes,MATCH(loaded!BA93,drug,0)),""))</f>
        <v>#N/A</v>
      </c>
      <c r="Y93" t="e">
        <f>INDEX(MTT_codes,MATCH(loaded!BC93,MTT,0))</f>
        <v>#N/A</v>
      </c>
      <c r="Z93" t="str">
        <f>_xlfn.IFNA(INDEX(MTT_codes,MATCH(loaded!BE93,MTT,0)),"")</f>
        <v/>
      </c>
      <c r="AA93" t="str">
        <f>_xlfn.IFNA(INDEX(MTT_codes,MATCH(loaded!BG93,MTT,0)),"")</f>
        <v/>
      </c>
      <c r="AB93" t="str">
        <f>_xlfn.IFNA(INDEX(MTT_codes,MATCH(loaded!BI93,MTT,0)),"")</f>
        <v/>
      </c>
      <c r="AC93" t="str">
        <f>_xlfn.IFNA(INDEX(MTT_codes,MATCH(loaded!BK93,MTT,0)),"")</f>
        <v/>
      </c>
      <c r="AD93" t="str">
        <f>_xlfn.IFNA(INDEX(MTT_codes,MATCH(loaded!BM93,MTT,0)),"")</f>
        <v/>
      </c>
      <c r="AE93" t="e">
        <f>INDEX(liv_ar_codes,MATCH(loaded!BO93,liv_ar,0))</f>
        <v>#N/A</v>
      </c>
      <c r="AF93" t="str">
        <f>_xlfn.IFNA(INDEX(MTT_codes,MATCH(loaded!BQ93,MTT,0)),"")</f>
        <v/>
      </c>
      <c r="AG93">
        <f>_xlfn.IFNA(INDEX(mental_codes,MATCH(loaded!BS93,mental,0)),9)</f>
        <v>9</v>
      </c>
    </row>
    <row r="94" spans="1:33" x14ac:dyDescent="0.25">
      <c r="A94">
        <f>loaded!C94</f>
        <v>0</v>
      </c>
      <c r="B94">
        <f>loaded!I94</f>
        <v>0</v>
      </c>
      <c r="C94">
        <f>IF(loaded!K94="Male",1,IF(loaded!K94="Female",2,9))</f>
        <v>9</v>
      </c>
      <c r="D94" s="8">
        <f>loaded!M94</f>
        <v>0</v>
      </c>
      <c r="E94" t="str">
        <f>LEFT(loaded!O94,3)</f>
        <v/>
      </c>
      <c r="F94" t="e">
        <f>INDEX(cntry_codes,MATCH(loaded!Q94,countries,0))</f>
        <v>#N/A</v>
      </c>
      <c r="G94" t="e">
        <f>INDEX(atsi_codes,MATCH(loaded!S94,atsi,0))</f>
        <v>#N/A</v>
      </c>
      <c r="H94" t="e">
        <f>INDEX(lang_codes,MATCH(loaded!U94,lang,0))</f>
        <v>#N/A</v>
      </c>
      <c r="I94" s="8">
        <f>loaded!W94</f>
        <v>0</v>
      </c>
      <c r="J94" t="e">
        <f>INDEX(us_acc_codes,MATCH(loaded!Y94,us_acc,0))</f>
        <v>#N/A</v>
      </c>
      <c r="K94" t="e">
        <f>INDEX(client_codes,MATCH(loaded!AA94,client,0))</f>
        <v>#N/A</v>
      </c>
      <c r="L94" t="e">
        <f>INDEX(src_ref_codes,MATCH(loaded!AC94,src_ref,0))</f>
        <v>#N/A</v>
      </c>
      <c r="M94" s="8">
        <f>loaded!AE94</f>
        <v>0</v>
      </c>
      <c r="N94" s="8">
        <f>loaded!AG94</f>
        <v>0</v>
      </c>
      <c r="O94" t="e">
        <f>INDEX(reces_codes,MATCH(loaded!AI94,reason,0))</f>
        <v>#N/A</v>
      </c>
      <c r="P94" t="e">
        <f>INDEX(TDS_codes,MATCH(loaded!AK94,TDS,0))</f>
        <v>#N/A</v>
      </c>
      <c r="Q94" t="e">
        <f>IF(K94=2,"",INDEX(method_codes,MATCH(loaded!AM94,method,0)))</f>
        <v>#N/A</v>
      </c>
      <c r="R94" t="e">
        <f>IF(K94=2,"",INDEX(inj_codes,MATCH(loaded!AO94,inj,0)))</f>
        <v>#N/A</v>
      </c>
      <c r="S94" t="e">
        <f>IF(K94=2,"",INDEX(drug_codes,MATCH(loaded!AQ94,drug,0)))</f>
        <v>#N/A</v>
      </c>
      <c r="T94" t="e">
        <f>IF(K94=2,"",_xlfn.IFNA(INDEX(drug_codes,MATCH(loaded!AS94,drug,0)),""))</f>
        <v>#N/A</v>
      </c>
      <c r="U94" t="e">
        <f>IF(K94=2,"",_xlfn.IFNA(INDEX(drug_codes,MATCH(loaded!AU94,drug,0)),""))</f>
        <v>#N/A</v>
      </c>
      <c r="V94" t="e">
        <f>IF(K94=2,"",_xlfn.IFNA(INDEX(drug_codes,MATCH(loaded!AW94,drug,0)),""))</f>
        <v>#N/A</v>
      </c>
      <c r="W94" t="e">
        <f>IF(K94=2,"",_xlfn.IFNA(INDEX(drug_codes,MATCH(loaded!AY94,drug,0)),""))</f>
        <v>#N/A</v>
      </c>
      <c r="X94" t="e">
        <f>IF(K94=2,"",_xlfn.IFNA(INDEX(drug_codes,MATCH(loaded!BA94,drug,0)),""))</f>
        <v>#N/A</v>
      </c>
      <c r="Y94" t="e">
        <f>INDEX(MTT_codes,MATCH(loaded!BC94,MTT,0))</f>
        <v>#N/A</v>
      </c>
      <c r="Z94" t="str">
        <f>_xlfn.IFNA(INDEX(MTT_codes,MATCH(loaded!BE94,MTT,0)),"")</f>
        <v/>
      </c>
      <c r="AA94" t="str">
        <f>_xlfn.IFNA(INDEX(MTT_codes,MATCH(loaded!BG94,MTT,0)),"")</f>
        <v/>
      </c>
      <c r="AB94" t="str">
        <f>_xlfn.IFNA(INDEX(MTT_codes,MATCH(loaded!BI94,MTT,0)),"")</f>
        <v/>
      </c>
      <c r="AC94" t="str">
        <f>_xlfn.IFNA(INDEX(MTT_codes,MATCH(loaded!BK94,MTT,0)),"")</f>
        <v/>
      </c>
      <c r="AD94" t="str">
        <f>_xlfn.IFNA(INDEX(MTT_codes,MATCH(loaded!BM94,MTT,0)),"")</f>
        <v/>
      </c>
      <c r="AE94" t="e">
        <f>INDEX(liv_ar_codes,MATCH(loaded!BO94,liv_ar,0))</f>
        <v>#N/A</v>
      </c>
      <c r="AF94" t="str">
        <f>_xlfn.IFNA(INDEX(MTT_codes,MATCH(loaded!BQ94,MTT,0)),"")</f>
        <v/>
      </c>
      <c r="AG94">
        <f>_xlfn.IFNA(INDEX(mental_codes,MATCH(loaded!BS94,mental,0)),9)</f>
        <v>9</v>
      </c>
    </row>
    <row r="95" spans="1:33" x14ac:dyDescent="0.25">
      <c r="A95">
        <f>loaded!C95</f>
        <v>0</v>
      </c>
      <c r="B95">
        <f>loaded!I95</f>
        <v>0</v>
      </c>
      <c r="C95">
        <f>IF(loaded!K95="Male",1,IF(loaded!K95="Female",2,9))</f>
        <v>9</v>
      </c>
      <c r="D95" s="8">
        <f>loaded!M95</f>
        <v>0</v>
      </c>
      <c r="E95" t="str">
        <f>LEFT(loaded!O95,3)</f>
        <v/>
      </c>
      <c r="F95" t="e">
        <f>INDEX(cntry_codes,MATCH(loaded!Q95,countries,0))</f>
        <v>#N/A</v>
      </c>
      <c r="G95" t="e">
        <f>INDEX(atsi_codes,MATCH(loaded!S95,atsi,0))</f>
        <v>#N/A</v>
      </c>
      <c r="H95" t="e">
        <f>INDEX(lang_codes,MATCH(loaded!U95,lang,0))</f>
        <v>#N/A</v>
      </c>
      <c r="I95" s="8">
        <f>loaded!W95</f>
        <v>0</v>
      </c>
      <c r="J95" t="e">
        <f>INDEX(us_acc_codes,MATCH(loaded!Y95,us_acc,0))</f>
        <v>#N/A</v>
      </c>
      <c r="K95" t="e">
        <f>INDEX(client_codes,MATCH(loaded!AA95,client,0))</f>
        <v>#N/A</v>
      </c>
      <c r="L95" t="e">
        <f>INDEX(src_ref_codes,MATCH(loaded!AC95,src_ref,0))</f>
        <v>#N/A</v>
      </c>
      <c r="M95" s="8">
        <f>loaded!AE95</f>
        <v>0</v>
      </c>
      <c r="N95" s="8">
        <f>loaded!AG95</f>
        <v>0</v>
      </c>
      <c r="O95" t="e">
        <f>INDEX(reces_codes,MATCH(loaded!AI95,reason,0))</f>
        <v>#N/A</v>
      </c>
      <c r="P95" t="e">
        <f>INDEX(TDS_codes,MATCH(loaded!AK95,TDS,0))</f>
        <v>#N/A</v>
      </c>
      <c r="Q95" t="e">
        <f>IF(K95=2,"",INDEX(method_codes,MATCH(loaded!AM95,method,0)))</f>
        <v>#N/A</v>
      </c>
      <c r="R95" t="e">
        <f>IF(K95=2,"",INDEX(inj_codes,MATCH(loaded!AO95,inj,0)))</f>
        <v>#N/A</v>
      </c>
      <c r="S95" t="e">
        <f>IF(K95=2,"",INDEX(drug_codes,MATCH(loaded!AQ95,drug,0)))</f>
        <v>#N/A</v>
      </c>
      <c r="T95" t="e">
        <f>IF(K95=2,"",_xlfn.IFNA(INDEX(drug_codes,MATCH(loaded!AS95,drug,0)),""))</f>
        <v>#N/A</v>
      </c>
      <c r="U95" t="e">
        <f>IF(K95=2,"",_xlfn.IFNA(INDEX(drug_codes,MATCH(loaded!AU95,drug,0)),""))</f>
        <v>#N/A</v>
      </c>
      <c r="V95" t="e">
        <f>IF(K95=2,"",_xlfn.IFNA(INDEX(drug_codes,MATCH(loaded!AW95,drug,0)),""))</f>
        <v>#N/A</v>
      </c>
      <c r="W95" t="e">
        <f>IF(K95=2,"",_xlfn.IFNA(INDEX(drug_codes,MATCH(loaded!AY95,drug,0)),""))</f>
        <v>#N/A</v>
      </c>
      <c r="X95" t="e">
        <f>IF(K95=2,"",_xlfn.IFNA(INDEX(drug_codes,MATCH(loaded!BA95,drug,0)),""))</f>
        <v>#N/A</v>
      </c>
      <c r="Y95" t="e">
        <f>INDEX(MTT_codes,MATCH(loaded!BC95,MTT,0))</f>
        <v>#N/A</v>
      </c>
      <c r="Z95" t="str">
        <f>_xlfn.IFNA(INDEX(MTT_codes,MATCH(loaded!BE95,MTT,0)),"")</f>
        <v/>
      </c>
      <c r="AA95" t="str">
        <f>_xlfn.IFNA(INDEX(MTT_codes,MATCH(loaded!BG95,MTT,0)),"")</f>
        <v/>
      </c>
      <c r="AB95" t="str">
        <f>_xlfn.IFNA(INDEX(MTT_codes,MATCH(loaded!BI95,MTT,0)),"")</f>
        <v/>
      </c>
      <c r="AC95" t="str">
        <f>_xlfn.IFNA(INDEX(MTT_codes,MATCH(loaded!BK95,MTT,0)),"")</f>
        <v/>
      </c>
      <c r="AD95" t="str">
        <f>_xlfn.IFNA(INDEX(MTT_codes,MATCH(loaded!BM95,MTT,0)),"")</f>
        <v/>
      </c>
      <c r="AE95" t="e">
        <f>INDEX(liv_ar_codes,MATCH(loaded!BO95,liv_ar,0))</f>
        <v>#N/A</v>
      </c>
      <c r="AF95" t="str">
        <f>_xlfn.IFNA(INDEX(MTT_codes,MATCH(loaded!BQ95,MTT,0)),"")</f>
        <v/>
      </c>
      <c r="AG95">
        <f>_xlfn.IFNA(INDEX(mental_codes,MATCH(loaded!BS95,mental,0)),9)</f>
        <v>9</v>
      </c>
    </row>
    <row r="96" spans="1:33" x14ac:dyDescent="0.25">
      <c r="A96">
        <f>loaded!C96</f>
        <v>0</v>
      </c>
      <c r="B96">
        <f>loaded!I96</f>
        <v>0</v>
      </c>
      <c r="C96">
        <f>IF(loaded!K96="Male",1,IF(loaded!K96="Female",2,9))</f>
        <v>9</v>
      </c>
      <c r="D96" s="8">
        <f>loaded!M96</f>
        <v>0</v>
      </c>
      <c r="E96" t="str">
        <f>LEFT(loaded!O96,3)</f>
        <v/>
      </c>
      <c r="F96" t="e">
        <f>INDEX(cntry_codes,MATCH(loaded!Q96,countries,0))</f>
        <v>#N/A</v>
      </c>
      <c r="G96" t="e">
        <f>INDEX(atsi_codes,MATCH(loaded!S96,atsi,0))</f>
        <v>#N/A</v>
      </c>
      <c r="H96" t="e">
        <f>INDEX(lang_codes,MATCH(loaded!U96,lang,0))</f>
        <v>#N/A</v>
      </c>
      <c r="I96" s="8">
        <f>loaded!W96</f>
        <v>0</v>
      </c>
      <c r="J96" t="e">
        <f>INDEX(us_acc_codes,MATCH(loaded!Y96,us_acc,0))</f>
        <v>#N/A</v>
      </c>
      <c r="K96" t="e">
        <f>INDEX(client_codes,MATCH(loaded!AA96,client,0))</f>
        <v>#N/A</v>
      </c>
      <c r="L96" t="e">
        <f>INDEX(src_ref_codes,MATCH(loaded!AC96,src_ref,0))</f>
        <v>#N/A</v>
      </c>
      <c r="M96" s="8">
        <f>loaded!AE96</f>
        <v>0</v>
      </c>
      <c r="N96" s="8">
        <f>loaded!AG96</f>
        <v>0</v>
      </c>
      <c r="O96" t="e">
        <f>INDEX(reces_codes,MATCH(loaded!AI96,reason,0))</f>
        <v>#N/A</v>
      </c>
      <c r="P96" t="e">
        <f>INDEX(TDS_codes,MATCH(loaded!AK96,TDS,0))</f>
        <v>#N/A</v>
      </c>
      <c r="Q96" t="e">
        <f>IF(K96=2,"",INDEX(method_codes,MATCH(loaded!AM96,method,0)))</f>
        <v>#N/A</v>
      </c>
      <c r="R96" t="e">
        <f>IF(K96=2,"",INDEX(inj_codes,MATCH(loaded!AO96,inj,0)))</f>
        <v>#N/A</v>
      </c>
      <c r="S96" t="e">
        <f>IF(K96=2,"",INDEX(drug_codes,MATCH(loaded!AQ96,drug,0)))</f>
        <v>#N/A</v>
      </c>
      <c r="T96" t="e">
        <f>IF(K96=2,"",_xlfn.IFNA(INDEX(drug_codes,MATCH(loaded!AS96,drug,0)),""))</f>
        <v>#N/A</v>
      </c>
      <c r="U96" t="e">
        <f>IF(K96=2,"",_xlfn.IFNA(INDEX(drug_codes,MATCH(loaded!AU96,drug,0)),""))</f>
        <v>#N/A</v>
      </c>
      <c r="V96" t="e">
        <f>IF(K96=2,"",_xlfn.IFNA(INDEX(drug_codes,MATCH(loaded!AW96,drug,0)),""))</f>
        <v>#N/A</v>
      </c>
      <c r="W96" t="e">
        <f>IF(K96=2,"",_xlfn.IFNA(INDEX(drug_codes,MATCH(loaded!AY96,drug,0)),""))</f>
        <v>#N/A</v>
      </c>
      <c r="X96" t="e">
        <f>IF(K96=2,"",_xlfn.IFNA(INDEX(drug_codes,MATCH(loaded!BA96,drug,0)),""))</f>
        <v>#N/A</v>
      </c>
      <c r="Y96" t="e">
        <f>INDEX(MTT_codes,MATCH(loaded!BC96,MTT,0))</f>
        <v>#N/A</v>
      </c>
      <c r="Z96" t="str">
        <f>_xlfn.IFNA(INDEX(MTT_codes,MATCH(loaded!BE96,MTT,0)),"")</f>
        <v/>
      </c>
      <c r="AA96" t="str">
        <f>_xlfn.IFNA(INDEX(MTT_codes,MATCH(loaded!BG96,MTT,0)),"")</f>
        <v/>
      </c>
      <c r="AB96" t="str">
        <f>_xlfn.IFNA(INDEX(MTT_codes,MATCH(loaded!BI96,MTT,0)),"")</f>
        <v/>
      </c>
      <c r="AC96" t="str">
        <f>_xlfn.IFNA(INDEX(MTT_codes,MATCH(loaded!BK96,MTT,0)),"")</f>
        <v/>
      </c>
      <c r="AD96" t="str">
        <f>_xlfn.IFNA(INDEX(MTT_codes,MATCH(loaded!BM96,MTT,0)),"")</f>
        <v/>
      </c>
      <c r="AE96" t="e">
        <f>INDEX(liv_ar_codes,MATCH(loaded!BO96,liv_ar,0))</f>
        <v>#N/A</v>
      </c>
      <c r="AF96" t="str">
        <f>_xlfn.IFNA(INDEX(MTT_codes,MATCH(loaded!BQ96,MTT,0)),"")</f>
        <v/>
      </c>
      <c r="AG96">
        <f>_xlfn.IFNA(INDEX(mental_codes,MATCH(loaded!BS96,mental,0)),9)</f>
        <v>9</v>
      </c>
    </row>
    <row r="97" spans="1:33" x14ac:dyDescent="0.25">
      <c r="A97">
        <f>loaded!C97</f>
        <v>0</v>
      </c>
      <c r="B97">
        <f>loaded!I97</f>
        <v>0</v>
      </c>
      <c r="C97">
        <f>IF(loaded!K97="Male",1,IF(loaded!K97="Female",2,9))</f>
        <v>9</v>
      </c>
      <c r="D97" s="8">
        <f>loaded!M97</f>
        <v>0</v>
      </c>
      <c r="E97" t="str">
        <f>LEFT(loaded!O97,3)</f>
        <v/>
      </c>
      <c r="F97" t="e">
        <f>INDEX(cntry_codes,MATCH(loaded!Q97,countries,0))</f>
        <v>#N/A</v>
      </c>
      <c r="G97" t="e">
        <f>INDEX(atsi_codes,MATCH(loaded!S97,atsi,0))</f>
        <v>#N/A</v>
      </c>
      <c r="H97" t="e">
        <f>INDEX(lang_codes,MATCH(loaded!U97,lang,0))</f>
        <v>#N/A</v>
      </c>
      <c r="I97" s="8">
        <f>loaded!W97</f>
        <v>0</v>
      </c>
      <c r="J97" t="e">
        <f>INDEX(us_acc_codes,MATCH(loaded!Y97,us_acc,0))</f>
        <v>#N/A</v>
      </c>
      <c r="K97" t="e">
        <f>INDEX(client_codes,MATCH(loaded!AA97,client,0))</f>
        <v>#N/A</v>
      </c>
      <c r="L97" t="e">
        <f>INDEX(src_ref_codes,MATCH(loaded!AC97,src_ref,0))</f>
        <v>#N/A</v>
      </c>
      <c r="M97" s="8">
        <f>loaded!AE97</f>
        <v>0</v>
      </c>
      <c r="N97" s="8">
        <f>loaded!AG97</f>
        <v>0</v>
      </c>
      <c r="O97" t="e">
        <f>INDEX(reces_codes,MATCH(loaded!AI97,reason,0))</f>
        <v>#N/A</v>
      </c>
      <c r="P97" t="e">
        <f>INDEX(TDS_codes,MATCH(loaded!AK97,TDS,0))</f>
        <v>#N/A</v>
      </c>
      <c r="Q97" t="e">
        <f>IF(K97=2,"",INDEX(method_codes,MATCH(loaded!AM97,method,0)))</f>
        <v>#N/A</v>
      </c>
      <c r="R97" t="e">
        <f>IF(K97=2,"",INDEX(inj_codes,MATCH(loaded!AO97,inj,0)))</f>
        <v>#N/A</v>
      </c>
      <c r="S97" t="e">
        <f>IF(K97=2,"",INDEX(drug_codes,MATCH(loaded!AQ97,drug,0)))</f>
        <v>#N/A</v>
      </c>
      <c r="T97" t="e">
        <f>IF(K97=2,"",_xlfn.IFNA(INDEX(drug_codes,MATCH(loaded!AS97,drug,0)),""))</f>
        <v>#N/A</v>
      </c>
      <c r="U97" t="e">
        <f>IF(K97=2,"",_xlfn.IFNA(INDEX(drug_codes,MATCH(loaded!AU97,drug,0)),""))</f>
        <v>#N/A</v>
      </c>
      <c r="V97" t="e">
        <f>IF(K97=2,"",_xlfn.IFNA(INDEX(drug_codes,MATCH(loaded!AW97,drug,0)),""))</f>
        <v>#N/A</v>
      </c>
      <c r="W97" t="e">
        <f>IF(K97=2,"",_xlfn.IFNA(INDEX(drug_codes,MATCH(loaded!AY97,drug,0)),""))</f>
        <v>#N/A</v>
      </c>
      <c r="X97" t="e">
        <f>IF(K97=2,"",_xlfn.IFNA(INDEX(drug_codes,MATCH(loaded!BA97,drug,0)),""))</f>
        <v>#N/A</v>
      </c>
      <c r="Y97" t="e">
        <f>INDEX(MTT_codes,MATCH(loaded!BC97,MTT,0))</f>
        <v>#N/A</v>
      </c>
      <c r="Z97" t="str">
        <f>_xlfn.IFNA(INDEX(MTT_codes,MATCH(loaded!BE97,MTT,0)),"")</f>
        <v/>
      </c>
      <c r="AA97" t="str">
        <f>_xlfn.IFNA(INDEX(MTT_codes,MATCH(loaded!BG97,MTT,0)),"")</f>
        <v/>
      </c>
      <c r="AB97" t="str">
        <f>_xlfn.IFNA(INDEX(MTT_codes,MATCH(loaded!BI97,MTT,0)),"")</f>
        <v/>
      </c>
      <c r="AC97" t="str">
        <f>_xlfn.IFNA(INDEX(MTT_codes,MATCH(loaded!BK97,MTT,0)),"")</f>
        <v/>
      </c>
      <c r="AD97" t="str">
        <f>_xlfn.IFNA(INDEX(MTT_codes,MATCH(loaded!BM97,MTT,0)),"")</f>
        <v/>
      </c>
      <c r="AE97" t="e">
        <f>INDEX(liv_ar_codes,MATCH(loaded!BO97,liv_ar,0))</f>
        <v>#N/A</v>
      </c>
      <c r="AF97" t="str">
        <f>_xlfn.IFNA(INDEX(MTT_codes,MATCH(loaded!BQ97,MTT,0)),"")</f>
        <v/>
      </c>
      <c r="AG97">
        <f>_xlfn.IFNA(INDEX(mental_codes,MATCH(loaded!BS97,mental,0)),9)</f>
        <v>9</v>
      </c>
    </row>
    <row r="98" spans="1:33" x14ac:dyDescent="0.25">
      <c r="A98">
        <f>loaded!C98</f>
        <v>0</v>
      </c>
      <c r="B98">
        <f>loaded!I98</f>
        <v>0</v>
      </c>
      <c r="C98">
        <f>IF(loaded!K98="Male",1,IF(loaded!K98="Female",2,9))</f>
        <v>9</v>
      </c>
      <c r="D98" s="8">
        <f>loaded!M98</f>
        <v>0</v>
      </c>
      <c r="E98" t="str">
        <f>LEFT(loaded!O98,3)</f>
        <v/>
      </c>
      <c r="F98" t="e">
        <f>INDEX(cntry_codes,MATCH(loaded!Q98,countries,0))</f>
        <v>#N/A</v>
      </c>
      <c r="G98" t="e">
        <f>INDEX(atsi_codes,MATCH(loaded!S98,atsi,0))</f>
        <v>#N/A</v>
      </c>
      <c r="H98" t="e">
        <f>INDEX(lang_codes,MATCH(loaded!U98,lang,0))</f>
        <v>#N/A</v>
      </c>
      <c r="I98" s="8">
        <f>loaded!W98</f>
        <v>0</v>
      </c>
      <c r="J98" t="e">
        <f>INDEX(us_acc_codes,MATCH(loaded!Y98,us_acc,0))</f>
        <v>#N/A</v>
      </c>
      <c r="K98" t="e">
        <f>INDEX(client_codes,MATCH(loaded!AA98,client,0))</f>
        <v>#N/A</v>
      </c>
      <c r="L98" t="e">
        <f>INDEX(src_ref_codes,MATCH(loaded!AC98,src_ref,0))</f>
        <v>#N/A</v>
      </c>
      <c r="M98" s="8">
        <f>loaded!AE98</f>
        <v>0</v>
      </c>
      <c r="N98" s="8">
        <f>loaded!AG98</f>
        <v>0</v>
      </c>
      <c r="O98" t="e">
        <f>INDEX(reces_codes,MATCH(loaded!AI98,reason,0))</f>
        <v>#N/A</v>
      </c>
      <c r="P98" t="e">
        <f>INDEX(TDS_codes,MATCH(loaded!AK98,TDS,0))</f>
        <v>#N/A</v>
      </c>
      <c r="Q98" t="e">
        <f>IF(K98=2,"",INDEX(method_codes,MATCH(loaded!AM98,method,0)))</f>
        <v>#N/A</v>
      </c>
      <c r="R98" t="e">
        <f>IF(K98=2,"",INDEX(inj_codes,MATCH(loaded!AO98,inj,0)))</f>
        <v>#N/A</v>
      </c>
      <c r="S98" t="e">
        <f>IF(K98=2,"",INDEX(drug_codes,MATCH(loaded!AQ98,drug,0)))</f>
        <v>#N/A</v>
      </c>
      <c r="T98" t="e">
        <f>IF(K98=2,"",_xlfn.IFNA(INDEX(drug_codes,MATCH(loaded!AS98,drug,0)),""))</f>
        <v>#N/A</v>
      </c>
      <c r="U98" t="e">
        <f>IF(K98=2,"",_xlfn.IFNA(INDEX(drug_codes,MATCH(loaded!AU98,drug,0)),""))</f>
        <v>#N/A</v>
      </c>
      <c r="V98" t="e">
        <f>IF(K98=2,"",_xlfn.IFNA(INDEX(drug_codes,MATCH(loaded!AW98,drug,0)),""))</f>
        <v>#N/A</v>
      </c>
      <c r="W98" t="e">
        <f>IF(K98=2,"",_xlfn.IFNA(INDEX(drug_codes,MATCH(loaded!AY98,drug,0)),""))</f>
        <v>#N/A</v>
      </c>
      <c r="X98" t="e">
        <f>IF(K98=2,"",_xlfn.IFNA(INDEX(drug_codes,MATCH(loaded!BA98,drug,0)),""))</f>
        <v>#N/A</v>
      </c>
      <c r="Y98" t="e">
        <f>INDEX(MTT_codes,MATCH(loaded!BC98,MTT,0))</f>
        <v>#N/A</v>
      </c>
      <c r="Z98" t="str">
        <f>_xlfn.IFNA(INDEX(MTT_codes,MATCH(loaded!BE98,MTT,0)),"")</f>
        <v/>
      </c>
      <c r="AA98" t="str">
        <f>_xlfn.IFNA(INDEX(MTT_codes,MATCH(loaded!BG98,MTT,0)),"")</f>
        <v/>
      </c>
      <c r="AB98" t="str">
        <f>_xlfn.IFNA(INDEX(MTT_codes,MATCH(loaded!BI98,MTT,0)),"")</f>
        <v/>
      </c>
      <c r="AC98" t="str">
        <f>_xlfn.IFNA(INDEX(MTT_codes,MATCH(loaded!BK98,MTT,0)),"")</f>
        <v/>
      </c>
      <c r="AD98" t="str">
        <f>_xlfn.IFNA(INDEX(MTT_codes,MATCH(loaded!BM98,MTT,0)),"")</f>
        <v/>
      </c>
      <c r="AE98" t="e">
        <f>INDEX(liv_ar_codes,MATCH(loaded!BO98,liv_ar,0))</f>
        <v>#N/A</v>
      </c>
      <c r="AF98" t="str">
        <f>_xlfn.IFNA(INDEX(MTT_codes,MATCH(loaded!BQ98,MTT,0)),"")</f>
        <v/>
      </c>
      <c r="AG98">
        <f>_xlfn.IFNA(INDEX(mental_codes,MATCH(loaded!BS98,mental,0)),9)</f>
        <v>9</v>
      </c>
    </row>
    <row r="99" spans="1:33" x14ac:dyDescent="0.25">
      <c r="A99">
        <f>loaded!C99</f>
        <v>0</v>
      </c>
      <c r="B99">
        <f>loaded!I99</f>
        <v>0</v>
      </c>
      <c r="C99">
        <f>IF(loaded!K99="Male",1,IF(loaded!K99="Female",2,9))</f>
        <v>9</v>
      </c>
      <c r="D99" s="8">
        <f>loaded!M99</f>
        <v>0</v>
      </c>
      <c r="E99" t="str">
        <f>LEFT(loaded!O99,3)</f>
        <v/>
      </c>
      <c r="F99" t="e">
        <f>INDEX(cntry_codes,MATCH(loaded!Q99,countries,0))</f>
        <v>#N/A</v>
      </c>
      <c r="G99" t="e">
        <f>INDEX(atsi_codes,MATCH(loaded!S99,atsi,0))</f>
        <v>#N/A</v>
      </c>
      <c r="H99" t="e">
        <f>INDEX(lang_codes,MATCH(loaded!U99,lang,0))</f>
        <v>#N/A</v>
      </c>
      <c r="I99" s="8">
        <f>loaded!W99</f>
        <v>0</v>
      </c>
      <c r="J99" t="e">
        <f>INDEX(us_acc_codes,MATCH(loaded!Y99,us_acc,0))</f>
        <v>#N/A</v>
      </c>
      <c r="K99" t="e">
        <f>INDEX(client_codes,MATCH(loaded!AA99,client,0))</f>
        <v>#N/A</v>
      </c>
      <c r="L99" t="e">
        <f>INDEX(src_ref_codes,MATCH(loaded!AC99,src_ref,0))</f>
        <v>#N/A</v>
      </c>
      <c r="M99" s="8">
        <f>loaded!AE99</f>
        <v>0</v>
      </c>
      <c r="N99" s="8">
        <f>loaded!AG99</f>
        <v>0</v>
      </c>
      <c r="O99" t="e">
        <f>INDEX(reces_codes,MATCH(loaded!AI99,reason,0))</f>
        <v>#N/A</v>
      </c>
      <c r="P99" t="e">
        <f>INDEX(TDS_codes,MATCH(loaded!AK99,TDS,0))</f>
        <v>#N/A</v>
      </c>
      <c r="Q99" t="e">
        <f>IF(K99=2,"",INDEX(method_codes,MATCH(loaded!AM99,method,0)))</f>
        <v>#N/A</v>
      </c>
      <c r="R99" t="e">
        <f>IF(K99=2,"",INDEX(inj_codes,MATCH(loaded!AO99,inj,0)))</f>
        <v>#N/A</v>
      </c>
      <c r="S99" t="e">
        <f>IF(K99=2,"",INDEX(drug_codes,MATCH(loaded!AQ99,drug,0)))</f>
        <v>#N/A</v>
      </c>
      <c r="T99" t="e">
        <f>IF(K99=2,"",_xlfn.IFNA(INDEX(drug_codes,MATCH(loaded!AS99,drug,0)),""))</f>
        <v>#N/A</v>
      </c>
      <c r="U99" t="e">
        <f>IF(K99=2,"",_xlfn.IFNA(INDEX(drug_codes,MATCH(loaded!AU99,drug,0)),""))</f>
        <v>#N/A</v>
      </c>
      <c r="V99" t="e">
        <f>IF(K99=2,"",_xlfn.IFNA(INDEX(drug_codes,MATCH(loaded!AW99,drug,0)),""))</f>
        <v>#N/A</v>
      </c>
      <c r="W99" t="e">
        <f>IF(K99=2,"",_xlfn.IFNA(INDEX(drug_codes,MATCH(loaded!AY99,drug,0)),""))</f>
        <v>#N/A</v>
      </c>
      <c r="X99" t="e">
        <f>IF(K99=2,"",_xlfn.IFNA(INDEX(drug_codes,MATCH(loaded!BA99,drug,0)),""))</f>
        <v>#N/A</v>
      </c>
      <c r="Y99" t="e">
        <f>INDEX(MTT_codes,MATCH(loaded!BC99,MTT,0))</f>
        <v>#N/A</v>
      </c>
      <c r="Z99" t="str">
        <f>_xlfn.IFNA(INDEX(MTT_codes,MATCH(loaded!BE99,MTT,0)),"")</f>
        <v/>
      </c>
      <c r="AA99" t="str">
        <f>_xlfn.IFNA(INDEX(MTT_codes,MATCH(loaded!BG99,MTT,0)),"")</f>
        <v/>
      </c>
      <c r="AB99" t="str">
        <f>_xlfn.IFNA(INDEX(MTT_codes,MATCH(loaded!BI99,MTT,0)),"")</f>
        <v/>
      </c>
      <c r="AC99" t="str">
        <f>_xlfn.IFNA(INDEX(MTT_codes,MATCH(loaded!BK99,MTT,0)),"")</f>
        <v/>
      </c>
      <c r="AD99" t="str">
        <f>_xlfn.IFNA(INDEX(MTT_codes,MATCH(loaded!BM99,MTT,0)),"")</f>
        <v/>
      </c>
      <c r="AE99" t="e">
        <f>INDEX(liv_ar_codes,MATCH(loaded!BO99,liv_ar,0))</f>
        <v>#N/A</v>
      </c>
      <c r="AF99" t="str">
        <f>_xlfn.IFNA(INDEX(MTT_codes,MATCH(loaded!BQ99,MTT,0)),"")</f>
        <v/>
      </c>
      <c r="AG99">
        <f>_xlfn.IFNA(INDEX(mental_codes,MATCH(loaded!BS99,mental,0)),9)</f>
        <v>9</v>
      </c>
    </row>
    <row r="100" spans="1:33" x14ac:dyDescent="0.25">
      <c r="A100">
        <f>loaded!C100</f>
        <v>0</v>
      </c>
      <c r="B100">
        <f>loaded!I100</f>
        <v>0</v>
      </c>
      <c r="C100">
        <f>IF(loaded!K100="Male",1,IF(loaded!K100="Female",2,9))</f>
        <v>9</v>
      </c>
      <c r="D100" s="8">
        <f>loaded!M100</f>
        <v>0</v>
      </c>
      <c r="E100" t="str">
        <f>LEFT(loaded!O100,3)</f>
        <v/>
      </c>
      <c r="F100" t="e">
        <f>INDEX(cntry_codes,MATCH(loaded!Q100,countries,0))</f>
        <v>#N/A</v>
      </c>
      <c r="G100" t="e">
        <f>INDEX(atsi_codes,MATCH(loaded!S100,atsi,0))</f>
        <v>#N/A</v>
      </c>
      <c r="H100" t="e">
        <f>INDEX(lang_codes,MATCH(loaded!U100,lang,0))</f>
        <v>#N/A</v>
      </c>
      <c r="I100" s="8">
        <f>loaded!W100</f>
        <v>0</v>
      </c>
      <c r="J100" t="e">
        <f>INDEX(us_acc_codes,MATCH(loaded!Y100,us_acc,0))</f>
        <v>#N/A</v>
      </c>
      <c r="K100" t="e">
        <f>INDEX(client_codes,MATCH(loaded!AA100,client,0))</f>
        <v>#N/A</v>
      </c>
      <c r="L100" t="e">
        <f>INDEX(src_ref_codes,MATCH(loaded!AC100,src_ref,0))</f>
        <v>#N/A</v>
      </c>
      <c r="M100" s="8">
        <f>loaded!AE100</f>
        <v>0</v>
      </c>
      <c r="N100" s="8">
        <f>loaded!AG100</f>
        <v>0</v>
      </c>
      <c r="O100" t="e">
        <f>INDEX(reces_codes,MATCH(loaded!AI100,reason,0))</f>
        <v>#N/A</v>
      </c>
      <c r="P100" t="e">
        <f>INDEX(TDS_codes,MATCH(loaded!AK100,TDS,0))</f>
        <v>#N/A</v>
      </c>
      <c r="Q100" t="e">
        <f>IF(K100=2,"",INDEX(method_codes,MATCH(loaded!AM100,method,0)))</f>
        <v>#N/A</v>
      </c>
      <c r="R100" t="e">
        <f>IF(K100=2,"",INDEX(inj_codes,MATCH(loaded!AO100,inj,0)))</f>
        <v>#N/A</v>
      </c>
      <c r="S100" t="e">
        <f>IF(K100=2,"",INDEX(drug_codes,MATCH(loaded!AQ100,drug,0)))</f>
        <v>#N/A</v>
      </c>
      <c r="T100" t="e">
        <f>IF(K100=2,"",_xlfn.IFNA(INDEX(drug_codes,MATCH(loaded!AS100,drug,0)),""))</f>
        <v>#N/A</v>
      </c>
      <c r="U100" t="e">
        <f>IF(K100=2,"",_xlfn.IFNA(INDEX(drug_codes,MATCH(loaded!AU100,drug,0)),""))</f>
        <v>#N/A</v>
      </c>
      <c r="V100" t="e">
        <f>IF(K100=2,"",_xlfn.IFNA(INDEX(drug_codes,MATCH(loaded!AW100,drug,0)),""))</f>
        <v>#N/A</v>
      </c>
      <c r="W100" t="e">
        <f>IF(K100=2,"",_xlfn.IFNA(INDEX(drug_codes,MATCH(loaded!AY100,drug,0)),""))</f>
        <v>#N/A</v>
      </c>
      <c r="X100" t="e">
        <f>IF(K100=2,"",_xlfn.IFNA(INDEX(drug_codes,MATCH(loaded!BA100,drug,0)),""))</f>
        <v>#N/A</v>
      </c>
      <c r="Y100" t="e">
        <f>INDEX(MTT_codes,MATCH(loaded!BC100,MTT,0))</f>
        <v>#N/A</v>
      </c>
      <c r="Z100" t="str">
        <f>_xlfn.IFNA(INDEX(MTT_codes,MATCH(loaded!BE100,MTT,0)),"")</f>
        <v/>
      </c>
      <c r="AA100" t="str">
        <f>_xlfn.IFNA(INDEX(MTT_codes,MATCH(loaded!BG100,MTT,0)),"")</f>
        <v/>
      </c>
      <c r="AB100" t="str">
        <f>_xlfn.IFNA(INDEX(MTT_codes,MATCH(loaded!BI100,MTT,0)),"")</f>
        <v/>
      </c>
      <c r="AC100" t="str">
        <f>_xlfn.IFNA(INDEX(MTT_codes,MATCH(loaded!BK100,MTT,0)),"")</f>
        <v/>
      </c>
      <c r="AD100" t="str">
        <f>_xlfn.IFNA(INDEX(MTT_codes,MATCH(loaded!BM100,MTT,0)),"")</f>
        <v/>
      </c>
      <c r="AE100" t="e">
        <f>INDEX(liv_ar_codes,MATCH(loaded!BO100,liv_ar,0))</f>
        <v>#N/A</v>
      </c>
      <c r="AF100" t="str">
        <f>_xlfn.IFNA(INDEX(MTT_codes,MATCH(loaded!BQ100,MTT,0)),"")</f>
        <v/>
      </c>
      <c r="AG100">
        <f>_xlfn.IFNA(INDEX(mental_codes,MATCH(loaded!BS100,mental,0)),9)</f>
        <v>9</v>
      </c>
    </row>
    <row r="101" spans="1:33" x14ac:dyDescent="0.25">
      <c r="A101">
        <f>loaded!C101</f>
        <v>0</v>
      </c>
      <c r="B101">
        <f>loaded!I101</f>
        <v>0</v>
      </c>
      <c r="C101">
        <f>IF(loaded!K101="Male",1,IF(loaded!K101="Female",2,9))</f>
        <v>9</v>
      </c>
      <c r="D101" s="8">
        <f>loaded!M101</f>
        <v>0</v>
      </c>
      <c r="E101" t="str">
        <f>LEFT(loaded!O101,3)</f>
        <v/>
      </c>
      <c r="F101" t="e">
        <f>INDEX(cntry_codes,MATCH(loaded!Q101,countries,0))</f>
        <v>#N/A</v>
      </c>
      <c r="G101" t="e">
        <f>INDEX(atsi_codes,MATCH(loaded!S101,atsi,0))</f>
        <v>#N/A</v>
      </c>
      <c r="H101" t="e">
        <f>INDEX(lang_codes,MATCH(loaded!U101,lang,0))</f>
        <v>#N/A</v>
      </c>
      <c r="I101" s="8">
        <f>loaded!W101</f>
        <v>0</v>
      </c>
      <c r="J101" t="e">
        <f>INDEX(us_acc_codes,MATCH(loaded!Y101,us_acc,0))</f>
        <v>#N/A</v>
      </c>
      <c r="K101" t="e">
        <f>INDEX(client_codes,MATCH(loaded!AA101,client,0))</f>
        <v>#N/A</v>
      </c>
      <c r="L101" t="e">
        <f>INDEX(src_ref_codes,MATCH(loaded!AC101,src_ref,0))</f>
        <v>#N/A</v>
      </c>
      <c r="M101" s="8">
        <f>loaded!AE101</f>
        <v>0</v>
      </c>
      <c r="N101" s="8">
        <f>loaded!AG101</f>
        <v>0</v>
      </c>
      <c r="O101" t="e">
        <f>INDEX(reces_codes,MATCH(loaded!AI101,reason,0))</f>
        <v>#N/A</v>
      </c>
      <c r="P101" t="e">
        <f>INDEX(TDS_codes,MATCH(loaded!AK101,TDS,0))</f>
        <v>#N/A</v>
      </c>
      <c r="Q101" t="e">
        <f>IF(K101=2,"",INDEX(method_codes,MATCH(loaded!AM101,method,0)))</f>
        <v>#N/A</v>
      </c>
      <c r="R101" t="e">
        <f>IF(K101=2,"",INDEX(inj_codes,MATCH(loaded!AO101,inj,0)))</f>
        <v>#N/A</v>
      </c>
      <c r="S101" t="e">
        <f>IF(K101=2,"",INDEX(drug_codes,MATCH(loaded!AQ101,drug,0)))</f>
        <v>#N/A</v>
      </c>
      <c r="T101" t="e">
        <f>IF(K101=2,"",_xlfn.IFNA(INDEX(drug_codes,MATCH(loaded!AS101,drug,0)),""))</f>
        <v>#N/A</v>
      </c>
      <c r="U101" t="e">
        <f>IF(K101=2,"",_xlfn.IFNA(INDEX(drug_codes,MATCH(loaded!AU101,drug,0)),""))</f>
        <v>#N/A</v>
      </c>
      <c r="V101" t="e">
        <f>IF(K101=2,"",_xlfn.IFNA(INDEX(drug_codes,MATCH(loaded!AW101,drug,0)),""))</f>
        <v>#N/A</v>
      </c>
      <c r="W101" t="e">
        <f>IF(K101=2,"",_xlfn.IFNA(INDEX(drug_codes,MATCH(loaded!AY101,drug,0)),""))</f>
        <v>#N/A</v>
      </c>
      <c r="X101" t="e">
        <f>IF(K101=2,"",_xlfn.IFNA(INDEX(drug_codes,MATCH(loaded!BA101,drug,0)),""))</f>
        <v>#N/A</v>
      </c>
      <c r="Y101" t="e">
        <f>INDEX(MTT_codes,MATCH(loaded!BC101,MTT,0))</f>
        <v>#N/A</v>
      </c>
      <c r="Z101" t="str">
        <f>_xlfn.IFNA(INDEX(MTT_codes,MATCH(loaded!BE101,MTT,0)),"")</f>
        <v/>
      </c>
      <c r="AA101" t="str">
        <f>_xlfn.IFNA(INDEX(MTT_codes,MATCH(loaded!BG101,MTT,0)),"")</f>
        <v/>
      </c>
      <c r="AB101" t="str">
        <f>_xlfn.IFNA(INDEX(MTT_codes,MATCH(loaded!BI101,MTT,0)),"")</f>
        <v/>
      </c>
      <c r="AC101" t="str">
        <f>_xlfn.IFNA(INDEX(MTT_codes,MATCH(loaded!BK101,MTT,0)),"")</f>
        <v/>
      </c>
      <c r="AD101" t="str">
        <f>_xlfn.IFNA(INDEX(MTT_codes,MATCH(loaded!BM101,MTT,0)),"")</f>
        <v/>
      </c>
      <c r="AE101" t="e">
        <f>INDEX(liv_ar_codes,MATCH(loaded!BO101,liv_ar,0))</f>
        <v>#N/A</v>
      </c>
      <c r="AF101" t="str">
        <f>_xlfn.IFNA(INDEX(MTT_codes,MATCH(loaded!BQ101,MTT,0)),"")</f>
        <v/>
      </c>
      <c r="AG101">
        <f>_xlfn.IFNA(INDEX(mental_codes,MATCH(loaded!BS101,mental,0)),9)</f>
        <v>9</v>
      </c>
    </row>
    <row r="102" spans="1:33" x14ac:dyDescent="0.25">
      <c r="A102">
        <f>loaded!C102</f>
        <v>0</v>
      </c>
      <c r="B102">
        <f>loaded!I102</f>
        <v>0</v>
      </c>
      <c r="C102">
        <f>IF(loaded!K102="Male",1,IF(loaded!K102="Female",2,9))</f>
        <v>9</v>
      </c>
      <c r="D102" s="8">
        <f>loaded!M102</f>
        <v>0</v>
      </c>
      <c r="E102" t="str">
        <f>LEFT(loaded!O102,3)</f>
        <v/>
      </c>
      <c r="F102" t="e">
        <f>INDEX(cntry_codes,MATCH(loaded!Q102,countries,0))</f>
        <v>#N/A</v>
      </c>
      <c r="G102" t="e">
        <f>INDEX(atsi_codes,MATCH(loaded!S102,atsi,0))</f>
        <v>#N/A</v>
      </c>
      <c r="H102" t="e">
        <f>INDEX(lang_codes,MATCH(loaded!U102,lang,0))</f>
        <v>#N/A</v>
      </c>
      <c r="I102" s="8">
        <f>loaded!W102</f>
        <v>0</v>
      </c>
      <c r="J102" t="e">
        <f>INDEX(us_acc_codes,MATCH(loaded!Y102,us_acc,0))</f>
        <v>#N/A</v>
      </c>
      <c r="K102" t="e">
        <f>INDEX(client_codes,MATCH(loaded!AA102,client,0))</f>
        <v>#N/A</v>
      </c>
      <c r="L102" t="e">
        <f>INDEX(src_ref_codes,MATCH(loaded!AC102,src_ref,0))</f>
        <v>#N/A</v>
      </c>
      <c r="M102" s="8">
        <f>loaded!AE102</f>
        <v>0</v>
      </c>
      <c r="N102" s="8">
        <f>loaded!AG102</f>
        <v>0</v>
      </c>
      <c r="O102" t="e">
        <f>INDEX(reces_codes,MATCH(loaded!AI102,reason,0))</f>
        <v>#N/A</v>
      </c>
      <c r="P102" t="e">
        <f>INDEX(TDS_codes,MATCH(loaded!AK102,TDS,0))</f>
        <v>#N/A</v>
      </c>
      <c r="Q102" t="e">
        <f>IF(K102=2,"",INDEX(method_codes,MATCH(loaded!AM102,method,0)))</f>
        <v>#N/A</v>
      </c>
      <c r="R102" t="e">
        <f>IF(K102=2,"",INDEX(inj_codes,MATCH(loaded!AO102,inj,0)))</f>
        <v>#N/A</v>
      </c>
      <c r="S102" t="e">
        <f>IF(K102=2,"",INDEX(drug_codes,MATCH(loaded!AQ102,drug,0)))</f>
        <v>#N/A</v>
      </c>
      <c r="T102" t="e">
        <f>IF(K102=2,"",_xlfn.IFNA(INDEX(drug_codes,MATCH(loaded!AS102,drug,0)),""))</f>
        <v>#N/A</v>
      </c>
      <c r="U102" t="e">
        <f>IF(K102=2,"",_xlfn.IFNA(INDEX(drug_codes,MATCH(loaded!AU102,drug,0)),""))</f>
        <v>#N/A</v>
      </c>
      <c r="V102" t="e">
        <f>IF(K102=2,"",_xlfn.IFNA(INDEX(drug_codes,MATCH(loaded!AW102,drug,0)),""))</f>
        <v>#N/A</v>
      </c>
      <c r="W102" t="e">
        <f>IF(K102=2,"",_xlfn.IFNA(INDEX(drug_codes,MATCH(loaded!AY102,drug,0)),""))</f>
        <v>#N/A</v>
      </c>
      <c r="X102" t="e">
        <f>IF(K102=2,"",_xlfn.IFNA(INDEX(drug_codes,MATCH(loaded!BA102,drug,0)),""))</f>
        <v>#N/A</v>
      </c>
      <c r="Y102" t="e">
        <f>INDEX(MTT_codes,MATCH(loaded!BC102,MTT,0))</f>
        <v>#N/A</v>
      </c>
      <c r="Z102" t="str">
        <f>_xlfn.IFNA(INDEX(MTT_codes,MATCH(loaded!BE102,MTT,0)),"")</f>
        <v/>
      </c>
      <c r="AA102" t="str">
        <f>_xlfn.IFNA(INDEX(MTT_codes,MATCH(loaded!BG102,MTT,0)),"")</f>
        <v/>
      </c>
      <c r="AB102" t="str">
        <f>_xlfn.IFNA(INDEX(MTT_codes,MATCH(loaded!BI102,MTT,0)),"")</f>
        <v/>
      </c>
      <c r="AC102" t="str">
        <f>_xlfn.IFNA(INDEX(MTT_codes,MATCH(loaded!BK102,MTT,0)),"")</f>
        <v/>
      </c>
      <c r="AD102" t="str">
        <f>_xlfn.IFNA(INDEX(MTT_codes,MATCH(loaded!BM102,MTT,0)),"")</f>
        <v/>
      </c>
      <c r="AE102" t="e">
        <f>INDEX(liv_ar_codes,MATCH(loaded!BO102,liv_ar,0))</f>
        <v>#N/A</v>
      </c>
      <c r="AF102" t="str">
        <f>_xlfn.IFNA(INDEX(MTT_codes,MATCH(loaded!BQ102,MTT,0)),"")</f>
        <v/>
      </c>
      <c r="AG102">
        <f>_xlfn.IFNA(INDEX(mental_codes,MATCH(loaded!BS102,mental,0)),9)</f>
        <v>9</v>
      </c>
    </row>
    <row r="103" spans="1:33" x14ac:dyDescent="0.25">
      <c r="A103">
        <f>loaded!C103</f>
        <v>0</v>
      </c>
      <c r="B103">
        <f>loaded!I103</f>
        <v>0</v>
      </c>
      <c r="C103">
        <f>IF(loaded!K103="Male",1,IF(loaded!K103="Female",2,9))</f>
        <v>9</v>
      </c>
      <c r="D103" s="8">
        <f>loaded!M103</f>
        <v>0</v>
      </c>
      <c r="E103" t="str">
        <f>LEFT(loaded!O103,3)</f>
        <v/>
      </c>
      <c r="F103" t="e">
        <f>INDEX(cntry_codes,MATCH(loaded!Q103,countries,0))</f>
        <v>#N/A</v>
      </c>
      <c r="G103" t="e">
        <f>INDEX(atsi_codes,MATCH(loaded!S103,atsi,0))</f>
        <v>#N/A</v>
      </c>
      <c r="H103" t="e">
        <f>INDEX(lang_codes,MATCH(loaded!U103,lang,0))</f>
        <v>#N/A</v>
      </c>
      <c r="I103" s="8">
        <f>loaded!W103</f>
        <v>0</v>
      </c>
      <c r="J103" t="e">
        <f>INDEX(us_acc_codes,MATCH(loaded!Y103,us_acc,0))</f>
        <v>#N/A</v>
      </c>
      <c r="K103" t="e">
        <f>INDEX(client_codes,MATCH(loaded!AA103,client,0))</f>
        <v>#N/A</v>
      </c>
      <c r="L103" t="e">
        <f>INDEX(src_ref_codes,MATCH(loaded!AC103,src_ref,0))</f>
        <v>#N/A</v>
      </c>
      <c r="M103" s="8">
        <f>loaded!AE103</f>
        <v>0</v>
      </c>
      <c r="N103" s="8">
        <f>loaded!AG103</f>
        <v>0</v>
      </c>
      <c r="O103" t="e">
        <f>INDEX(reces_codes,MATCH(loaded!AI103,reason,0))</f>
        <v>#N/A</v>
      </c>
      <c r="P103" t="e">
        <f>INDEX(TDS_codes,MATCH(loaded!AK103,TDS,0))</f>
        <v>#N/A</v>
      </c>
      <c r="Q103" t="e">
        <f>IF(K103=2,"",INDEX(method_codes,MATCH(loaded!AM103,method,0)))</f>
        <v>#N/A</v>
      </c>
      <c r="R103" t="e">
        <f>IF(K103=2,"",INDEX(inj_codes,MATCH(loaded!AO103,inj,0)))</f>
        <v>#N/A</v>
      </c>
      <c r="S103" t="e">
        <f>IF(K103=2,"",INDEX(drug_codes,MATCH(loaded!AQ103,drug,0)))</f>
        <v>#N/A</v>
      </c>
      <c r="T103" t="e">
        <f>IF(K103=2,"",_xlfn.IFNA(INDEX(drug_codes,MATCH(loaded!AS103,drug,0)),""))</f>
        <v>#N/A</v>
      </c>
      <c r="U103" t="e">
        <f>IF(K103=2,"",_xlfn.IFNA(INDEX(drug_codes,MATCH(loaded!AU103,drug,0)),""))</f>
        <v>#N/A</v>
      </c>
      <c r="V103" t="e">
        <f>IF(K103=2,"",_xlfn.IFNA(INDEX(drug_codes,MATCH(loaded!AW103,drug,0)),""))</f>
        <v>#N/A</v>
      </c>
      <c r="W103" t="e">
        <f>IF(K103=2,"",_xlfn.IFNA(INDEX(drug_codes,MATCH(loaded!AY103,drug,0)),""))</f>
        <v>#N/A</v>
      </c>
      <c r="X103" t="e">
        <f>IF(K103=2,"",_xlfn.IFNA(INDEX(drug_codes,MATCH(loaded!BA103,drug,0)),""))</f>
        <v>#N/A</v>
      </c>
      <c r="Y103" t="e">
        <f>INDEX(MTT_codes,MATCH(loaded!BC103,MTT,0))</f>
        <v>#N/A</v>
      </c>
      <c r="Z103" t="str">
        <f>_xlfn.IFNA(INDEX(MTT_codes,MATCH(loaded!BE103,MTT,0)),"")</f>
        <v/>
      </c>
      <c r="AA103" t="str">
        <f>_xlfn.IFNA(INDEX(MTT_codes,MATCH(loaded!BG103,MTT,0)),"")</f>
        <v/>
      </c>
      <c r="AB103" t="str">
        <f>_xlfn.IFNA(INDEX(MTT_codes,MATCH(loaded!BI103,MTT,0)),"")</f>
        <v/>
      </c>
      <c r="AC103" t="str">
        <f>_xlfn.IFNA(INDEX(MTT_codes,MATCH(loaded!BK103,MTT,0)),"")</f>
        <v/>
      </c>
      <c r="AD103" t="str">
        <f>_xlfn.IFNA(INDEX(MTT_codes,MATCH(loaded!BM103,MTT,0)),"")</f>
        <v/>
      </c>
      <c r="AE103" t="e">
        <f>INDEX(liv_ar_codes,MATCH(loaded!BO103,liv_ar,0))</f>
        <v>#N/A</v>
      </c>
      <c r="AF103" t="str">
        <f>_xlfn.IFNA(INDEX(MTT_codes,MATCH(loaded!BQ103,MTT,0)),"")</f>
        <v/>
      </c>
      <c r="AG103">
        <f>_xlfn.IFNA(INDEX(mental_codes,MATCH(loaded!BS103,mental,0)),9)</f>
        <v>9</v>
      </c>
    </row>
    <row r="104" spans="1:33" x14ac:dyDescent="0.25">
      <c r="A104">
        <f>loaded!C104</f>
        <v>0</v>
      </c>
      <c r="B104">
        <f>loaded!I104</f>
        <v>0</v>
      </c>
      <c r="C104">
        <f>IF(loaded!K104="Male",1,IF(loaded!K104="Female",2,9))</f>
        <v>9</v>
      </c>
      <c r="D104" s="8">
        <f>loaded!M104</f>
        <v>0</v>
      </c>
      <c r="E104" t="str">
        <f>LEFT(loaded!O104,3)</f>
        <v/>
      </c>
      <c r="F104" t="e">
        <f>INDEX(cntry_codes,MATCH(loaded!Q104,countries,0))</f>
        <v>#N/A</v>
      </c>
      <c r="G104" t="e">
        <f>INDEX(atsi_codes,MATCH(loaded!S104,atsi,0))</f>
        <v>#N/A</v>
      </c>
      <c r="H104" t="e">
        <f>INDEX(lang_codes,MATCH(loaded!U104,lang,0))</f>
        <v>#N/A</v>
      </c>
      <c r="I104" s="8">
        <f>loaded!W104</f>
        <v>0</v>
      </c>
      <c r="J104" t="e">
        <f>INDEX(us_acc_codes,MATCH(loaded!Y104,us_acc,0))</f>
        <v>#N/A</v>
      </c>
      <c r="K104" t="e">
        <f>INDEX(client_codes,MATCH(loaded!AA104,client,0))</f>
        <v>#N/A</v>
      </c>
      <c r="L104" t="e">
        <f>INDEX(src_ref_codes,MATCH(loaded!AC104,src_ref,0))</f>
        <v>#N/A</v>
      </c>
      <c r="M104" s="8">
        <f>loaded!AE104</f>
        <v>0</v>
      </c>
      <c r="N104" s="8">
        <f>loaded!AG104</f>
        <v>0</v>
      </c>
      <c r="O104" t="e">
        <f>INDEX(reces_codes,MATCH(loaded!AI104,reason,0))</f>
        <v>#N/A</v>
      </c>
      <c r="P104" t="e">
        <f>INDEX(TDS_codes,MATCH(loaded!AK104,TDS,0))</f>
        <v>#N/A</v>
      </c>
      <c r="Q104" t="e">
        <f>IF(K104=2,"",INDEX(method_codes,MATCH(loaded!AM104,method,0)))</f>
        <v>#N/A</v>
      </c>
      <c r="R104" t="e">
        <f>IF(K104=2,"",INDEX(inj_codes,MATCH(loaded!AO104,inj,0)))</f>
        <v>#N/A</v>
      </c>
      <c r="S104" t="e">
        <f>IF(K104=2,"",INDEX(drug_codes,MATCH(loaded!AQ104,drug,0)))</f>
        <v>#N/A</v>
      </c>
      <c r="T104" t="e">
        <f>IF(K104=2,"",_xlfn.IFNA(INDEX(drug_codes,MATCH(loaded!AS104,drug,0)),""))</f>
        <v>#N/A</v>
      </c>
      <c r="U104" t="e">
        <f>IF(K104=2,"",_xlfn.IFNA(INDEX(drug_codes,MATCH(loaded!AU104,drug,0)),""))</f>
        <v>#N/A</v>
      </c>
      <c r="V104" t="e">
        <f>IF(K104=2,"",_xlfn.IFNA(INDEX(drug_codes,MATCH(loaded!AW104,drug,0)),""))</f>
        <v>#N/A</v>
      </c>
      <c r="W104" t="e">
        <f>IF(K104=2,"",_xlfn.IFNA(INDEX(drug_codes,MATCH(loaded!AY104,drug,0)),""))</f>
        <v>#N/A</v>
      </c>
      <c r="X104" t="e">
        <f>IF(K104=2,"",_xlfn.IFNA(INDEX(drug_codes,MATCH(loaded!BA104,drug,0)),""))</f>
        <v>#N/A</v>
      </c>
      <c r="Y104" t="e">
        <f>INDEX(MTT_codes,MATCH(loaded!BC104,MTT,0))</f>
        <v>#N/A</v>
      </c>
      <c r="Z104" t="str">
        <f>_xlfn.IFNA(INDEX(MTT_codes,MATCH(loaded!BE104,MTT,0)),"")</f>
        <v/>
      </c>
      <c r="AA104" t="str">
        <f>_xlfn.IFNA(INDEX(MTT_codes,MATCH(loaded!BG104,MTT,0)),"")</f>
        <v/>
      </c>
      <c r="AB104" t="str">
        <f>_xlfn.IFNA(INDEX(MTT_codes,MATCH(loaded!BI104,MTT,0)),"")</f>
        <v/>
      </c>
      <c r="AC104" t="str">
        <f>_xlfn.IFNA(INDEX(MTT_codes,MATCH(loaded!BK104,MTT,0)),"")</f>
        <v/>
      </c>
      <c r="AD104" t="str">
        <f>_xlfn.IFNA(INDEX(MTT_codes,MATCH(loaded!BM104,MTT,0)),"")</f>
        <v/>
      </c>
      <c r="AE104" t="e">
        <f>INDEX(liv_ar_codes,MATCH(loaded!BO104,liv_ar,0))</f>
        <v>#N/A</v>
      </c>
      <c r="AF104" t="str">
        <f>_xlfn.IFNA(INDEX(MTT_codes,MATCH(loaded!BQ104,MTT,0)),"")</f>
        <v/>
      </c>
      <c r="AG104">
        <f>_xlfn.IFNA(INDEX(mental_codes,MATCH(loaded!BS104,mental,0)),9)</f>
        <v>9</v>
      </c>
    </row>
    <row r="105" spans="1:33" x14ac:dyDescent="0.25">
      <c r="A105">
        <f>loaded!C105</f>
        <v>0</v>
      </c>
      <c r="B105">
        <f>loaded!I105</f>
        <v>0</v>
      </c>
      <c r="C105">
        <f>IF(loaded!K105="Male",1,IF(loaded!K105="Female",2,9))</f>
        <v>9</v>
      </c>
      <c r="D105" s="8">
        <f>loaded!M105</f>
        <v>0</v>
      </c>
      <c r="E105" t="str">
        <f>LEFT(loaded!O105,3)</f>
        <v/>
      </c>
      <c r="F105" t="e">
        <f>INDEX(cntry_codes,MATCH(loaded!Q105,countries,0))</f>
        <v>#N/A</v>
      </c>
      <c r="G105" t="e">
        <f>INDEX(atsi_codes,MATCH(loaded!S105,atsi,0))</f>
        <v>#N/A</v>
      </c>
      <c r="H105" t="e">
        <f>INDEX(lang_codes,MATCH(loaded!U105,lang,0))</f>
        <v>#N/A</v>
      </c>
      <c r="I105" s="8">
        <f>loaded!W105</f>
        <v>0</v>
      </c>
      <c r="J105" t="e">
        <f>INDEX(us_acc_codes,MATCH(loaded!Y105,us_acc,0))</f>
        <v>#N/A</v>
      </c>
      <c r="K105" t="e">
        <f>INDEX(client_codes,MATCH(loaded!AA105,client,0))</f>
        <v>#N/A</v>
      </c>
      <c r="L105" t="e">
        <f>INDEX(src_ref_codes,MATCH(loaded!AC105,src_ref,0))</f>
        <v>#N/A</v>
      </c>
      <c r="M105" s="8">
        <f>loaded!AE105</f>
        <v>0</v>
      </c>
      <c r="N105" s="8">
        <f>loaded!AG105</f>
        <v>0</v>
      </c>
      <c r="O105" t="e">
        <f>INDEX(reces_codes,MATCH(loaded!AI105,reason,0))</f>
        <v>#N/A</v>
      </c>
      <c r="P105" t="e">
        <f>INDEX(TDS_codes,MATCH(loaded!AK105,TDS,0))</f>
        <v>#N/A</v>
      </c>
      <c r="Q105" t="e">
        <f>IF(K105=2,"",INDEX(method_codes,MATCH(loaded!AM105,method,0)))</f>
        <v>#N/A</v>
      </c>
      <c r="R105" t="e">
        <f>IF(K105=2,"",INDEX(inj_codes,MATCH(loaded!AO105,inj,0)))</f>
        <v>#N/A</v>
      </c>
      <c r="S105" t="e">
        <f>IF(K105=2,"",INDEX(drug_codes,MATCH(loaded!AQ105,drug,0)))</f>
        <v>#N/A</v>
      </c>
      <c r="T105" t="e">
        <f>IF(K105=2,"",_xlfn.IFNA(INDEX(drug_codes,MATCH(loaded!AS105,drug,0)),""))</f>
        <v>#N/A</v>
      </c>
      <c r="U105" t="e">
        <f>IF(K105=2,"",_xlfn.IFNA(INDEX(drug_codes,MATCH(loaded!AU105,drug,0)),""))</f>
        <v>#N/A</v>
      </c>
      <c r="V105" t="e">
        <f>IF(K105=2,"",_xlfn.IFNA(INDEX(drug_codes,MATCH(loaded!AW105,drug,0)),""))</f>
        <v>#N/A</v>
      </c>
      <c r="W105" t="e">
        <f>IF(K105=2,"",_xlfn.IFNA(INDEX(drug_codes,MATCH(loaded!AY105,drug,0)),""))</f>
        <v>#N/A</v>
      </c>
      <c r="X105" t="e">
        <f>IF(K105=2,"",_xlfn.IFNA(INDEX(drug_codes,MATCH(loaded!BA105,drug,0)),""))</f>
        <v>#N/A</v>
      </c>
      <c r="Y105" t="e">
        <f>INDEX(MTT_codes,MATCH(loaded!BC105,MTT,0))</f>
        <v>#N/A</v>
      </c>
      <c r="Z105" t="str">
        <f>_xlfn.IFNA(INDEX(MTT_codes,MATCH(loaded!BE105,MTT,0)),"")</f>
        <v/>
      </c>
      <c r="AA105" t="str">
        <f>_xlfn.IFNA(INDEX(MTT_codes,MATCH(loaded!BG105,MTT,0)),"")</f>
        <v/>
      </c>
      <c r="AB105" t="str">
        <f>_xlfn.IFNA(INDEX(MTT_codes,MATCH(loaded!BI105,MTT,0)),"")</f>
        <v/>
      </c>
      <c r="AC105" t="str">
        <f>_xlfn.IFNA(INDEX(MTT_codes,MATCH(loaded!BK105,MTT,0)),"")</f>
        <v/>
      </c>
      <c r="AD105" t="str">
        <f>_xlfn.IFNA(INDEX(MTT_codes,MATCH(loaded!BM105,MTT,0)),"")</f>
        <v/>
      </c>
      <c r="AE105" t="e">
        <f>INDEX(liv_ar_codes,MATCH(loaded!BO105,liv_ar,0))</f>
        <v>#N/A</v>
      </c>
      <c r="AF105" t="str">
        <f>_xlfn.IFNA(INDEX(MTT_codes,MATCH(loaded!BQ105,MTT,0)),"")</f>
        <v/>
      </c>
      <c r="AG105">
        <f>_xlfn.IFNA(INDEX(mental_codes,MATCH(loaded!BS105,mental,0)),9)</f>
        <v>9</v>
      </c>
    </row>
    <row r="106" spans="1:33" x14ac:dyDescent="0.25">
      <c r="A106">
        <f>loaded!C106</f>
        <v>0</v>
      </c>
      <c r="B106">
        <f>loaded!I106</f>
        <v>0</v>
      </c>
      <c r="C106">
        <f>IF(loaded!K106="Male",1,IF(loaded!K106="Female",2,9))</f>
        <v>9</v>
      </c>
      <c r="D106" s="8">
        <f>loaded!M106</f>
        <v>0</v>
      </c>
      <c r="E106" t="str">
        <f>LEFT(loaded!O106,3)</f>
        <v/>
      </c>
      <c r="F106" t="e">
        <f>INDEX(cntry_codes,MATCH(loaded!Q106,countries,0))</f>
        <v>#N/A</v>
      </c>
      <c r="G106" t="e">
        <f>INDEX(atsi_codes,MATCH(loaded!S106,atsi,0))</f>
        <v>#N/A</v>
      </c>
      <c r="H106" t="e">
        <f>INDEX(lang_codes,MATCH(loaded!U106,lang,0))</f>
        <v>#N/A</v>
      </c>
      <c r="I106" s="8">
        <f>loaded!W106</f>
        <v>0</v>
      </c>
      <c r="J106" t="e">
        <f>INDEX(us_acc_codes,MATCH(loaded!Y106,us_acc,0))</f>
        <v>#N/A</v>
      </c>
      <c r="K106" t="e">
        <f>INDEX(client_codes,MATCH(loaded!AA106,client,0))</f>
        <v>#N/A</v>
      </c>
      <c r="L106" t="e">
        <f>INDEX(src_ref_codes,MATCH(loaded!AC106,src_ref,0))</f>
        <v>#N/A</v>
      </c>
      <c r="M106" s="8">
        <f>loaded!AE106</f>
        <v>0</v>
      </c>
      <c r="N106" s="8">
        <f>loaded!AG106</f>
        <v>0</v>
      </c>
      <c r="O106" t="e">
        <f>INDEX(reces_codes,MATCH(loaded!AI106,reason,0))</f>
        <v>#N/A</v>
      </c>
      <c r="P106" t="e">
        <f>INDEX(TDS_codes,MATCH(loaded!AK106,TDS,0))</f>
        <v>#N/A</v>
      </c>
      <c r="Q106" t="e">
        <f>IF(K106=2,"",INDEX(method_codes,MATCH(loaded!AM106,method,0)))</f>
        <v>#N/A</v>
      </c>
      <c r="R106" t="e">
        <f>IF(K106=2,"",INDEX(inj_codes,MATCH(loaded!AO106,inj,0)))</f>
        <v>#N/A</v>
      </c>
      <c r="S106" t="e">
        <f>IF(K106=2,"",INDEX(drug_codes,MATCH(loaded!AQ106,drug,0)))</f>
        <v>#N/A</v>
      </c>
      <c r="T106" t="e">
        <f>IF(K106=2,"",_xlfn.IFNA(INDEX(drug_codes,MATCH(loaded!AS106,drug,0)),""))</f>
        <v>#N/A</v>
      </c>
      <c r="U106" t="e">
        <f>IF(K106=2,"",_xlfn.IFNA(INDEX(drug_codes,MATCH(loaded!AU106,drug,0)),""))</f>
        <v>#N/A</v>
      </c>
      <c r="V106" t="e">
        <f>IF(K106=2,"",_xlfn.IFNA(INDEX(drug_codes,MATCH(loaded!AW106,drug,0)),""))</f>
        <v>#N/A</v>
      </c>
      <c r="W106" t="e">
        <f>IF(K106=2,"",_xlfn.IFNA(INDEX(drug_codes,MATCH(loaded!AY106,drug,0)),""))</f>
        <v>#N/A</v>
      </c>
      <c r="X106" t="e">
        <f>IF(K106=2,"",_xlfn.IFNA(INDEX(drug_codes,MATCH(loaded!BA106,drug,0)),""))</f>
        <v>#N/A</v>
      </c>
      <c r="Y106" t="e">
        <f>INDEX(MTT_codes,MATCH(loaded!BC106,MTT,0))</f>
        <v>#N/A</v>
      </c>
      <c r="Z106" t="str">
        <f>_xlfn.IFNA(INDEX(MTT_codes,MATCH(loaded!BE106,MTT,0)),"")</f>
        <v/>
      </c>
      <c r="AA106" t="str">
        <f>_xlfn.IFNA(INDEX(MTT_codes,MATCH(loaded!BG106,MTT,0)),"")</f>
        <v/>
      </c>
      <c r="AB106" t="str">
        <f>_xlfn.IFNA(INDEX(MTT_codes,MATCH(loaded!BI106,MTT,0)),"")</f>
        <v/>
      </c>
      <c r="AC106" t="str">
        <f>_xlfn.IFNA(INDEX(MTT_codes,MATCH(loaded!BK106,MTT,0)),"")</f>
        <v/>
      </c>
      <c r="AD106" t="str">
        <f>_xlfn.IFNA(INDEX(MTT_codes,MATCH(loaded!BM106,MTT,0)),"")</f>
        <v/>
      </c>
      <c r="AE106" t="e">
        <f>INDEX(liv_ar_codes,MATCH(loaded!BO106,liv_ar,0))</f>
        <v>#N/A</v>
      </c>
      <c r="AF106" t="str">
        <f>_xlfn.IFNA(INDEX(MTT_codes,MATCH(loaded!BQ106,MTT,0)),"")</f>
        <v/>
      </c>
      <c r="AG106">
        <f>_xlfn.IFNA(INDEX(mental_codes,MATCH(loaded!BS106,mental,0)),9)</f>
        <v>9</v>
      </c>
    </row>
    <row r="107" spans="1:33" x14ac:dyDescent="0.25">
      <c r="A107">
        <f>loaded!C107</f>
        <v>0</v>
      </c>
      <c r="B107">
        <f>loaded!I107</f>
        <v>0</v>
      </c>
      <c r="C107">
        <f>IF(loaded!K107="Male",1,IF(loaded!K107="Female",2,9))</f>
        <v>9</v>
      </c>
      <c r="D107" s="8">
        <f>loaded!M107</f>
        <v>0</v>
      </c>
      <c r="E107" t="str">
        <f>LEFT(loaded!O107,3)</f>
        <v/>
      </c>
      <c r="F107" t="e">
        <f>INDEX(cntry_codes,MATCH(loaded!Q107,countries,0))</f>
        <v>#N/A</v>
      </c>
      <c r="G107" t="e">
        <f>INDEX(atsi_codes,MATCH(loaded!S107,atsi,0))</f>
        <v>#N/A</v>
      </c>
      <c r="H107" t="e">
        <f>INDEX(lang_codes,MATCH(loaded!U107,lang,0))</f>
        <v>#N/A</v>
      </c>
      <c r="I107" s="8">
        <f>loaded!W107</f>
        <v>0</v>
      </c>
      <c r="J107" t="e">
        <f>INDEX(us_acc_codes,MATCH(loaded!Y107,us_acc,0))</f>
        <v>#N/A</v>
      </c>
      <c r="K107" t="e">
        <f>INDEX(client_codes,MATCH(loaded!AA107,client,0))</f>
        <v>#N/A</v>
      </c>
      <c r="L107" t="e">
        <f>INDEX(src_ref_codes,MATCH(loaded!AC107,src_ref,0))</f>
        <v>#N/A</v>
      </c>
      <c r="M107" s="8">
        <f>loaded!AE107</f>
        <v>0</v>
      </c>
      <c r="N107" s="8">
        <f>loaded!AG107</f>
        <v>0</v>
      </c>
      <c r="O107" t="e">
        <f>INDEX(reces_codes,MATCH(loaded!AI107,reason,0))</f>
        <v>#N/A</v>
      </c>
      <c r="P107" t="e">
        <f>INDEX(TDS_codes,MATCH(loaded!AK107,TDS,0))</f>
        <v>#N/A</v>
      </c>
      <c r="Q107" t="e">
        <f>IF(K107=2,"",INDEX(method_codes,MATCH(loaded!AM107,method,0)))</f>
        <v>#N/A</v>
      </c>
      <c r="R107" t="e">
        <f>IF(K107=2,"",INDEX(inj_codes,MATCH(loaded!AO107,inj,0)))</f>
        <v>#N/A</v>
      </c>
      <c r="S107" t="e">
        <f>IF(K107=2,"",INDEX(drug_codes,MATCH(loaded!AQ107,drug,0)))</f>
        <v>#N/A</v>
      </c>
      <c r="T107" t="e">
        <f>IF(K107=2,"",_xlfn.IFNA(INDEX(drug_codes,MATCH(loaded!AS107,drug,0)),""))</f>
        <v>#N/A</v>
      </c>
      <c r="U107" t="e">
        <f>IF(K107=2,"",_xlfn.IFNA(INDEX(drug_codes,MATCH(loaded!AU107,drug,0)),""))</f>
        <v>#N/A</v>
      </c>
      <c r="V107" t="e">
        <f>IF(K107=2,"",_xlfn.IFNA(INDEX(drug_codes,MATCH(loaded!AW107,drug,0)),""))</f>
        <v>#N/A</v>
      </c>
      <c r="W107" t="e">
        <f>IF(K107=2,"",_xlfn.IFNA(INDEX(drug_codes,MATCH(loaded!AY107,drug,0)),""))</f>
        <v>#N/A</v>
      </c>
      <c r="X107" t="e">
        <f>IF(K107=2,"",_xlfn.IFNA(INDEX(drug_codes,MATCH(loaded!BA107,drug,0)),""))</f>
        <v>#N/A</v>
      </c>
      <c r="Y107" t="e">
        <f>INDEX(MTT_codes,MATCH(loaded!BC107,MTT,0))</f>
        <v>#N/A</v>
      </c>
      <c r="Z107" t="str">
        <f>_xlfn.IFNA(INDEX(MTT_codes,MATCH(loaded!BE107,MTT,0)),"")</f>
        <v/>
      </c>
      <c r="AA107" t="str">
        <f>_xlfn.IFNA(INDEX(MTT_codes,MATCH(loaded!BG107,MTT,0)),"")</f>
        <v/>
      </c>
      <c r="AB107" t="str">
        <f>_xlfn.IFNA(INDEX(MTT_codes,MATCH(loaded!BI107,MTT,0)),"")</f>
        <v/>
      </c>
      <c r="AC107" t="str">
        <f>_xlfn.IFNA(INDEX(MTT_codes,MATCH(loaded!BK107,MTT,0)),"")</f>
        <v/>
      </c>
      <c r="AD107" t="str">
        <f>_xlfn.IFNA(INDEX(MTT_codes,MATCH(loaded!BM107,MTT,0)),"")</f>
        <v/>
      </c>
      <c r="AE107" t="e">
        <f>INDEX(liv_ar_codes,MATCH(loaded!BO107,liv_ar,0))</f>
        <v>#N/A</v>
      </c>
      <c r="AF107" t="str">
        <f>_xlfn.IFNA(INDEX(MTT_codes,MATCH(loaded!BQ107,MTT,0)),"")</f>
        <v/>
      </c>
      <c r="AG107">
        <f>_xlfn.IFNA(INDEX(mental_codes,MATCH(loaded!BS107,mental,0)),9)</f>
        <v>9</v>
      </c>
    </row>
    <row r="108" spans="1:33" x14ac:dyDescent="0.25">
      <c r="A108">
        <f>loaded!C108</f>
        <v>0</v>
      </c>
      <c r="B108">
        <f>loaded!I108</f>
        <v>0</v>
      </c>
      <c r="C108">
        <f>IF(loaded!K108="Male",1,IF(loaded!K108="Female",2,9))</f>
        <v>9</v>
      </c>
      <c r="D108" s="8">
        <f>loaded!M108</f>
        <v>0</v>
      </c>
      <c r="E108" t="str">
        <f>LEFT(loaded!O108,3)</f>
        <v/>
      </c>
      <c r="F108" t="e">
        <f>INDEX(cntry_codes,MATCH(loaded!Q108,countries,0))</f>
        <v>#N/A</v>
      </c>
      <c r="G108" t="e">
        <f>INDEX(atsi_codes,MATCH(loaded!S108,atsi,0))</f>
        <v>#N/A</v>
      </c>
      <c r="H108" t="e">
        <f>INDEX(lang_codes,MATCH(loaded!U108,lang,0))</f>
        <v>#N/A</v>
      </c>
      <c r="I108" s="8">
        <f>loaded!W108</f>
        <v>0</v>
      </c>
      <c r="J108" t="e">
        <f>INDEX(us_acc_codes,MATCH(loaded!Y108,us_acc,0))</f>
        <v>#N/A</v>
      </c>
      <c r="K108" t="e">
        <f>INDEX(client_codes,MATCH(loaded!AA108,client,0))</f>
        <v>#N/A</v>
      </c>
      <c r="L108" t="e">
        <f>INDEX(src_ref_codes,MATCH(loaded!AC108,src_ref,0))</f>
        <v>#N/A</v>
      </c>
      <c r="M108" s="8">
        <f>loaded!AE108</f>
        <v>0</v>
      </c>
      <c r="N108" s="8">
        <f>loaded!AG108</f>
        <v>0</v>
      </c>
      <c r="O108" t="e">
        <f>INDEX(reces_codes,MATCH(loaded!AI108,reason,0))</f>
        <v>#N/A</v>
      </c>
      <c r="P108" t="e">
        <f>INDEX(TDS_codes,MATCH(loaded!AK108,TDS,0))</f>
        <v>#N/A</v>
      </c>
      <c r="Q108" t="e">
        <f>IF(K108=2,"",INDEX(method_codes,MATCH(loaded!AM108,method,0)))</f>
        <v>#N/A</v>
      </c>
      <c r="R108" t="e">
        <f>IF(K108=2,"",INDEX(inj_codes,MATCH(loaded!AO108,inj,0)))</f>
        <v>#N/A</v>
      </c>
      <c r="S108" t="e">
        <f>IF(K108=2,"",INDEX(drug_codes,MATCH(loaded!AQ108,drug,0)))</f>
        <v>#N/A</v>
      </c>
      <c r="T108" t="e">
        <f>IF(K108=2,"",_xlfn.IFNA(INDEX(drug_codes,MATCH(loaded!AS108,drug,0)),""))</f>
        <v>#N/A</v>
      </c>
      <c r="U108" t="e">
        <f>IF(K108=2,"",_xlfn.IFNA(INDEX(drug_codes,MATCH(loaded!AU108,drug,0)),""))</f>
        <v>#N/A</v>
      </c>
      <c r="V108" t="e">
        <f>IF(K108=2,"",_xlfn.IFNA(INDEX(drug_codes,MATCH(loaded!AW108,drug,0)),""))</f>
        <v>#N/A</v>
      </c>
      <c r="W108" t="e">
        <f>IF(K108=2,"",_xlfn.IFNA(INDEX(drug_codes,MATCH(loaded!AY108,drug,0)),""))</f>
        <v>#N/A</v>
      </c>
      <c r="X108" t="e">
        <f>IF(K108=2,"",_xlfn.IFNA(INDEX(drug_codes,MATCH(loaded!BA108,drug,0)),""))</f>
        <v>#N/A</v>
      </c>
      <c r="Y108" t="e">
        <f>INDEX(MTT_codes,MATCH(loaded!BC108,MTT,0))</f>
        <v>#N/A</v>
      </c>
      <c r="Z108" t="str">
        <f>_xlfn.IFNA(INDEX(MTT_codes,MATCH(loaded!BE108,MTT,0)),"")</f>
        <v/>
      </c>
      <c r="AA108" t="str">
        <f>_xlfn.IFNA(INDEX(MTT_codes,MATCH(loaded!BG108,MTT,0)),"")</f>
        <v/>
      </c>
      <c r="AB108" t="str">
        <f>_xlfn.IFNA(INDEX(MTT_codes,MATCH(loaded!BI108,MTT,0)),"")</f>
        <v/>
      </c>
      <c r="AC108" t="str">
        <f>_xlfn.IFNA(INDEX(MTT_codes,MATCH(loaded!BK108,MTT,0)),"")</f>
        <v/>
      </c>
      <c r="AD108" t="str">
        <f>_xlfn.IFNA(INDEX(MTT_codes,MATCH(loaded!BM108,MTT,0)),"")</f>
        <v/>
      </c>
      <c r="AE108" t="e">
        <f>INDEX(liv_ar_codes,MATCH(loaded!BO108,liv_ar,0))</f>
        <v>#N/A</v>
      </c>
      <c r="AF108" t="str">
        <f>_xlfn.IFNA(INDEX(MTT_codes,MATCH(loaded!BQ108,MTT,0)),"")</f>
        <v/>
      </c>
      <c r="AG108">
        <f>_xlfn.IFNA(INDEX(mental_codes,MATCH(loaded!BS108,mental,0)),9)</f>
        <v>9</v>
      </c>
    </row>
    <row r="109" spans="1:33" x14ac:dyDescent="0.25">
      <c r="A109">
        <f>loaded!C109</f>
        <v>0</v>
      </c>
      <c r="B109">
        <f>loaded!I109</f>
        <v>0</v>
      </c>
      <c r="C109">
        <f>IF(loaded!K109="Male",1,IF(loaded!K109="Female",2,9))</f>
        <v>9</v>
      </c>
      <c r="D109" s="8">
        <f>loaded!M109</f>
        <v>0</v>
      </c>
      <c r="E109" t="str">
        <f>LEFT(loaded!O109,3)</f>
        <v/>
      </c>
      <c r="F109" t="e">
        <f>INDEX(cntry_codes,MATCH(loaded!Q109,countries,0))</f>
        <v>#N/A</v>
      </c>
      <c r="G109" t="e">
        <f>INDEX(atsi_codes,MATCH(loaded!S109,atsi,0))</f>
        <v>#N/A</v>
      </c>
      <c r="H109" t="e">
        <f>INDEX(lang_codes,MATCH(loaded!U109,lang,0))</f>
        <v>#N/A</v>
      </c>
      <c r="I109" s="8">
        <f>loaded!W109</f>
        <v>0</v>
      </c>
      <c r="J109" t="e">
        <f>INDEX(us_acc_codes,MATCH(loaded!Y109,us_acc,0))</f>
        <v>#N/A</v>
      </c>
      <c r="K109" t="e">
        <f>INDEX(client_codes,MATCH(loaded!AA109,client,0))</f>
        <v>#N/A</v>
      </c>
      <c r="L109" t="e">
        <f>INDEX(src_ref_codes,MATCH(loaded!AC109,src_ref,0))</f>
        <v>#N/A</v>
      </c>
      <c r="M109" s="8">
        <f>loaded!AE109</f>
        <v>0</v>
      </c>
      <c r="N109" s="8">
        <f>loaded!AG109</f>
        <v>0</v>
      </c>
      <c r="O109" t="e">
        <f>INDEX(reces_codes,MATCH(loaded!AI109,reason,0))</f>
        <v>#N/A</v>
      </c>
      <c r="P109" t="e">
        <f>INDEX(TDS_codes,MATCH(loaded!AK109,TDS,0))</f>
        <v>#N/A</v>
      </c>
      <c r="Q109" t="e">
        <f>IF(K109=2,"",INDEX(method_codes,MATCH(loaded!AM109,method,0)))</f>
        <v>#N/A</v>
      </c>
      <c r="R109" t="e">
        <f>IF(K109=2,"",INDEX(inj_codes,MATCH(loaded!AO109,inj,0)))</f>
        <v>#N/A</v>
      </c>
      <c r="S109" t="e">
        <f>IF(K109=2,"",INDEX(drug_codes,MATCH(loaded!AQ109,drug,0)))</f>
        <v>#N/A</v>
      </c>
      <c r="T109" t="e">
        <f>IF(K109=2,"",_xlfn.IFNA(INDEX(drug_codes,MATCH(loaded!AS109,drug,0)),""))</f>
        <v>#N/A</v>
      </c>
      <c r="U109" t="e">
        <f>IF(K109=2,"",_xlfn.IFNA(INDEX(drug_codes,MATCH(loaded!AU109,drug,0)),""))</f>
        <v>#N/A</v>
      </c>
      <c r="V109" t="e">
        <f>IF(K109=2,"",_xlfn.IFNA(INDEX(drug_codes,MATCH(loaded!AW109,drug,0)),""))</f>
        <v>#N/A</v>
      </c>
      <c r="W109" t="e">
        <f>IF(K109=2,"",_xlfn.IFNA(INDEX(drug_codes,MATCH(loaded!AY109,drug,0)),""))</f>
        <v>#N/A</v>
      </c>
      <c r="X109" t="e">
        <f>IF(K109=2,"",_xlfn.IFNA(INDEX(drug_codes,MATCH(loaded!BA109,drug,0)),""))</f>
        <v>#N/A</v>
      </c>
      <c r="Y109" t="e">
        <f>INDEX(MTT_codes,MATCH(loaded!BC109,MTT,0))</f>
        <v>#N/A</v>
      </c>
      <c r="Z109" t="str">
        <f>_xlfn.IFNA(INDEX(MTT_codes,MATCH(loaded!BE109,MTT,0)),"")</f>
        <v/>
      </c>
      <c r="AA109" t="str">
        <f>_xlfn.IFNA(INDEX(MTT_codes,MATCH(loaded!BG109,MTT,0)),"")</f>
        <v/>
      </c>
      <c r="AB109" t="str">
        <f>_xlfn.IFNA(INDEX(MTT_codes,MATCH(loaded!BI109,MTT,0)),"")</f>
        <v/>
      </c>
      <c r="AC109" t="str">
        <f>_xlfn.IFNA(INDEX(MTT_codes,MATCH(loaded!BK109,MTT,0)),"")</f>
        <v/>
      </c>
      <c r="AD109" t="str">
        <f>_xlfn.IFNA(INDEX(MTT_codes,MATCH(loaded!BM109,MTT,0)),"")</f>
        <v/>
      </c>
      <c r="AE109" t="e">
        <f>INDEX(liv_ar_codes,MATCH(loaded!BO109,liv_ar,0))</f>
        <v>#N/A</v>
      </c>
      <c r="AF109" t="str">
        <f>_xlfn.IFNA(INDEX(MTT_codes,MATCH(loaded!BQ109,MTT,0)),"")</f>
        <v/>
      </c>
      <c r="AG109">
        <f>_xlfn.IFNA(INDEX(mental_codes,MATCH(loaded!BS109,mental,0)),9)</f>
        <v>9</v>
      </c>
    </row>
    <row r="110" spans="1:33" x14ac:dyDescent="0.25">
      <c r="A110">
        <f>loaded!C110</f>
        <v>0</v>
      </c>
      <c r="B110">
        <f>loaded!I110</f>
        <v>0</v>
      </c>
      <c r="C110">
        <f>IF(loaded!K110="Male",1,IF(loaded!K110="Female",2,9))</f>
        <v>9</v>
      </c>
      <c r="D110" s="8">
        <f>loaded!M110</f>
        <v>0</v>
      </c>
      <c r="E110" t="str">
        <f>LEFT(loaded!O110,3)</f>
        <v/>
      </c>
      <c r="F110" t="e">
        <f>INDEX(cntry_codes,MATCH(loaded!Q110,countries,0))</f>
        <v>#N/A</v>
      </c>
      <c r="G110" t="e">
        <f>INDEX(atsi_codes,MATCH(loaded!S110,atsi,0))</f>
        <v>#N/A</v>
      </c>
      <c r="H110" t="e">
        <f>INDEX(lang_codes,MATCH(loaded!U110,lang,0))</f>
        <v>#N/A</v>
      </c>
      <c r="I110" s="8">
        <f>loaded!W110</f>
        <v>0</v>
      </c>
      <c r="J110" t="e">
        <f>INDEX(us_acc_codes,MATCH(loaded!Y110,us_acc,0))</f>
        <v>#N/A</v>
      </c>
      <c r="K110" t="e">
        <f>INDEX(client_codes,MATCH(loaded!AA110,client,0))</f>
        <v>#N/A</v>
      </c>
      <c r="L110" t="e">
        <f>INDEX(src_ref_codes,MATCH(loaded!AC110,src_ref,0))</f>
        <v>#N/A</v>
      </c>
      <c r="M110" s="8">
        <f>loaded!AE110</f>
        <v>0</v>
      </c>
      <c r="N110" s="8">
        <f>loaded!AG110</f>
        <v>0</v>
      </c>
      <c r="O110" t="e">
        <f>INDEX(reces_codes,MATCH(loaded!AI110,reason,0))</f>
        <v>#N/A</v>
      </c>
      <c r="P110" t="e">
        <f>INDEX(TDS_codes,MATCH(loaded!AK110,TDS,0))</f>
        <v>#N/A</v>
      </c>
      <c r="Q110" t="e">
        <f>IF(K110=2,"",INDEX(method_codes,MATCH(loaded!AM110,method,0)))</f>
        <v>#N/A</v>
      </c>
      <c r="R110" t="e">
        <f>IF(K110=2,"",INDEX(inj_codes,MATCH(loaded!AO110,inj,0)))</f>
        <v>#N/A</v>
      </c>
      <c r="S110" t="e">
        <f>IF(K110=2,"",INDEX(drug_codes,MATCH(loaded!AQ110,drug,0)))</f>
        <v>#N/A</v>
      </c>
      <c r="T110" t="e">
        <f>IF(K110=2,"",_xlfn.IFNA(INDEX(drug_codes,MATCH(loaded!AS110,drug,0)),""))</f>
        <v>#N/A</v>
      </c>
      <c r="U110" t="e">
        <f>IF(K110=2,"",_xlfn.IFNA(INDEX(drug_codes,MATCH(loaded!AU110,drug,0)),""))</f>
        <v>#N/A</v>
      </c>
      <c r="V110" t="e">
        <f>IF(K110=2,"",_xlfn.IFNA(INDEX(drug_codes,MATCH(loaded!AW110,drug,0)),""))</f>
        <v>#N/A</v>
      </c>
      <c r="W110" t="e">
        <f>IF(K110=2,"",_xlfn.IFNA(INDEX(drug_codes,MATCH(loaded!AY110,drug,0)),""))</f>
        <v>#N/A</v>
      </c>
      <c r="X110" t="e">
        <f>IF(K110=2,"",_xlfn.IFNA(INDEX(drug_codes,MATCH(loaded!BA110,drug,0)),""))</f>
        <v>#N/A</v>
      </c>
      <c r="Y110" t="e">
        <f>INDEX(MTT_codes,MATCH(loaded!BC110,MTT,0))</f>
        <v>#N/A</v>
      </c>
      <c r="Z110" t="str">
        <f>_xlfn.IFNA(INDEX(MTT_codes,MATCH(loaded!BE110,MTT,0)),"")</f>
        <v/>
      </c>
      <c r="AA110" t="str">
        <f>_xlfn.IFNA(INDEX(MTT_codes,MATCH(loaded!BG110,MTT,0)),"")</f>
        <v/>
      </c>
      <c r="AB110" t="str">
        <f>_xlfn.IFNA(INDEX(MTT_codes,MATCH(loaded!BI110,MTT,0)),"")</f>
        <v/>
      </c>
      <c r="AC110" t="str">
        <f>_xlfn.IFNA(INDEX(MTT_codes,MATCH(loaded!BK110,MTT,0)),"")</f>
        <v/>
      </c>
      <c r="AD110" t="str">
        <f>_xlfn.IFNA(INDEX(MTT_codes,MATCH(loaded!BM110,MTT,0)),"")</f>
        <v/>
      </c>
      <c r="AE110" t="e">
        <f>INDEX(liv_ar_codes,MATCH(loaded!BO110,liv_ar,0))</f>
        <v>#N/A</v>
      </c>
      <c r="AF110" t="str">
        <f>_xlfn.IFNA(INDEX(MTT_codes,MATCH(loaded!BQ110,MTT,0)),"")</f>
        <v/>
      </c>
      <c r="AG110">
        <f>_xlfn.IFNA(INDEX(mental_codes,MATCH(loaded!BS110,mental,0)),9)</f>
        <v>9</v>
      </c>
    </row>
    <row r="111" spans="1:33" x14ac:dyDescent="0.25">
      <c r="A111">
        <f>loaded!C111</f>
        <v>0</v>
      </c>
      <c r="B111">
        <f>loaded!I111</f>
        <v>0</v>
      </c>
      <c r="C111">
        <f>IF(loaded!K111="Male",1,IF(loaded!K111="Female",2,9))</f>
        <v>9</v>
      </c>
      <c r="D111" s="8">
        <f>loaded!M111</f>
        <v>0</v>
      </c>
      <c r="E111" t="str">
        <f>LEFT(loaded!O111,3)</f>
        <v/>
      </c>
      <c r="F111" t="e">
        <f>INDEX(cntry_codes,MATCH(loaded!Q111,countries,0))</f>
        <v>#N/A</v>
      </c>
      <c r="G111" t="e">
        <f>INDEX(atsi_codes,MATCH(loaded!S111,atsi,0))</f>
        <v>#N/A</v>
      </c>
      <c r="H111" t="e">
        <f>INDEX(lang_codes,MATCH(loaded!U111,lang,0))</f>
        <v>#N/A</v>
      </c>
      <c r="I111" s="8">
        <f>loaded!W111</f>
        <v>0</v>
      </c>
      <c r="J111" t="e">
        <f>INDEX(us_acc_codes,MATCH(loaded!Y111,us_acc,0))</f>
        <v>#N/A</v>
      </c>
      <c r="K111" t="e">
        <f>INDEX(client_codes,MATCH(loaded!AA111,client,0))</f>
        <v>#N/A</v>
      </c>
      <c r="L111" t="e">
        <f>INDEX(src_ref_codes,MATCH(loaded!AC111,src_ref,0))</f>
        <v>#N/A</v>
      </c>
      <c r="M111" s="8">
        <f>loaded!AE111</f>
        <v>0</v>
      </c>
      <c r="N111" s="8">
        <f>loaded!AG111</f>
        <v>0</v>
      </c>
      <c r="O111" t="e">
        <f>INDEX(reces_codes,MATCH(loaded!AI111,reason,0))</f>
        <v>#N/A</v>
      </c>
      <c r="P111" t="e">
        <f>INDEX(TDS_codes,MATCH(loaded!AK111,TDS,0))</f>
        <v>#N/A</v>
      </c>
      <c r="Q111" t="e">
        <f>IF(K111=2,"",INDEX(method_codes,MATCH(loaded!AM111,method,0)))</f>
        <v>#N/A</v>
      </c>
      <c r="R111" t="e">
        <f>IF(K111=2,"",INDEX(inj_codes,MATCH(loaded!AO111,inj,0)))</f>
        <v>#N/A</v>
      </c>
      <c r="S111" t="e">
        <f>IF(K111=2,"",INDEX(drug_codes,MATCH(loaded!AQ111,drug,0)))</f>
        <v>#N/A</v>
      </c>
      <c r="T111" t="e">
        <f>IF(K111=2,"",_xlfn.IFNA(INDEX(drug_codes,MATCH(loaded!AS111,drug,0)),""))</f>
        <v>#N/A</v>
      </c>
      <c r="U111" t="e">
        <f>IF(K111=2,"",_xlfn.IFNA(INDEX(drug_codes,MATCH(loaded!AU111,drug,0)),""))</f>
        <v>#N/A</v>
      </c>
      <c r="V111" t="e">
        <f>IF(K111=2,"",_xlfn.IFNA(INDEX(drug_codes,MATCH(loaded!AW111,drug,0)),""))</f>
        <v>#N/A</v>
      </c>
      <c r="W111" t="e">
        <f>IF(K111=2,"",_xlfn.IFNA(INDEX(drug_codes,MATCH(loaded!AY111,drug,0)),""))</f>
        <v>#N/A</v>
      </c>
      <c r="X111" t="e">
        <f>IF(K111=2,"",_xlfn.IFNA(INDEX(drug_codes,MATCH(loaded!BA111,drug,0)),""))</f>
        <v>#N/A</v>
      </c>
      <c r="Y111" t="e">
        <f>INDEX(MTT_codes,MATCH(loaded!BC111,MTT,0))</f>
        <v>#N/A</v>
      </c>
      <c r="Z111" t="str">
        <f>_xlfn.IFNA(INDEX(MTT_codes,MATCH(loaded!BE111,MTT,0)),"")</f>
        <v/>
      </c>
      <c r="AA111" t="str">
        <f>_xlfn.IFNA(INDEX(MTT_codes,MATCH(loaded!BG111,MTT,0)),"")</f>
        <v/>
      </c>
      <c r="AB111" t="str">
        <f>_xlfn.IFNA(INDEX(MTT_codes,MATCH(loaded!BI111,MTT,0)),"")</f>
        <v/>
      </c>
      <c r="AC111" t="str">
        <f>_xlfn.IFNA(INDEX(MTT_codes,MATCH(loaded!BK111,MTT,0)),"")</f>
        <v/>
      </c>
      <c r="AD111" t="str">
        <f>_xlfn.IFNA(INDEX(MTT_codes,MATCH(loaded!BM111,MTT,0)),"")</f>
        <v/>
      </c>
      <c r="AE111" t="e">
        <f>INDEX(liv_ar_codes,MATCH(loaded!BO111,liv_ar,0))</f>
        <v>#N/A</v>
      </c>
      <c r="AF111" t="str">
        <f>_xlfn.IFNA(INDEX(MTT_codes,MATCH(loaded!BQ111,MTT,0)),"")</f>
        <v/>
      </c>
      <c r="AG111">
        <f>_xlfn.IFNA(INDEX(mental_codes,MATCH(loaded!BS111,mental,0)),9)</f>
        <v>9</v>
      </c>
    </row>
    <row r="112" spans="1:33" x14ac:dyDescent="0.25">
      <c r="A112">
        <f>loaded!C112</f>
        <v>0</v>
      </c>
      <c r="B112">
        <f>loaded!I112</f>
        <v>0</v>
      </c>
      <c r="C112">
        <f>IF(loaded!K112="Male",1,IF(loaded!K112="Female",2,9))</f>
        <v>9</v>
      </c>
      <c r="D112" s="8">
        <f>loaded!M112</f>
        <v>0</v>
      </c>
      <c r="E112" t="str">
        <f>LEFT(loaded!O112,3)</f>
        <v/>
      </c>
      <c r="F112" t="e">
        <f>INDEX(cntry_codes,MATCH(loaded!Q112,countries,0))</f>
        <v>#N/A</v>
      </c>
      <c r="G112" t="e">
        <f>INDEX(atsi_codes,MATCH(loaded!S112,atsi,0))</f>
        <v>#N/A</v>
      </c>
      <c r="H112" t="e">
        <f>INDEX(lang_codes,MATCH(loaded!U112,lang,0))</f>
        <v>#N/A</v>
      </c>
      <c r="I112" s="8">
        <f>loaded!W112</f>
        <v>0</v>
      </c>
      <c r="J112" t="e">
        <f>INDEX(us_acc_codes,MATCH(loaded!Y112,us_acc,0))</f>
        <v>#N/A</v>
      </c>
      <c r="K112" t="e">
        <f>INDEX(client_codes,MATCH(loaded!AA112,client,0))</f>
        <v>#N/A</v>
      </c>
      <c r="L112" t="e">
        <f>INDEX(src_ref_codes,MATCH(loaded!AC112,src_ref,0))</f>
        <v>#N/A</v>
      </c>
      <c r="M112" s="8">
        <f>loaded!AE112</f>
        <v>0</v>
      </c>
      <c r="N112" s="8">
        <f>loaded!AG112</f>
        <v>0</v>
      </c>
      <c r="O112" t="e">
        <f>INDEX(reces_codes,MATCH(loaded!AI112,reason,0))</f>
        <v>#N/A</v>
      </c>
      <c r="P112" t="e">
        <f>INDEX(TDS_codes,MATCH(loaded!AK112,TDS,0))</f>
        <v>#N/A</v>
      </c>
      <c r="Q112" t="e">
        <f>IF(K112=2,"",INDEX(method_codes,MATCH(loaded!AM112,method,0)))</f>
        <v>#N/A</v>
      </c>
      <c r="R112" t="e">
        <f>IF(K112=2,"",INDEX(inj_codes,MATCH(loaded!AO112,inj,0)))</f>
        <v>#N/A</v>
      </c>
      <c r="S112" t="e">
        <f>IF(K112=2,"",INDEX(drug_codes,MATCH(loaded!AQ112,drug,0)))</f>
        <v>#N/A</v>
      </c>
      <c r="T112" t="e">
        <f>IF(K112=2,"",_xlfn.IFNA(INDEX(drug_codes,MATCH(loaded!AS112,drug,0)),""))</f>
        <v>#N/A</v>
      </c>
      <c r="U112" t="e">
        <f>IF(K112=2,"",_xlfn.IFNA(INDEX(drug_codes,MATCH(loaded!AU112,drug,0)),""))</f>
        <v>#N/A</v>
      </c>
      <c r="V112" t="e">
        <f>IF(K112=2,"",_xlfn.IFNA(INDEX(drug_codes,MATCH(loaded!AW112,drug,0)),""))</f>
        <v>#N/A</v>
      </c>
      <c r="W112" t="e">
        <f>IF(K112=2,"",_xlfn.IFNA(INDEX(drug_codes,MATCH(loaded!AY112,drug,0)),""))</f>
        <v>#N/A</v>
      </c>
      <c r="X112" t="e">
        <f>IF(K112=2,"",_xlfn.IFNA(INDEX(drug_codes,MATCH(loaded!BA112,drug,0)),""))</f>
        <v>#N/A</v>
      </c>
      <c r="Y112" t="e">
        <f>INDEX(MTT_codes,MATCH(loaded!BC112,MTT,0))</f>
        <v>#N/A</v>
      </c>
      <c r="Z112" t="str">
        <f>_xlfn.IFNA(INDEX(MTT_codes,MATCH(loaded!BE112,MTT,0)),"")</f>
        <v/>
      </c>
      <c r="AA112" t="str">
        <f>_xlfn.IFNA(INDEX(MTT_codes,MATCH(loaded!BG112,MTT,0)),"")</f>
        <v/>
      </c>
      <c r="AB112" t="str">
        <f>_xlfn.IFNA(INDEX(MTT_codes,MATCH(loaded!BI112,MTT,0)),"")</f>
        <v/>
      </c>
      <c r="AC112" t="str">
        <f>_xlfn.IFNA(INDEX(MTT_codes,MATCH(loaded!BK112,MTT,0)),"")</f>
        <v/>
      </c>
      <c r="AD112" t="str">
        <f>_xlfn.IFNA(INDEX(MTT_codes,MATCH(loaded!BM112,MTT,0)),"")</f>
        <v/>
      </c>
      <c r="AE112" t="e">
        <f>INDEX(liv_ar_codes,MATCH(loaded!BO112,liv_ar,0))</f>
        <v>#N/A</v>
      </c>
      <c r="AF112" t="str">
        <f>_xlfn.IFNA(INDEX(MTT_codes,MATCH(loaded!BQ112,MTT,0)),"")</f>
        <v/>
      </c>
      <c r="AG112">
        <f>_xlfn.IFNA(INDEX(mental_codes,MATCH(loaded!BS112,mental,0)),9)</f>
        <v>9</v>
      </c>
    </row>
    <row r="113" spans="1:33" x14ac:dyDescent="0.25">
      <c r="A113">
        <f>loaded!C113</f>
        <v>0</v>
      </c>
      <c r="B113">
        <f>loaded!I113</f>
        <v>0</v>
      </c>
      <c r="C113">
        <f>IF(loaded!K113="Male",1,IF(loaded!K113="Female",2,9))</f>
        <v>9</v>
      </c>
      <c r="D113" s="8">
        <f>loaded!M113</f>
        <v>0</v>
      </c>
      <c r="E113" t="str">
        <f>LEFT(loaded!O113,3)</f>
        <v/>
      </c>
      <c r="F113" t="e">
        <f>INDEX(cntry_codes,MATCH(loaded!Q113,countries,0))</f>
        <v>#N/A</v>
      </c>
      <c r="G113" t="e">
        <f>INDEX(atsi_codes,MATCH(loaded!S113,atsi,0))</f>
        <v>#N/A</v>
      </c>
      <c r="H113" t="e">
        <f>INDEX(lang_codes,MATCH(loaded!U113,lang,0))</f>
        <v>#N/A</v>
      </c>
      <c r="I113" s="8">
        <f>loaded!W113</f>
        <v>0</v>
      </c>
      <c r="J113" t="e">
        <f>INDEX(us_acc_codes,MATCH(loaded!Y113,us_acc,0))</f>
        <v>#N/A</v>
      </c>
      <c r="K113" t="e">
        <f>INDEX(client_codes,MATCH(loaded!AA113,client,0))</f>
        <v>#N/A</v>
      </c>
      <c r="L113" t="e">
        <f>INDEX(src_ref_codes,MATCH(loaded!AC113,src_ref,0))</f>
        <v>#N/A</v>
      </c>
      <c r="M113" s="8">
        <f>loaded!AE113</f>
        <v>0</v>
      </c>
      <c r="N113" s="8">
        <f>loaded!AG113</f>
        <v>0</v>
      </c>
      <c r="O113" t="e">
        <f>INDEX(reces_codes,MATCH(loaded!AI113,reason,0))</f>
        <v>#N/A</v>
      </c>
      <c r="P113" t="e">
        <f>INDEX(TDS_codes,MATCH(loaded!AK113,TDS,0))</f>
        <v>#N/A</v>
      </c>
      <c r="Q113" t="e">
        <f>IF(K113=2,"",INDEX(method_codes,MATCH(loaded!AM113,method,0)))</f>
        <v>#N/A</v>
      </c>
      <c r="R113" t="e">
        <f>IF(K113=2,"",INDEX(inj_codes,MATCH(loaded!AO113,inj,0)))</f>
        <v>#N/A</v>
      </c>
      <c r="S113" t="e">
        <f>IF(K113=2,"",INDEX(drug_codes,MATCH(loaded!AQ113,drug,0)))</f>
        <v>#N/A</v>
      </c>
      <c r="T113" t="e">
        <f>IF(K113=2,"",_xlfn.IFNA(INDEX(drug_codes,MATCH(loaded!AS113,drug,0)),""))</f>
        <v>#N/A</v>
      </c>
      <c r="U113" t="e">
        <f>IF(K113=2,"",_xlfn.IFNA(INDEX(drug_codes,MATCH(loaded!AU113,drug,0)),""))</f>
        <v>#N/A</v>
      </c>
      <c r="V113" t="e">
        <f>IF(K113=2,"",_xlfn.IFNA(INDEX(drug_codes,MATCH(loaded!AW113,drug,0)),""))</f>
        <v>#N/A</v>
      </c>
      <c r="W113" t="e">
        <f>IF(K113=2,"",_xlfn.IFNA(INDEX(drug_codes,MATCH(loaded!AY113,drug,0)),""))</f>
        <v>#N/A</v>
      </c>
      <c r="X113" t="e">
        <f>IF(K113=2,"",_xlfn.IFNA(INDEX(drug_codes,MATCH(loaded!BA113,drug,0)),""))</f>
        <v>#N/A</v>
      </c>
      <c r="Y113" t="e">
        <f>INDEX(MTT_codes,MATCH(loaded!BC113,MTT,0))</f>
        <v>#N/A</v>
      </c>
      <c r="Z113" t="str">
        <f>_xlfn.IFNA(INDEX(MTT_codes,MATCH(loaded!BE113,MTT,0)),"")</f>
        <v/>
      </c>
      <c r="AA113" t="str">
        <f>_xlfn.IFNA(INDEX(MTT_codes,MATCH(loaded!BG113,MTT,0)),"")</f>
        <v/>
      </c>
      <c r="AB113" t="str">
        <f>_xlfn.IFNA(INDEX(MTT_codes,MATCH(loaded!BI113,MTT,0)),"")</f>
        <v/>
      </c>
      <c r="AC113" t="str">
        <f>_xlfn.IFNA(INDEX(MTT_codes,MATCH(loaded!BK113,MTT,0)),"")</f>
        <v/>
      </c>
      <c r="AD113" t="str">
        <f>_xlfn.IFNA(INDEX(MTT_codes,MATCH(loaded!BM113,MTT,0)),"")</f>
        <v/>
      </c>
      <c r="AE113" t="e">
        <f>INDEX(liv_ar_codes,MATCH(loaded!BO113,liv_ar,0))</f>
        <v>#N/A</v>
      </c>
      <c r="AF113" t="str">
        <f>_xlfn.IFNA(INDEX(MTT_codes,MATCH(loaded!BQ113,MTT,0)),"")</f>
        <v/>
      </c>
      <c r="AG113">
        <f>_xlfn.IFNA(INDEX(mental_codes,MATCH(loaded!BS113,mental,0)),9)</f>
        <v>9</v>
      </c>
    </row>
    <row r="114" spans="1:33" x14ac:dyDescent="0.25">
      <c r="A114">
        <f>loaded!C114</f>
        <v>0</v>
      </c>
      <c r="B114">
        <f>loaded!I114</f>
        <v>0</v>
      </c>
      <c r="C114">
        <f>IF(loaded!K114="Male",1,IF(loaded!K114="Female",2,9))</f>
        <v>9</v>
      </c>
      <c r="D114" s="8">
        <f>loaded!M114</f>
        <v>0</v>
      </c>
      <c r="E114" t="str">
        <f>LEFT(loaded!O114,3)</f>
        <v/>
      </c>
      <c r="F114" t="e">
        <f>INDEX(cntry_codes,MATCH(loaded!Q114,countries,0))</f>
        <v>#N/A</v>
      </c>
      <c r="G114" t="e">
        <f>INDEX(atsi_codes,MATCH(loaded!S114,atsi,0))</f>
        <v>#N/A</v>
      </c>
      <c r="H114" t="e">
        <f>INDEX(lang_codes,MATCH(loaded!U114,lang,0))</f>
        <v>#N/A</v>
      </c>
      <c r="I114" s="8">
        <f>loaded!W114</f>
        <v>0</v>
      </c>
      <c r="J114" t="e">
        <f>INDEX(us_acc_codes,MATCH(loaded!Y114,us_acc,0))</f>
        <v>#N/A</v>
      </c>
      <c r="K114" t="e">
        <f>INDEX(client_codes,MATCH(loaded!AA114,client,0))</f>
        <v>#N/A</v>
      </c>
      <c r="L114" t="e">
        <f>INDEX(src_ref_codes,MATCH(loaded!AC114,src_ref,0))</f>
        <v>#N/A</v>
      </c>
      <c r="M114" s="8">
        <f>loaded!AE114</f>
        <v>0</v>
      </c>
      <c r="N114" s="8">
        <f>loaded!AG114</f>
        <v>0</v>
      </c>
      <c r="O114" t="e">
        <f>INDEX(reces_codes,MATCH(loaded!AI114,reason,0))</f>
        <v>#N/A</v>
      </c>
      <c r="P114" t="e">
        <f>INDEX(TDS_codes,MATCH(loaded!AK114,TDS,0))</f>
        <v>#N/A</v>
      </c>
      <c r="Q114" t="e">
        <f>IF(K114=2,"",INDEX(method_codes,MATCH(loaded!AM114,method,0)))</f>
        <v>#N/A</v>
      </c>
      <c r="R114" t="e">
        <f>IF(K114=2,"",INDEX(inj_codes,MATCH(loaded!AO114,inj,0)))</f>
        <v>#N/A</v>
      </c>
      <c r="S114" t="e">
        <f>IF(K114=2,"",INDEX(drug_codes,MATCH(loaded!AQ114,drug,0)))</f>
        <v>#N/A</v>
      </c>
      <c r="T114" t="e">
        <f>IF(K114=2,"",_xlfn.IFNA(INDEX(drug_codes,MATCH(loaded!AS114,drug,0)),""))</f>
        <v>#N/A</v>
      </c>
      <c r="U114" t="e">
        <f>IF(K114=2,"",_xlfn.IFNA(INDEX(drug_codes,MATCH(loaded!AU114,drug,0)),""))</f>
        <v>#N/A</v>
      </c>
      <c r="V114" t="e">
        <f>IF(K114=2,"",_xlfn.IFNA(INDEX(drug_codes,MATCH(loaded!AW114,drug,0)),""))</f>
        <v>#N/A</v>
      </c>
      <c r="W114" t="e">
        <f>IF(K114=2,"",_xlfn.IFNA(INDEX(drug_codes,MATCH(loaded!AY114,drug,0)),""))</f>
        <v>#N/A</v>
      </c>
      <c r="X114" t="e">
        <f>IF(K114=2,"",_xlfn.IFNA(INDEX(drug_codes,MATCH(loaded!BA114,drug,0)),""))</f>
        <v>#N/A</v>
      </c>
      <c r="Y114" t="e">
        <f>INDEX(MTT_codes,MATCH(loaded!BC114,MTT,0))</f>
        <v>#N/A</v>
      </c>
      <c r="Z114" t="str">
        <f>_xlfn.IFNA(INDEX(MTT_codes,MATCH(loaded!BE114,MTT,0)),"")</f>
        <v/>
      </c>
      <c r="AA114" t="str">
        <f>_xlfn.IFNA(INDEX(MTT_codes,MATCH(loaded!BG114,MTT,0)),"")</f>
        <v/>
      </c>
      <c r="AB114" t="str">
        <f>_xlfn.IFNA(INDEX(MTT_codes,MATCH(loaded!BI114,MTT,0)),"")</f>
        <v/>
      </c>
      <c r="AC114" t="str">
        <f>_xlfn.IFNA(INDEX(MTT_codes,MATCH(loaded!BK114,MTT,0)),"")</f>
        <v/>
      </c>
      <c r="AD114" t="str">
        <f>_xlfn.IFNA(INDEX(MTT_codes,MATCH(loaded!BM114,MTT,0)),"")</f>
        <v/>
      </c>
      <c r="AE114" t="e">
        <f>INDEX(liv_ar_codes,MATCH(loaded!BO114,liv_ar,0))</f>
        <v>#N/A</v>
      </c>
      <c r="AF114" t="str">
        <f>_xlfn.IFNA(INDEX(MTT_codes,MATCH(loaded!BQ114,MTT,0)),"")</f>
        <v/>
      </c>
      <c r="AG114">
        <f>_xlfn.IFNA(INDEX(mental_codes,MATCH(loaded!BS114,mental,0)),9)</f>
        <v>9</v>
      </c>
    </row>
    <row r="115" spans="1:33" x14ac:dyDescent="0.25">
      <c r="A115">
        <f>loaded!C115</f>
        <v>0</v>
      </c>
      <c r="B115">
        <f>loaded!I115</f>
        <v>0</v>
      </c>
      <c r="C115">
        <f>IF(loaded!K115="Male",1,IF(loaded!K115="Female",2,9))</f>
        <v>9</v>
      </c>
      <c r="D115" s="8">
        <f>loaded!M115</f>
        <v>0</v>
      </c>
      <c r="E115" t="str">
        <f>LEFT(loaded!O115,3)</f>
        <v/>
      </c>
      <c r="F115" t="e">
        <f>INDEX(cntry_codes,MATCH(loaded!Q115,countries,0))</f>
        <v>#N/A</v>
      </c>
      <c r="G115" t="e">
        <f>INDEX(atsi_codes,MATCH(loaded!S115,atsi,0))</f>
        <v>#N/A</v>
      </c>
      <c r="H115" t="e">
        <f>INDEX(lang_codes,MATCH(loaded!U115,lang,0))</f>
        <v>#N/A</v>
      </c>
      <c r="I115" s="8">
        <f>loaded!W115</f>
        <v>0</v>
      </c>
      <c r="J115" t="e">
        <f>INDEX(us_acc_codes,MATCH(loaded!Y115,us_acc,0))</f>
        <v>#N/A</v>
      </c>
      <c r="K115" t="e">
        <f>INDEX(client_codes,MATCH(loaded!AA115,client,0))</f>
        <v>#N/A</v>
      </c>
      <c r="L115" t="e">
        <f>INDEX(src_ref_codes,MATCH(loaded!AC115,src_ref,0))</f>
        <v>#N/A</v>
      </c>
      <c r="M115" s="8">
        <f>loaded!AE115</f>
        <v>0</v>
      </c>
      <c r="N115" s="8">
        <f>loaded!AG115</f>
        <v>0</v>
      </c>
      <c r="O115" t="e">
        <f>INDEX(reces_codes,MATCH(loaded!AI115,reason,0))</f>
        <v>#N/A</v>
      </c>
      <c r="P115" t="e">
        <f>INDEX(TDS_codes,MATCH(loaded!AK115,TDS,0))</f>
        <v>#N/A</v>
      </c>
      <c r="Q115" t="e">
        <f>IF(K115=2,"",INDEX(method_codes,MATCH(loaded!AM115,method,0)))</f>
        <v>#N/A</v>
      </c>
      <c r="R115" t="e">
        <f>IF(K115=2,"",INDEX(inj_codes,MATCH(loaded!AO115,inj,0)))</f>
        <v>#N/A</v>
      </c>
      <c r="S115" t="e">
        <f>IF(K115=2,"",INDEX(drug_codes,MATCH(loaded!AQ115,drug,0)))</f>
        <v>#N/A</v>
      </c>
      <c r="T115" t="e">
        <f>IF(K115=2,"",_xlfn.IFNA(INDEX(drug_codes,MATCH(loaded!AS115,drug,0)),""))</f>
        <v>#N/A</v>
      </c>
      <c r="U115" t="e">
        <f>IF(K115=2,"",_xlfn.IFNA(INDEX(drug_codes,MATCH(loaded!AU115,drug,0)),""))</f>
        <v>#N/A</v>
      </c>
      <c r="V115" t="e">
        <f>IF(K115=2,"",_xlfn.IFNA(INDEX(drug_codes,MATCH(loaded!AW115,drug,0)),""))</f>
        <v>#N/A</v>
      </c>
      <c r="W115" t="e">
        <f>IF(K115=2,"",_xlfn.IFNA(INDEX(drug_codes,MATCH(loaded!AY115,drug,0)),""))</f>
        <v>#N/A</v>
      </c>
      <c r="X115" t="e">
        <f>IF(K115=2,"",_xlfn.IFNA(INDEX(drug_codes,MATCH(loaded!BA115,drug,0)),""))</f>
        <v>#N/A</v>
      </c>
      <c r="Y115" t="e">
        <f>INDEX(MTT_codes,MATCH(loaded!BC115,MTT,0))</f>
        <v>#N/A</v>
      </c>
      <c r="Z115" t="str">
        <f>_xlfn.IFNA(INDEX(MTT_codes,MATCH(loaded!BE115,MTT,0)),"")</f>
        <v/>
      </c>
      <c r="AA115" t="str">
        <f>_xlfn.IFNA(INDEX(MTT_codes,MATCH(loaded!BG115,MTT,0)),"")</f>
        <v/>
      </c>
      <c r="AB115" t="str">
        <f>_xlfn.IFNA(INDEX(MTT_codes,MATCH(loaded!BI115,MTT,0)),"")</f>
        <v/>
      </c>
      <c r="AC115" t="str">
        <f>_xlfn.IFNA(INDEX(MTT_codes,MATCH(loaded!BK115,MTT,0)),"")</f>
        <v/>
      </c>
      <c r="AD115" t="str">
        <f>_xlfn.IFNA(INDEX(MTT_codes,MATCH(loaded!BM115,MTT,0)),"")</f>
        <v/>
      </c>
      <c r="AE115" t="e">
        <f>INDEX(liv_ar_codes,MATCH(loaded!BO115,liv_ar,0))</f>
        <v>#N/A</v>
      </c>
      <c r="AF115" t="str">
        <f>_xlfn.IFNA(INDEX(MTT_codes,MATCH(loaded!BQ115,MTT,0)),"")</f>
        <v/>
      </c>
      <c r="AG115">
        <f>_xlfn.IFNA(INDEX(mental_codes,MATCH(loaded!BS115,mental,0)),9)</f>
        <v>9</v>
      </c>
    </row>
    <row r="116" spans="1:33" x14ac:dyDescent="0.25">
      <c r="A116">
        <f>loaded!C116</f>
        <v>0</v>
      </c>
      <c r="B116">
        <f>loaded!I116</f>
        <v>0</v>
      </c>
      <c r="C116">
        <f>IF(loaded!K116="Male",1,IF(loaded!K116="Female",2,9))</f>
        <v>9</v>
      </c>
      <c r="D116" s="8">
        <f>loaded!M116</f>
        <v>0</v>
      </c>
      <c r="E116" t="str">
        <f>LEFT(loaded!O116,3)</f>
        <v/>
      </c>
      <c r="F116" t="e">
        <f>INDEX(cntry_codes,MATCH(loaded!Q116,countries,0))</f>
        <v>#N/A</v>
      </c>
      <c r="G116" t="e">
        <f>INDEX(atsi_codes,MATCH(loaded!S116,atsi,0))</f>
        <v>#N/A</v>
      </c>
      <c r="H116" t="e">
        <f>INDEX(lang_codes,MATCH(loaded!U116,lang,0))</f>
        <v>#N/A</v>
      </c>
      <c r="I116" s="8">
        <f>loaded!W116</f>
        <v>0</v>
      </c>
      <c r="J116" t="e">
        <f>INDEX(us_acc_codes,MATCH(loaded!Y116,us_acc,0))</f>
        <v>#N/A</v>
      </c>
      <c r="K116" t="e">
        <f>INDEX(client_codes,MATCH(loaded!AA116,client,0))</f>
        <v>#N/A</v>
      </c>
      <c r="L116" t="e">
        <f>INDEX(src_ref_codes,MATCH(loaded!AC116,src_ref,0))</f>
        <v>#N/A</v>
      </c>
      <c r="M116" s="8">
        <f>loaded!AE116</f>
        <v>0</v>
      </c>
      <c r="N116" s="8">
        <f>loaded!AG116</f>
        <v>0</v>
      </c>
      <c r="O116" t="e">
        <f>INDEX(reces_codes,MATCH(loaded!AI116,reason,0))</f>
        <v>#N/A</v>
      </c>
      <c r="P116" t="e">
        <f>INDEX(TDS_codes,MATCH(loaded!AK116,TDS,0))</f>
        <v>#N/A</v>
      </c>
      <c r="Q116" t="e">
        <f>IF(K116=2,"",INDEX(method_codes,MATCH(loaded!AM116,method,0)))</f>
        <v>#N/A</v>
      </c>
      <c r="R116" t="e">
        <f>IF(K116=2,"",INDEX(inj_codes,MATCH(loaded!AO116,inj,0)))</f>
        <v>#N/A</v>
      </c>
      <c r="S116" t="e">
        <f>IF(K116=2,"",INDEX(drug_codes,MATCH(loaded!AQ116,drug,0)))</f>
        <v>#N/A</v>
      </c>
      <c r="T116" t="e">
        <f>IF(K116=2,"",_xlfn.IFNA(INDEX(drug_codes,MATCH(loaded!AS116,drug,0)),""))</f>
        <v>#N/A</v>
      </c>
      <c r="U116" t="e">
        <f>IF(K116=2,"",_xlfn.IFNA(INDEX(drug_codes,MATCH(loaded!AU116,drug,0)),""))</f>
        <v>#N/A</v>
      </c>
      <c r="V116" t="e">
        <f>IF(K116=2,"",_xlfn.IFNA(INDEX(drug_codes,MATCH(loaded!AW116,drug,0)),""))</f>
        <v>#N/A</v>
      </c>
      <c r="W116" t="e">
        <f>IF(K116=2,"",_xlfn.IFNA(INDEX(drug_codes,MATCH(loaded!AY116,drug,0)),""))</f>
        <v>#N/A</v>
      </c>
      <c r="X116" t="e">
        <f>IF(K116=2,"",_xlfn.IFNA(INDEX(drug_codes,MATCH(loaded!BA116,drug,0)),""))</f>
        <v>#N/A</v>
      </c>
      <c r="Y116" t="e">
        <f>INDEX(MTT_codes,MATCH(loaded!BC116,MTT,0))</f>
        <v>#N/A</v>
      </c>
      <c r="Z116" t="str">
        <f>_xlfn.IFNA(INDEX(MTT_codes,MATCH(loaded!BE116,MTT,0)),"")</f>
        <v/>
      </c>
      <c r="AA116" t="str">
        <f>_xlfn.IFNA(INDEX(MTT_codes,MATCH(loaded!BG116,MTT,0)),"")</f>
        <v/>
      </c>
      <c r="AB116" t="str">
        <f>_xlfn.IFNA(INDEX(MTT_codes,MATCH(loaded!BI116,MTT,0)),"")</f>
        <v/>
      </c>
      <c r="AC116" t="str">
        <f>_xlfn.IFNA(INDEX(MTT_codes,MATCH(loaded!BK116,MTT,0)),"")</f>
        <v/>
      </c>
      <c r="AD116" t="str">
        <f>_xlfn.IFNA(INDEX(MTT_codes,MATCH(loaded!BM116,MTT,0)),"")</f>
        <v/>
      </c>
      <c r="AE116" t="e">
        <f>INDEX(liv_ar_codes,MATCH(loaded!BO116,liv_ar,0))</f>
        <v>#N/A</v>
      </c>
      <c r="AF116" t="str">
        <f>_xlfn.IFNA(INDEX(MTT_codes,MATCH(loaded!BQ116,MTT,0)),"")</f>
        <v/>
      </c>
      <c r="AG116">
        <f>_xlfn.IFNA(INDEX(mental_codes,MATCH(loaded!BS116,mental,0)),9)</f>
        <v>9</v>
      </c>
    </row>
    <row r="117" spans="1:33" x14ac:dyDescent="0.25">
      <c r="A117">
        <f>loaded!C117</f>
        <v>0</v>
      </c>
      <c r="B117">
        <f>loaded!I117</f>
        <v>0</v>
      </c>
      <c r="C117">
        <f>IF(loaded!K117="Male",1,IF(loaded!K117="Female",2,9))</f>
        <v>9</v>
      </c>
      <c r="D117" s="8">
        <f>loaded!M117</f>
        <v>0</v>
      </c>
      <c r="E117" t="str">
        <f>LEFT(loaded!O117,3)</f>
        <v/>
      </c>
      <c r="F117" t="e">
        <f>INDEX(cntry_codes,MATCH(loaded!Q117,countries,0))</f>
        <v>#N/A</v>
      </c>
      <c r="G117" t="e">
        <f>INDEX(atsi_codes,MATCH(loaded!S117,atsi,0))</f>
        <v>#N/A</v>
      </c>
      <c r="H117" t="e">
        <f>INDEX(lang_codes,MATCH(loaded!U117,lang,0))</f>
        <v>#N/A</v>
      </c>
      <c r="I117" s="8">
        <f>loaded!W117</f>
        <v>0</v>
      </c>
      <c r="J117" t="e">
        <f>INDEX(us_acc_codes,MATCH(loaded!Y117,us_acc,0))</f>
        <v>#N/A</v>
      </c>
      <c r="K117" t="e">
        <f>INDEX(client_codes,MATCH(loaded!AA117,client,0))</f>
        <v>#N/A</v>
      </c>
      <c r="L117" t="e">
        <f>INDEX(src_ref_codes,MATCH(loaded!AC117,src_ref,0))</f>
        <v>#N/A</v>
      </c>
      <c r="M117" s="8">
        <f>loaded!AE117</f>
        <v>0</v>
      </c>
      <c r="N117" s="8">
        <f>loaded!AG117</f>
        <v>0</v>
      </c>
      <c r="O117" t="e">
        <f>INDEX(reces_codes,MATCH(loaded!AI117,reason,0))</f>
        <v>#N/A</v>
      </c>
      <c r="P117" t="e">
        <f>INDEX(TDS_codes,MATCH(loaded!AK117,TDS,0))</f>
        <v>#N/A</v>
      </c>
      <c r="Q117" t="e">
        <f>IF(K117=2,"",INDEX(method_codes,MATCH(loaded!AM117,method,0)))</f>
        <v>#N/A</v>
      </c>
      <c r="R117" t="e">
        <f>IF(K117=2,"",INDEX(inj_codes,MATCH(loaded!AO117,inj,0)))</f>
        <v>#N/A</v>
      </c>
      <c r="S117" t="e">
        <f>IF(K117=2,"",INDEX(drug_codes,MATCH(loaded!AQ117,drug,0)))</f>
        <v>#N/A</v>
      </c>
      <c r="T117" t="e">
        <f>IF(K117=2,"",_xlfn.IFNA(INDEX(drug_codes,MATCH(loaded!AS117,drug,0)),""))</f>
        <v>#N/A</v>
      </c>
      <c r="U117" t="e">
        <f>IF(K117=2,"",_xlfn.IFNA(INDEX(drug_codes,MATCH(loaded!AU117,drug,0)),""))</f>
        <v>#N/A</v>
      </c>
      <c r="V117" t="e">
        <f>IF(K117=2,"",_xlfn.IFNA(INDEX(drug_codes,MATCH(loaded!AW117,drug,0)),""))</f>
        <v>#N/A</v>
      </c>
      <c r="W117" t="e">
        <f>IF(K117=2,"",_xlfn.IFNA(INDEX(drug_codes,MATCH(loaded!AY117,drug,0)),""))</f>
        <v>#N/A</v>
      </c>
      <c r="X117" t="e">
        <f>IF(K117=2,"",_xlfn.IFNA(INDEX(drug_codes,MATCH(loaded!BA117,drug,0)),""))</f>
        <v>#N/A</v>
      </c>
      <c r="Y117" t="e">
        <f>INDEX(MTT_codes,MATCH(loaded!BC117,MTT,0))</f>
        <v>#N/A</v>
      </c>
      <c r="Z117" t="str">
        <f>_xlfn.IFNA(INDEX(MTT_codes,MATCH(loaded!BE117,MTT,0)),"")</f>
        <v/>
      </c>
      <c r="AA117" t="str">
        <f>_xlfn.IFNA(INDEX(MTT_codes,MATCH(loaded!BG117,MTT,0)),"")</f>
        <v/>
      </c>
      <c r="AB117" t="str">
        <f>_xlfn.IFNA(INDEX(MTT_codes,MATCH(loaded!BI117,MTT,0)),"")</f>
        <v/>
      </c>
      <c r="AC117" t="str">
        <f>_xlfn.IFNA(INDEX(MTT_codes,MATCH(loaded!BK117,MTT,0)),"")</f>
        <v/>
      </c>
      <c r="AD117" t="str">
        <f>_xlfn.IFNA(INDEX(MTT_codes,MATCH(loaded!BM117,MTT,0)),"")</f>
        <v/>
      </c>
      <c r="AE117" t="e">
        <f>INDEX(liv_ar_codes,MATCH(loaded!BO117,liv_ar,0))</f>
        <v>#N/A</v>
      </c>
      <c r="AF117" t="str">
        <f>_xlfn.IFNA(INDEX(MTT_codes,MATCH(loaded!BQ117,MTT,0)),"")</f>
        <v/>
      </c>
      <c r="AG117">
        <f>_xlfn.IFNA(INDEX(mental_codes,MATCH(loaded!BS117,mental,0)),9)</f>
        <v>9</v>
      </c>
    </row>
    <row r="118" spans="1:33" x14ac:dyDescent="0.25">
      <c r="A118">
        <f>loaded!C118</f>
        <v>0</v>
      </c>
      <c r="B118">
        <f>loaded!I118</f>
        <v>0</v>
      </c>
      <c r="C118">
        <f>IF(loaded!K118="Male",1,IF(loaded!K118="Female",2,9))</f>
        <v>9</v>
      </c>
      <c r="D118" s="8">
        <f>loaded!M118</f>
        <v>0</v>
      </c>
      <c r="E118" t="str">
        <f>LEFT(loaded!O118,3)</f>
        <v/>
      </c>
      <c r="F118" t="e">
        <f>INDEX(cntry_codes,MATCH(loaded!Q118,countries,0))</f>
        <v>#N/A</v>
      </c>
      <c r="G118" t="e">
        <f>INDEX(atsi_codes,MATCH(loaded!S118,atsi,0))</f>
        <v>#N/A</v>
      </c>
      <c r="H118" t="e">
        <f>INDEX(lang_codes,MATCH(loaded!U118,lang,0))</f>
        <v>#N/A</v>
      </c>
      <c r="I118" s="8">
        <f>loaded!W118</f>
        <v>0</v>
      </c>
      <c r="J118" t="e">
        <f>INDEX(us_acc_codes,MATCH(loaded!Y118,us_acc,0))</f>
        <v>#N/A</v>
      </c>
      <c r="K118" t="e">
        <f>INDEX(client_codes,MATCH(loaded!AA118,client,0))</f>
        <v>#N/A</v>
      </c>
      <c r="L118" t="e">
        <f>INDEX(src_ref_codes,MATCH(loaded!AC118,src_ref,0))</f>
        <v>#N/A</v>
      </c>
      <c r="M118" s="8">
        <f>loaded!AE118</f>
        <v>0</v>
      </c>
      <c r="N118" s="8">
        <f>loaded!AG118</f>
        <v>0</v>
      </c>
      <c r="O118" t="e">
        <f>INDEX(reces_codes,MATCH(loaded!AI118,reason,0))</f>
        <v>#N/A</v>
      </c>
      <c r="P118" t="e">
        <f>INDEX(TDS_codes,MATCH(loaded!AK118,TDS,0))</f>
        <v>#N/A</v>
      </c>
      <c r="Q118" t="e">
        <f>IF(K118=2,"",INDEX(method_codes,MATCH(loaded!AM118,method,0)))</f>
        <v>#N/A</v>
      </c>
      <c r="R118" t="e">
        <f>IF(K118=2,"",INDEX(inj_codes,MATCH(loaded!AO118,inj,0)))</f>
        <v>#N/A</v>
      </c>
      <c r="S118" t="e">
        <f>IF(K118=2,"",INDEX(drug_codes,MATCH(loaded!AQ118,drug,0)))</f>
        <v>#N/A</v>
      </c>
      <c r="T118" t="e">
        <f>IF(K118=2,"",_xlfn.IFNA(INDEX(drug_codes,MATCH(loaded!AS118,drug,0)),""))</f>
        <v>#N/A</v>
      </c>
      <c r="U118" t="e">
        <f>IF(K118=2,"",_xlfn.IFNA(INDEX(drug_codes,MATCH(loaded!AU118,drug,0)),""))</f>
        <v>#N/A</v>
      </c>
      <c r="V118" t="e">
        <f>IF(K118=2,"",_xlfn.IFNA(INDEX(drug_codes,MATCH(loaded!AW118,drug,0)),""))</f>
        <v>#N/A</v>
      </c>
      <c r="W118" t="e">
        <f>IF(K118=2,"",_xlfn.IFNA(INDEX(drug_codes,MATCH(loaded!AY118,drug,0)),""))</f>
        <v>#N/A</v>
      </c>
      <c r="X118" t="e">
        <f>IF(K118=2,"",_xlfn.IFNA(INDEX(drug_codes,MATCH(loaded!BA118,drug,0)),""))</f>
        <v>#N/A</v>
      </c>
      <c r="Y118" t="e">
        <f>INDEX(MTT_codes,MATCH(loaded!BC118,MTT,0))</f>
        <v>#N/A</v>
      </c>
      <c r="Z118" t="str">
        <f>_xlfn.IFNA(INDEX(MTT_codes,MATCH(loaded!BE118,MTT,0)),"")</f>
        <v/>
      </c>
      <c r="AA118" t="str">
        <f>_xlfn.IFNA(INDEX(MTT_codes,MATCH(loaded!BG118,MTT,0)),"")</f>
        <v/>
      </c>
      <c r="AB118" t="str">
        <f>_xlfn.IFNA(INDEX(MTT_codes,MATCH(loaded!BI118,MTT,0)),"")</f>
        <v/>
      </c>
      <c r="AC118" t="str">
        <f>_xlfn.IFNA(INDEX(MTT_codes,MATCH(loaded!BK118,MTT,0)),"")</f>
        <v/>
      </c>
      <c r="AD118" t="str">
        <f>_xlfn.IFNA(INDEX(MTT_codes,MATCH(loaded!BM118,MTT,0)),"")</f>
        <v/>
      </c>
      <c r="AE118" t="e">
        <f>INDEX(liv_ar_codes,MATCH(loaded!BO118,liv_ar,0))</f>
        <v>#N/A</v>
      </c>
      <c r="AF118" t="str">
        <f>_xlfn.IFNA(INDEX(MTT_codes,MATCH(loaded!BQ118,MTT,0)),"")</f>
        <v/>
      </c>
      <c r="AG118">
        <f>_xlfn.IFNA(INDEX(mental_codes,MATCH(loaded!BS118,mental,0)),9)</f>
        <v>9</v>
      </c>
    </row>
    <row r="119" spans="1:33" x14ac:dyDescent="0.25">
      <c r="A119">
        <f>loaded!C119</f>
        <v>0</v>
      </c>
      <c r="B119">
        <f>loaded!I119</f>
        <v>0</v>
      </c>
      <c r="C119">
        <f>IF(loaded!K119="Male",1,IF(loaded!K119="Female",2,9))</f>
        <v>9</v>
      </c>
      <c r="D119" s="8">
        <f>loaded!M119</f>
        <v>0</v>
      </c>
      <c r="E119" t="str">
        <f>LEFT(loaded!O119,3)</f>
        <v/>
      </c>
      <c r="F119" t="e">
        <f>INDEX(cntry_codes,MATCH(loaded!Q119,countries,0))</f>
        <v>#N/A</v>
      </c>
      <c r="G119" t="e">
        <f>INDEX(atsi_codes,MATCH(loaded!S119,atsi,0))</f>
        <v>#N/A</v>
      </c>
      <c r="H119" t="e">
        <f>INDEX(lang_codes,MATCH(loaded!U119,lang,0))</f>
        <v>#N/A</v>
      </c>
      <c r="I119" s="8">
        <f>loaded!W119</f>
        <v>0</v>
      </c>
      <c r="J119" t="e">
        <f>INDEX(us_acc_codes,MATCH(loaded!Y119,us_acc,0))</f>
        <v>#N/A</v>
      </c>
      <c r="K119" t="e">
        <f>INDEX(client_codes,MATCH(loaded!AA119,client,0))</f>
        <v>#N/A</v>
      </c>
      <c r="L119" t="e">
        <f>INDEX(src_ref_codes,MATCH(loaded!AC119,src_ref,0))</f>
        <v>#N/A</v>
      </c>
      <c r="M119" s="8">
        <f>loaded!AE119</f>
        <v>0</v>
      </c>
      <c r="N119" s="8">
        <f>loaded!AG119</f>
        <v>0</v>
      </c>
      <c r="O119" t="e">
        <f>INDEX(reces_codes,MATCH(loaded!AI119,reason,0))</f>
        <v>#N/A</v>
      </c>
      <c r="P119" t="e">
        <f>INDEX(TDS_codes,MATCH(loaded!AK119,TDS,0))</f>
        <v>#N/A</v>
      </c>
      <c r="Q119" t="e">
        <f>IF(K119=2,"",INDEX(method_codes,MATCH(loaded!AM119,method,0)))</f>
        <v>#N/A</v>
      </c>
      <c r="R119" t="e">
        <f>IF(K119=2,"",INDEX(inj_codes,MATCH(loaded!AO119,inj,0)))</f>
        <v>#N/A</v>
      </c>
      <c r="S119" t="e">
        <f>IF(K119=2,"",INDEX(drug_codes,MATCH(loaded!AQ119,drug,0)))</f>
        <v>#N/A</v>
      </c>
      <c r="T119" t="e">
        <f>IF(K119=2,"",_xlfn.IFNA(INDEX(drug_codes,MATCH(loaded!AS119,drug,0)),""))</f>
        <v>#N/A</v>
      </c>
      <c r="U119" t="e">
        <f>IF(K119=2,"",_xlfn.IFNA(INDEX(drug_codes,MATCH(loaded!AU119,drug,0)),""))</f>
        <v>#N/A</v>
      </c>
      <c r="V119" t="e">
        <f>IF(K119=2,"",_xlfn.IFNA(INDEX(drug_codes,MATCH(loaded!AW119,drug,0)),""))</f>
        <v>#N/A</v>
      </c>
      <c r="W119" t="e">
        <f>IF(K119=2,"",_xlfn.IFNA(INDEX(drug_codes,MATCH(loaded!AY119,drug,0)),""))</f>
        <v>#N/A</v>
      </c>
      <c r="X119" t="e">
        <f>IF(K119=2,"",_xlfn.IFNA(INDEX(drug_codes,MATCH(loaded!BA119,drug,0)),""))</f>
        <v>#N/A</v>
      </c>
      <c r="Y119" t="e">
        <f>INDEX(MTT_codes,MATCH(loaded!BC119,MTT,0))</f>
        <v>#N/A</v>
      </c>
      <c r="Z119" t="str">
        <f>_xlfn.IFNA(INDEX(MTT_codes,MATCH(loaded!BE119,MTT,0)),"")</f>
        <v/>
      </c>
      <c r="AA119" t="str">
        <f>_xlfn.IFNA(INDEX(MTT_codes,MATCH(loaded!BG119,MTT,0)),"")</f>
        <v/>
      </c>
      <c r="AB119" t="str">
        <f>_xlfn.IFNA(INDEX(MTT_codes,MATCH(loaded!BI119,MTT,0)),"")</f>
        <v/>
      </c>
      <c r="AC119" t="str">
        <f>_xlfn.IFNA(INDEX(MTT_codes,MATCH(loaded!BK119,MTT,0)),"")</f>
        <v/>
      </c>
      <c r="AD119" t="str">
        <f>_xlfn.IFNA(INDEX(MTT_codes,MATCH(loaded!BM119,MTT,0)),"")</f>
        <v/>
      </c>
      <c r="AE119" t="e">
        <f>INDEX(liv_ar_codes,MATCH(loaded!BO119,liv_ar,0))</f>
        <v>#N/A</v>
      </c>
      <c r="AF119" t="str">
        <f>_xlfn.IFNA(INDEX(MTT_codes,MATCH(loaded!BQ119,MTT,0)),"")</f>
        <v/>
      </c>
      <c r="AG119">
        <f>_xlfn.IFNA(INDEX(mental_codes,MATCH(loaded!BS119,mental,0)),9)</f>
        <v>9</v>
      </c>
    </row>
    <row r="120" spans="1:33" x14ac:dyDescent="0.25">
      <c r="A120">
        <f>loaded!C120</f>
        <v>0</v>
      </c>
      <c r="B120">
        <f>loaded!I120</f>
        <v>0</v>
      </c>
      <c r="C120">
        <f>IF(loaded!K120="Male",1,IF(loaded!K120="Female",2,9))</f>
        <v>9</v>
      </c>
      <c r="D120" s="8">
        <f>loaded!M120</f>
        <v>0</v>
      </c>
      <c r="E120" t="str">
        <f>LEFT(loaded!O120,3)</f>
        <v/>
      </c>
      <c r="F120" t="e">
        <f>INDEX(cntry_codes,MATCH(loaded!Q120,countries,0))</f>
        <v>#N/A</v>
      </c>
      <c r="G120" t="e">
        <f>INDEX(atsi_codes,MATCH(loaded!S120,atsi,0))</f>
        <v>#N/A</v>
      </c>
      <c r="H120" t="e">
        <f>INDEX(lang_codes,MATCH(loaded!U120,lang,0))</f>
        <v>#N/A</v>
      </c>
      <c r="I120" s="8">
        <f>loaded!W120</f>
        <v>0</v>
      </c>
      <c r="J120" t="e">
        <f>INDEX(us_acc_codes,MATCH(loaded!Y120,us_acc,0))</f>
        <v>#N/A</v>
      </c>
      <c r="K120" t="e">
        <f>INDEX(client_codes,MATCH(loaded!AA120,client,0))</f>
        <v>#N/A</v>
      </c>
      <c r="L120" t="e">
        <f>INDEX(src_ref_codes,MATCH(loaded!AC120,src_ref,0))</f>
        <v>#N/A</v>
      </c>
      <c r="M120" s="8">
        <f>loaded!AE120</f>
        <v>0</v>
      </c>
      <c r="N120" s="8">
        <f>loaded!AG120</f>
        <v>0</v>
      </c>
      <c r="O120" t="e">
        <f>INDEX(reces_codes,MATCH(loaded!AI120,reason,0))</f>
        <v>#N/A</v>
      </c>
      <c r="P120" t="e">
        <f>INDEX(TDS_codes,MATCH(loaded!AK120,TDS,0))</f>
        <v>#N/A</v>
      </c>
      <c r="Q120" t="e">
        <f>IF(K120=2,"",INDEX(method_codes,MATCH(loaded!AM120,method,0)))</f>
        <v>#N/A</v>
      </c>
      <c r="R120" t="e">
        <f>IF(K120=2,"",INDEX(inj_codes,MATCH(loaded!AO120,inj,0)))</f>
        <v>#N/A</v>
      </c>
      <c r="S120" t="e">
        <f>IF(K120=2,"",INDEX(drug_codes,MATCH(loaded!AQ120,drug,0)))</f>
        <v>#N/A</v>
      </c>
      <c r="T120" t="e">
        <f>IF(K120=2,"",_xlfn.IFNA(INDEX(drug_codes,MATCH(loaded!AS120,drug,0)),""))</f>
        <v>#N/A</v>
      </c>
      <c r="U120" t="e">
        <f>IF(K120=2,"",_xlfn.IFNA(INDEX(drug_codes,MATCH(loaded!AU120,drug,0)),""))</f>
        <v>#N/A</v>
      </c>
      <c r="V120" t="e">
        <f>IF(K120=2,"",_xlfn.IFNA(INDEX(drug_codes,MATCH(loaded!AW120,drug,0)),""))</f>
        <v>#N/A</v>
      </c>
      <c r="W120" t="e">
        <f>IF(K120=2,"",_xlfn.IFNA(INDEX(drug_codes,MATCH(loaded!AY120,drug,0)),""))</f>
        <v>#N/A</v>
      </c>
      <c r="X120" t="e">
        <f>IF(K120=2,"",_xlfn.IFNA(INDEX(drug_codes,MATCH(loaded!BA120,drug,0)),""))</f>
        <v>#N/A</v>
      </c>
      <c r="Y120" t="e">
        <f>INDEX(MTT_codes,MATCH(loaded!BC120,MTT,0))</f>
        <v>#N/A</v>
      </c>
      <c r="Z120" t="str">
        <f>_xlfn.IFNA(INDEX(MTT_codes,MATCH(loaded!BE120,MTT,0)),"")</f>
        <v/>
      </c>
      <c r="AA120" t="str">
        <f>_xlfn.IFNA(INDEX(MTT_codes,MATCH(loaded!BG120,MTT,0)),"")</f>
        <v/>
      </c>
      <c r="AB120" t="str">
        <f>_xlfn.IFNA(INDEX(MTT_codes,MATCH(loaded!BI120,MTT,0)),"")</f>
        <v/>
      </c>
      <c r="AC120" t="str">
        <f>_xlfn.IFNA(INDEX(MTT_codes,MATCH(loaded!BK120,MTT,0)),"")</f>
        <v/>
      </c>
      <c r="AD120" t="str">
        <f>_xlfn.IFNA(INDEX(MTT_codes,MATCH(loaded!BM120,MTT,0)),"")</f>
        <v/>
      </c>
      <c r="AE120" t="e">
        <f>INDEX(liv_ar_codes,MATCH(loaded!BO120,liv_ar,0))</f>
        <v>#N/A</v>
      </c>
      <c r="AF120" t="str">
        <f>_xlfn.IFNA(INDEX(MTT_codes,MATCH(loaded!BQ120,MTT,0)),"")</f>
        <v/>
      </c>
      <c r="AG120">
        <f>_xlfn.IFNA(INDEX(mental_codes,MATCH(loaded!BS120,mental,0)),9)</f>
        <v>9</v>
      </c>
    </row>
    <row r="121" spans="1:33" x14ac:dyDescent="0.25">
      <c r="A121">
        <f>loaded!C121</f>
        <v>0</v>
      </c>
      <c r="B121">
        <f>loaded!I121</f>
        <v>0</v>
      </c>
      <c r="C121">
        <f>IF(loaded!K121="Male",1,IF(loaded!K121="Female",2,9))</f>
        <v>9</v>
      </c>
      <c r="D121" s="8">
        <f>loaded!M121</f>
        <v>0</v>
      </c>
      <c r="E121" t="str">
        <f>LEFT(loaded!O121,3)</f>
        <v/>
      </c>
      <c r="F121" t="e">
        <f>INDEX(cntry_codes,MATCH(loaded!Q121,countries,0))</f>
        <v>#N/A</v>
      </c>
      <c r="G121" t="e">
        <f>INDEX(atsi_codes,MATCH(loaded!S121,atsi,0))</f>
        <v>#N/A</v>
      </c>
      <c r="H121" t="e">
        <f>INDEX(lang_codes,MATCH(loaded!U121,lang,0))</f>
        <v>#N/A</v>
      </c>
      <c r="I121" s="8">
        <f>loaded!W121</f>
        <v>0</v>
      </c>
      <c r="J121" t="e">
        <f>INDEX(us_acc_codes,MATCH(loaded!Y121,us_acc,0))</f>
        <v>#N/A</v>
      </c>
      <c r="K121" t="e">
        <f>INDEX(client_codes,MATCH(loaded!AA121,client,0))</f>
        <v>#N/A</v>
      </c>
      <c r="L121" t="e">
        <f>INDEX(src_ref_codes,MATCH(loaded!AC121,src_ref,0))</f>
        <v>#N/A</v>
      </c>
      <c r="M121" s="8">
        <f>loaded!AE121</f>
        <v>0</v>
      </c>
      <c r="N121" s="8">
        <f>loaded!AG121</f>
        <v>0</v>
      </c>
      <c r="O121" t="e">
        <f>INDEX(reces_codes,MATCH(loaded!AI121,reason,0))</f>
        <v>#N/A</v>
      </c>
      <c r="P121" t="e">
        <f>INDEX(TDS_codes,MATCH(loaded!AK121,TDS,0))</f>
        <v>#N/A</v>
      </c>
      <c r="Q121" t="e">
        <f>IF(K121=2,"",INDEX(method_codes,MATCH(loaded!AM121,method,0)))</f>
        <v>#N/A</v>
      </c>
      <c r="R121" t="e">
        <f>IF(K121=2,"",INDEX(inj_codes,MATCH(loaded!AO121,inj,0)))</f>
        <v>#N/A</v>
      </c>
      <c r="S121" t="e">
        <f>IF(K121=2,"",INDEX(drug_codes,MATCH(loaded!AQ121,drug,0)))</f>
        <v>#N/A</v>
      </c>
      <c r="T121" t="e">
        <f>IF(K121=2,"",_xlfn.IFNA(INDEX(drug_codes,MATCH(loaded!AS121,drug,0)),""))</f>
        <v>#N/A</v>
      </c>
      <c r="U121" t="e">
        <f>IF(K121=2,"",_xlfn.IFNA(INDEX(drug_codes,MATCH(loaded!AU121,drug,0)),""))</f>
        <v>#N/A</v>
      </c>
      <c r="V121" t="e">
        <f>IF(K121=2,"",_xlfn.IFNA(INDEX(drug_codes,MATCH(loaded!AW121,drug,0)),""))</f>
        <v>#N/A</v>
      </c>
      <c r="W121" t="e">
        <f>IF(K121=2,"",_xlfn.IFNA(INDEX(drug_codes,MATCH(loaded!AY121,drug,0)),""))</f>
        <v>#N/A</v>
      </c>
      <c r="X121" t="e">
        <f>IF(K121=2,"",_xlfn.IFNA(INDEX(drug_codes,MATCH(loaded!BA121,drug,0)),""))</f>
        <v>#N/A</v>
      </c>
      <c r="Y121" t="e">
        <f>INDEX(MTT_codes,MATCH(loaded!BC121,MTT,0))</f>
        <v>#N/A</v>
      </c>
      <c r="Z121" t="str">
        <f>_xlfn.IFNA(INDEX(MTT_codes,MATCH(loaded!BE121,MTT,0)),"")</f>
        <v/>
      </c>
      <c r="AA121" t="str">
        <f>_xlfn.IFNA(INDEX(MTT_codes,MATCH(loaded!BG121,MTT,0)),"")</f>
        <v/>
      </c>
      <c r="AB121" t="str">
        <f>_xlfn.IFNA(INDEX(MTT_codes,MATCH(loaded!BI121,MTT,0)),"")</f>
        <v/>
      </c>
      <c r="AC121" t="str">
        <f>_xlfn.IFNA(INDEX(MTT_codes,MATCH(loaded!BK121,MTT,0)),"")</f>
        <v/>
      </c>
      <c r="AD121" t="str">
        <f>_xlfn.IFNA(INDEX(MTT_codes,MATCH(loaded!BM121,MTT,0)),"")</f>
        <v/>
      </c>
      <c r="AE121" t="e">
        <f>INDEX(liv_ar_codes,MATCH(loaded!BO121,liv_ar,0))</f>
        <v>#N/A</v>
      </c>
      <c r="AF121" t="str">
        <f>_xlfn.IFNA(INDEX(MTT_codes,MATCH(loaded!BQ121,MTT,0)),"")</f>
        <v/>
      </c>
      <c r="AG121">
        <f>_xlfn.IFNA(INDEX(mental_codes,MATCH(loaded!BS121,mental,0)),9)</f>
        <v>9</v>
      </c>
    </row>
    <row r="122" spans="1:33" x14ac:dyDescent="0.25">
      <c r="A122">
        <f>loaded!C122</f>
        <v>0</v>
      </c>
      <c r="B122">
        <f>loaded!I122</f>
        <v>0</v>
      </c>
      <c r="C122">
        <f>IF(loaded!K122="Male",1,IF(loaded!K122="Female",2,9))</f>
        <v>9</v>
      </c>
      <c r="D122" s="8">
        <f>loaded!M122</f>
        <v>0</v>
      </c>
      <c r="E122" t="str">
        <f>LEFT(loaded!O122,3)</f>
        <v/>
      </c>
      <c r="F122" t="e">
        <f>INDEX(cntry_codes,MATCH(loaded!Q122,countries,0))</f>
        <v>#N/A</v>
      </c>
      <c r="G122" t="e">
        <f>INDEX(atsi_codes,MATCH(loaded!S122,atsi,0))</f>
        <v>#N/A</v>
      </c>
      <c r="H122" t="e">
        <f>INDEX(lang_codes,MATCH(loaded!U122,lang,0))</f>
        <v>#N/A</v>
      </c>
      <c r="I122" s="8">
        <f>loaded!W122</f>
        <v>0</v>
      </c>
      <c r="J122" t="e">
        <f>INDEX(us_acc_codes,MATCH(loaded!Y122,us_acc,0))</f>
        <v>#N/A</v>
      </c>
      <c r="K122" t="e">
        <f>INDEX(client_codes,MATCH(loaded!AA122,client,0))</f>
        <v>#N/A</v>
      </c>
      <c r="L122" t="e">
        <f>INDEX(src_ref_codes,MATCH(loaded!AC122,src_ref,0))</f>
        <v>#N/A</v>
      </c>
      <c r="M122" s="8">
        <f>loaded!AE122</f>
        <v>0</v>
      </c>
      <c r="N122" s="8">
        <f>loaded!AG122</f>
        <v>0</v>
      </c>
      <c r="O122" t="e">
        <f>INDEX(reces_codes,MATCH(loaded!AI122,reason,0))</f>
        <v>#N/A</v>
      </c>
      <c r="P122" t="e">
        <f>INDEX(TDS_codes,MATCH(loaded!AK122,TDS,0))</f>
        <v>#N/A</v>
      </c>
      <c r="Q122" t="e">
        <f>IF(K122=2,"",INDEX(method_codes,MATCH(loaded!AM122,method,0)))</f>
        <v>#N/A</v>
      </c>
      <c r="R122" t="e">
        <f>IF(K122=2,"",INDEX(inj_codes,MATCH(loaded!AO122,inj,0)))</f>
        <v>#N/A</v>
      </c>
      <c r="S122" t="e">
        <f>IF(K122=2,"",INDEX(drug_codes,MATCH(loaded!AQ122,drug,0)))</f>
        <v>#N/A</v>
      </c>
      <c r="T122" t="e">
        <f>IF(K122=2,"",_xlfn.IFNA(INDEX(drug_codes,MATCH(loaded!AS122,drug,0)),""))</f>
        <v>#N/A</v>
      </c>
      <c r="U122" t="e">
        <f>IF(K122=2,"",_xlfn.IFNA(INDEX(drug_codes,MATCH(loaded!AU122,drug,0)),""))</f>
        <v>#N/A</v>
      </c>
      <c r="V122" t="e">
        <f>IF(K122=2,"",_xlfn.IFNA(INDEX(drug_codes,MATCH(loaded!AW122,drug,0)),""))</f>
        <v>#N/A</v>
      </c>
      <c r="W122" t="e">
        <f>IF(K122=2,"",_xlfn.IFNA(INDEX(drug_codes,MATCH(loaded!AY122,drug,0)),""))</f>
        <v>#N/A</v>
      </c>
      <c r="X122" t="e">
        <f>IF(K122=2,"",_xlfn.IFNA(INDEX(drug_codes,MATCH(loaded!BA122,drug,0)),""))</f>
        <v>#N/A</v>
      </c>
      <c r="Y122" t="e">
        <f>INDEX(MTT_codes,MATCH(loaded!BC122,MTT,0))</f>
        <v>#N/A</v>
      </c>
      <c r="Z122" t="str">
        <f>_xlfn.IFNA(INDEX(MTT_codes,MATCH(loaded!BE122,MTT,0)),"")</f>
        <v/>
      </c>
      <c r="AA122" t="str">
        <f>_xlfn.IFNA(INDEX(MTT_codes,MATCH(loaded!BG122,MTT,0)),"")</f>
        <v/>
      </c>
      <c r="AB122" t="str">
        <f>_xlfn.IFNA(INDEX(MTT_codes,MATCH(loaded!BI122,MTT,0)),"")</f>
        <v/>
      </c>
      <c r="AC122" t="str">
        <f>_xlfn.IFNA(INDEX(MTT_codes,MATCH(loaded!BK122,MTT,0)),"")</f>
        <v/>
      </c>
      <c r="AD122" t="str">
        <f>_xlfn.IFNA(INDEX(MTT_codes,MATCH(loaded!BM122,MTT,0)),"")</f>
        <v/>
      </c>
      <c r="AE122" t="e">
        <f>INDEX(liv_ar_codes,MATCH(loaded!BO122,liv_ar,0))</f>
        <v>#N/A</v>
      </c>
      <c r="AF122" t="str">
        <f>_xlfn.IFNA(INDEX(MTT_codes,MATCH(loaded!BQ122,MTT,0)),"")</f>
        <v/>
      </c>
      <c r="AG122">
        <f>_xlfn.IFNA(INDEX(mental_codes,MATCH(loaded!BS122,mental,0)),9)</f>
        <v>9</v>
      </c>
    </row>
    <row r="123" spans="1:33" x14ac:dyDescent="0.25">
      <c r="A123">
        <f>loaded!C123</f>
        <v>0</v>
      </c>
      <c r="B123">
        <f>loaded!I123</f>
        <v>0</v>
      </c>
      <c r="C123">
        <f>IF(loaded!K123="Male",1,IF(loaded!K123="Female",2,9))</f>
        <v>9</v>
      </c>
      <c r="D123" s="8">
        <f>loaded!M123</f>
        <v>0</v>
      </c>
      <c r="E123" t="str">
        <f>LEFT(loaded!O123,3)</f>
        <v/>
      </c>
      <c r="F123" t="e">
        <f>INDEX(cntry_codes,MATCH(loaded!Q123,countries,0))</f>
        <v>#N/A</v>
      </c>
      <c r="G123" t="e">
        <f>INDEX(atsi_codes,MATCH(loaded!S123,atsi,0))</f>
        <v>#N/A</v>
      </c>
      <c r="H123" t="e">
        <f>INDEX(lang_codes,MATCH(loaded!U123,lang,0))</f>
        <v>#N/A</v>
      </c>
      <c r="I123" s="8">
        <f>loaded!W123</f>
        <v>0</v>
      </c>
      <c r="J123" t="e">
        <f>INDEX(us_acc_codes,MATCH(loaded!Y123,us_acc,0))</f>
        <v>#N/A</v>
      </c>
      <c r="K123" t="e">
        <f>INDEX(client_codes,MATCH(loaded!AA123,client,0))</f>
        <v>#N/A</v>
      </c>
      <c r="L123" t="e">
        <f>INDEX(src_ref_codes,MATCH(loaded!AC123,src_ref,0))</f>
        <v>#N/A</v>
      </c>
      <c r="M123" s="8">
        <f>loaded!AE123</f>
        <v>0</v>
      </c>
      <c r="N123" s="8">
        <f>loaded!AG123</f>
        <v>0</v>
      </c>
      <c r="O123" t="e">
        <f>INDEX(reces_codes,MATCH(loaded!AI123,reason,0))</f>
        <v>#N/A</v>
      </c>
      <c r="P123" t="e">
        <f>INDEX(TDS_codes,MATCH(loaded!AK123,TDS,0))</f>
        <v>#N/A</v>
      </c>
      <c r="Q123" t="e">
        <f>IF(K123=2,"",INDEX(method_codes,MATCH(loaded!AM123,method,0)))</f>
        <v>#N/A</v>
      </c>
      <c r="R123" t="e">
        <f>IF(K123=2,"",INDEX(inj_codes,MATCH(loaded!AO123,inj,0)))</f>
        <v>#N/A</v>
      </c>
      <c r="S123" t="e">
        <f>IF(K123=2,"",INDEX(drug_codes,MATCH(loaded!AQ123,drug,0)))</f>
        <v>#N/A</v>
      </c>
      <c r="T123" t="e">
        <f>IF(K123=2,"",_xlfn.IFNA(INDEX(drug_codes,MATCH(loaded!AS123,drug,0)),""))</f>
        <v>#N/A</v>
      </c>
      <c r="U123" t="e">
        <f>IF(K123=2,"",_xlfn.IFNA(INDEX(drug_codes,MATCH(loaded!AU123,drug,0)),""))</f>
        <v>#N/A</v>
      </c>
      <c r="V123" t="e">
        <f>IF(K123=2,"",_xlfn.IFNA(INDEX(drug_codes,MATCH(loaded!AW123,drug,0)),""))</f>
        <v>#N/A</v>
      </c>
      <c r="W123" t="e">
        <f>IF(K123=2,"",_xlfn.IFNA(INDEX(drug_codes,MATCH(loaded!AY123,drug,0)),""))</f>
        <v>#N/A</v>
      </c>
      <c r="X123" t="e">
        <f>IF(K123=2,"",_xlfn.IFNA(INDEX(drug_codes,MATCH(loaded!BA123,drug,0)),""))</f>
        <v>#N/A</v>
      </c>
      <c r="Y123" t="e">
        <f>INDEX(MTT_codes,MATCH(loaded!BC123,MTT,0))</f>
        <v>#N/A</v>
      </c>
      <c r="Z123" t="str">
        <f>_xlfn.IFNA(INDEX(MTT_codes,MATCH(loaded!BE123,MTT,0)),"")</f>
        <v/>
      </c>
      <c r="AA123" t="str">
        <f>_xlfn.IFNA(INDEX(MTT_codes,MATCH(loaded!BG123,MTT,0)),"")</f>
        <v/>
      </c>
      <c r="AB123" t="str">
        <f>_xlfn.IFNA(INDEX(MTT_codes,MATCH(loaded!BI123,MTT,0)),"")</f>
        <v/>
      </c>
      <c r="AC123" t="str">
        <f>_xlfn.IFNA(INDEX(MTT_codes,MATCH(loaded!BK123,MTT,0)),"")</f>
        <v/>
      </c>
      <c r="AD123" t="str">
        <f>_xlfn.IFNA(INDEX(MTT_codes,MATCH(loaded!BM123,MTT,0)),"")</f>
        <v/>
      </c>
      <c r="AE123" t="e">
        <f>INDEX(liv_ar_codes,MATCH(loaded!BO123,liv_ar,0))</f>
        <v>#N/A</v>
      </c>
      <c r="AF123" t="str">
        <f>_xlfn.IFNA(INDEX(MTT_codes,MATCH(loaded!BQ123,MTT,0)),"")</f>
        <v/>
      </c>
      <c r="AG123">
        <f>_xlfn.IFNA(INDEX(mental_codes,MATCH(loaded!BS123,mental,0)),9)</f>
        <v>9</v>
      </c>
    </row>
    <row r="124" spans="1:33" x14ac:dyDescent="0.25">
      <c r="A124">
        <f>loaded!C124</f>
        <v>0</v>
      </c>
      <c r="B124">
        <f>loaded!I124</f>
        <v>0</v>
      </c>
      <c r="C124">
        <f>IF(loaded!K124="Male",1,IF(loaded!K124="Female",2,9))</f>
        <v>9</v>
      </c>
      <c r="D124" s="8">
        <f>loaded!M124</f>
        <v>0</v>
      </c>
      <c r="E124" t="str">
        <f>LEFT(loaded!O124,3)</f>
        <v/>
      </c>
      <c r="F124" t="e">
        <f>INDEX(cntry_codes,MATCH(loaded!Q124,countries,0))</f>
        <v>#N/A</v>
      </c>
      <c r="G124" t="e">
        <f>INDEX(atsi_codes,MATCH(loaded!S124,atsi,0))</f>
        <v>#N/A</v>
      </c>
      <c r="H124" t="e">
        <f>INDEX(lang_codes,MATCH(loaded!U124,lang,0))</f>
        <v>#N/A</v>
      </c>
      <c r="I124" s="8">
        <f>loaded!W124</f>
        <v>0</v>
      </c>
      <c r="J124" t="e">
        <f>INDEX(us_acc_codes,MATCH(loaded!Y124,us_acc,0))</f>
        <v>#N/A</v>
      </c>
      <c r="K124" t="e">
        <f>INDEX(client_codes,MATCH(loaded!AA124,client,0))</f>
        <v>#N/A</v>
      </c>
      <c r="L124" t="e">
        <f>INDEX(src_ref_codes,MATCH(loaded!AC124,src_ref,0))</f>
        <v>#N/A</v>
      </c>
      <c r="M124" s="8">
        <f>loaded!AE124</f>
        <v>0</v>
      </c>
      <c r="N124" s="8">
        <f>loaded!AG124</f>
        <v>0</v>
      </c>
      <c r="O124" t="e">
        <f>INDEX(reces_codes,MATCH(loaded!AI124,reason,0))</f>
        <v>#N/A</v>
      </c>
      <c r="P124" t="e">
        <f>INDEX(TDS_codes,MATCH(loaded!AK124,TDS,0))</f>
        <v>#N/A</v>
      </c>
      <c r="Q124" t="e">
        <f>IF(K124=2,"",INDEX(method_codes,MATCH(loaded!AM124,method,0)))</f>
        <v>#N/A</v>
      </c>
      <c r="R124" t="e">
        <f>IF(K124=2,"",INDEX(inj_codes,MATCH(loaded!AO124,inj,0)))</f>
        <v>#N/A</v>
      </c>
      <c r="S124" t="e">
        <f>IF(K124=2,"",INDEX(drug_codes,MATCH(loaded!AQ124,drug,0)))</f>
        <v>#N/A</v>
      </c>
      <c r="T124" t="e">
        <f>IF(K124=2,"",_xlfn.IFNA(INDEX(drug_codes,MATCH(loaded!AS124,drug,0)),""))</f>
        <v>#N/A</v>
      </c>
      <c r="U124" t="e">
        <f>IF(K124=2,"",_xlfn.IFNA(INDEX(drug_codes,MATCH(loaded!AU124,drug,0)),""))</f>
        <v>#N/A</v>
      </c>
      <c r="V124" t="e">
        <f>IF(K124=2,"",_xlfn.IFNA(INDEX(drug_codes,MATCH(loaded!AW124,drug,0)),""))</f>
        <v>#N/A</v>
      </c>
      <c r="W124" t="e">
        <f>IF(K124=2,"",_xlfn.IFNA(INDEX(drug_codes,MATCH(loaded!AY124,drug,0)),""))</f>
        <v>#N/A</v>
      </c>
      <c r="X124" t="e">
        <f>IF(K124=2,"",_xlfn.IFNA(INDEX(drug_codes,MATCH(loaded!BA124,drug,0)),""))</f>
        <v>#N/A</v>
      </c>
      <c r="Y124" t="e">
        <f>INDEX(MTT_codes,MATCH(loaded!BC124,MTT,0))</f>
        <v>#N/A</v>
      </c>
      <c r="Z124" t="str">
        <f>_xlfn.IFNA(INDEX(MTT_codes,MATCH(loaded!BE124,MTT,0)),"")</f>
        <v/>
      </c>
      <c r="AA124" t="str">
        <f>_xlfn.IFNA(INDEX(MTT_codes,MATCH(loaded!BG124,MTT,0)),"")</f>
        <v/>
      </c>
      <c r="AB124" t="str">
        <f>_xlfn.IFNA(INDEX(MTT_codes,MATCH(loaded!BI124,MTT,0)),"")</f>
        <v/>
      </c>
      <c r="AC124" t="str">
        <f>_xlfn.IFNA(INDEX(MTT_codes,MATCH(loaded!BK124,MTT,0)),"")</f>
        <v/>
      </c>
      <c r="AD124" t="str">
        <f>_xlfn.IFNA(INDEX(MTT_codes,MATCH(loaded!BM124,MTT,0)),"")</f>
        <v/>
      </c>
      <c r="AE124" t="e">
        <f>INDEX(liv_ar_codes,MATCH(loaded!BO124,liv_ar,0))</f>
        <v>#N/A</v>
      </c>
      <c r="AF124" t="str">
        <f>_xlfn.IFNA(INDEX(MTT_codes,MATCH(loaded!BQ124,MTT,0)),"")</f>
        <v/>
      </c>
      <c r="AG124">
        <f>_xlfn.IFNA(INDEX(mental_codes,MATCH(loaded!BS124,mental,0)),9)</f>
        <v>9</v>
      </c>
    </row>
    <row r="125" spans="1:33" x14ac:dyDescent="0.25">
      <c r="A125">
        <f>loaded!C125</f>
        <v>0</v>
      </c>
      <c r="B125">
        <f>loaded!I125</f>
        <v>0</v>
      </c>
      <c r="C125">
        <f>IF(loaded!K125="Male",1,IF(loaded!K125="Female",2,9))</f>
        <v>9</v>
      </c>
      <c r="D125" s="8">
        <f>loaded!M125</f>
        <v>0</v>
      </c>
      <c r="E125" t="str">
        <f>LEFT(loaded!O125,3)</f>
        <v/>
      </c>
      <c r="F125" t="e">
        <f>INDEX(cntry_codes,MATCH(loaded!Q125,countries,0))</f>
        <v>#N/A</v>
      </c>
      <c r="G125" t="e">
        <f>INDEX(atsi_codes,MATCH(loaded!S125,atsi,0))</f>
        <v>#N/A</v>
      </c>
      <c r="H125" t="e">
        <f>INDEX(lang_codes,MATCH(loaded!U125,lang,0))</f>
        <v>#N/A</v>
      </c>
      <c r="I125" s="8">
        <f>loaded!W125</f>
        <v>0</v>
      </c>
      <c r="J125" t="e">
        <f>INDEX(us_acc_codes,MATCH(loaded!Y125,us_acc,0))</f>
        <v>#N/A</v>
      </c>
      <c r="K125" t="e">
        <f>INDEX(client_codes,MATCH(loaded!AA125,client,0))</f>
        <v>#N/A</v>
      </c>
      <c r="L125" t="e">
        <f>INDEX(src_ref_codes,MATCH(loaded!AC125,src_ref,0))</f>
        <v>#N/A</v>
      </c>
      <c r="M125" s="8">
        <f>loaded!AE125</f>
        <v>0</v>
      </c>
      <c r="N125" s="8">
        <f>loaded!AG125</f>
        <v>0</v>
      </c>
      <c r="O125" t="e">
        <f>INDEX(reces_codes,MATCH(loaded!AI125,reason,0))</f>
        <v>#N/A</v>
      </c>
      <c r="P125" t="e">
        <f>INDEX(TDS_codes,MATCH(loaded!AK125,TDS,0))</f>
        <v>#N/A</v>
      </c>
      <c r="Q125" t="e">
        <f>IF(K125=2,"",INDEX(method_codes,MATCH(loaded!AM125,method,0)))</f>
        <v>#N/A</v>
      </c>
      <c r="R125" t="e">
        <f>IF(K125=2,"",INDEX(inj_codes,MATCH(loaded!AO125,inj,0)))</f>
        <v>#N/A</v>
      </c>
      <c r="S125" t="e">
        <f>IF(K125=2,"",INDEX(drug_codes,MATCH(loaded!AQ125,drug,0)))</f>
        <v>#N/A</v>
      </c>
      <c r="T125" t="e">
        <f>IF(K125=2,"",_xlfn.IFNA(INDEX(drug_codes,MATCH(loaded!AS125,drug,0)),""))</f>
        <v>#N/A</v>
      </c>
      <c r="U125" t="e">
        <f>IF(K125=2,"",_xlfn.IFNA(INDEX(drug_codes,MATCH(loaded!AU125,drug,0)),""))</f>
        <v>#N/A</v>
      </c>
      <c r="V125" t="e">
        <f>IF(K125=2,"",_xlfn.IFNA(INDEX(drug_codes,MATCH(loaded!AW125,drug,0)),""))</f>
        <v>#N/A</v>
      </c>
      <c r="W125" t="e">
        <f>IF(K125=2,"",_xlfn.IFNA(INDEX(drug_codes,MATCH(loaded!AY125,drug,0)),""))</f>
        <v>#N/A</v>
      </c>
      <c r="X125" t="e">
        <f>IF(K125=2,"",_xlfn.IFNA(INDEX(drug_codes,MATCH(loaded!BA125,drug,0)),""))</f>
        <v>#N/A</v>
      </c>
      <c r="Y125" t="e">
        <f>INDEX(MTT_codes,MATCH(loaded!BC125,MTT,0))</f>
        <v>#N/A</v>
      </c>
      <c r="Z125" t="str">
        <f>_xlfn.IFNA(INDEX(MTT_codes,MATCH(loaded!BE125,MTT,0)),"")</f>
        <v/>
      </c>
      <c r="AA125" t="str">
        <f>_xlfn.IFNA(INDEX(MTT_codes,MATCH(loaded!BG125,MTT,0)),"")</f>
        <v/>
      </c>
      <c r="AB125" t="str">
        <f>_xlfn.IFNA(INDEX(MTT_codes,MATCH(loaded!BI125,MTT,0)),"")</f>
        <v/>
      </c>
      <c r="AC125" t="str">
        <f>_xlfn.IFNA(INDEX(MTT_codes,MATCH(loaded!BK125,MTT,0)),"")</f>
        <v/>
      </c>
      <c r="AD125" t="str">
        <f>_xlfn.IFNA(INDEX(MTT_codes,MATCH(loaded!BM125,MTT,0)),"")</f>
        <v/>
      </c>
      <c r="AE125" t="e">
        <f>INDEX(liv_ar_codes,MATCH(loaded!BO125,liv_ar,0))</f>
        <v>#N/A</v>
      </c>
      <c r="AF125" t="str">
        <f>_xlfn.IFNA(INDEX(MTT_codes,MATCH(loaded!BQ125,MTT,0)),"")</f>
        <v/>
      </c>
      <c r="AG125">
        <f>_xlfn.IFNA(INDEX(mental_codes,MATCH(loaded!BS125,mental,0)),9)</f>
        <v>9</v>
      </c>
    </row>
    <row r="126" spans="1:33" x14ac:dyDescent="0.25">
      <c r="A126">
        <f>loaded!C126</f>
        <v>0</v>
      </c>
      <c r="B126">
        <f>loaded!I126</f>
        <v>0</v>
      </c>
      <c r="C126">
        <f>IF(loaded!K126="Male",1,IF(loaded!K126="Female",2,9))</f>
        <v>9</v>
      </c>
      <c r="D126" s="8">
        <f>loaded!M126</f>
        <v>0</v>
      </c>
      <c r="E126" t="str">
        <f>LEFT(loaded!O126,3)</f>
        <v/>
      </c>
      <c r="F126" t="e">
        <f>INDEX(cntry_codes,MATCH(loaded!Q126,countries,0))</f>
        <v>#N/A</v>
      </c>
      <c r="G126" t="e">
        <f>INDEX(atsi_codes,MATCH(loaded!S126,atsi,0))</f>
        <v>#N/A</v>
      </c>
      <c r="H126" t="e">
        <f>INDEX(lang_codes,MATCH(loaded!U126,lang,0))</f>
        <v>#N/A</v>
      </c>
      <c r="I126" s="8">
        <f>loaded!W126</f>
        <v>0</v>
      </c>
      <c r="J126" t="e">
        <f>INDEX(us_acc_codes,MATCH(loaded!Y126,us_acc,0))</f>
        <v>#N/A</v>
      </c>
      <c r="K126" t="e">
        <f>INDEX(client_codes,MATCH(loaded!AA126,client,0))</f>
        <v>#N/A</v>
      </c>
      <c r="L126" t="e">
        <f>INDEX(src_ref_codes,MATCH(loaded!AC126,src_ref,0))</f>
        <v>#N/A</v>
      </c>
      <c r="M126" s="8">
        <f>loaded!AE126</f>
        <v>0</v>
      </c>
      <c r="N126" s="8">
        <f>loaded!AG126</f>
        <v>0</v>
      </c>
      <c r="O126" t="e">
        <f>INDEX(reces_codes,MATCH(loaded!AI126,reason,0))</f>
        <v>#N/A</v>
      </c>
      <c r="P126" t="e">
        <f>INDEX(TDS_codes,MATCH(loaded!AK126,TDS,0))</f>
        <v>#N/A</v>
      </c>
      <c r="Q126" t="e">
        <f>IF(K126=2,"",INDEX(method_codes,MATCH(loaded!AM126,method,0)))</f>
        <v>#N/A</v>
      </c>
      <c r="R126" t="e">
        <f>IF(K126=2,"",INDEX(inj_codes,MATCH(loaded!AO126,inj,0)))</f>
        <v>#N/A</v>
      </c>
      <c r="S126" t="e">
        <f>IF(K126=2,"",INDEX(drug_codes,MATCH(loaded!AQ126,drug,0)))</f>
        <v>#N/A</v>
      </c>
      <c r="T126" t="e">
        <f>IF(K126=2,"",_xlfn.IFNA(INDEX(drug_codes,MATCH(loaded!AS126,drug,0)),""))</f>
        <v>#N/A</v>
      </c>
      <c r="U126" t="e">
        <f>IF(K126=2,"",_xlfn.IFNA(INDEX(drug_codes,MATCH(loaded!AU126,drug,0)),""))</f>
        <v>#N/A</v>
      </c>
      <c r="V126" t="e">
        <f>IF(K126=2,"",_xlfn.IFNA(INDEX(drug_codes,MATCH(loaded!AW126,drug,0)),""))</f>
        <v>#N/A</v>
      </c>
      <c r="W126" t="e">
        <f>IF(K126=2,"",_xlfn.IFNA(INDEX(drug_codes,MATCH(loaded!AY126,drug,0)),""))</f>
        <v>#N/A</v>
      </c>
      <c r="X126" t="e">
        <f>IF(K126=2,"",_xlfn.IFNA(INDEX(drug_codes,MATCH(loaded!BA126,drug,0)),""))</f>
        <v>#N/A</v>
      </c>
      <c r="Y126" t="e">
        <f>INDEX(MTT_codes,MATCH(loaded!BC126,MTT,0))</f>
        <v>#N/A</v>
      </c>
      <c r="Z126" t="str">
        <f>_xlfn.IFNA(INDEX(MTT_codes,MATCH(loaded!BE126,MTT,0)),"")</f>
        <v/>
      </c>
      <c r="AA126" t="str">
        <f>_xlfn.IFNA(INDEX(MTT_codes,MATCH(loaded!BG126,MTT,0)),"")</f>
        <v/>
      </c>
      <c r="AB126" t="str">
        <f>_xlfn.IFNA(INDEX(MTT_codes,MATCH(loaded!BI126,MTT,0)),"")</f>
        <v/>
      </c>
      <c r="AC126" t="str">
        <f>_xlfn.IFNA(INDEX(MTT_codes,MATCH(loaded!BK126,MTT,0)),"")</f>
        <v/>
      </c>
      <c r="AD126" t="str">
        <f>_xlfn.IFNA(INDEX(MTT_codes,MATCH(loaded!BM126,MTT,0)),"")</f>
        <v/>
      </c>
      <c r="AE126" t="e">
        <f>INDEX(liv_ar_codes,MATCH(loaded!BO126,liv_ar,0))</f>
        <v>#N/A</v>
      </c>
      <c r="AF126" t="str">
        <f>_xlfn.IFNA(INDEX(MTT_codes,MATCH(loaded!BQ126,MTT,0)),"")</f>
        <v/>
      </c>
      <c r="AG126">
        <f>_xlfn.IFNA(INDEX(mental_codes,MATCH(loaded!BS126,mental,0)),9)</f>
        <v>9</v>
      </c>
    </row>
    <row r="127" spans="1:33" x14ac:dyDescent="0.25">
      <c r="A127">
        <f>loaded!C127</f>
        <v>0</v>
      </c>
      <c r="B127">
        <f>loaded!I127</f>
        <v>0</v>
      </c>
      <c r="C127">
        <f>IF(loaded!K127="Male",1,IF(loaded!K127="Female",2,9))</f>
        <v>9</v>
      </c>
      <c r="D127" s="8">
        <f>loaded!M127</f>
        <v>0</v>
      </c>
      <c r="E127" t="str">
        <f>LEFT(loaded!O127,3)</f>
        <v/>
      </c>
      <c r="F127" t="e">
        <f>INDEX(cntry_codes,MATCH(loaded!Q127,countries,0))</f>
        <v>#N/A</v>
      </c>
      <c r="G127" t="e">
        <f>INDEX(atsi_codes,MATCH(loaded!S127,atsi,0))</f>
        <v>#N/A</v>
      </c>
      <c r="H127" t="e">
        <f>INDEX(lang_codes,MATCH(loaded!U127,lang,0))</f>
        <v>#N/A</v>
      </c>
      <c r="I127" s="8">
        <f>loaded!W127</f>
        <v>0</v>
      </c>
      <c r="J127" t="e">
        <f>INDEX(us_acc_codes,MATCH(loaded!Y127,us_acc,0))</f>
        <v>#N/A</v>
      </c>
      <c r="K127" t="e">
        <f>INDEX(client_codes,MATCH(loaded!AA127,client,0))</f>
        <v>#N/A</v>
      </c>
      <c r="L127" t="e">
        <f>INDEX(src_ref_codes,MATCH(loaded!AC127,src_ref,0))</f>
        <v>#N/A</v>
      </c>
      <c r="M127" s="8">
        <f>loaded!AE127</f>
        <v>0</v>
      </c>
      <c r="N127" s="8">
        <f>loaded!AG127</f>
        <v>0</v>
      </c>
      <c r="O127" t="e">
        <f>INDEX(reces_codes,MATCH(loaded!AI127,reason,0))</f>
        <v>#N/A</v>
      </c>
      <c r="P127" t="e">
        <f>INDEX(TDS_codes,MATCH(loaded!AK127,TDS,0))</f>
        <v>#N/A</v>
      </c>
      <c r="Q127" t="e">
        <f>IF(K127=2,"",INDEX(method_codes,MATCH(loaded!AM127,method,0)))</f>
        <v>#N/A</v>
      </c>
      <c r="R127" t="e">
        <f>IF(K127=2,"",INDEX(inj_codes,MATCH(loaded!AO127,inj,0)))</f>
        <v>#N/A</v>
      </c>
      <c r="S127" t="e">
        <f>IF(K127=2,"",INDEX(drug_codes,MATCH(loaded!AQ127,drug,0)))</f>
        <v>#N/A</v>
      </c>
      <c r="T127" t="e">
        <f>IF(K127=2,"",_xlfn.IFNA(INDEX(drug_codes,MATCH(loaded!AS127,drug,0)),""))</f>
        <v>#N/A</v>
      </c>
      <c r="U127" t="e">
        <f>IF(K127=2,"",_xlfn.IFNA(INDEX(drug_codes,MATCH(loaded!AU127,drug,0)),""))</f>
        <v>#N/A</v>
      </c>
      <c r="V127" t="e">
        <f>IF(K127=2,"",_xlfn.IFNA(INDEX(drug_codes,MATCH(loaded!AW127,drug,0)),""))</f>
        <v>#N/A</v>
      </c>
      <c r="W127" t="e">
        <f>IF(K127=2,"",_xlfn.IFNA(INDEX(drug_codes,MATCH(loaded!AY127,drug,0)),""))</f>
        <v>#N/A</v>
      </c>
      <c r="X127" t="e">
        <f>IF(K127=2,"",_xlfn.IFNA(INDEX(drug_codes,MATCH(loaded!BA127,drug,0)),""))</f>
        <v>#N/A</v>
      </c>
      <c r="Y127" t="e">
        <f>INDEX(MTT_codes,MATCH(loaded!BC127,MTT,0))</f>
        <v>#N/A</v>
      </c>
      <c r="Z127" t="str">
        <f>_xlfn.IFNA(INDEX(MTT_codes,MATCH(loaded!BE127,MTT,0)),"")</f>
        <v/>
      </c>
      <c r="AA127" t="str">
        <f>_xlfn.IFNA(INDEX(MTT_codes,MATCH(loaded!BG127,MTT,0)),"")</f>
        <v/>
      </c>
      <c r="AB127" t="str">
        <f>_xlfn.IFNA(INDEX(MTT_codes,MATCH(loaded!BI127,MTT,0)),"")</f>
        <v/>
      </c>
      <c r="AC127" t="str">
        <f>_xlfn.IFNA(INDEX(MTT_codes,MATCH(loaded!BK127,MTT,0)),"")</f>
        <v/>
      </c>
      <c r="AD127" t="str">
        <f>_xlfn.IFNA(INDEX(MTT_codes,MATCH(loaded!BM127,MTT,0)),"")</f>
        <v/>
      </c>
      <c r="AE127" t="e">
        <f>INDEX(liv_ar_codes,MATCH(loaded!BO127,liv_ar,0))</f>
        <v>#N/A</v>
      </c>
      <c r="AF127" t="str">
        <f>_xlfn.IFNA(INDEX(MTT_codes,MATCH(loaded!BQ127,MTT,0)),"")</f>
        <v/>
      </c>
      <c r="AG127">
        <f>_xlfn.IFNA(INDEX(mental_codes,MATCH(loaded!BS127,mental,0)),9)</f>
        <v>9</v>
      </c>
    </row>
    <row r="128" spans="1:33" x14ac:dyDescent="0.25">
      <c r="A128">
        <f>loaded!C128</f>
        <v>0</v>
      </c>
      <c r="B128">
        <f>loaded!I128</f>
        <v>0</v>
      </c>
      <c r="C128">
        <f>IF(loaded!K128="Male",1,IF(loaded!K128="Female",2,9))</f>
        <v>9</v>
      </c>
      <c r="D128" s="8">
        <f>loaded!M128</f>
        <v>0</v>
      </c>
      <c r="E128" t="str">
        <f>LEFT(loaded!O128,3)</f>
        <v/>
      </c>
      <c r="F128" t="e">
        <f>INDEX(cntry_codes,MATCH(loaded!Q128,countries,0))</f>
        <v>#N/A</v>
      </c>
      <c r="G128" t="e">
        <f>INDEX(atsi_codes,MATCH(loaded!S128,atsi,0))</f>
        <v>#N/A</v>
      </c>
      <c r="H128" t="e">
        <f>INDEX(lang_codes,MATCH(loaded!U128,lang,0))</f>
        <v>#N/A</v>
      </c>
      <c r="I128" s="8">
        <f>loaded!W128</f>
        <v>0</v>
      </c>
      <c r="J128" t="e">
        <f>INDEX(us_acc_codes,MATCH(loaded!Y128,us_acc,0))</f>
        <v>#N/A</v>
      </c>
      <c r="K128" t="e">
        <f>INDEX(client_codes,MATCH(loaded!AA128,client,0))</f>
        <v>#N/A</v>
      </c>
      <c r="L128" t="e">
        <f>INDEX(src_ref_codes,MATCH(loaded!AC128,src_ref,0))</f>
        <v>#N/A</v>
      </c>
      <c r="M128" s="8">
        <f>loaded!AE128</f>
        <v>0</v>
      </c>
      <c r="N128" s="8">
        <f>loaded!AG128</f>
        <v>0</v>
      </c>
      <c r="O128" t="e">
        <f>INDEX(reces_codes,MATCH(loaded!AI128,reason,0))</f>
        <v>#N/A</v>
      </c>
      <c r="P128" t="e">
        <f>INDEX(TDS_codes,MATCH(loaded!AK128,TDS,0))</f>
        <v>#N/A</v>
      </c>
      <c r="Q128" t="e">
        <f>IF(K128=2,"",INDEX(method_codes,MATCH(loaded!AM128,method,0)))</f>
        <v>#N/A</v>
      </c>
      <c r="R128" t="e">
        <f>IF(K128=2,"",INDEX(inj_codes,MATCH(loaded!AO128,inj,0)))</f>
        <v>#N/A</v>
      </c>
      <c r="S128" t="e">
        <f>IF(K128=2,"",INDEX(drug_codes,MATCH(loaded!AQ128,drug,0)))</f>
        <v>#N/A</v>
      </c>
      <c r="T128" t="e">
        <f>IF(K128=2,"",_xlfn.IFNA(INDEX(drug_codes,MATCH(loaded!AS128,drug,0)),""))</f>
        <v>#N/A</v>
      </c>
      <c r="U128" t="e">
        <f>IF(K128=2,"",_xlfn.IFNA(INDEX(drug_codes,MATCH(loaded!AU128,drug,0)),""))</f>
        <v>#N/A</v>
      </c>
      <c r="V128" t="e">
        <f>IF(K128=2,"",_xlfn.IFNA(INDEX(drug_codes,MATCH(loaded!AW128,drug,0)),""))</f>
        <v>#N/A</v>
      </c>
      <c r="W128" t="e">
        <f>IF(K128=2,"",_xlfn.IFNA(INDEX(drug_codes,MATCH(loaded!AY128,drug,0)),""))</f>
        <v>#N/A</v>
      </c>
      <c r="X128" t="e">
        <f>IF(K128=2,"",_xlfn.IFNA(INDEX(drug_codes,MATCH(loaded!BA128,drug,0)),""))</f>
        <v>#N/A</v>
      </c>
      <c r="Y128" t="e">
        <f>INDEX(MTT_codes,MATCH(loaded!BC128,MTT,0))</f>
        <v>#N/A</v>
      </c>
      <c r="Z128" t="str">
        <f>_xlfn.IFNA(INDEX(MTT_codes,MATCH(loaded!BE128,MTT,0)),"")</f>
        <v/>
      </c>
      <c r="AA128" t="str">
        <f>_xlfn.IFNA(INDEX(MTT_codes,MATCH(loaded!BG128,MTT,0)),"")</f>
        <v/>
      </c>
      <c r="AB128" t="str">
        <f>_xlfn.IFNA(INDEX(MTT_codes,MATCH(loaded!BI128,MTT,0)),"")</f>
        <v/>
      </c>
      <c r="AC128" t="str">
        <f>_xlfn.IFNA(INDEX(MTT_codes,MATCH(loaded!BK128,MTT,0)),"")</f>
        <v/>
      </c>
      <c r="AD128" t="str">
        <f>_xlfn.IFNA(INDEX(MTT_codes,MATCH(loaded!BM128,MTT,0)),"")</f>
        <v/>
      </c>
      <c r="AE128" t="e">
        <f>INDEX(liv_ar_codes,MATCH(loaded!BO128,liv_ar,0))</f>
        <v>#N/A</v>
      </c>
      <c r="AF128" t="str">
        <f>_xlfn.IFNA(INDEX(MTT_codes,MATCH(loaded!BQ128,MTT,0)),"")</f>
        <v/>
      </c>
      <c r="AG128">
        <f>_xlfn.IFNA(INDEX(mental_codes,MATCH(loaded!BS128,mental,0)),9)</f>
        <v>9</v>
      </c>
    </row>
    <row r="129" spans="1:33" x14ac:dyDescent="0.25">
      <c r="A129">
        <f>loaded!C129</f>
        <v>0</v>
      </c>
      <c r="B129">
        <f>loaded!I129</f>
        <v>0</v>
      </c>
      <c r="C129">
        <f>IF(loaded!K129="Male",1,IF(loaded!K129="Female",2,9))</f>
        <v>9</v>
      </c>
      <c r="D129" s="8">
        <f>loaded!M129</f>
        <v>0</v>
      </c>
      <c r="E129" t="str">
        <f>LEFT(loaded!O129,3)</f>
        <v/>
      </c>
      <c r="F129" t="e">
        <f>INDEX(cntry_codes,MATCH(loaded!Q129,countries,0))</f>
        <v>#N/A</v>
      </c>
      <c r="G129" t="e">
        <f>INDEX(atsi_codes,MATCH(loaded!S129,atsi,0))</f>
        <v>#N/A</v>
      </c>
      <c r="H129" t="e">
        <f>INDEX(lang_codes,MATCH(loaded!U129,lang,0))</f>
        <v>#N/A</v>
      </c>
      <c r="I129" s="8">
        <f>loaded!W129</f>
        <v>0</v>
      </c>
      <c r="J129" t="e">
        <f>INDEX(us_acc_codes,MATCH(loaded!Y129,us_acc,0))</f>
        <v>#N/A</v>
      </c>
      <c r="K129" t="e">
        <f>INDEX(client_codes,MATCH(loaded!AA129,client,0))</f>
        <v>#N/A</v>
      </c>
      <c r="L129" t="e">
        <f>INDEX(src_ref_codes,MATCH(loaded!AC129,src_ref,0))</f>
        <v>#N/A</v>
      </c>
      <c r="M129" s="8">
        <f>loaded!AE129</f>
        <v>0</v>
      </c>
      <c r="N129" s="8">
        <f>loaded!AG129</f>
        <v>0</v>
      </c>
      <c r="O129" t="e">
        <f>INDEX(reces_codes,MATCH(loaded!AI129,reason,0))</f>
        <v>#N/A</v>
      </c>
      <c r="P129" t="e">
        <f>INDEX(TDS_codes,MATCH(loaded!AK129,TDS,0))</f>
        <v>#N/A</v>
      </c>
      <c r="Q129" t="e">
        <f>IF(K129=2,"",INDEX(method_codes,MATCH(loaded!AM129,method,0)))</f>
        <v>#N/A</v>
      </c>
      <c r="R129" t="e">
        <f>IF(K129=2,"",INDEX(inj_codes,MATCH(loaded!AO129,inj,0)))</f>
        <v>#N/A</v>
      </c>
      <c r="S129" t="e">
        <f>IF(K129=2,"",INDEX(drug_codes,MATCH(loaded!AQ129,drug,0)))</f>
        <v>#N/A</v>
      </c>
      <c r="T129" t="e">
        <f>IF(K129=2,"",_xlfn.IFNA(INDEX(drug_codes,MATCH(loaded!AS129,drug,0)),""))</f>
        <v>#N/A</v>
      </c>
      <c r="U129" t="e">
        <f>IF(K129=2,"",_xlfn.IFNA(INDEX(drug_codes,MATCH(loaded!AU129,drug,0)),""))</f>
        <v>#N/A</v>
      </c>
      <c r="V129" t="e">
        <f>IF(K129=2,"",_xlfn.IFNA(INDEX(drug_codes,MATCH(loaded!AW129,drug,0)),""))</f>
        <v>#N/A</v>
      </c>
      <c r="W129" t="e">
        <f>IF(K129=2,"",_xlfn.IFNA(INDEX(drug_codes,MATCH(loaded!AY129,drug,0)),""))</f>
        <v>#N/A</v>
      </c>
      <c r="X129" t="e">
        <f>IF(K129=2,"",_xlfn.IFNA(INDEX(drug_codes,MATCH(loaded!BA129,drug,0)),""))</f>
        <v>#N/A</v>
      </c>
      <c r="Y129" t="e">
        <f>INDEX(MTT_codes,MATCH(loaded!BC129,MTT,0))</f>
        <v>#N/A</v>
      </c>
      <c r="Z129" t="str">
        <f>_xlfn.IFNA(INDEX(MTT_codes,MATCH(loaded!BE129,MTT,0)),"")</f>
        <v/>
      </c>
      <c r="AA129" t="str">
        <f>_xlfn.IFNA(INDEX(MTT_codes,MATCH(loaded!BG129,MTT,0)),"")</f>
        <v/>
      </c>
      <c r="AB129" t="str">
        <f>_xlfn.IFNA(INDEX(MTT_codes,MATCH(loaded!BI129,MTT,0)),"")</f>
        <v/>
      </c>
      <c r="AC129" t="str">
        <f>_xlfn.IFNA(INDEX(MTT_codes,MATCH(loaded!BK129,MTT,0)),"")</f>
        <v/>
      </c>
      <c r="AD129" t="str">
        <f>_xlfn.IFNA(INDEX(MTT_codes,MATCH(loaded!BM129,MTT,0)),"")</f>
        <v/>
      </c>
      <c r="AE129" t="e">
        <f>INDEX(liv_ar_codes,MATCH(loaded!BO129,liv_ar,0))</f>
        <v>#N/A</v>
      </c>
      <c r="AF129" t="str">
        <f>_xlfn.IFNA(INDEX(MTT_codes,MATCH(loaded!BQ129,MTT,0)),"")</f>
        <v/>
      </c>
      <c r="AG129">
        <f>_xlfn.IFNA(INDEX(mental_codes,MATCH(loaded!BS129,mental,0)),9)</f>
        <v>9</v>
      </c>
    </row>
    <row r="130" spans="1:33" x14ac:dyDescent="0.25">
      <c r="A130">
        <f>loaded!C130</f>
        <v>0</v>
      </c>
      <c r="B130">
        <f>loaded!I130</f>
        <v>0</v>
      </c>
      <c r="C130">
        <f>IF(loaded!K130="Male",1,IF(loaded!K130="Female",2,9))</f>
        <v>9</v>
      </c>
      <c r="D130" s="8">
        <f>loaded!M130</f>
        <v>0</v>
      </c>
      <c r="E130" t="str">
        <f>LEFT(loaded!O130,3)</f>
        <v/>
      </c>
      <c r="F130" t="e">
        <f>INDEX(cntry_codes,MATCH(loaded!Q130,countries,0))</f>
        <v>#N/A</v>
      </c>
      <c r="G130" t="e">
        <f>INDEX(atsi_codes,MATCH(loaded!S130,atsi,0))</f>
        <v>#N/A</v>
      </c>
      <c r="H130" t="e">
        <f>INDEX(lang_codes,MATCH(loaded!U130,lang,0))</f>
        <v>#N/A</v>
      </c>
      <c r="I130" s="8">
        <f>loaded!W130</f>
        <v>0</v>
      </c>
      <c r="J130" t="e">
        <f>INDEX(us_acc_codes,MATCH(loaded!Y130,us_acc,0))</f>
        <v>#N/A</v>
      </c>
      <c r="K130" t="e">
        <f>INDEX(client_codes,MATCH(loaded!AA130,client,0))</f>
        <v>#N/A</v>
      </c>
      <c r="L130" t="e">
        <f>INDEX(src_ref_codes,MATCH(loaded!AC130,src_ref,0))</f>
        <v>#N/A</v>
      </c>
      <c r="M130" s="8">
        <f>loaded!AE130</f>
        <v>0</v>
      </c>
      <c r="N130" s="8">
        <f>loaded!AG130</f>
        <v>0</v>
      </c>
      <c r="O130" t="e">
        <f>INDEX(reces_codes,MATCH(loaded!AI130,reason,0))</f>
        <v>#N/A</v>
      </c>
      <c r="P130" t="e">
        <f>INDEX(TDS_codes,MATCH(loaded!AK130,TDS,0))</f>
        <v>#N/A</v>
      </c>
      <c r="Q130" t="e">
        <f>IF(K130=2,"",INDEX(method_codes,MATCH(loaded!AM130,method,0)))</f>
        <v>#N/A</v>
      </c>
      <c r="R130" t="e">
        <f>IF(K130=2,"",INDEX(inj_codes,MATCH(loaded!AO130,inj,0)))</f>
        <v>#N/A</v>
      </c>
      <c r="S130" t="e">
        <f>IF(K130=2,"",INDEX(drug_codes,MATCH(loaded!AQ130,drug,0)))</f>
        <v>#N/A</v>
      </c>
      <c r="T130" t="e">
        <f>IF(K130=2,"",_xlfn.IFNA(INDEX(drug_codes,MATCH(loaded!AS130,drug,0)),""))</f>
        <v>#N/A</v>
      </c>
      <c r="U130" t="e">
        <f>IF(K130=2,"",_xlfn.IFNA(INDEX(drug_codes,MATCH(loaded!AU130,drug,0)),""))</f>
        <v>#N/A</v>
      </c>
      <c r="V130" t="e">
        <f>IF(K130=2,"",_xlfn.IFNA(INDEX(drug_codes,MATCH(loaded!AW130,drug,0)),""))</f>
        <v>#N/A</v>
      </c>
      <c r="W130" t="e">
        <f>IF(K130=2,"",_xlfn.IFNA(INDEX(drug_codes,MATCH(loaded!AY130,drug,0)),""))</f>
        <v>#N/A</v>
      </c>
      <c r="X130" t="e">
        <f>IF(K130=2,"",_xlfn.IFNA(INDEX(drug_codes,MATCH(loaded!BA130,drug,0)),""))</f>
        <v>#N/A</v>
      </c>
      <c r="Y130" t="e">
        <f>INDEX(MTT_codes,MATCH(loaded!BC130,MTT,0))</f>
        <v>#N/A</v>
      </c>
      <c r="Z130" t="str">
        <f>_xlfn.IFNA(INDEX(MTT_codes,MATCH(loaded!BE130,MTT,0)),"")</f>
        <v/>
      </c>
      <c r="AA130" t="str">
        <f>_xlfn.IFNA(INDEX(MTT_codes,MATCH(loaded!BG130,MTT,0)),"")</f>
        <v/>
      </c>
      <c r="AB130" t="str">
        <f>_xlfn.IFNA(INDEX(MTT_codes,MATCH(loaded!BI130,MTT,0)),"")</f>
        <v/>
      </c>
      <c r="AC130" t="str">
        <f>_xlfn.IFNA(INDEX(MTT_codes,MATCH(loaded!BK130,MTT,0)),"")</f>
        <v/>
      </c>
      <c r="AD130" t="str">
        <f>_xlfn.IFNA(INDEX(MTT_codes,MATCH(loaded!BM130,MTT,0)),"")</f>
        <v/>
      </c>
      <c r="AE130" t="e">
        <f>INDEX(liv_ar_codes,MATCH(loaded!BO130,liv_ar,0))</f>
        <v>#N/A</v>
      </c>
      <c r="AF130" t="str">
        <f>_xlfn.IFNA(INDEX(MTT_codes,MATCH(loaded!BQ130,MTT,0)),"")</f>
        <v/>
      </c>
      <c r="AG130">
        <f>_xlfn.IFNA(INDEX(mental_codes,MATCH(loaded!BS130,mental,0)),9)</f>
        <v>9</v>
      </c>
    </row>
    <row r="131" spans="1:33" x14ac:dyDescent="0.25">
      <c r="A131">
        <f>loaded!C131</f>
        <v>0</v>
      </c>
      <c r="B131">
        <f>loaded!I131</f>
        <v>0</v>
      </c>
      <c r="C131">
        <f>IF(loaded!K131="Male",1,IF(loaded!K131="Female",2,9))</f>
        <v>9</v>
      </c>
      <c r="D131" s="8">
        <f>loaded!M131</f>
        <v>0</v>
      </c>
      <c r="E131" t="str">
        <f>LEFT(loaded!O131,3)</f>
        <v/>
      </c>
      <c r="F131" t="e">
        <f>INDEX(cntry_codes,MATCH(loaded!Q131,countries,0))</f>
        <v>#N/A</v>
      </c>
      <c r="G131" t="e">
        <f>INDEX(atsi_codes,MATCH(loaded!S131,atsi,0))</f>
        <v>#N/A</v>
      </c>
      <c r="H131" t="e">
        <f>INDEX(lang_codes,MATCH(loaded!U131,lang,0))</f>
        <v>#N/A</v>
      </c>
      <c r="I131" s="8">
        <f>loaded!W131</f>
        <v>0</v>
      </c>
      <c r="J131" t="e">
        <f>INDEX(us_acc_codes,MATCH(loaded!Y131,us_acc,0))</f>
        <v>#N/A</v>
      </c>
      <c r="K131" t="e">
        <f>INDEX(client_codes,MATCH(loaded!AA131,client,0))</f>
        <v>#N/A</v>
      </c>
      <c r="L131" t="e">
        <f>INDEX(src_ref_codes,MATCH(loaded!AC131,src_ref,0))</f>
        <v>#N/A</v>
      </c>
      <c r="M131" s="8">
        <f>loaded!AE131</f>
        <v>0</v>
      </c>
      <c r="N131" s="8">
        <f>loaded!AG131</f>
        <v>0</v>
      </c>
      <c r="O131" t="e">
        <f>INDEX(reces_codes,MATCH(loaded!AI131,reason,0))</f>
        <v>#N/A</v>
      </c>
      <c r="P131" t="e">
        <f>INDEX(TDS_codes,MATCH(loaded!AK131,TDS,0))</f>
        <v>#N/A</v>
      </c>
      <c r="Q131" t="e">
        <f>IF(K131=2,"",INDEX(method_codes,MATCH(loaded!AM131,method,0)))</f>
        <v>#N/A</v>
      </c>
      <c r="R131" t="e">
        <f>IF(K131=2,"",INDEX(inj_codes,MATCH(loaded!AO131,inj,0)))</f>
        <v>#N/A</v>
      </c>
      <c r="S131" t="e">
        <f>IF(K131=2,"",INDEX(drug_codes,MATCH(loaded!AQ131,drug,0)))</f>
        <v>#N/A</v>
      </c>
      <c r="T131" t="e">
        <f>IF(K131=2,"",_xlfn.IFNA(INDEX(drug_codes,MATCH(loaded!AS131,drug,0)),""))</f>
        <v>#N/A</v>
      </c>
      <c r="U131" t="e">
        <f>IF(K131=2,"",_xlfn.IFNA(INDEX(drug_codes,MATCH(loaded!AU131,drug,0)),""))</f>
        <v>#N/A</v>
      </c>
      <c r="V131" t="e">
        <f>IF(K131=2,"",_xlfn.IFNA(INDEX(drug_codes,MATCH(loaded!AW131,drug,0)),""))</f>
        <v>#N/A</v>
      </c>
      <c r="W131" t="e">
        <f>IF(K131=2,"",_xlfn.IFNA(INDEX(drug_codes,MATCH(loaded!AY131,drug,0)),""))</f>
        <v>#N/A</v>
      </c>
      <c r="X131" t="e">
        <f>IF(K131=2,"",_xlfn.IFNA(INDEX(drug_codes,MATCH(loaded!BA131,drug,0)),""))</f>
        <v>#N/A</v>
      </c>
      <c r="Y131" t="e">
        <f>INDEX(MTT_codes,MATCH(loaded!BC131,MTT,0))</f>
        <v>#N/A</v>
      </c>
      <c r="Z131" t="str">
        <f>_xlfn.IFNA(INDEX(MTT_codes,MATCH(loaded!BE131,MTT,0)),"")</f>
        <v/>
      </c>
      <c r="AA131" t="str">
        <f>_xlfn.IFNA(INDEX(MTT_codes,MATCH(loaded!BG131,MTT,0)),"")</f>
        <v/>
      </c>
      <c r="AB131" t="str">
        <f>_xlfn.IFNA(INDEX(MTT_codes,MATCH(loaded!BI131,MTT,0)),"")</f>
        <v/>
      </c>
      <c r="AC131" t="str">
        <f>_xlfn.IFNA(INDEX(MTT_codes,MATCH(loaded!BK131,MTT,0)),"")</f>
        <v/>
      </c>
      <c r="AD131" t="str">
        <f>_xlfn.IFNA(INDEX(MTT_codes,MATCH(loaded!BM131,MTT,0)),"")</f>
        <v/>
      </c>
      <c r="AE131" t="e">
        <f>INDEX(liv_ar_codes,MATCH(loaded!BO131,liv_ar,0))</f>
        <v>#N/A</v>
      </c>
      <c r="AF131" t="str">
        <f>_xlfn.IFNA(INDEX(MTT_codes,MATCH(loaded!BQ131,MTT,0)),"")</f>
        <v/>
      </c>
      <c r="AG131">
        <f>_xlfn.IFNA(INDEX(mental_codes,MATCH(loaded!BS131,mental,0)),9)</f>
        <v>9</v>
      </c>
    </row>
    <row r="132" spans="1:33" x14ac:dyDescent="0.25">
      <c r="A132">
        <f>loaded!C132</f>
        <v>0</v>
      </c>
      <c r="B132">
        <f>loaded!I132</f>
        <v>0</v>
      </c>
      <c r="C132">
        <f>IF(loaded!K132="Male",1,IF(loaded!K132="Female",2,9))</f>
        <v>9</v>
      </c>
      <c r="D132" s="8">
        <f>loaded!M132</f>
        <v>0</v>
      </c>
      <c r="E132" t="str">
        <f>LEFT(loaded!O132,3)</f>
        <v/>
      </c>
      <c r="F132" t="e">
        <f>INDEX(cntry_codes,MATCH(loaded!Q132,countries,0))</f>
        <v>#N/A</v>
      </c>
      <c r="G132" t="e">
        <f>INDEX(atsi_codes,MATCH(loaded!S132,atsi,0))</f>
        <v>#N/A</v>
      </c>
      <c r="H132" t="e">
        <f>INDEX(lang_codes,MATCH(loaded!U132,lang,0))</f>
        <v>#N/A</v>
      </c>
      <c r="I132" s="8">
        <f>loaded!W132</f>
        <v>0</v>
      </c>
      <c r="J132" t="e">
        <f>INDEX(us_acc_codes,MATCH(loaded!Y132,us_acc,0))</f>
        <v>#N/A</v>
      </c>
      <c r="K132" t="e">
        <f>INDEX(client_codes,MATCH(loaded!AA132,client,0))</f>
        <v>#N/A</v>
      </c>
      <c r="L132" t="e">
        <f>INDEX(src_ref_codes,MATCH(loaded!AC132,src_ref,0))</f>
        <v>#N/A</v>
      </c>
      <c r="M132" s="8">
        <f>loaded!AE132</f>
        <v>0</v>
      </c>
      <c r="N132" s="8">
        <f>loaded!AG132</f>
        <v>0</v>
      </c>
      <c r="O132" t="e">
        <f>INDEX(reces_codes,MATCH(loaded!AI132,reason,0))</f>
        <v>#N/A</v>
      </c>
      <c r="P132" t="e">
        <f>INDEX(TDS_codes,MATCH(loaded!AK132,TDS,0))</f>
        <v>#N/A</v>
      </c>
      <c r="Q132" t="e">
        <f>IF(K132=2,"",INDEX(method_codes,MATCH(loaded!AM132,method,0)))</f>
        <v>#N/A</v>
      </c>
      <c r="R132" t="e">
        <f>IF(K132=2,"",INDEX(inj_codes,MATCH(loaded!AO132,inj,0)))</f>
        <v>#N/A</v>
      </c>
      <c r="S132" t="e">
        <f>IF(K132=2,"",INDEX(drug_codes,MATCH(loaded!AQ132,drug,0)))</f>
        <v>#N/A</v>
      </c>
      <c r="T132" t="e">
        <f>IF(K132=2,"",_xlfn.IFNA(INDEX(drug_codes,MATCH(loaded!AS132,drug,0)),""))</f>
        <v>#N/A</v>
      </c>
      <c r="U132" t="e">
        <f>IF(K132=2,"",_xlfn.IFNA(INDEX(drug_codes,MATCH(loaded!AU132,drug,0)),""))</f>
        <v>#N/A</v>
      </c>
      <c r="V132" t="e">
        <f>IF(K132=2,"",_xlfn.IFNA(INDEX(drug_codes,MATCH(loaded!AW132,drug,0)),""))</f>
        <v>#N/A</v>
      </c>
      <c r="W132" t="e">
        <f>IF(K132=2,"",_xlfn.IFNA(INDEX(drug_codes,MATCH(loaded!AY132,drug,0)),""))</f>
        <v>#N/A</v>
      </c>
      <c r="X132" t="e">
        <f>IF(K132=2,"",_xlfn.IFNA(INDEX(drug_codes,MATCH(loaded!BA132,drug,0)),""))</f>
        <v>#N/A</v>
      </c>
      <c r="Y132" t="e">
        <f>INDEX(MTT_codes,MATCH(loaded!BC132,MTT,0))</f>
        <v>#N/A</v>
      </c>
      <c r="Z132" t="str">
        <f>_xlfn.IFNA(INDEX(MTT_codes,MATCH(loaded!BE132,MTT,0)),"")</f>
        <v/>
      </c>
      <c r="AA132" t="str">
        <f>_xlfn.IFNA(INDEX(MTT_codes,MATCH(loaded!BG132,MTT,0)),"")</f>
        <v/>
      </c>
      <c r="AB132" t="str">
        <f>_xlfn.IFNA(INDEX(MTT_codes,MATCH(loaded!BI132,MTT,0)),"")</f>
        <v/>
      </c>
      <c r="AC132" t="str">
        <f>_xlfn.IFNA(INDEX(MTT_codes,MATCH(loaded!BK132,MTT,0)),"")</f>
        <v/>
      </c>
      <c r="AD132" t="str">
        <f>_xlfn.IFNA(INDEX(MTT_codes,MATCH(loaded!BM132,MTT,0)),"")</f>
        <v/>
      </c>
      <c r="AE132" t="e">
        <f>INDEX(liv_ar_codes,MATCH(loaded!BO132,liv_ar,0))</f>
        <v>#N/A</v>
      </c>
      <c r="AF132" t="str">
        <f>_xlfn.IFNA(INDEX(MTT_codes,MATCH(loaded!BQ132,MTT,0)),"")</f>
        <v/>
      </c>
      <c r="AG132">
        <f>_xlfn.IFNA(INDEX(mental_codes,MATCH(loaded!BS132,mental,0)),9)</f>
        <v>9</v>
      </c>
    </row>
    <row r="133" spans="1:33" x14ac:dyDescent="0.25">
      <c r="A133">
        <f>loaded!C133</f>
        <v>0</v>
      </c>
      <c r="B133">
        <f>loaded!I133</f>
        <v>0</v>
      </c>
      <c r="C133">
        <f>IF(loaded!K133="Male",1,IF(loaded!K133="Female",2,9))</f>
        <v>9</v>
      </c>
      <c r="D133" s="8">
        <f>loaded!M133</f>
        <v>0</v>
      </c>
      <c r="E133" t="str">
        <f>LEFT(loaded!O133,3)</f>
        <v/>
      </c>
      <c r="F133" t="e">
        <f>INDEX(cntry_codes,MATCH(loaded!Q133,countries,0))</f>
        <v>#N/A</v>
      </c>
      <c r="G133" t="e">
        <f>INDEX(atsi_codes,MATCH(loaded!S133,atsi,0))</f>
        <v>#N/A</v>
      </c>
      <c r="H133" t="e">
        <f>INDEX(lang_codes,MATCH(loaded!U133,lang,0))</f>
        <v>#N/A</v>
      </c>
      <c r="I133" s="8">
        <f>loaded!W133</f>
        <v>0</v>
      </c>
      <c r="J133" t="e">
        <f>INDEX(us_acc_codes,MATCH(loaded!Y133,us_acc,0))</f>
        <v>#N/A</v>
      </c>
      <c r="K133" t="e">
        <f>INDEX(client_codes,MATCH(loaded!AA133,client,0))</f>
        <v>#N/A</v>
      </c>
      <c r="L133" t="e">
        <f>INDEX(src_ref_codes,MATCH(loaded!AC133,src_ref,0))</f>
        <v>#N/A</v>
      </c>
      <c r="M133" s="8">
        <f>loaded!AE133</f>
        <v>0</v>
      </c>
      <c r="N133" s="8">
        <f>loaded!AG133</f>
        <v>0</v>
      </c>
      <c r="O133" t="e">
        <f>INDEX(reces_codes,MATCH(loaded!AI133,reason,0))</f>
        <v>#N/A</v>
      </c>
      <c r="P133" t="e">
        <f>INDEX(TDS_codes,MATCH(loaded!AK133,TDS,0))</f>
        <v>#N/A</v>
      </c>
      <c r="Q133" t="e">
        <f>IF(K133=2,"",INDEX(method_codes,MATCH(loaded!AM133,method,0)))</f>
        <v>#N/A</v>
      </c>
      <c r="R133" t="e">
        <f>IF(K133=2,"",INDEX(inj_codes,MATCH(loaded!AO133,inj,0)))</f>
        <v>#N/A</v>
      </c>
      <c r="S133" t="e">
        <f>IF(K133=2,"",INDEX(drug_codes,MATCH(loaded!AQ133,drug,0)))</f>
        <v>#N/A</v>
      </c>
      <c r="T133" t="e">
        <f>IF(K133=2,"",_xlfn.IFNA(INDEX(drug_codes,MATCH(loaded!AS133,drug,0)),""))</f>
        <v>#N/A</v>
      </c>
      <c r="U133" t="e">
        <f>IF(K133=2,"",_xlfn.IFNA(INDEX(drug_codes,MATCH(loaded!AU133,drug,0)),""))</f>
        <v>#N/A</v>
      </c>
      <c r="V133" t="e">
        <f>IF(K133=2,"",_xlfn.IFNA(INDEX(drug_codes,MATCH(loaded!AW133,drug,0)),""))</f>
        <v>#N/A</v>
      </c>
      <c r="W133" t="e">
        <f>IF(K133=2,"",_xlfn.IFNA(INDEX(drug_codes,MATCH(loaded!AY133,drug,0)),""))</f>
        <v>#N/A</v>
      </c>
      <c r="X133" t="e">
        <f>IF(K133=2,"",_xlfn.IFNA(INDEX(drug_codes,MATCH(loaded!BA133,drug,0)),""))</f>
        <v>#N/A</v>
      </c>
      <c r="Y133" t="e">
        <f>INDEX(MTT_codes,MATCH(loaded!BC133,MTT,0))</f>
        <v>#N/A</v>
      </c>
      <c r="Z133" t="str">
        <f>_xlfn.IFNA(INDEX(MTT_codes,MATCH(loaded!BE133,MTT,0)),"")</f>
        <v/>
      </c>
      <c r="AA133" t="str">
        <f>_xlfn.IFNA(INDEX(MTT_codes,MATCH(loaded!BG133,MTT,0)),"")</f>
        <v/>
      </c>
      <c r="AB133" t="str">
        <f>_xlfn.IFNA(INDEX(MTT_codes,MATCH(loaded!BI133,MTT,0)),"")</f>
        <v/>
      </c>
      <c r="AC133" t="str">
        <f>_xlfn.IFNA(INDEX(MTT_codes,MATCH(loaded!BK133,MTT,0)),"")</f>
        <v/>
      </c>
      <c r="AD133" t="str">
        <f>_xlfn.IFNA(INDEX(MTT_codes,MATCH(loaded!BM133,MTT,0)),"")</f>
        <v/>
      </c>
      <c r="AE133" t="e">
        <f>INDEX(liv_ar_codes,MATCH(loaded!BO133,liv_ar,0))</f>
        <v>#N/A</v>
      </c>
      <c r="AF133" t="str">
        <f>_xlfn.IFNA(INDEX(MTT_codes,MATCH(loaded!BQ133,MTT,0)),"")</f>
        <v/>
      </c>
      <c r="AG133">
        <f>_xlfn.IFNA(INDEX(mental_codes,MATCH(loaded!BS133,mental,0)),9)</f>
        <v>9</v>
      </c>
    </row>
    <row r="134" spans="1:33" x14ac:dyDescent="0.25">
      <c r="A134">
        <f>loaded!C134</f>
        <v>0</v>
      </c>
      <c r="B134">
        <f>loaded!I134</f>
        <v>0</v>
      </c>
      <c r="C134">
        <f>IF(loaded!K134="Male",1,IF(loaded!K134="Female",2,9))</f>
        <v>9</v>
      </c>
      <c r="D134" s="8">
        <f>loaded!M134</f>
        <v>0</v>
      </c>
      <c r="E134" t="str">
        <f>LEFT(loaded!O134,3)</f>
        <v/>
      </c>
      <c r="F134" t="e">
        <f>INDEX(cntry_codes,MATCH(loaded!Q134,countries,0))</f>
        <v>#N/A</v>
      </c>
      <c r="G134" t="e">
        <f>INDEX(atsi_codes,MATCH(loaded!S134,atsi,0))</f>
        <v>#N/A</v>
      </c>
      <c r="H134" t="e">
        <f>INDEX(lang_codes,MATCH(loaded!U134,lang,0))</f>
        <v>#N/A</v>
      </c>
      <c r="I134" s="8">
        <f>loaded!W134</f>
        <v>0</v>
      </c>
      <c r="J134" t="e">
        <f>INDEX(us_acc_codes,MATCH(loaded!Y134,us_acc,0))</f>
        <v>#N/A</v>
      </c>
      <c r="K134" t="e">
        <f>INDEX(client_codes,MATCH(loaded!AA134,client,0))</f>
        <v>#N/A</v>
      </c>
      <c r="L134" t="e">
        <f>INDEX(src_ref_codes,MATCH(loaded!AC134,src_ref,0))</f>
        <v>#N/A</v>
      </c>
      <c r="M134" s="8">
        <f>loaded!AE134</f>
        <v>0</v>
      </c>
      <c r="N134" s="8">
        <f>loaded!AG134</f>
        <v>0</v>
      </c>
      <c r="O134" t="e">
        <f>INDEX(reces_codes,MATCH(loaded!AI134,reason,0))</f>
        <v>#N/A</v>
      </c>
      <c r="P134" t="e">
        <f>INDEX(TDS_codes,MATCH(loaded!AK134,TDS,0))</f>
        <v>#N/A</v>
      </c>
      <c r="Q134" t="e">
        <f>IF(K134=2,"",INDEX(method_codes,MATCH(loaded!AM134,method,0)))</f>
        <v>#N/A</v>
      </c>
      <c r="R134" t="e">
        <f>IF(K134=2,"",INDEX(inj_codes,MATCH(loaded!AO134,inj,0)))</f>
        <v>#N/A</v>
      </c>
      <c r="S134" t="e">
        <f>IF(K134=2,"",INDEX(drug_codes,MATCH(loaded!AQ134,drug,0)))</f>
        <v>#N/A</v>
      </c>
      <c r="T134" t="e">
        <f>IF(K134=2,"",_xlfn.IFNA(INDEX(drug_codes,MATCH(loaded!AS134,drug,0)),""))</f>
        <v>#N/A</v>
      </c>
      <c r="U134" t="e">
        <f>IF(K134=2,"",_xlfn.IFNA(INDEX(drug_codes,MATCH(loaded!AU134,drug,0)),""))</f>
        <v>#N/A</v>
      </c>
      <c r="V134" t="e">
        <f>IF(K134=2,"",_xlfn.IFNA(INDEX(drug_codes,MATCH(loaded!AW134,drug,0)),""))</f>
        <v>#N/A</v>
      </c>
      <c r="W134" t="e">
        <f>IF(K134=2,"",_xlfn.IFNA(INDEX(drug_codes,MATCH(loaded!AY134,drug,0)),""))</f>
        <v>#N/A</v>
      </c>
      <c r="X134" t="e">
        <f>IF(K134=2,"",_xlfn.IFNA(INDEX(drug_codes,MATCH(loaded!BA134,drug,0)),""))</f>
        <v>#N/A</v>
      </c>
      <c r="Y134" t="e">
        <f>INDEX(MTT_codes,MATCH(loaded!BC134,MTT,0))</f>
        <v>#N/A</v>
      </c>
      <c r="Z134" t="str">
        <f>_xlfn.IFNA(INDEX(MTT_codes,MATCH(loaded!BE134,MTT,0)),"")</f>
        <v/>
      </c>
      <c r="AA134" t="str">
        <f>_xlfn.IFNA(INDEX(MTT_codes,MATCH(loaded!BG134,MTT,0)),"")</f>
        <v/>
      </c>
      <c r="AB134" t="str">
        <f>_xlfn.IFNA(INDEX(MTT_codes,MATCH(loaded!BI134,MTT,0)),"")</f>
        <v/>
      </c>
      <c r="AC134" t="str">
        <f>_xlfn.IFNA(INDEX(MTT_codes,MATCH(loaded!BK134,MTT,0)),"")</f>
        <v/>
      </c>
      <c r="AD134" t="str">
        <f>_xlfn.IFNA(INDEX(MTT_codes,MATCH(loaded!BM134,MTT,0)),"")</f>
        <v/>
      </c>
      <c r="AE134" t="e">
        <f>INDEX(liv_ar_codes,MATCH(loaded!BO134,liv_ar,0))</f>
        <v>#N/A</v>
      </c>
      <c r="AF134" t="str">
        <f>_xlfn.IFNA(INDEX(MTT_codes,MATCH(loaded!BQ134,MTT,0)),"")</f>
        <v/>
      </c>
      <c r="AG134">
        <f>_xlfn.IFNA(INDEX(mental_codes,MATCH(loaded!BS134,mental,0)),9)</f>
        <v>9</v>
      </c>
    </row>
    <row r="135" spans="1:33" x14ac:dyDescent="0.25">
      <c r="A135">
        <f>loaded!C135</f>
        <v>0</v>
      </c>
      <c r="B135">
        <f>loaded!I135</f>
        <v>0</v>
      </c>
      <c r="C135">
        <f>IF(loaded!K135="Male",1,IF(loaded!K135="Female",2,9))</f>
        <v>9</v>
      </c>
      <c r="D135" s="8">
        <f>loaded!M135</f>
        <v>0</v>
      </c>
      <c r="E135" t="str">
        <f>LEFT(loaded!O135,3)</f>
        <v/>
      </c>
      <c r="F135" t="e">
        <f>INDEX(cntry_codes,MATCH(loaded!Q135,countries,0))</f>
        <v>#N/A</v>
      </c>
      <c r="G135" t="e">
        <f>INDEX(atsi_codes,MATCH(loaded!S135,atsi,0))</f>
        <v>#N/A</v>
      </c>
      <c r="H135" t="e">
        <f>INDEX(lang_codes,MATCH(loaded!U135,lang,0))</f>
        <v>#N/A</v>
      </c>
      <c r="I135" s="8">
        <f>loaded!W135</f>
        <v>0</v>
      </c>
      <c r="J135" t="e">
        <f>INDEX(us_acc_codes,MATCH(loaded!Y135,us_acc,0))</f>
        <v>#N/A</v>
      </c>
      <c r="K135" t="e">
        <f>INDEX(client_codes,MATCH(loaded!AA135,client,0))</f>
        <v>#N/A</v>
      </c>
      <c r="L135" t="e">
        <f>INDEX(src_ref_codes,MATCH(loaded!AC135,src_ref,0))</f>
        <v>#N/A</v>
      </c>
      <c r="M135" s="8">
        <f>loaded!AE135</f>
        <v>0</v>
      </c>
      <c r="N135" s="8">
        <f>loaded!AG135</f>
        <v>0</v>
      </c>
      <c r="O135" t="e">
        <f>INDEX(reces_codes,MATCH(loaded!AI135,reason,0))</f>
        <v>#N/A</v>
      </c>
      <c r="P135" t="e">
        <f>INDEX(TDS_codes,MATCH(loaded!AK135,TDS,0))</f>
        <v>#N/A</v>
      </c>
      <c r="Q135" t="e">
        <f>IF(K135=2,"",INDEX(method_codes,MATCH(loaded!AM135,method,0)))</f>
        <v>#N/A</v>
      </c>
      <c r="R135" t="e">
        <f>IF(K135=2,"",INDEX(inj_codes,MATCH(loaded!AO135,inj,0)))</f>
        <v>#N/A</v>
      </c>
      <c r="S135" t="e">
        <f>IF(K135=2,"",INDEX(drug_codes,MATCH(loaded!AQ135,drug,0)))</f>
        <v>#N/A</v>
      </c>
      <c r="T135" t="e">
        <f>IF(K135=2,"",_xlfn.IFNA(INDEX(drug_codes,MATCH(loaded!AS135,drug,0)),""))</f>
        <v>#N/A</v>
      </c>
      <c r="U135" t="e">
        <f>IF(K135=2,"",_xlfn.IFNA(INDEX(drug_codes,MATCH(loaded!AU135,drug,0)),""))</f>
        <v>#N/A</v>
      </c>
      <c r="V135" t="e">
        <f>IF(K135=2,"",_xlfn.IFNA(INDEX(drug_codes,MATCH(loaded!AW135,drug,0)),""))</f>
        <v>#N/A</v>
      </c>
      <c r="W135" t="e">
        <f>IF(K135=2,"",_xlfn.IFNA(INDEX(drug_codes,MATCH(loaded!AY135,drug,0)),""))</f>
        <v>#N/A</v>
      </c>
      <c r="X135" t="e">
        <f>IF(K135=2,"",_xlfn.IFNA(INDEX(drug_codes,MATCH(loaded!BA135,drug,0)),""))</f>
        <v>#N/A</v>
      </c>
      <c r="Y135" t="e">
        <f>INDEX(MTT_codes,MATCH(loaded!BC135,MTT,0))</f>
        <v>#N/A</v>
      </c>
      <c r="Z135" t="str">
        <f>_xlfn.IFNA(INDEX(MTT_codes,MATCH(loaded!BE135,MTT,0)),"")</f>
        <v/>
      </c>
      <c r="AA135" t="str">
        <f>_xlfn.IFNA(INDEX(MTT_codes,MATCH(loaded!BG135,MTT,0)),"")</f>
        <v/>
      </c>
      <c r="AB135" t="str">
        <f>_xlfn.IFNA(INDEX(MTT_codes,MATCH(loaded!BI135,MTT,0)),"")</f>
        <v/>
      </c>
      <c r="AC135" t="str">
        <f>_xlfn.IFNA(INDEX(MTT_codes,MATCH(loaded!BK135,MTT,0)),"")</f>
        <v/>
      </c>
      <c r="AD135" t="str">
        <f>_xlfn.IFNA(INDEX(MTT_codes,MATCH(loaded!BM135,MTT,0)),"")</f>
        <v/>
      </c>
      <c r="AE135" t="e">
        <f>INDEX(liv_ar_codes,MATCH(loaded!BO135,liv_ar,0))</f>
        <v>#N/A</v>
      </c>
      <c r="AF135" t="str">
        <f>_xlfn.IFNA(INDEX(MTT_codes,MATCH(loaded!BQ135,MTT,0)),"")</f>
        <v/>
      </c>
      <c r="AG135">
        <f>_xlfn.IFNA(INDEX(mental_codes,MATCH(loaded!BS135,mental,0)),9)</f>
        <v>9</v>
      </c>
    </row>
    <row r="136" spans="1:33" x14ac:dyDescent="0.25">
      <c r="A136">
        <f>loaded!C136</f>
        <v>0</v>
      </c>
      <c r="B136">
        <f>loaded!I136</f>
        <v>0</v>
      </c>
      <c r="C136">
        <f>IF(loaded!K136="Male",1,IF(loaded!K136="Female",2,9))</f>
        <v>9</v>
      </c>
      <c r="D136" s="8">
        <f>loaded!M136</f>
        <v>0</v>
      </c>
      <c r="E136" t="str">
        <f>LEFT(loaded!O136,3)</f>
        <v/>
      </c>
      <c r="F136" t="e">
        <f>INDEX(cntry_codes,MATCH(loaded!Q136,countries,0))</f>
        <v>#N/A</v>
      </c>
      <c r="G136" t="e">
        <f>INDEX(atsi_codes,MATCH(loaded!S136,atsi,0))</f>
        <v>#N/A</v>
      </c>
      <c r="H136" t="e">
        <f>INDEX(lang_codes,MATCH(loaded!U136,lang,0))</f>
        <v>#N/A</v>
      </c>
      <c r="I136" s="8">
        <f>loaded!W136</f>
        <v>0</v>
      </c>
      <c r="J136" t="e">
        <f>INDEX(us_acc_codes,MATCH(loaded!Y136,us_acc,0))</f>
        <v>#N/A</v>
      </c>
      <c r="K136" t="e">
        <f>INDEX(client_codes,MATCH(loaded!AA136,client,0))</f>
        <v>#N/A</v>
      </c>
      <c r="L136" t="e">
        <f>INDEX(src_ref_codes,MATCH(loaded!AC136,src_ref,0))</f>
        <v>#N/A</v>
      </c>
      <c r="M136" s="8">
        <f>loaded!AE136</f>
        <v>0</v>
      </c>
      <c r="N136" s="8">
        <f>loaded!AG136</f>
        <v>0</v>
      </c>
      <c r="O136" t="e">
        <f>INDEX(reces_codes,MATCH(loaded!AI136,reason,0))</f>
        <v>#N/A</v>
      </c>
      <c r="P136" t="e">
        <f>INDEX(TDS_codes,MATCH(loaded!AK136,TDS,0))</f>
        <v>#N/A</v>
      </c>
      <c r="Q136" t="e">
        <f>IF(K136=2,"",INDEX(method_codes,MATCH(loaded!AM136,method,0)))</f>
        <v>#N/A</v>
      </c>
      <c r="R136" t="e">
        <f>IF(K136=2,"",INDEX(inj_codes,MATCH(loaded!AO136,inj,0)))</f>
        <v>#N/A</v>
      </c>
      <c r="S136" t="e">
        <f>IF(K136=2,"",INDEX(drug_codes,MATCH(loaded!AQ136,drug,0)))</f>
        <v>#N/A</v>
      </c>
      <c r="T136" t="e">
        <f>IF(K136=2,"",_xlfn.IFNA(INDEX(drug_codes,MATCH(loaded!AS136,drug,0)),""))</f>
        <v>#N/A</v>
      </c>
      <c r="U136" t="e">
        <f>IF(K136=2,"",_xlfn.IFNA(INDEX(drug_codes,MATCH(loaded!AU136,drug,0)),""))</f>
        <v>#N/A</v>
      </c>
      <c r="V136" t="e">
        <f>IF(K136=2,"",_xlfn.IFNA(INDEX(drug_codes,MATCH(loaded!AW136,drug,0)),""))</f>
        <v>#N/A</v>
      </c>
      <c r="W136" t="e">
        <f>IF(K136=2,"",_xlfn.IFNA(INDEX(drug_codes,MATCH(loaded!AY136,drug,0)),""))</f>
        <v>#N/A</v>
      </c>
      <c r="X136" t="e">
        <f>IF(K136=2,"",_xlfn.IFNA(INDEX(drug_codes,MATCH(loaded!BA136,drug,0)),""))</f>
        <v>#N/A</v>
      </c>
      <c r="Y136" t="e">
        <f>INDEX(MTT_codes,MATCH(loaded!BC136,MTT,0))</f>
        <v>#N/A</v>
      </c>
      <c r="Z136" t="str">
        <f>_xlfn.IFNA(INDEX(MTT_codes,MATCH(loaded!BE136,MTT,0)),"")</f>
        <v/>
      </c>
      <c r="AA136" t="str">
        <f>_xlfn.IFNA(INDEX(MTT_codes,MATCH(loaded!BG136,MTT,0)),"")</f>
        <v/>
      </c>
      <c r="AB136" t="str">
        <f>_xlfn.IFNA(INDEX(MTT_codes,MATCH(loaded!BI136,MTT,0)),"")</f>
        <v/>
      </c>
      <c r="AC136" t="str">
        <f>_xlfn.IFNA(INDEX(MTT_codes,MATCH(loaded!BK136,MTT,0)),"")</f>
        <v/>
      </c>
      <c r="AD136" t="str">
        <f>_xlfn.IFNA(INDEX(MTT_codes,MATCH(loaded!BM136,MTT,0)),"")</f>
        <v/>
      </c>
      <c r="AE136" t="e">
        <f>INDEX(liv_ar_codes,MATCH(loaded!BO136,liv_ar,0))</f>
        <v>#N/A</v>
      </c>
      <c r="AF136" t="str">
        <f>_xlfn.IFNA(INDEX(MTT_codes,MATCH(loaded!BQ136,MTT,0)),"")</f>
        <v/>
      </c>
      <c r="AG136">
        <f>_xlfn.IFNA(INDEX(mental_codes,MATCH(loaded!BS136,mental,0)),9)</f>
        <v>9</v>
      </c>
    </row>
    <row r="137" spans="1:33" x14ac:dyDescent="0.25">
      <c r="A137">
        <f>loaded!C137</f>
        <v>0</v>
      </c>
      <c r="B137">
        <f>loaded!I137</f>
        <v>0</v>
      </c>
      <c r="C137">
        <f>IF(loaded!K137="Male",1,IF(loaded!K137="Female",2,9))</f>
        <v>9</v>
      </c>
      <c r="D137" s="8">
        <f>loaded!M137</f>
        <v>0</v>
      </c>
      <c r="E137" t="str">
        <f>LEFT(loaded!O137,3)</f>
        <v/>
      </c>
      <c r="F137" t="e">
        <f>INDEX(cntry_codes,MATCH(loaded!Q137,countries,0))</f>
        <v>#N/A</v>
      </c>
      <c r="G137" t="e">
        <f>INDEX(atsi_codes,MATCH(loaded!S137,atsi,0))</f>
        <v>#N/A</v>
      </c>
      <c r="H137" t="e">
        <f>INDEX(lang_codes,MATCH(loaded!U137,lang,0))</f>
        <v>#N/A</v>
      </c>
      <c r="I137" s="8">
        <f>loaded!W137</f>
        <v>0</v>
      </c>
      <c r="J137" t="e">
        <f>INDEX(us_acc_codes,MATCH(loaded!Y137,us_acc,0))</f>
        <v>#N/A</v>
      </c>
      <c r="K137" t="e">
        <f>INDEX(client_codes,MATCH(loaded!AA137,client,0))</f>
        <v>#N/A</v>
      </c>
      <c r="L137" t="e">
        <f>INDEX(src_ref_codes,MATCH(loaded!AC137,src_ref,0))</f>
        <v>#N/A</v>
      </c>
      <c r="M137" s="8">
        <f>loaded!AE137</f>
        <v>0</v>
      </c>
      <c r="N137" s="8">
        <f>loaded!AG137</f>
        <v>0</v>
      </c>
      <c r="O137" t="e">
        <f>INDEX(reces_codes,MATCH(loaded!AI137,reason,0))</f>
        <v>#N/A</v>
      </c>
      <c r="P137" t="e">
        <f>INDEX(TDS_codes,MATCH(loaded!AK137,TDS,0))</f>
        <v>#N/A</v>
      </c>
      <c r="Q137" t="e">
        <f>IF(K137=2,"",INDEX(method_codes,MATCH(loaded!AM137,method,0)))</f>
        <v>#N/A</v>
      </c>
      <c r="R137" t="e">
        <f>IF(K137=2,"",INDEX(inj_codes,MATCH(loaded!AO137,inj,0)))</f>
        <v>#N/A</v>
      </c>
      <c r="S137" t="e">
        <f>IF(K137=2,"",INDEX(drug_codes,MATCH(loaded!AQ137,drug,0)))</f>
        <v>#N/A</v>
      </c>
      <c r="T137" t="e">
        <f>IF(K137=2,"",_xlfn.IFNA(INDEX(drug_codes,MATCH(loaded!AS137,drug,0)),""))</f>
        <v>#N/A</v>
      </c>
      <c r="U137" t="e">
        <f>IF(K137=2,"",_xlfn.IFNA(INDEX(drug_codes,MATCH(loaded!AU137,drug,0)),""))</f>
        <v>#N/A</v>
      </c>
      <c r="V137" t="e">
        <f>IF(K137=2,"",_xlfn.IFNA(INDEX(drug_codes,MATCH(loaded!AW137,drug,0)),""))</f>
        <v>#N/A</v>
      </c>
      <c r="W137" t="e">
        <f>IF(K137=2,"",_xlfn.IFNA(INDEX(drug_codes,MATCH(loaded!AY137,drug,0)),""))</f>
        <v>#N/A</v>
      </c>
      <c r="X137" t="e">
        <f>IF(K137=2,"",_xlfn.IFNA(INDEX(drug_codes,MATCH(loaded!BA137,drug,0)),""))</f>
        <v>#N/A</v>
      </c>
      <c r="Y137" t="e">
        <f>INDEX(MTT_codes,MATCH(loaded!BC137,MTT,0))</f>
        <v>#N/A</v>
      </c>
      <c r="Z137" t="str">
        <f>_xlfn.IFNA(INDEX(MTT_codes,MATCH(loaded!BE137,MTT,0)),"")</f>
        <v/>
      </c>
      <c r="AA137" t="str">
        <f>_xlfn.IFNA(INDEX(MTT_codes,MATCH(loaded!BG137,MTT,0)),"")</f>
        <v/>
      </c>
      <c r="AB137" t="str">
        <f>_xlfn.IFNA(INDEX(MTT_codes,MATCH(loaded!BI137,MTT,0)),"")</f>
        <v/>
      </c>
      <c r="AC137" t="str">
        <f>_xlfn.IFNA(INDEX(MTT_codes,MATCH(loaded!BK137,MTT,0)),"")</f>
        <v/>
      </c>
      <c r="AD137" t="str">
        <f>_xlfn.IFNA(INDEX(MTT_codes,MATCH(loaded!BM137,MTT,0)),"")</f>
        <v/>
      </c>
      <c r="AE137" t="e">
        <f>INDEX(liv_ar_codes,MATCH(loaded!BO137,liv_ar,0))</f>
        <v>#N/A</v>
      </c>
      <c r="AF137" t="str">
        <f>_xlfn.IFNA(INDEX(MTT_codes,MATCH(loaded!BQ137,MTT,0)),"")</f>
        <v/>
      </c>
      <c r="AG137">
        <f>_xlfn.IFNA(INDEX(mental_codes,MATCH(loaded!BS137,mental,0)),9)</f>
        <v>9</v>
      </c>
    </row>
    <row r="138" spans="1:33" x14ac:dyDescent="0.25">
      <c r="A138">
        <f>loaded!C138</f>
        <v>0</v>
      </c>
      <c r="B138">
        <f>loaded!I138</f>
        <v>0</v>
      </c>
      <c r="C138">
        <f>IF(loaded!K138="Male",1,IF(loaded!K138="Female",2,9))</f>
        <v>9</v>
      </c>
      <c r="D138" s="8">
        <f>loaded!M138</f>
        <v>0</v>
      </c>
      <c r="E138" t="str">
        <f>LEFT(loaded!O138,3)</f>
        <v/>
      </c>
      <c r="F138" t="e">
        <f>INDEX(cntry_codes,MATCH(loaded!Q138,countries,0))</f>
        <v>#N/A</v>
      </c>
      <c r="G138" t="e">
        <f>INDEX(atsi_codes,MATCH(loaded!S138,atsi,0))</f>
        <v>#N/A</v>
      </c>
      <c r="H138" t="e">
        <f>INDEX(lang_codes,MATCH(loaded!U138,lang,0))</f>
        <v>#N/A</v>
      </c>
      <c r="I138" s="8">
        <f>loaded!W138</f>
        <v>0</v>
      </c>
      <c r="J138" t="e">
        <f>INDEX(us_acc_codes,MATCH(loaded!Y138,us_acc,0))</f>
        <v>#N/A</v>
      </c>
      <c r="K138" t="e">
        <f>INDEX(client_codes,MATCH(loaded!AA138,client,0))</f>
        <v>#N/A</v>
      </c>
      <c r="L138" t="e">
        <f>INDEX(src_ref_codes,MATCH(loaded!AC138,src_ref,0))</f>
        <v>#N/A</v>
      </c>
      <c r="M138" s="8">
        <f>loaded!AE138</f>
        <v>0</v>
      </c>
      <c r="N138" s="8">
        <f>loaded!AG138</f>
        <v>0</v>
      </c>
      <c r="O138" t="e">
        <f>INDEX(reces_codes,MATCH(loaded!AI138,reason,0))</f>
        <v>#N/A</v>
      </c>
      <c r="P138" t="e">
        <f>INDEX(TDS_codes,MATCH(loaded!AK138,TDS,0))</f>
        <v>#N/A</v>
      </c>
      <c r="Q138" t="e">
        <f>IF(K138=2,"",INDEX(method_codes,MATCH(loaded!AM138,method,0)))</f>
        <v>#N/A</v>
      </c>
      <c r="R138" t="e">
        <f>IF(K138=2,"",INDEX(inj_codes,MATCH(loaded!AO138,inj,0)))</f>
        <v>#N/A</v>
      </c>
      <c r="S138" t="e">
        <f>IF(K138=2,"",INDEX(drug_codes,MATCH(loaded!AQ138,drug,0)))</f>
        <v>#N/A</v>
      </c>
      <c r="T138" t="e">
        <f>IF(K138=2,"",_xlfn.IFNA(INDEX(drug_codes,MATCH(loaded!AS138,drug,0)),""))</f>
        <v>#N/A</v>
      </c>
      <c r="U138" t="e">
        <f>IF(K138=2,"",_xlfn.IFNA(INDEX(drug_codes,MATCH(loaded!AU138,drug,0)),""))</f>
        <v>#N/A</v>
      </c>
      <c r="V138" t="e">
        <f>IF(K138=2,"",_xlfn.IFNA(INDEX(drug_codes,MATCH(loaded!AW138,drug,0)),""))</f>
        <v>#N/A</v>
      </c>
      <c r="W138" t="e">
        <f>IF(K138=2,"",_xlfn.IFNA(INDEX(drug_codes,MATCH(loaded!AY138,drug,0)),""))</f>
        <v>#N/A</v>
      </c>
      <c r="X138" t="e">
        <f>IF(K138=2,"",_xlfn.IFNA(INDEX(drug_codes,MATCH(loaded!BA138,drug,0)),""))</f>
        <v>#N/A</v>
      </c>
      <c r="Y138" t="e">
        <f>INDEX(MTT_codes,MATCH(loaded!BC138,MTT,0))</f>
        <v>#N/A</v>
      </c>
      <c r="Z138" t="str">
        <f>_xlfn.IFNA(INDEX(MTT_codes,MATCH(loaded!BE138,MTT,0)),"")</f>
        <v/>
      </c>
      <c r="AA138" t="str">
        <f>_xlfn.IFNA(INDEX(MTT_codes,MATCH(loaded!BG138,MTT,0)),"")</f>
        <v/>
      </c>
      <c r="AB138" t="str">
        <f>_xlfn.IFNA(INDEX(MTT_codes,MATCH(loaded!BI138,MTT,0)),"")</f>
        <v/>
      </c>
      <c r="AC138" t="str">
        <f>_xlfn.IFNA(INDEX(MTT_codes,MATCH(loaded!BK138,MTT,0)),"")</f>
        <v/>
      </c>
      <c r="AD138" t="str">
        <f>_xlfn.IFNA(INDEX(MTT_codes,MATCH(loaded!BM138,MTT,0)),"")</f>
        <v/>
      </c>
      <c r="AE138" t="e">
        <f>INDEX(liv_ar_codes,MATCH(loaded!BO138,liv_ar,0))</f>
        <v>#N/A</v>
      </c>
      <c r="AF138" t="str">
        <f>_xlfn.IFNA(INDEX(MTT_codes,MATCH(loaded!BQ138,MTT,0)),"")</f>
        <v/>
      </c>
      <c r="AG138">
        <f>_xlfn.IFNA(INDEX(mental_codes,MATCH(loaded!BS138,mental,0)),9)</f>
        <v>9</v>
      </c>
    </row>
    <row r="139" spans="1:33" x14ac:dyDescent="0.25">
      <c r="A139">
        <f>loaded!C139</f>
        <v>0</v>
      </c>
      <c r="B139">
        <f>loaded!I139</f>
        <v>0</v>
      </c>
      <c r="C139">
        <f>IF(loaded!K139="Male",1,IF(loaded!K139="Female",2,9))</f>
        <v>9</v>
      </c>
      <c r="D139" s="8">
        <f>loaded!M139</f>
        <v>0</v>
      </c>
      <c r="E139" t="str">
        <f>LEFT(loaded!O139,3)</f>
        <v/>
      </c>
      <c r="F139" t="e">
        <f>INDEX(cntry_codes,MATCH(loaded!Q139,countries,0))</f>
        <v>#N/A</v>
      </c>
      <c r="G139" t="e">
        <f>INDEX(atsi_codes,MATCH(loaded!S139,atsi,0))</f>
        <v>#N/A</v>
      </c>
      <c r="H139" t="e">
        <f>INDEX(lang_codes,MATCH(loaded!U139,lang,0))</f>
        <v>#N/A</v>
      </c>
      <c r="I139" s="8">
        <f>loaded!W139</f>
        <v>0</v>
      </c>
      <c r="J139" t="e">
        <f>INDEX(us_acc_codes,MATCH(loaded!Y139,us_acc,0))</f>
        <v>#N/A</v>
      </c>
      <c r="K139" t="e">
        <f>INDEX(client_codes,MATCH(loaded!AA139,client,0))</f>
        <v>#N/A</v>
      </c>
      <c r="L139" t="e">
        <f>INDEX(src_ref_codes,MATCH(loaded!AC139,src_ref,0))</f>
        <v>#N/A</v>
      </c>
      <c r="M139" s="8">
        <f>loaded!AE139</f>
        <v>0</v>
      </c>
      <c r="N139" s="8">
        <f>loaded!AG139</f>
        <v>0</v>
      </c>
      <c r="O139" t="e">
        <f>INDEX(reces_codes,MATCH(loaded!AI139,reason,0))</f>
        <v>#N/A</v>
      </c>
      <c r="P139" t="e">
        <f>INDEX(TDS_codes,MATCH(loaded!AK139,TDS,0))</f>
        <v>#N/A</v>
      </c>
      <c r="Q139" t="e">
        <f>IF(K139=2,"",INDEX(method_codes,MATCH(loaded!AM139,method,0)))</f>
        <v>#N/A</v>
      </c>
      <c r="R139" t="e">
        <f>IF(K139=2,"",INDEX(inj_codes,MATCH(loaded!AO139,inj,0)))</f>
        <v>#N/A</v>
      </c>
      <c r="S139" t="e">
        <f>IF(K139=2,"",INDEX(drug_codes,MATCH(loaded!AQ139,drug,0)))</f>
        <v>#N/A</v>
      </c>
      <c r="T139" t="e">
        <f>IF(K139=2,"",_xlfn.IFNA(INDEX(drug_codes,MATCH(loaded!AS139,drug,0)),""))</f>
        <v>#N/A</v>
      </c>
      <c r="U139" t="e">
        <f>IF(K139=2,"",_xlfn.IFNA(INDEX(drug_codes,MATCH(loaded!AU139,drug,0)),""))</f>
        <v>#N/A</v>
      </c>
      <c r="V139" t="e">
        <f>IF(K139=2,"",_xlfn.IFNA(INDEX(drug_codes,MATCH(loaded!AW139,drug,0)),""))</f>
        <v>#N/A</v>
      </c>
      <c r="W139" t="e">
        <f>IF(K139=2,"",_xlfn.IFNA(INDEX(drug_codes,MATCH(loaded!AY139,drug,0)),""))</f>
        <v>#N/A</v>
      </c>
      <c r="X139" t="e">
        <f>IF(K139=2,"",_xlfn.IFNA(INDEX(drug_codes,MATCH(loaded!BA139,drug,0)),""))</f>
        <v>#N/A</v>
      </c>
      <c r="Y139" t="e">
        <f>INDEX(MTT_codes,MATCH(loaded!BC139,MTT,0))</f>
        <v>#N/A</v>
      </c>
      <c r="Z139" t="str">
        <f>_xlfn.IFNA(INDEX(MTT_codes,MATCH(loaded!BE139,MTT,0)),"")</f>
        <v/>
      </c>
      <c r="AA139" t="str">
        <f>_xlfn.IFNA(INDEX(MTT_codes,MATCH(loaded!BG139,MTT,0)),"")</f>
        <v/>
      </c>
      <c r="AB139" t="str">
        <f>_xlfn.IFNA(INDEX(MTT_codes,MATCH(loaded!BI139,MTT,0)),"")</f>
        <v/>
      </c>
      <c r="AC139" t="str">
        <f>_xlfn.IFNA(INDEX(MTT_codes,MATCH(loaded!BK139,MTT,0)),"")</f>
        <v/>
      </c>
      <c r="AD139" t="str">
        <f>_xlfn.IFNA(INDEX(MTT_codes,MATCH(loaded!BM139,MTT,0)),"")</f>
        <v/>
      </c>
      <c r="AE139" t="e">
        <f>INDEX(liv_ar_codes,MATCH(loaded!BO139,liv_ar,0))</f>
        <v>#N/A</v>
      </c>
      <c r="AF139" t="str">
        <f>_xlfn.IFNA(INDEX(MTT_codes,MATCH(loaded!BQ139,MTT,0)),"")</f>
        <v/>
      </c>
      <c r="AG139">
        <f>_xlfn.IFNA(INDEX(mental_codes,MATCH(loaded!BS139,mental,0)),9)</f>
        <v>9</v>
      </c>
    </row>
    <row r="140" spans="1:33" x14ac:dyDescent="0.25">
      <c r="A140">
        <f>loaded!C140</f>
        <v>0</v>
      </c>
      <c r="B140">
        <f>loaded!I140</f>
        <v>0</v>
      </c>
      <c r="C140">
        <f>IF(loaded!K140="Male",1,IF(loaded!K140="Female",2,9))</f>
        <v>9</v>
      </c>
      <c r="D140" s="8">
        <f>loaded!M140</f>
        <v>0</v>
      </c>
      <c r="E140" t="str">
        <f>LEFT(loaded!O140,3)</f>
        <v/>
      </c>
      <c r="F140" t="e">
        <f>INDEX(cntry_codes,MATCH(loaded!Q140,countries,0))</f>
        <v>#N/A</v>
      </c>
      <c r="G140" t="e">
        <f>INDEX(atsi_codes,MATCH(loaded!S140,atsi,0))</f>
        <v>#N/A</v>
      </c>
      <c r="H140" t="e">
        <f>INDEX(lang_codes,MATCH(loaded!U140,lang,0))</f>
        <v>#N/A</v>
      </c>
      <c r="I140" s="8">
        <f>loaded!W140</f>
        <v>0</v>
      </c>
      <c r="J140" t="e">
        <f>INDEX(us_acc_codes,MATCH(loaded!Y140,us_acc,0))</f>
        <v>#N/A</v>
      </c>
      <c r="K140" t="e">
        <f>INDEX(client_codes,MATCH(loaded!AA140,client,0))</f>
        <v>#N/A</v>
      </c>
      <c r="L140" t="e">
        <f>INDEX(src_ref_codes,MATCH(loaded!AC140,src_ref,0))</f>
        <v>#N/A</v>
      </c>
      <c r="M140" s="8">
        <f>loaded!AE140</f>
        <v>0</v>
      </c>
      <c r="N140" s="8">
        <f>loaded!AG140</f>
        <v>0</v>
      </c>
      <c r="O140" t="e">
        <f>INDEX(reces_codes,MATCH(loaded!AI140,reason,0))</f>
        <v>#N/A</v>
      </c>
      <c r="P140" t="e">
        <f>INDEX(TDS_codes,MATCH(loaded!AK140,TDS,0))</f>
        <v>#N/A</v>
      </c>
      <c r="Q140" t="e">
        <f>IF(K140=2,"",INDEX(method_codes,MATCH(loaded!AM140,method,0)))</f>
        <v>#N/A</v>
      </c>
      <c r="R140" t="e">
        <f>IF(K140=2,"",INDEX(inj_codes,MATCH(loaded!AO140,inj,0)))</f>
        <v>#N/A</v>
      </c>
      <c r="S140" t="e">
        <f>IF(K140=2,"",INDEX(drug_codes,MATCH(loaded!AQ140,drug,0)))</f>
        <v>#N/A</v>
      </c>
      <c r="T140" t="e">
        <f>IF(K140=2,"",_xlfn.IFNA(INDEX(drug_codes,MATCH(loaded!AS140,drug,0)),""))</f>
        <v>#N/A</v>
      </c>
      <c r="U140" t="e">
        <f>IF(K140=2,"",_xlfn.IFNA(INDEX(drug_codes,MATCH(loaded!AU140,drug,0)),""))</f>
        <v>#N/A</v>
      </c>
      <c r="V140" t="e">
        <f>IF(K140=2,"",_xlfn.IFNA(INDEX(drug_codes,MATCH(loaded!AW140,drug,0)),""))</f>
        <v>#N/A</v>
      </c>
      <c r="W140" t="e">
        <f>IF(K140=2,"",_xlfn.IFNA(INDEX(drug_codes,MATCH(loaded!AY140,drug,0)),""))</f>
        <v>#N/A</v>
      </c>
      <c r="X140" t="e">
        <f>IF(K140=2,"",_xlfn.IFNA(INDEX(drug_codes,MATCH(loaded!BA140,drug,0)),""))</f>
        <v>#N/A</v>
      </c>
      <c r="Y140" t="e">
        <f>INDEX(MTT_codes,MATCH(loaded!BC140,MTT,0))</f>
        <v>#N/A</v>
      </c>
      <c r="Z140" t="str">
        <f>_xlfn.IFNA(INDEX(MTT_codes,MATCH(loaded!BE140,MTT,0)),"")</f>
        <v/>
      </c>
      <c r="AA140" t="str">
        <f>_xlfn.IFNA(INDEX(MTT_codes,MATCH(loaded!BG140,MTT,0)),"")</f>
        <v/>
      </c>
      <c r="AB140" t="str">
        <f>_xlfn.IFNA(INDEX(MTT_codes,MATCH(loaded!BI140,MTT,0)),"")</f>
        <v/>
      </c>
      <c r="AC140" t="str">
        <f>_xlfn.IFNA(INDEX(MTT_codes,MATCH(loaded!BK140,MTT,0)),"")</f>
        <v/>
      </c>
      <c r="AD140" t="str">
        <f>_xlfn.IFNA(INDEX(MTT_codes,MATCH(loaded!BM140,MTT,0)),"")</f>
        <v/>
      </c>
      <c r="AE140" t="e">
        <f>INDEX(liv_ar_codes,MATCH(loaded!BO140,liv_ar,0))</f>
        <v>#N/A</v>
      </c>
      <c r="AF140" t="str">
        <f>_xlfn.IFNA(INDEX(MTT_codes,MATCH(loaded!BQ140,MTT,0)),"")</f>
        <v/>
      </c>
      <c r="AG140">
        <f>_xlfn.IFNA(INDEX(mental_codes,MATCH(loaded!BS140,mental,0)),9)</f>
        <v>9</v>
      </c>
    </row>
    <row r="141" spans="1:33" x14ac:dyDescent="0.25">
      <c r="A141">
        <f>loaded!C141</f>
        <v>0</v>
      </c>
      <c r="B141">
        <f>loaded!I141</f>
        <v>0</v>
      </c>
      <c r="C141">
        <f>IF(loaded!K141="Male",1,IF(loaded!K141="Female",2,9))</f>
        <v>9</v>
      </c>
      <c r="D141" s="8">
        <f>loaded!M141</f>
        <v>0</v>
      </c>
      <c r="E141" t="str">
        <f>LEFT(loaded!O141,3)</f>
        <v/>
      </c>
      <c r="F141" t="e">
        <f>INDEX(cntry_codes,MATCH(loaded!Q141,countries,0))</f>
        <v>#N/A</v>
      </c>
      <c r="G141" t="e">
        <f>INDEX(atsi_codes,MATCH(loaded!S141,atsi,0))</f>
        <v>#N/A</v>
      </c>
      <c r="H141" t="e">
        <f>INDEX(lang_codes,MATCH(loaded!U141,lang,0))</f>
        <v>#N/A</v>
      </c>
      <c r="I141" s="8">
        <f>loaded!W141</f>
        <v>0</v>
      </c>
      <c r="J141" t="e">
        <f>INDEX(us_acc_codes,MATCH(loaded!Y141,us_acc,0))</f>
        <v>#N/A</v>
      </c>
      <c r="K141" t="e">
        <f>INDEX(client_codes,MATCH(loaded!AA141,client,0))</f>
        <v>#N/A</v>
      </c>
      <c r="L141" t="e">
        <f>INDEX(src_ref_codes,MATCH(loaded!AC141,src_ref,0))</f>
        <v>#N/A</v>
      </c>
      <c r="M141" s="8">
        <f>loaded!AE141</f>
        <v>0</v>
      </c>
      <c r="N141" s="8">
        <f>loaded!AG141</f>
        <v>0</v>
      </c>
      <c r="O141" t="e">
        <f>INDEX(reces_codes,MATCH(loaded!AI141,reason,0))</f>
        <v>#N/A</v>
      </c>
      <c r="P141" t="e">
        <f>INDEX(TDS_codes,MATCH(loaded!AK141,TDS,0))</f>
        <v>#N/A</v>
      </c>
      <c r="Q141" t="e">
        <f>IF(K141=2,"",INDEX(method_codes,MATCH(loaded!AM141,method,0)))</f>
        <v>#N/A</v>
      </c>
      <c r="R141" t="e">
        <f>IF(K141=2,"",INDEX(inj_codes,MATCH(loaded!AO141,inj,0)))</f>
        <v>#N/A</v>
      </c>
      <c r="S141" t="e">
        <f>IF(K141=2,"",INDEX(drug_codes,MATCH(loaded!AQ141,drug,0)))</f>
        <v>#N/A</v>
      </c>
      <c r="T141" t="e">
        <f>IF(K141=2,"",_xlfn.IFNA(INDEX(drug_codes,MATCH(loaded!AS141,drug,0)),""))</f>
        <v>#N/A</v>
      </c>
      <c r="U141" t="e">
        <f>IF(K141=2,"",_xlfn.IFNA(INDEX(drug_codes,MATCH(loaded!AU141,drug,0)),""))</f>
        <v>#N/A</v>
      </c>
      <c r="V141" t="e">
        <f>IF(K141=2,"",_xlfn.IFNA(INDEX(drug_codes,MATCH(loaded!AW141,drug,0)),""))</f>
        <v>#N/A</v>
      </c>
      <c r="W141" t="e">
        <f>IF(K141=2,"",_xlfn.IFNA(INDEX(drug_codes,MATCH(loaded!AY141,drug,0)),""))</f>
        <v>#N/A</v>
      </c>
      <c r="X141" t="e">
        <f>IF(K141=2,"",_xlfn.IFNA(INDEX(drug_codes,MATCH(loaded!BA141,drug,0)),""))</f>
        <v>#N/A</v>
      </c>
      <c r="Y141" t="e">
        <f>INDEX(MTT_codes,MATCH(loaded!BC141,MTT,0))</f>
        <v>#N/A</v>
      </c>
      <c r="Z141" t="str">
        <f>_xlfn.IFNA(INDEX(MTT_codes,MATCH(loaded!BE141,MTT,0)),"")</f>
        <v/>
      </c>
      <c r="AA141" t="str">
        <f>_xlfn.IFNA(INDEX(MTT_codes,MATCH(loaded!BG141,MTT,0)),"")</f>
        <v/>
      </c>
      <c r="AB141" t="str">
        <f>_xlfn.IFNA(INDEX(MTT_codes,MATCH(loaded!BI141,MTT,0)),"")</f>
        <v/>
      </c>
      <c r="AC141" t="str">
        <f>_xlfn.IFNA(INDEX(MTT_codes,MATCH(loaded!BK141,MTT,0)),"")</f>
        <v/>
      </c>
      <c r="AD141" t="str">
        <f>_xlfn.IFNA(INDEX(MTT_codes,MATCH(loaded!BM141,MTT,0)),"")</f>
        <v/>
      </c>
      <c r="AE141" t="e">
        <f>INDEX(liv_ar_codes,MATCH(loaded!BO141,liv_ar,0))</f>
        <v>#N/A</v>
      </c>
      <c r="AF141" t="str">
        <f>_xlfn.IFNA(INDEX(MTT_codes,MATCH(loaded!BQ141,MTT,0)),"")</f>
        <v/>
      </c>
      <c r="AG141">
        <f>_xlfn.IFNA(INDEX(mental_codes,MATCH(loaded!BS141,mental,0)),9)</f>
        <v>9</v>
      </c>
    </row>
    <row r="142" spans="1:33" x14ac:dyDescent="0.25">
      <c r="A142">
        <f>loaded!C142</f>
        <v>0</v>
      </c>
      <c r="B142">
        <f>loaded!I142</f>
        <v>0</v>
      </c>
      <c r="C142">
        <f>IF(loaded!K142="Male",1,IF(loaded!K142="Female",2,9))</f>
        <v>9</v>
      </c>
      <c r="D142" s="8">
        <f>loaded!M142</f>
        <v>0</v>
      </c>
      <c r="E142" t="str">
        <f>LEFT(loaded!O142,3)</f>
        <v/>
      </c>
      <c r="F142" t="e">
        <f>INDEX(cntry_codes,MATCH(loaded!Q142,countries,0))</f>
        <v>#N/A</v>
      </c>
      <c r="G142" t="e">
        <f>INDEX(atsi_codes,MATCH(loaded!S142,atsi,0))</f>
        <v>#N/A</v>
      </c>
      <c r="H142" t="e">
        <f>INDEX(lang_codes,MATCH(loaded!U142,lang,0))</f>
        <v>#N/A</v>
      </c>
      <c r="I142" s="8">
        <f>loaded!W142</f>
        <v>0</v>
      </c>
      <c r="J142" t="e">
        <f>INDEX(us_acc_codes,MATCH(loaded!Y142,us_acc,0))</f>
        <v>#N/A</v>
      </c>
      <c r="K142" t="e">
        <f>INDEX(client_codes,MATCH(loaded!AA142,client,0))</f>
        <v>#N/A</v>
      </c>
      <c r="L142" t="e">
        <f>INDEX(src_ref_codes,MATCH(loaded!AC142,src_ref,0))</f>
        <v>#N/A</v>
      </c>
      <c r="M142" s="8">
        <f>loaded!AE142</f>
        <v>0</v>
      </c>
      <c r="N142" s="8">
        <f>loaded!AG142</f>
        <v>0</v>
      </c>
      <c r="O142" t="e">
        <f>INDEX(reces_codes,MATCH(loaded!AI142,reason,0))</f>
        <v>#N/A</v>
      </c>
      <c r="P142" t="e">
        <f>INDEX(TDS_codes,MATCH(loaded!AK142,TDS,0))</f>
        <v>#N/A</v>
      </c>
      <c r="Q142" t="e">
        <f>IF(K142=2,"",INDEX(method_codes,MATCH(loaded!AM142,method,0)))</f>
        <v>#N/A</v>
      </c>
      <c r="R142" t="e">
        <f>IF(K142=2,"",INDEX(inj_codes,MATCH(loaded!AO142,inj,0)))</f>
        <v>#N/A</v>
      </c>
      <c r="S142" t="e">
        <f>IF(K142=2,"",INDEX(drug_codes,MATCH(loaded!AQ142,drug,0)))</f>
        <v>#N/A</v>
      </c>
      <c r="T142" t="e">
        <f>IF(K142=2,"",_xlfn.IFNA(INDEX(drug_codes,MATCH(loaded!AS142,drug,0)),""))</f>
        <v>#N/A</v>
      </c>
      <c r="U142" t="e">
        <f>IF(K142=2,"",_xlfn.IFNA(INDEX(drug_codes,MATCH(loaded!AU142,drug,0)),""))</f>
        <v>#N/A</v>
      </c>
      <c r="V142" t="e">
        <f>IF(K142=2,"",_xlfn.IFNA(INDEX(drug_codes,MATCH(loaded!AW142,drug,0)),""))</f>
        <v>#N/A</v>
      </c>
      <c r="W142" t="e">
        <f>IF(K142=2,"",_xlfn.IFNA(INDEX(drug_codes,MATCH(loaded!AY142,drug,0)),""))</f>
        <v>#N/A</v>
      </c>
      <c r="X142" t="e">
        <f>IF(K142=2,"",_xlfn.IFNA(INDEX(drug_codes,MATCH(loaded!BA142,drug,0)),""))</f>
        <v>#N/A</v>
      </c>
      <c r="Y142" t="e">
        <f>INDEX(MTT_codes,MATCH(loaded!BC142,MTT,0))</f>
        <v>#N/A</v>
      </c>
      <c r="Z142" t="str">
        <f>_xlfn.IFNA(INDEX(MTT_codes,MATCH(loaded!BE142,MTT,0)),"")</f>
        <v/>
      </c>
      <c r="AA142" t="str">
        <f>_xlfn.IFNA(INDEX(MTT_codes,MATCH(loaded!BG142,MTT,0)),"")</f>
        <v/>
      </c>
      <c r="AB142" t="str">
        <f>_xlfn.IFNA(INDEX(MTT_codes,MATCH(loaded!BI142,MTT,0)),"")</f>
        <v/>
      </c>
      <c r="AC142" t="str">
        <f>_xlfn.IFNA(INDEX(MTT_codes,MATCH(loaded!BK142,MTT,0)),"")</f>
        <v/>
      </c>
      <c r="AD142" t="str">
        <f>_xlfn.IFNA(INDEX(MTT_codes,MATCH(loaded!BM142,MTT,0)),"")</f>
        <v/>
      </c>
      <c r="AE142" t="e">
        <f>INDEX(liv_ar_codes,MATCH(loaded!BO142,liv_ar,0))</f>
        <v>#N/A</v>
      </c>
      <c r="AF142" t="str">
        <f>_xlfn.IFNA(INDEX(MTT_codes,MATCH(loaded!BQ142,MTT,0)),"")</f>
        <v/>
      </c>
      <c r="AG142">
        <f>_xlfn.IFNA(INDEX(mental_codes,MATCH(loaded!BS142,mental,0)),9)</f>
        <v>9</v>
      </c>
    </row>
    <row r="143" spans="1:33" x14ac:dyDescent="0.25">
      <c r="A143">
        <f>loaded!C143</f>
        <v>0</v>
      </c>
      <c r="B143">
        <f>loaded!I143</f>
        <v>0</v>
      </c>
      <c r="C143">
        <f>IF(loaded!K143="Male",1,IF(loaded!K143="Female",2,9))</f>
        <v>9</v>
      </c>
      <c r="D143" s="8">
        <f>loaded!M143</f>
        <v>0</v>
      </c>
      <c r="E143" t="str">
        <f>LEFT(loaded!O143,3)</f>
        <v/>
      </c>
      <c r="F143" t="e">
        <f>INDEX(cntry_codes,MATCH(loaded!Q143,countries,0))</f>
        <v>#N/A</v>
      </c>
      <c r="G143" t="e">
        <f>INDEX(atsi_codes,MATCH(loaded!S143,atsi,0))</f>
        <v>#N/A</v>
      </c>
      <c r="H143" t="e">
        <f>INDEX(lang_codes,MATCH(loaded!U143,lang,0))</f>
        <v>#N/A</v>
      </c>
      <c r="I143" s="8">
        <f>loaded!W143</f>
        <v>0</v>
      </c>
      <c r="J143" t="e">
        <f>INDEX(us_acc_codes,MATCH(loaded!Y143,us_acc,0))</f>
        <v>#N/A</v>
      </c>
      <c r="K143" t="e">
        <f>INDEX(client_codes,MATCH(loaded!AA143,client,0))</f>
        <v>#N/A</v>
      </c>
      <c r="L143" t="e">
        <f>INDEX(src_ref_codes,MATCH(loaded!AC143,src_ref,0))</f>
        <v>#N/A</v>
      </c>
      <c r="M143" s="8">
        <f>loaded!AE143</f>
        <v>0</v>
      </c>
      <c r="N143" s="8">
        <f>loaded!AG143</f>
        <v>0</v>
      </c>
      <c r="O143" t="e">
        <f>INDEX(reces_codes,MATCH(loaded!AI143,reason,0))</f>
        <v>#N/A</v>
      </c>
      <c r="P143" t="e">
        <f>INDEX(TDS_codes,MATCH(loaded!AK143,TDS,0))</f>
        <v>#N/A</v>
      </c>
      <c r="Q143" t="e">
        <f>IF(K143=2,"",INDEX(method_codes,MATCH(loaded!AM143,method,0)))</f>
        <v>#N/A</v>
      </c>
      <c r="R143" t="e">
        <f>IF(K143=2,"",INDEX(inj_codes,MATCH(loaded!AO143,inj,0)))</f>
        <v>#N/A</v>
      </c>
      <c r="S143" t="e">
        <f>IF(K143=2,"",INDEX(drug_codes,MATCH(loaded!AQ143,drug,0)))</f>
        <v>#N/A</v>
      </c>
      <c r="T143" t="e">
        <f>IF(K143=2,"",_xlfn.IFNA(INDEX(drug_codes,MATCH(loaded!AS143,drug,0)),""))</f>
        <v>#N/A</v>
      </c>
      <c r="U143" t="e">
        <f>IF(K143=2,"",_xlfn.IFNA(INDEX(drug_codes,MATCH(loaded!AU143,drug,0)),""))</f>
        <v>#N/A</v>
      </c>
      <c r="V143" t="e">
        <f>IF(K143=2,"",_xlfn.IFNA(INDEX(drug_codes,MATCH(loaded!AW143,drug,0)),""))</f>
        <v>#N/A</v>
      </c>
      <c r="W143" t="e">
        <f>IF(K143=2,"",_xlfn.IFNA(INDEX(drug_codes,MATCH(loaded!AY143,drug,0)),""))</f>
        <v>#N/A</v>
      </c>
      <c r="X143" t="e">
        <f>IF(K143=2,"",_xlfn.IFNA(INDEX(drug_codes,MATCH(loaded!BA143,drug,0)),""))</f>
        <v>#N/A</v>
      </c>
      <c r="Y143" t="e">
        <f>INDEX(MTT_codes,MATCH(loaded!BC143,MTT,0))</f>
        <v>#N/A</v>
      </c>
      <c r="Z143" t="str">
        <f>_xlfn.IFNA(INDEX(MTT_codes,MATCH(loaded!BE143,MTT,0)),"")</f>
        <v/>
      </c>
      <c r="AA143" t="str">
        <f>_xlfn.IFNA(INDEX(MTT_codes,MATCH(loaded!BG143,MTT,0)),"")</f>
        <v/>
      </c>
      <c r="AB143" t="str">
        <f>_xlfn.IFNA(INDEX(MTT_codes,MATCH(loaded!BI143,MTT,0)),"")</f>
        <v/>
      </c>
      <c r="AC143" t="str">
        <f>_xlfn.IFNA(INDEX(MTT_codes,MATCH(loaded!BK143,MTT,0)),"")</f>
        <v/>
      </c>
      <c r="AD143" t="str">
        <f>_xlfn.IFNA(INDEX(MTT_codes,MATCH(loaded!BM143,MTT,0)),"")</f>
        <v/>
      </c>
      <c r="AE143" t="e">
        <f>INDEX(liv_ar_codes,MATCH(loaded!BO143,liv_ar,0))</f>
        <v>#N/A</v>
      </c>
      <c r="AF143" t="str">
        <f>_xlfn.IFNA(INDEX(MTT_codes,MATCH(loaded!BQ143,MTT,0)),"")</f>
        <v/>
      </c>
      <c r="AG143">
        <f>_xlfn.IFNA(INDEX(mental_codes,MATCH(loaded!BS143,mental,0)),9)</f>
        <v>9</v>
      </c>
    </row>
    <row r="144" spans="1:33" x14ac:dyDescent="0.25">
      <c r="A144">
        <f>loaded!C144</f>
        <v>0</v>
      </c>
      <c r="B144">
        <f>loaded!I144</f>
        <v>0</v>
      </c>
      <c r="C144">
        <f>IF(loaded!K144="Male",1,IF(loaded!K144="Female",2,9))</f>
        <v>9</v>
      </c>
      <c r="D144" s="8">
        <f>loaded!M144</f>
        <v>0</v>
      </c>
      <c r="E144" t="str">
        <f>LEFT(loaded!O144,3)</f>
        <v/>
      </c>
      <c r="F144" t="e">
        <f>INDEX(cntry_codes,MATCH(loaded!Q144,countries,0))</f>
        <v>#N/A</v>
      </c>
      <c r="G144" t="e">
        <f>INDEX(atsi_codes,MATCH(loaded!S144,atsi,0))</f>
        <v>#N/A</v>
      </c>
      <c r="H144" t="e">
        <f>INDEX(lang_codes,MATCH(loaded!U144,lang,0))</f>
        <v>#N/A</v>
      </c>
      <c r="I144" s="8">
        <f>loaded!W144</f>
        <v>0</v>
      </c>
      <c r="J144" t="e">
        <f>INDEX(us_acc_codes,MATCH(loaded!Y144,us_acc,0))</f>
        <v>#N/A</v>
      </c>
      <c r="K144" t="e">
        <f>INDEX(client_codes,MATCH(loaded!AA144,client,0))</f>
        <v>#N/A</v>
      </c>
      <c r="L144" t="e">
        <f>INDEX(src_ref_codes,MATCH(loaded!AC144,src_ref,0))</f>
        <v>#N/A</v>
      </c>
      <c r="M144" s="8">
        <f>loaded!AE144</f>
        <v>0</v>
      </c>
      <c r="N144" s="8">
        <f>loaded!AG144</f>
        <v>0</v>
      </c>
      <c r="O144" t="e">
        <f>INDEX(reces_codes,MATCH(loaded!AI144,reason,0))</f>
        <v>#N/A</v>
      </c>
      <c r="P144" t="e">
        <f>INDEX(TDS_codes,MATCH(loaded!AK144,TDS,0))</f>
        <v>#N/A</v>
      </c>
      <c r="Q144" t="e">
        <f>IF(K144=2,"",INDEX(method_codes,MATCH(loaded!AM144,method,0)))</f>
        <v>#N/A</v>
      </c>
      <c r="R144" t="e">
        <f>IF(K144=2,"",INDEX(inj_codes,MATCH(loaded!AO144,inj,0)))</f>
        <v>#N/A</v>
      </c>
      <c r="S144" t="e">
        <f>IF(K144=2,"",INDEX(drug_codes,MATCH(loaded!AQ144,drug,0)))</f>
        <v>#N/A</v>
      </c>
      <c r="T144" t="e">
        <f>IF(K144=2,"",_xlfn.IFNA(INDEX(drug_codes,MATCH(loaded!AS144,drug,0)),""))</f>
        <v>#N/A</v>
      </c>
      <c r="U144" t="e">
        <f>IF(K144=2,"",_xlfn.IFNA(INDEX(drug_codes,MATCH(loaded!AU144,drug,0)),""))</f>
        <v>#N/A</v>
      </c>
      <c r="V144" t="e">
        <f>IF(K144=2,"",_xlfn.IFNA(INDEX(drug_codes,MATCH(loaded!AW144,drug,0)),""))</f>
        <v>#N/A</v>
      </c>
      <c r="W144" t="e">
        <f>IF(K144=2,"",_xlfn.IFNA(INDEX(drug_codes,MATCH(loaded!AY144,drug,0)),""))</f>
        <v>#N/A</v>
      </c>
      <c r="X144" t="e">
        <f>IF(K144=2,"",_xlfn.IFNA(INDEX(drug_codes,MATCH(loaded!BA144,drug,0)),""))</f>
        <v>#N/A</v>
      </c>
      <c r="Y144" t="e">
        <f>INDEX(MTT_codes,MATCH(loaded!BC144,MTT,0))</f>
        <v>#N/A</v>
      </c>
      <c r="Z144" t="str">
        <f>_xlfn.IFNA(INDEX(MTT_codes,MATCH(loaded!BE144,MTT,0)),"")</f>
        <v/>
      </c>
      <c r="AA144" t="str">
        <f>_xlfn.IFNA(INDEX(MTT_codes,MATCH(loaded!BG144,MTT,0)),"")</f>
        <v/>
      </c>
      <c r="AB144" t="str">
        <f>_xlfn.IFNA(INDEX(MTT_codes,MATCH(loaded!BI144,MTT,0)),"")</f>
        <v/>
      </c>
      <c r="AC144" t="str">
        <f>_xlfn.IFNA(INDEX(MTT_codes,MATCH(loaded!BK144,MTT,0)),"")</f>
        <v/>
      </c>
      <c r="AD144" t="str">
        <f>_xlfn.IFNA(INDEX(MTT_codes,MATCH(loaded!BM144,MTT,0)),"")</f>
        <v/>
      </c>
      <c r="AE144" t="e">
        <f>INDEX(liv_ar_codes,MATCH(loaded!BO144,liv_ar,0))</f>
        <v>#N/A</v>
      </c>
      <c r="AF144" t="str">
        <f>_xlfn.IFNA(INDEX(MTT_codes,MATCH(loaded!BQ144,MTT,0)),"")</f>
        <v/>
      </c>
      <c r="AG144">
        <f>_xlfn.IFNA(INDEX(mental_codes,MATCH(loaded!BS144,mental,0)),9)</f>
        <v>9</v>
      </c>
    </row>
    <row r="145" spans="1:33" x14ac:dyDescent="0.25">
      <c r="A145">
        <f>loaded!C145</f>
        <v>0</v>
      </c>
      <c r="B145">
        <f>loaded!I145</f>
        <v>0</v>
      </c>
      <c r="C145">
        <f>IF(loaded!K145="Male",1,IF(loaded!K145="Female",2,9))</f>
        <v>9</v>
      </c>
      <c r="D145" s="8">
        <f>loaded!M145</f>
        <v>0</v>
      </c>
      <c r="E145" t="str">
        <f>LEFT(loaded!O145,3)</f>
        <v/>
      </c>
      <c r="F145" t="e">
        <f>INDEX(cntry_codes,MATCH(loaded!Q145,countries,0))</f>
        <v>#N/A</v>
      </c>
      <c r="G145" t="e">
        <f>INDEX(atsi_codes,MATCH(loaded!S145,atsi,0))</f>
        <v>#N/A</v>
      </c>
      <c r="H145" t="e">
        <f>INDEX(lang_codes,MATCH(loaded!U145,lang,0))</f>
        <v>#N/A</v>
      </c>
      <c r="I145" s="8">
        <f>loaded!W145</f>
        <v>0</v>
      </c>
      <c r="J145" t="e">
        <f>INDEX(us_acc_codes,MATCH(loaded!Y145,us_acc,0))</f>
        <v>#N/A</v>
      </c>
      <c r="K145" t="e">
        <f>INDEX(client_codes,MATCH(loaded!AA145,client,0))</f>
        <v>#N/A</v>
      </c>
      <c r="L145" t="e">
        <f>INDEX(src_ref_codes,MATCH(loaded!AC145,src_ref,0))</f>
        <v>#N/A</v>
      </c>
      <c r="M145" s="8">
        <f>loaded!AE145</f>
        <v>0</v>
      </c>
      <c r="N145" s="8">
        <f>loaded!AG145</f>
        <v>0</v>
      </c>
      <c r="O145" t="e">
        <f>INDEX(reces_codes,MATCH(loaded!AI145,reason,0))</f>
        <v>#N/A</v>
      </c>
      <c r="P145" t="e">
        <f>INDEX(TDS_codes,MATCH(loaded!AK145,TDS,0))</f>
        <v>#N/A</v>
      </c>
      <c r="Q145" t="e">
        <f>IF(K145=2,"",INDEX(method_codes,MATCH(loaded!AM145,method,0)))</f>
        <v>#N/A</v>
      </c>
      <c r="R145" t="e">
        <f>IF(K145=2,"",INDEX(inj_codes,MATCH(loaded!AO145,inj,0)))</f>
        <v>#N/A</v>
      </c>
      <c r="S145" t="e">
        <f>IF(K145=2,"",INDEX(drug_codes,MATCH(loaded!AQ145,drug,0)))</f>
        <v>#N/A</v>
      </c>
      <c r="T145" t="e">
        <f>IF(K145=2,"",_xlfn.IFNA(INDEX(drug_codes,MATCH(loaded!AS145,drug,0)),""))</f>
        <v>#N/A</v>
      </c>
      <c r="U145" t="e">
        <f>IF(K145=2,"",_xlfn.IFNA(INDEX(drug_codes,MATCH(loaded!AU145,drug,0)),""))</f>
        <v>#N/A</v>
      </c>
      <c r="V145" t="e">
        <f>IF(K145=2,"",_xlfn.IFNA(INDEX(drug_codes,MATCH(loaded!AW145,drug,0)),""))</f>
        <v>#N/A</v>
      </c>
      <c r="W145" t="e">
        <f>IF(K145=2,"",_xlfn.IFNA(INDEX(drug_codes,MATCH(loaded!AY145,drug,0)),""))</f>
        <v>#N/A</v>
      </c>
      <c r="X145" t="e">
        <f>IF(K145=2,"",_xlfn.IFNA(INDEX(drug_codes,MATCH(loaded!BA145,drug,0)),""))</f>
        <v>#N/A</v>
      </c>
      <c r="Y145" t="e">
        <f>INDEX(MTT_codes,MATCH(loaded!BC145,MTT,0))</f>
        <v>#N/A</v>
      </c>
      <c r="Z145" t="str">
        <f>_xlfn.IFNA(INDEX(MTT_codes,MATCH(loaded!BE145,MTT,0)),"")</f>
        <v/>
      </c>
      <c r="AA145" t="str">
        <f>_xlfn.IFNA(INDEX(MTT_codes,MATCH(loaded!BG145,MTT,0)),"")</f>
        <v/>
      </c>
      <c r="AB145" t="str">
        <f>_xlfn.IFNA(INDEX(MTT_codes,MATCH(loaded!BI145,MTT,0)),"")</f>
        <v/>
      </c>
      <c r="AC145" t="str">
        <f>_xlfn.IFNA(INDEX(MTT_codes,MATCH(loaded!BK145,MTT,0)),"")</f>
        <v/>
      </c>
      <c r="AD145" t="str">
        <f>_xlfn.IFNA(INDEX(MTT_codes,MATCH(loaded!BM145,MTT,0)),"")</f>
        <v/>
      </c>
      <c r="AE145" t="e">
        <f>INDEX(liv_ar_codes,MATCH(loaded!BO145,liv_ar,0))</f>
        <v>#N/A</v>
      </c>
      <c r="AF145" t="str">
        <f>_xlfn.IFNA(INDEX(MTT_codes,MATCH(loaded!BQ145,MTT,0)),"")</f>
        <v/>
      </c>
      <c r="AG145">
        <f>_xlfn.IFNA(INDEX(mental_codes,MATCH(loaded!BS145,mental,0)),9)</f>
        <v>9</v>
      </c>
    </row>
    <row r="146" spans="1:33" x14ac:dyDescent="0.25">
      <c r="A146">
        <f>loaded!C146</f>
        <v>0</v>
      </c>
      <c r="B146">
        <f>loaded!I146</f>
        <v>0</v>
      </c>
      <c r="C146">
        <f>IF(loaded!K146="Male",1,IF(loaded!K146="Female",2,9))</f>
        <v>9</v>
      </c>
      <c r="D146" s="8">
        <f>loaded!M146</f>
        <v>0</v>
      </c>
      <c r="E146" t="str">
        <f>LEFT(loaded!O146,3)</f>
        <v/>
      </c>
      <c r="F146" t="e">
        <f>INDEX(cntry_codes,MATCH(loaded!Q146,countries,0))</f>
        <v>#N/A</v>
      </c>
      <c r="G146" t="e">
        <f>INDEX(atsi_codes,MATCH(loaded!S146,atsi,0))</f>
        <v>#N/A</v>
      </c>
      <c r="H146" t="e">
        <f>INDEX(lang_codes,MATCH(loaded!U146,lang,0))</f>
        <v>#N/A</v>
      </c>
      <c r="I146" s="8">
        <f>loaded!W146</f>
        <v>0</v>
      </c>
      <c r="J146" t="e">
        <f>INDEX(us_acc_codes,MATCH(loaded!Y146,us_acc,0))</f>
        <v>#N/A</v>
      </c>
      <c r="K146" t="e">
        <f>INDEX(client_codes,MATCH(loaded!AA146,client,0))</f>
        <v>#N/A</v>
      </c>
      <c r="L146" t="e">
        <f>INDEX(src_ref_codes,MATCH(loaded!AC146,src_ref,0))</f>
        <v>#N/A</v>
      </c>
      <c r="M146" s="8">
        <f>loaded!AE146</f>
        <v>0</v>
      </c>
      <c r="N146" s="8">
        <f>loaded!AG146</f>
        <v>0</v>
      </c>
      <c r="O146" t="e">
        <f>INDEX(reces_codes,MATCH(loaded!AI146,reason,0))</f>
        <v>#N/A</v>
      </c>
      <c r="P146" t="e">
        <f>INDEX(TDS_codes,MATCH(loaded!AK146,TDS,0))</f>
        <v>#N/A</v>
      </c>
      <c r="Q146" t="e">
        <f>IF(K146=2,"",INDEX(method_codes,MATCH(loaded!AM146,method,0)))</f>
        <v>#N/A</v>
      </c>
      <c r="R146" t="e">
        <f>IF(K146=2,"",INDEX(inj_codes,MATCH(loaded!AO146,inj,0)))</f>
        <v>#N/A</v>
      </c>
      <c r="S146" t="e">
        <f>IF(K146=2,"",INDEX(drug_codes,MATCH(loaded!AQ146,drug,0)))</f>
        <v>#N/A</v>
      </c>
      <c r="T146" t="e">
        <f>IF(K146=2,"",_xlfn.IFNA(INDEX(drug_codes,MATCH(loaded!AS146,drug,0)),""))</f>
        <v>#N/A</v>
      </c>
      <c r="U146" t="e">
        <f>IF(K146=2,"",_xlfn.IFNA(INDEX(drug_codes,MATCH(loaded!AU146,drug,0)),""))</f>
        <v>#N/A</v>
      </c>
      <c r="V146" t="e">
        <f>IF(K146=2,"",_xlfn.IFNA(INDEX(drug_codes,MATCH(loaded!AW146,drug,0)),""))</f>
        <v>#N/A</v>
      </c>
      <c r="W146" t="e">
        <f>IF(K146=2,"",_xlfn.IFNA(INDEX(drug_codes,MATCH(loaded!AY146,drug,0)),""))</f>
        <v>#N/A</v>
      </c>
      <c r="X146" t="e">
        <f>IF(K146=2,"",_xlfn.IFNA(INDEX(drug_codes,MATCH(loaded!BA146,drug,0)),""))</f>
        <v>#N/A</v>
      </c>
      <c r="Y146" t="e">
        <f>INDEX(MTT_codes,MATCH(loaded!BC146,MTT,0))</f>
        <v>#N/A</v>
      </c>
      <c r="Z146" t="str">
        <f>_xlfn.IFNA(INDEX(MTT_codes,MATCH(loaded!BE146,MTT,0)),"")</f>
        <v/>
      </c>
      <c r="AA146" t="str">
        <f>_xlfn.IFNA(INDEX(MTT_codes,MATCH(loaded!BG146,MTT,0)),"")</f>
        <v/>
      </c>
      <c r="AB146" t="str">
        <f>_xlfn.IFNA(INDEX(MTT_codes,MATCH(loaded!BI146,MTT,0)),"")</f>
        <v/>
      </c>
      <c r="AC146" t="str">
        <f>_xlfn.IFNA(INDEX(MTT_codes,MATCH(loaded!BK146,MTT,0)),"")</f>
        <v/>
      </c>
      <c r="AD146" t="str">
        <f>_xlfn.IFNA(INDEX(MTT_codes,MATCH(loaded!BM146,MTT,0)),"")</f>
        <v/>
      </c>
      <c r="AE146" t="e">
        <f>INDEX(liv_ar_codes,MATCH(loaded!BO146,liv_ar,0))</f>
        <v>#N/A</v>
      </c>
      <c r="AF146" t="str">
        <f>_xlfn.IFNA(INDEX(MTT_codes,MATCH(loaded!BQ146,MTT,0)),"")</f>
        <v/>
      </c>
      <c r="AG146">
        <f>_xlfn.IFNA(INDEX(mental_codes,MATCH(loaded!BS146,mental,0)),9)</f>
        <v>9</v>
      </c>
    </row>
    <row r="147" spans="1:33" x14ac:dyDescent="0.25">
      <c r="A147">
        <f>loaded!C147</f>
        <v>0</v>
      </c>
      <c r="B147">
        <f>loaded!I147</f>
        <v>0</v>
      </c>
      <c r="C147">
        <f>IF(loaded!K147="Male",1,IF(loaded!K147="Female",2,9))</f>
        <v>9</v>
      </c>
      <c r="D147" s="8">
        <f>loaded!M147</f>
        <v>0</v>
      </c>
      <c r="E147" t="str">
        <f>LEFT(loaded!O147,3)</f>
        <v/>
      </c>
      <c r="F147" t="e">
        <f>INDEX(cntry_codes,MATCH(loaded!Q147,countries,0))</f>
        <v>#N/A</v>
      </c>
      <c r="G147" t="e">
        <f>INDEX(atsi_codes,MATCH(loaded!S147,atsi,0))</f>
        <v>#N/A</v>
      </c>
      <c r="H147" t="e">
        <f>INDEX(lang_codes,MATCH(loaded!U147,lang,0))</f>
        <v>#N/A</v>
      </c>
      <c r="I147" s="8">
        <f>loaded!W147</f>
        <v>0</v>
      </c>
      <c r="J147" t="e">
        <f>INDEX(us_acc_codes,MATCH(loaded!Y147,us_acc,0))</f>
        <v>#N/A</v>
      </c>
      <c r="K147" t="e">
        <f>INDEX(client_codes,MATCH(loaded!AA147,client,0))</f>
        <v>#N/A</v>
      </c>
      <c r="L147" t="e">
        <f>INDEX(src_ref_codes,MATCH(loaded!AC147,src_ref,0))</f>
        <v>#N/A</v>
      </c>
      <c r="M147" s="8">
        <f>loaded!AE147</f>
        <v>0</v>
      </c>
      <c r="N147" s="8">
        <f>loaded!AG147</f>
        <v>0</v>
      </c>
      <c r="O147" t="e">
        <f>INDEX(reces_codes,MATCH(loaded!AI147,reason,0))</f>
        <v>#N/A</v>
      </c>
      <c r="P147" t="e">
        <f>INDEX(TDS_codes,MATCH(loaded!AK147,TDS,0))</f>
        <v>#N/A</v>
      </c>
      <c r="Q147" t="e">
        <f>IF(K147=2,"",INDEX(method_codes,MATCH(loaded!AM147,method,0)))</f>
        <v>#N/A</v>
      </c>
      <c r="R147" t="e">
        <f>IF(K147=2,"",INDEX(inj_codes,MATCH(loaded!AO147,inj,0)))</f>
        <v>#N/A</v>
      </c>
      <c r="S147" t="e">
        <f>IF(K147=2,"",INDEX(drug_codes,MATCH(loaded!AQ147,drug,0)))</f>
        <v>#N/A</v>
      </c>
      <c r="T147" t="e">
        <f>IF(K147=2,"",_xlfn.IFNA(INDEX(drug_codes,MATCH(loaded!AS147,drug,0)),""))</f>
        <v>#N/A</v>
      </c>
      <c r="U147" t="e">
        <f>IF(K147=2,"",_xlfn.IFNA(INDEX(drug_codes,MATCH(loaded!AU147,drug,0)),""))</f>
        <v>#N/A</v>
      </c>
      <c r="V147" t="e">
        <f>IF(K147=2,"",_xlfn.IFNA(INDEX(drug_codes,MATCH(loaded!AW147,drug,0)),""))</f>
        <v>#N/A</v>
      </c>
      <c r="W147" t="e">
        <f>IF(K147=2,"",_xlfn.IFNA(INDEX(drug_codes,MATCH(loaded!AY147,drug,0)),""))</f>
        <v>#N/A</v>
      </c>
      <c r="X147" t="e">
        <f>IF(K147=2,"",_xlfn.IFNA(INDEX(drug_codes,MATCH(loaded!BA147,drug,0)),""))</f>
        <v>#N/A</v>
      </c>
      <c r="Y147" t="e">
        <f>INDEX(MTT_codes,MATCH(loaded!BC147,MTT,0))</f>
        <v>#N/A</v>
      </c>
      <c r="Z147" t="str">
        <f>_xlfn.IFNA(INDEX(MTT_codes,MATCH(loaded!BE147,MTT,0)),"")</f>
        <v/>
      </c>
      <c r="AA147" t="str">
        <f>_xlfn.IFNA(INDEX(MTT_codes,MATCH(loaded!BG147,MTT,0)),"")</f>
        <v/>
      </c>
      <c r="AB147" t="str">
        <f>_xlfn.IFNA(INDEX(MTT_codes,MATCH(loaded!BI147,MTT,0)),"")</f>
        <v/>
      </c>
      <c r="AC147" t="str">
        <f>_xlfn.IFNA(INDEX(MTT_codes,MATCH(loaded!BK147,MTT,0)),"")</f>
        <v/>
      </c>
      <c r="AD147" t="str">
        <f>_xlfn.IFNA(INDEX(MTT_codes,MATCH(loaded!BM147,MTT,0)),"")</f>
        <v/>
      </c>
      <c r="AE147" t="e">
        <f>INDEX(liv_ar_codes,MATCH(loaded!BO147,liv_ar,0))</f>
        <v>#N/A</v>
      </c>
      <c r="AF147" t="str">
        <f>_xlfn.IFNA(INDEX(MTT_codes,MATCH(loaded!BQ147,MTT,0)),"")</f>
        <v/>
      </c>
      <c r="AG147">
        <f>_xlfn.IFNA(INDEX(mental_codes,MATCH(loaded!BS147,mental,0)),9)</f>
        <v>9</v>
      </c>
    </row>
    <row r="148" spans="1:33" x14ac:dyDescent="0.25">
      <c r="A148">
        <f>loaded!C148</f>
        <v>0</v>
      </c>
      <c r="B148">
        <f>loaded!I148</f>
        <v>0</v>
      </c>
      <c r="C148">
        <f>IF(loaded!K148="Male",1,IF(loaded!K148="Female",2,9))</f>
        <v>9</v>
      </c>
      <c r="D148" s="8">
        <f>loaded!M148</f>
        <v>0</v>
      </c>
      <c r="E148" t="str">
        <f>LEFT(loaded!O148,3)</f>
        <v/>
      </c>
      <c r="F148" t="e">
        <f>INDEX(cntry_codes,MATCH(loaded!Q148,countries,0))</f>
        <v>#N/A</v>
      </c>
      <c r="G148" t="e">
        <f>INDEX(atsi_codes,MATCH(loaded!S148,atsi,0))</f>
        <v>#N/A</v>
      </c>
      <c r="H148" t="e">
        <f>INDEX(lang_codes,MATCH(loaded!U148,lang,0))</f>
        <v>#N/A</v>
      </c>
      <c r="I148" s="8">
        <f>loaded!W148</f>
        <v>0</v>
      </c>
      <c r="J148" t="e">
        <f>INDEX(us_acc_codes,MATCH(loaded!Y148,us_acc,0))</f>
        <v>#N/A</v>
      </c>
      <c r="K148" t="e">
        <f>INDEX(client_codes,MATCH(loaded!AA148,client,0))</f>
        <v>#N/A</v>
      </c>
      <c r="L148" t="e">
        <f>INDEX(src_ref_codes,MATCH(loaded!AC148,src_ref,0))</f>
        <v>#N/A</v>
      </c>
      <c r="M148" s="8">
        <f>loaded!AE148</f>
        <v>0</v>
      </c>
      <c r="N148" s="8">
        <f>loaded!AG148</f>
        <v>0</v>
      </c>
      <c r="O148" t="e">
        <f>INDEX(reces_codes,MATCH(loaded!AI148,reason,0))</f>
        <v>#N/A</v>
      </c>
      <c r="P148" t="e">
        <f>INDEX(TDS_codes,MATCH(loaded!AK148,TDS,0))</f>
        <v>#N/A</v>
      </c>
      <c r="Q148" t="e">
        <f>IF(K148=2,"",INDEX(method_codes,MATCH(loaded!AM148,method,0)))</f>
        <v>#N/A</v>
      </c>
      <c r="R148" t="e">
        <f>IF(K148=2,"",INDEX(inj_codes,MATCH(loaded!AO148,inj,0)))</f>
        <v>#N/A</v>
      </c>
      <c r="S148" t="e">
        <f>IF(K148=2,"",INDEX(drug_codes,MATCH(loaded!AQ148,drug,0)))</f>
        <v>#N/A</v>
      </c>
      <c r="T148" t="e">
        <f>IF(K148=2,"",_xlfn.IFNA(INDEX(drug_codes,MATCH(loaded!AS148,drug,0)),""))</f>
        <v>#N/A</v>
      </c>
      <c r="U148" t="e">
        <f>IF(K148=2,"",_xlfn.IFNA(INDEX(drug_codes,MATCH(loaded!AU148,drug,0)),""))</f>
        <v>#N/A</v>
      </c>
      <c r="V148" t="e">
        <f>IF(K148=2,"",_xlfn.IFNA(INDEX(drug_codes,MATCH(loaded!AW148,drug,0)),""))</f>
        <v>#N/A</v>
      </c>
      <c r="W148" t="e">
        <f>IF(K148=2,"",_xlfn.IFNA(INDEX(drug_codes,MATCH(loaded!AY148,drug,0)),""))</f>
        <v>#N/A</v>
      </c>
      <c r="X148" t="e">
        <f>IF(K148=2,"",_xlfn.IFNA(INDEX(drug_codes,MATCH(loaded!BA148,drug,0)),""))</f>
        <v>#N/A</v>
      </c>
      <c r="Y148" t="e">
        <f>INDEX(MTT_codes,MATCH(loaded!BC148,MTT,0))</f>
        <v>#N/A</v>
      </c>
      <c r="Z148" t="str">
        <f>_xlfn.IFNA(INDEX(MTT_codes,MATCH(loaded!BE148,MTT,0)),"")</f>
        <v/>
      </c>
      <c r="AA148" t="str">
        <f>_xlfn.IFNA(INDEX(MTT_codes,MATCH(loaded!BG148,MTT,0)),"")</f>
        <v/>
      </c>
      <c r="AB148" t="str">
        <f>_xlfn.IFNA(INDEX(MTT_codes,MATCH(loaded!BI148,MTT,0)),"")</f>
        <v/>
      </c>
      <c r="AC148" t="str">
        <f>_xlfn.IFNA(INDEX(MTT_codes,MATCH(loaded!BK148,MTT,0)),"")</f>
        <v/>
      </c>
      <c r="AD148" t="str">
        <f>_xlfn.IFNA(INDEX(MTT_codes,MATCH(loaded!BM148,MTT,0)),"")</f>
        <v/>
      </c>
      <c r="AE148" t="e">
        <f>INDEX(liv_ar_codes,MATCH(loaded!BO148,liv_ar,0))</f>
        <v>#N/A</v>
      </c>
      <c r="AF148" t="str">
        <f>_xlfn.IFNA(INDEX(MTT_codes,MATCH(loaded!BQ148,MTT,0)),"")</f>
        <v/>
      </c>
      <c r="AG148">
        <f>_xlfn.IFNA(INDEX(mental_codes,MATCH(loaded!BS148,mental,0)),9)</f>
        <v>9</v>
      </c>
    </row>
    <row r="149" spans="1:33" x14ac:dyDescent="0.25">
      <c r="A149">
        <f>loaded!C149</f>
        <v>0</v>
      </c>
      <c r="B149">
        <f>loaded!I149</f>
        <v>0</v>
      </c>
      <c r="C149">
        <f>IF(loaded!K149="Male",1,IF(loaded!K149="Female",2,9))</f>
        <v>9</v>
      </c>
      <c r="D149" s="8">
        <f>loaded!M149</f>
        <v>0</v>
      </c>
      <c r="E149" t="str">
        <f>LEFT(loaded!O149,3)</f>
        <v/>
      </c>
      <c r="F149" t="e">
        <f>INDEX(cntry_codes,MATCH(loaded!Q149,countries,0))</f>
        <v>#N/A</v>
      </c>
      <c r="G149" t="e">
        <f>INDEX(atsi_codes,MATCH(loaded!S149,atsi,0))</f>
        <v>#N/A</v>
      </c>
      <c r="H149" t="e">
        <f>INDEX(lang_codes,MATCH(loaded!U149,lang,0))</f>
        <v>#N/A</v>
      </c>
      <c r="I149" s="8">
        <f>loaded!W149</f>
        <v>0</v>
      </c>
      <c r="J149" t="e">
        <f>INDEX(us_acc_codes,MATCH(loaded!Y149,us_acc,0))</f>
        <v>#N/A</v>
      </c>
      <c r="K149" t="e">
        <f>INDEX(client_codes,MATCH(loaded!AA149,client,0))</f>
        <v>#N/A</v>
      </c>
      <c r="L149" t="e">
        <f>INDEX(src_ref_codes,MATCH(loaded!AC149,src_ref,0))</f>
        <v>#N/A</v>
      </c>
      <c r="M149" s="8">
        <f>loaded!AE149</f>
        <v>0</v>
      </c>
      <c r="N149" s="8">
        <f>loaded!AG149</f>
        <v>0</v>
      </c>
      <c r="O149" t="e">
        <f>INDEX(reces_codes,MATCH(loaded!AI149,reason,0))</f>
        <v>#N/A</v>
      </c>
      <c r="P149" t="e">
        <f>INDEX(TDS_codes,MATCH(loaded!AK149,TDS,0))</f>
        <v>#N/A</v>
      </c>
      <c r="Q149" t="e">
        <f>IF(K149=2,"",INDEX(method_codes,MATCH(loaded!AM149,method,0)))</f>
        <v>#N/A</v>
      </c>
      <c r="R149" t="e">
        <f>IF(K149=2,"",INDEX(inj_codes,MATCH(loaded!AO149,inj,0)))</f>
        <v>#N/A</v>
      </c>
      <c r="S149" t="e">
        <f>IF(K149=2,"",INDEX(drug_codes,MATCH(loaded!AQ149,drug,0)))</f>
        <v>#N/A</v>
      </c>
      <c r="T149" t="e">
        <f>IF(K149=2,"",_xlfn.IFNA(INDEX(drug_codes,MATCH(loaded!AS149,drug,0)),""))</f>
        <v>#N/A</v>
      </c>
      <c r="U149" t="e">
        <f>IF(K149=2,"",_xlfn.IFNA(INDEX(drug_codes,MATCH(loaded!AU149,drug,0)),""))</f>
        <v>#N/A</v>
      </c>
      <c r="V149" t="e">
        <f>IF(K149=2,"",_xlfn.IFNA(INDEX(drug_codes,MATCH(loaded!AW149,drug,0)),""))</f>
        <v>#N/A</v>
      </c>
      <c r="W149" t="e">
        <f>IF(K149=2,"",_xlfn.IFNA(INDEX(drug_codes,MATCH(loaded!AY149,drug,0)),""))</f>
        <v>#N/A</v>
      </c>
      <c r="X149" t="e">
        <f>IF(K149=2,"",_xlfn.IFNA(INDEX(drug_codes,MATCH(loaded!BA149,drug,0)),""))</f>
        <v>#N/A</v>
      </c>
      <c r="Y149" t="e">
        <f>INDEX(MTT_codes,MATCH(loaded!BC149,MTT,0))</f>
        <v>#N/A</v>
      </c>
      <c r="Z149" t="str">
        <f>_xlfn.IFNA(INDEX(MTT_codes,MATCH(loaded!BE149,MTT,0)),"")</f>
        <v/>
      </c>
      <c r="AA149" t="str">
        <f>_xlfn.IFNA(INDEX(MTT_codes,MATCH(loaded!BG149,MTT,0)),"")</f>
        <v/>
      </c>
      <c r="AB149" t="str">
        <f>_xlfn.IFNA(INDEX(MTT_codes,MATCH(loaded!BI149,MTT,0)),"")</f>
        <v/>
      </c>
      <c r="AC149" t="str">
        <f>_xlfn.IFNA(INDEX(MTT_codes,MATCH(loaded!BK149,MTT,0)),"")</f>
        <v/>
      </c>
      <c r="AD149" t="str">
        <f>_xlfn.IFNA(INDEX(MTT_codes,MATCH(loaded!BM149,MTT,0)),"")</f>
        <v/>
      </c>
      <c r="AE149" t="e">
        <f>INDEX(liv_ar_codes,MATCH(loaded!BO149,liv_ar,0))</f>
        <v>#N/A</v>
      </c>
      <c r="AF149" t="str">
        <f>_xlfn.IFNA(INDEX(MTT_codes,MATCH(loaded!BQ149,MTT,0)),"")</f>
        <v/>
      </c>
      <c r="AG149">
        <f>_xlfn.IFNA(INDEX(mental_codes,MATCH(loaded!BS149,mental,0)),9)</f>
        <v>9</v>
      </c>
    </row>
    <row r="150" spans="1:33" x14ac:dyDescent="0.25">
      <c r="A150">
        <f>loaded!C150</f>
        <v>0</v>
      </c>
      <c r="B150">
        <f>loaded!I150</f>
        <v>0</v>
      </c>
      <c r="C150">
        <f>IF(loaded!K150="Male",1,IF(loaded!K150="Female",2,9))</f>
        <v>9</v>
      </c>
      <c r="D150" s="8">
        <f>loaded!M150</f>
        <v>0</v>
      </c>
      <c r="E150" t="str">
        <f>LEFT(loaded!O150,3)</f>
        <v/>
      </c>
      <c r="F150" t="e">
        <f>INDEX(cntry_codes,MATCH(loaded!Q150,countries,0))</f>
        <v>#N/A</v>
      </c>
      <c r="G150" t="e">
        <f>INDEX(atsi_codes,MATCH(loaded!S150,atsi,0))</f>
        <v>#N/A</v>
      </c>
      <c r="H150" t="e">
        <f>INDEX(lang_codes,MATCH(loaded!U150,lang,0))</f>
        <v>#N/A</v>
      </c>
      <c r="I150" s="8">
        <f>loaded!W150</f>
        <v>0</v>
      </c>
      <c r="J150" t="e">
        <f>INDEX(us_acc_codes,MATCH(loaded!Y150,us_acc,0))</f>
        <v>#N/A</v>
      </c>
      <c r="K150" t="e">
        <f>INDEX(client_codes,MATCH(loaded!AA150,client,0))</f>
        <v>#N/A</v>
      </c>
      <c r="L150" t="e">
        <f>INDEX(src_ref_codes,MATCH(loaded!AC150,src_ref,0))</f>
        <v>#N/A</v>
      </c>
      <c r="M150" s="8">
        <f>loaded!AE150</f>
        <v>0</v>
      </c>
      <c r="N150" s="8">
        <f>loaded!AG150</f>
        <v>0</v>
      </c>
      <c r="O150" t="e">
        <f>INDEX(reces_codes,MATCH(loaded!AI150,reason,0))</f>
        <v>#N/A</v>
      </c>
      <c r="P150" t="e">
        <f>INDEX(TDS_codes,MATCH(loaded!AK150,TDS,0))</f>
        <v>#N/A</v>
      </c>
      <c r="Q150" t="e">
        <f>IF(K150=2,"",INDEX(method_codes,MATCH(loaded!AM150,method,0)))</f>
        <v>#N/A</v>
      </c>
      <c r="R150" t="e">
        <f>IF(K150=2,"",INDEX(inj_codes,MATCH(loaded!AO150,inj,0)))</f>
        <v>#N/A</v>
      </c>
      <c r="S150" t="e">
        <f>IF(K150=2,"",INDEX(drug_codes,MATCH(loaded!AQ150,drug,0)))</f>
        <v>#N/A</v>
      </c>
      <c r="T150" t="e">
        <f>IF(K150=2,"",_xlfn.IFNA(INDEX(drug_codes,MATCH(loaded!AS150,drug,0)),""))</f>
        <v>#N/A</v>
      </c>
      <c r="U150" t="e">
        <f>IF(K150=2,"",_xlfn.IFNA(INDEX(drug_codes,MATCH(loaded!AU150,drug,0)),""))</f>
        <v>#N/A</v>
      </c>
      <c r="V150" t="e">
        <f>IF(K150=2,"",_xlfn.IFNA(INDEX(drug_codes,MATCH(loaded!AW150,drug,0)),""))</f>
        <v>#N/A</v>
      </c>
      <c r="W150" t="e">
        <f>IF(K150=2,"",_xlfn.IFNA(INDEX(drug_codes,MATCH(loaded!AY150,drug,0)),""))</f>
        <v>#N/A</v>
      </c>
      <c r="X150" t="e">
        <f>IF(K150=2,"",_xlfn.IFNA(INDEX(drug_codes,MATCH(loaded!BA150,drug,0)),""))</f>
        <v>#N/A</v>
      </c>
      <c r="Y150" t="e">
        <f>INDEX(MTT_codes,MATCH(loaded!BC150,MTT,0))</f>
        <v>#N/A</v>
      </c>
      <c r="Z150" t="str">
        <f>_xlfn.IFNA(INDEX(MTT_codes,MATCH(loaded!BE150,MTT,0)),"")</f>
        <v/>
      </c>
      <c r="AA150" t="str">
        <f>_xlfn.IFNA(INDEX(MTT_codes,MATCH(loaded!BG150,MTT,0)),"")</f>
        <v/>
      </c>
      <c r="AB150" t="str">
        <f>_xlfn.IFNA(INDEX(MTT_codes,MATCH(loaded!BI150,MTT,0)),"")</f>
        <v/>
      </c>
      <c r="AC150" t="str">
        <f>_xlfn.IFNA(INDEX(MTT_codes,MATCH(loaded!BK150,MTT,0)),"")</f>
        <v/>
      </c>
      <c r="AD150" t="str">
        <f>_xlfn.IFNA(INDEX(MTT_codes,MATCH(loaded!BM150,MTT,0)),"")</f>
        <v/>
      </c>
      <c r="AE150" t="e">
        <f>INDEX(liv_ar_codes,MATCH(loaded!BO150,liv_ar,0))</f>
        <v>#N/A</v>
      </c>
      <c r="AF150" t="str">
        <f>_xlfn.IFNA(INDEX(MTT_codes,MATCH(loaded!BQ150,MTT,0)),"")</f>
        <v/>
      </c>
      <c r="AG150">
        <f>_xlfn.IFNA(INDEX(mental_codes,MATCH(loaded!BS150,mental,0)),9)</f>
        <v>9</v>
      </c>
    </row>
    <row r="151" spans="1:33" x14ac:dyDescent="0.25">
      <c r="A151">
        <f>loaded!C151</f>
        <v>0</v>
      </c>
      <c r="B151">
        <f>loaded!I151</f>
        <v>0</v>
      </c>
      <c r="C151">
        <f>IF(loaded!K151="Male",1,IF(loaded!K151="Female",2,9))</f>
        <v>9</v>
      </c>
      <c r="D151" s="8">
        <f>loaded!M151</f>
        <v>0</v>
      </c>
      <c r="E151" t="str">
        <f>LEFT(loaded!O151,3)</f>
        <v/>
      </c>
      <c r="F151" t="e">
        <f>INDEX(cntry_codes,MATCH(loaded!Q151,countries,0))</f>
        <v>#N/A</v>
      </c>
      <c r="G151" t="e">
        <f>INDEX(atsi_codes,MATCH(loaded!S151,atsi,0))</f>
        <v>#N/A</v>
      </c>
      <c r="H151" t="e">
        <f>INDEX(lang_codes,MATCH(loaded!U151,lang,0))</f>
        <v>#N/A</v>
      </c>
      <c r="I151" s="8">
        <f>loaded!W151</f>
        <v>0</v>
      </c>
      <c r="J151" t="e">
        <f>INDEX(us_acc_codes,MATCH(loaded!Y151,us_acc,0))</f>
        <v>#N/A</v>
      </c>
      <c r="K151" t="e">
        <f>INDEX(client_codes,MATCH(loaded!AA151,client,0))</f>
        <v>#N/A</v>
      </c>
      <c r="L151" t="e">
        <f>INDEX(src_ref_codes,MATCH(loaded!AC151,src_ref,0))</f>
        <v>#N/A</v>
      </c>
      <c r="M151" s="8">
        <f>loaded!AE151</f>
        <v>0</v>
      </c>
      <c r="N151" s="8">
        <f>loaded!AG151</f>
        <v>0</v>
      </c>
      <c r="O151" t="e">
        <f>INDEX(reces_codes,MATCH(loaded!AI151,reason,0))</f>
        <v>#N/A</v>
      </c>
      <c r="P151" t="e">
        <f>INDEX(TDS_codes,MATCH(loaded!AK151,TDS,0))</f>
        <v>#N/A</v>
      </c>
      <c r="Q151" t="e">
        <f>IF(K151=2,"",INDEX(method_codes,MATCH(loaded!AM151,method,0)))</f>
        <v>#N/A</v>
      </c>
      <c r="R151" t="e">
        <f>IF(K151=2,"",INDEX(inj_codes,MATCH(loaded!AO151,inj,0)))</f>
        <v>#N/A</v>
      </c>
      <c r="S151" t="e">
        <f>IF(K151=2,"",INDEX(drug_codes,MATCH(loaded!AQ151,drug,0)))</f>
        <v>#N/A</v>
      </c>
      <c r="T151" t="e">
        <f>IF(K151=2,"",_xlfn.IFNA(INDEX(drug_codes,MATCH(loaded!AS151,drug,0)),""))</f>
        <v>#N/A</v>
      </c>
      <c r="U151" t="e">
        <f>IF(K151=2,"",_xlfn.IFNA(INDEX(drug_codes,MATCH(loaded!AU151,drug,0)),""))</f>
        <v>#N/A</v>
      </c>
      <c r="V151" t="e">
        <f>IF(K151=2,"",_xlfn.IFNA(INDEX(drug_codes,MATCH(loaded!AW151,drug,0)),""))</f>
        <v>#N/A</v>
      </c>
      <c r="W151" t="e">
        <f>IF(K151=2,"",_xlfn.IFNA(INDEX(drug_codes,MATCH(loaded!AY151,drug,0)),""))</f>
        <v>#N/A</v>
      </c>
      <c r="X151" t="e">
        <f>IF(K151=2,"",_xlfn.IFNA(INDEX(drug_codes,MATCH(loaded!BA151,drug,0)),""))</f>
        <v>#N/A</v>
      </c>
      <c r="Y151" t="e">
        <f>INDEX(MTT_codes,MATCH(loaded!BC151,MTT,0))</f>
        <v>#N/A</v>
      </c>
      <c r="Z151" t="str">
        <f>_xlfn.IFNA(INDEX(MTT_codes,MATCH(loaded!BE151,MTT,0)),"")</f>
        <v/>
      </c>
      <c r="AA151" t="str">
        <f>_xlfn.IFNA(INDEX(MTT_codes,MATCH(loaded!BG151,MTT,0)),"")</f>
        <v/>
      </c>
      <c r="AB151" t="str">
        <f>_xlfn.IFNA(INDEX(MTT_codes,MATCH(loaded!BI151,MTT,0)),"")</f>
        <v/>
      </c>
      <c r="AC151" t="str">
        <f>_xlfn.IFNA(INDEX(MTT_codes,MATCH(loaded!BK151,MTT,0)),"")</f>
        <v/>
      </c>
      <c r="AD151" t="str">
        <f>_xlfn.IFNA(INDEX(MTT_codes,MATCH(loaded!BM151,MTT,0)),"")</f>
        <v/>
      </c>
      <c r="AE151" t="e">
        <f>INDEX(liv_ar_codes,MATCH(loaded!BO151,liv_ar,0))</f>
        <v>#N/A</v>
      </c>
      <c r="AF151" t="str">
        <f>_xlfn.IFNA(INDEX(MTT_codes,MATCH(loaded!BQ151,MTT,0)),"")</f>
        <v/>
      </c>
      <c r="AG151">
        <f>_xlfn.IFNA(INDEX(mental_codes,MATCH(loaded!BS151,mental,0)),9)</f>
        <v>9</v>
      </c>
    </row>
    <row r="152" spans="1:33" x14ac:dyDescent="0.25">
      <c r="A152">
        <f>loaded!C152</f>
        <v>0</v>
      </c>
      <c r="B152">
        <f>loaded!I152</f>
        <v>0</v>
      </c>
      <c r="C152">
        <f>IF(loaded!K152="Male",1,IF(loaded!K152="Female",2,9))</f>
        <v>9</v>
      </c>
      <c r="D152" s="8">
        <f>loaded!M152</f>
        <v>0</v>
      </c>
      <c r="E152" t="str">
        <f>LEFT(loaded!O152,3)</f>
        <v/>
      </c>
      <c r="F152" t="e">
        <f>INDEX(cntry_codes,MATCH(loaded!Q152,countries,0))</f>
        <v>#N/A</v>
      </c>
      <c r="G152" t="e">
        <f>INDEX(atsi_codes,MATCH(loaded!S152,atsi,0))</f>
        <v>#N/A</v>
      </c>
      <c r="H152" t="e">
        <f>INDEX(lang_codes,MATCH(loaded!U152,lang,0))</f>
        <v>#N/A</v>
      </c>
      <c r="I152" s="8">
        <f>loaded!W152</f>
        <v>0</v>
      </c>
      <c r="J152" t="e">
        <f>INDEX(us_acc_codes,MATCH(loaded!Y152,us_acc,0))</f>
        <v>#N/A</v>
      </c>
      <c r="K152" t="e">
        <f>INDEX(client_codes,MATCH(loaded!AA152,client,0))</f>
        <v>#N/A</v>
      </c>
      <c r="L152" t="e">
        <f>INDEX(src_ref_codes,MATCH(loaded!AC152,src_ref,0))</f>
        <v>#N/A</v>
      </c>
      <c r="M152" s="8">
        <f>loaded!AE152</f>
        <v>0</v>
      </c>
      <c r="N152" s="8">
        <f>loaded!AG152</f>
        <v>0</v>
      </c>
      <c r="O152" t="e">
        <f>INDEX(reces_codes,MATCH(loaded!AI152,reason,0))</f>
        <v>#N/A</v>
      </c>
      <c r="P152" t="e">
        <f>INDEX(TDS_codes,MATCH(loaded!AK152,TDS,0))</f>
        <v>#N/A</v>
      </c>
      <c r="Q152" t="e">
        <f>IF(K152=2,"",INDEX(method_codes,MATCH(loaded!AM152,method,0)))</f>
        <v>#N/A</v>
      </c>
      <c r="R152" t="e">
        <f>IF(K152=2,"",INDEX(inj_codes,MATCH(loaded!AO152,inj,0)))</f>
        <v>#N/A</v>
      </c>
      <c r="S152" t="e">
        <f>IF(K152=2,"",INDEX(drug_codes,MATCH(loaded!AQ152,drug,0)))</f>
        <v>#N/A</v>
      </c>
      <c r="T152" t="e">
        <f>IF(K152=2,"",_xlfn.IFNA(INDEX(drug_codes,MATCH(loaded!AS152,drug,0)),""))</f>
        <v>#N/A</v>
      </c>
      <c r="U152" t="e">
        <f>IF(K152=2,"",_xlfn.IFNA(INDEX(drug_codes,MATCH(loaded!AU152,drug,0)),""))</f>
        <v>#N/A</v>
      </c>
      <c r="V152" t="e">
        <f>IF(K152=2,"",_xlfn.IFNA(INDEX(drug_codes,MATCH(loaded!AW152,drug,0)),""))</f>
        <v>#N/A</v>
      </c>
      <c r="W152" t="e">
        <f>IF(K152=2,"",_xlfn.IFNA(INDEX(drug_codes,MATCH(loaded!AY152,drug,0)),""))</f>
        <v>#N/A</v>
      </c>
      <c r="X152" t="e">
        <f>IF(K152=2,"",_xlfn.IFNA(INDEX(drug_codes,MATCH(loaded!BA152,drug,0)),""))</f>
        <v>#N/A</v>
      </c>
      <c r="Y152" t="e">
        <f>INDEX(MTT_codes,MATCH(loaded!BC152,MTT,0))</f>
        <v>#N/A</v>
      </c>
      <c r="Z152" t="str">
        <f>_xlfn.IFNA(INDEX(MTT_codes,MATCH(loaded!BE152,MTT,0)),"")</f>
        <v/>
      </c>
      <c r="AA152" t="str">
        <f>_xlfn.IFNA(INDEX(MTT_codes,MATCH(loaded!BG152,MTT,0)),"")</f>
        <v/>
      </c>
      <c r="AB152" t="str">
        <f>_xlfn.IFNA(INDEX(MTT_codes,MATCH(loaded!BI152,MTT,0)),"")</f>
        <v/>
      </c>
      <c r="AC152" t="str">
        <f>_xlfn.IFNA(INDEX(MTT_codes,MATCH(loaded!BK152,MTT,0)),"")</f>
        <v/>
      </c>
      <c r="AD152" t="str">
        <f>_xlfn.IFNA(INDEX(MTT_codes,MATCH(loaded!BM152,MTT,0)),"")</f>
        <v/>
      </c>
      <c r="AE152" t="e">
        <f>INDEX(liv_ar_codes,MATCH(loaded!BO152,liv_ar,0))</f>
        <v>#N/A</v>
      </c>
      <c r="AF152" t="str">
        <f>_xlfn.IFNA(INDEX(MTT_codes,MATCH(loaded!BQ152,MTT,0)),"")</f>
        <v/>
      </c>
      <c r="AG152">
        <f>_xlfn.IFNA(INDEX(mental_codes,MATCH(loaded!BS152,mental,0)),9)</f>
        <v>9</v>
      </c>
    </row>
    <row r="153" spans="1:33" x14ac:dyDescent="0.25">
      <c r="A153">
        <f>loaded!C153</f>
        <v>0</v>
      </c>
      <c r="B153">
        <f>loaded!I153</f>
        <v>0</v>
      </c>
      <c r="C153">
        <f>IF(loaded!K153="Male",1,IF(loaded!K153="Female",2,9))</f>
        <v>9</v>
      </c>
      <c r="D153" s="8">
        <f>loaded!M153</f>
        <v>0</v>
      </c>
      <c r="E153" t="str">
        <f>LEFT(loaded!O153,3)</f>
        <v/>
      </c>
      <c r="F153" t="e">
        <f>INDEX(cntry_codes,MATCH(loaded!Q153,countries,0))</f>
        <v>#N/A</v>
      </c>
      <c r="G153" t="e">
        <f>INDEX(atsi_codes,MATCH(loaded!S153,atsi,0))</f>
        <v>#N/A</v>
      </c>
      <c r="H153" t="e">
        <f>INDEX(lang_codes,MATCH(loaded!U153,lang,0))</f>
        <v>#N/A</v>
      </c>
      <c r="I153" s="8">
        <f>loaded!W153</f>
        <v>0</v>
      </c>
      <c r="J153" t="e">
        <f>INDEX(us_acc_codes,MATCH(loaded!Y153,us_acc,0))</f>
        <v>#N/A</v>
      </c>
      <c r="K153" t="e">
        <f>INDEX(client_codes,MATCH(loaded!AA153,client,0))</f>
        <v>#N/A</v>
      </c>
      <c r="L153" t="e">
        <f>INDEX(src_ref_codes,MATCH(loaded!AC153,src_ref,0))</f>
        <v>#N/A</v>
      </c>
      <c r="M153" s="8">
        <f>loaded!AE153</f>
        <v>0</v>
      </c>
      <c r="N153" s="8">
        <f>loaded!AG153</f>
        <v>0</v>
      </c>
      <c r="O153" t="e">
        <f>INDEX(reces_codes,MATCH(loaded!AI153,reason,0))</f>
        <v>#N/A</v>
      </c>
      <c r="P153" t="e">
        <f>INDEX(TDS_codes,MATCH(loaded!AK153,TDS,0))</f>
        <v>#N/A</v>
      </c>
      <c r="Q153" t="e">
        <f>IF(K153=2,"",INDEX(method_codes,MATCH(loaded!AM153,method,0)))</f>
        <v>#N/A</v>
      </c>
      <c r="R153" t="e">
        <f>IF(K153=2,"",INDEX(inj_codes,MATCH(loaded!AO153,inj,0)))</f>
        <v>#N/A</v>
      </c>
      <c r="S153" t="e">
        <f>IF(K153=2,"",INDEX(drug_codes,MATCH(loaded!AQ153,drug,0)))</f>
        <v>#N/A</v>
      </c>
      <c r="T153" t="e">
        <f>IF(K153=2,"",_xlfn.IFNA(INDEX(drug_codes,MATCH(loaded!AS153,drug,0)),""))</f>
        <v>#N/A</v>
      </c>
      <c r="U153" t="e">
        <f>IF(K153=2,"",_xlfn.IFNA(INDEX(drug_codes,MATCH(loaded!AU153,drug,0)),""))</f>
        <v>#N/A</v>
      </c>
      <c r="V153" t="e">
        <f>IF(K153=2,"",_xlfn.IFNA(INDEX(drug_codes,MATCH(loaded!AW153,drug,0)),""))</f>
        <v>#N/A</v>
      </c>
      <c r="W153" t="e">
        <f>IF(K153=2,"",_xlfn.IFNA(INDEX(drug_codes,MATCH(loaded!AY153,drug,0)),""))</f>
        <v>#N/A</v>
      </c>
      <c r="X153" t="e">
        <f>IF(K153=2,"",_xlfn.IFNA(INDEX(drug_codes,MATCH(loaded!BA153,drug,0)),""))</f>
        <v>#N/A</v>
      </c>
      <c r="Y153" t="e">
        <f>INDEX(MTT_codes,MATCH(loaded!BC153,MTT,0))</f>
        <v>#N/A</v>
      </c>
      <c r="Z153" t="str">
        <f>_xlfn.IFNA(INDEX(MTT_codes,MATCH(loaded!BE153,MTT,0)),"")</f>
        <v/>
      </c>
      <c r="AA153" t="str">
        <f>_xlfn.IFNA(INDEX(MTT_codes,MATCH(loaded!BG153,MTT,0)),"")</f>
        <v/>
      </c>
      <c r="AB153" t="str">
        <f>_xlfn.IFNA(INDEX(MTT_codes,MATCH(loaded!BI153,MTT,0)),"")</f>
        <v/>
      </c>
      <c r="AC153" t="str">
        <f>_xlfn.IFNA(INDEX(MTT_codes,MATCH(loaded!BK153,MTT,0)),"")</f>
        <v/>
      </c>
      <c r="AD153" t="str">
        <f>_xlfn.IFNA(INDEX(MTT_codes,MATCH(loaded!BM153,MTT,0)),"")</f>
        <v/>
      </c>
      <c r="AE153" t="e">
        <f>INDEX(liv_ar_codes,MATCH(loaded!BO153,liv_ar,0))</f>
        <v>#N/A</v>
      </c>
      <c r="AF153" t="str">
        <f>_xlfn.IFNA(INDEX(MTT_codes,MATCH(loaded!BQ153,MTT,0)),"")</f>
        <v/>
      </c>
      <c r="AG153">
        <f>_xlfn.IFNA(INDEX(mental_codes,MATCH(loaded!BS153,mental,0)),9)</f>
        <v>9</v>
      </c>
    </row>
    <row r="154" spans="1:33" x14ac:dyDescent="0.25">
      <c r="A154">
        <f>loaded!C154</f>
        <v>0</v>
      </c>
      <c r="B154">
        <f>loaded!I154</f>
        <v>0</v>
      </c>
      <c r="C154">
        <f>IF(loaded!K154="Male",1,IF(loaded!K154="Female",2,9))</f>
        <v>9</v>
      </c>
      <c r="D154" s="8">
        <f>loaded!M154</f>
        <v>0</v>
      </c>
      <c r="E154" t="str">
        <f>LEFT(loaded!O154,3)</f>
        <v/>
      </c>
      <c r="F154" t="e">
        <f>INDEX(cntry_codes,MATCH(loaded!Q154,countries,0))</f>
        <v>#N/A</v>
      </c>
      <c r="G154" t="e">
        <f>INDEX(atsi_codes,MATCH(loaded!S154,atsi,0))</f>
        <v>#N/A</v>
      </c>
      <c r="H154" t="e">
        <f>INDEX(lang_codes,MATCH(loaded!U154,lang,0))</f>
        <v>#N/A</v>
      </c>
      <c r="I154" s="8">
        <f>loaded!W154</f>
        <v>0</v>
      </c>
      <c r="J154" t="e">
        <f>INDEX(us_acc_codes,MATCH(loaded!Y154,us_acc,0))</f>
        <v>#N/A</v>
      </c>
      <c r="K154" t="e">
        <f>INDEX(client_codes,MATCH(loaded!AA154,client,0))</f>
        <v>#N/A</v>
      </c>
      <c r="L154" t="e">
        <f>INDEX(src_ref_codes,MATCH(loaded!AC154,src_ref,0))</f>
        <v>#N/A</v>
      </c>
      <c r="M154" s="8">
        <f>loaded!AE154</f>
        <v>0</v>
      </c>
      <c r="N154" s="8">
        <f>loaded!AG154</f>
        <v>0</v>
      </c>
      <c r="O154" t="e">
        <f>INDEX(reces_codes,MATCH(loaded!AI154,reason,0))</f>
        <v>#N/A</v>
      </c>
      <c r="P154" t="e">
        <f>INDEX(TDS_codes,MATCH(loaded!AK154,TDS,0))</f>
        <v>#N/A</v>
      </c>
      <c r="Q154" t="e">
        <f>IF(K154=2,"",INDEX(method_codes,MATCH(loaded!AM154,method,0)))</f>
        <v>#N/A</v>
      </c>
      <c r="R154" t="e">
        <f>IF(K154=2,"",INDEX(inj_codes,MATCH(loaded!AO154,inj,0)))</f>
        <v>#N/A</v>
      </c>
      <c r="S154" t="e">
        <f>IF(K154=2,"",INDEX(drug_codes,MATCH(loaded!AQ154,drug,0)))</f>
        <v>#N/A</v>
      </c>
      <c r="T154" t="e">
        <f>IF(K154=2,"",_xlfn.IFNA(INDEX(drug_codes,MATCH(loaded!AS154,drug,0)),""))</f>
        <v>#N/A</v>
      </c>
      <c r="U154" t="e">
        <f>IF(K154=2,"",_xlfn.IFNA(INDEX(drug_codes,MATCH(loaded!AU154,drug,0)),""))</f>
        <v>#N/A</v>
      </c>
      <c r="V154" t="e">
        <f>IF(K154=2,"",_xlfn.IFNA(INDEX(drug_codes,MATCH(loaded!AW154,drug,0)),""))</f>
        <v>#N/A</v>
      </c>
      <c r="W154" t="e">
        <f>IF(K154=2,"",_xlfn.IFNA(INDEX(drug_codes,MATCH(loaded!AY154,drug,0)),""))</f>
        <v>#N/A</v>
      </c>
      <c r="X154" t="e">
        <f>IF(K154=2,"",_xlfn.IFNA(INDEX(drug_codes,MATCH(loaded!BA154,drug,0)),""))</f>
        <v>#N/A</v>
      </c>
      <c r="Y154" t="e">
        <f>INDEX(MTT_codes,MATCH(loaded!BC154,MTT,0))</f>
        <v>#N/A</v>
      </c>
      <c r="Z154" t="str">
        <f>_xlfn.IFNA(INDEX(MTT_codes,MATCH(loaded!BE154,MTT,0)),"")</f>
        <v/>
      </c>
      <c r="AA154" t="str">
        <f>_xlfn.IFNA(INDEX(MTT_codes,MATCH(loaded!BG154,MTT,0)),"")</f>
        <v/>
      </c>
      <c r="AB154" t="str">
        <f>_xlfn.IFNA(INDEX(MTT_codes,MATCH(loaded!BI154,MTT,0)),"")</f>
        <v/>
      </c>
      <c r="AC154" t="str">
        <f>_xlfn.IFNA(INDEX(MTT_codes,MATCH(loaded!BK154,MTT,0)),"")</f>
        <v/>
      </c>
      <c r="AD154" t="str">
        <f>_xlfn.IFNA(INDEX(MTT_codes,MATCH(loaded!BM154,MTT,0)),"")</f>
        <v/>
      </c>
      <c r="AE154" t="e">
        <f>INDEX(liv_ar_codes,MATCH(loaded!BO154,liv_ar,0))</f>
        <v>#N/A</v>
      </c>
      <c r="AF154" t="str">
        <f>_xlfn.IFNA(INDEX(MTT_codes,MATCH(loaded!BQ154,MTT,0)),"")</f>
        <v/>
      </c>
      <c r="AG154">
        <f>_xlfn.IFNA(INDEX(mental_codes,MATCH(loaded!BS154,mental,0)),9)</f>
        <v>9</v>
      </c>
    </row>
    <row r="155" spans="1:33" x14ac:dyDescent="0.25">
      <c r="A155">
        <f>loaded!C155</f>
        <v>0</v>
      </c>
      <c r="B155">
        <f>loaded!I155</f>
        <v>0</v>
      </c>
      <c r="C155">
        <f>IF(loaded!K155="Male",1,IF(loaded!K155="Female",2,9))</f>
        <v>9</v>
      </c>
      <c r="D155" s="8">
        <f>loaded!M155</f>
        <v>0</v>
      </c>
      <c r="E155" t="str">
        <f>LEFT(loaded!O155,3)</f>
        <v/>
      </c>
      <c r="F155" t="e">
        <f>INDEX(cntry_codes,MATCH(loaded!Q155,countries,0))</f>
        <v>#N/A</v>
      </c>
      <c r="G155" t="e">
        <f>INDEX(atsi_codes,MATCH(loaded!S155,atsi,0))</f>
        <v>#N/A</v>
      </c>
      <c r="H155" t="e">
        <f>INDEX(lang_codes,MATCH(loaded!U155,lang,0))</f>
        <v>#N/A</v>
      </c>
      <c r="I155" s="8">
        <f>loaded!W155</f>
        <v>0</v>
      </c>
      <c r="J155" t="e">
        <f>INDEX(us_acc_codes,MATCH(loaded!Y155,us_acc,0))</f>
        <v>#N/A</v>
      </c>
      <c r="K155" t="e">
        <f>INDEX(client_codes,MATCH(loaded!AA155,client,0))</f>
        <v>#N/A</v>
      </c>
      <c r="L155" t="e">
        <f>INDEX(src_ref_codes,MATCH(loaded!AC155,src_ref,0))</f>
        <v>#N/A</v>
      </c>
      <c r="M155" s="8">
        <f>loaded!AE155</f>
        <v>0</v>
      </c>
      <c r="N155" s="8">
        <f>loaded!AG155</f>
        <v>0</v>
      </c>
      <c r="O155" t="e">
        <f>INDEX(reces_codes,MATCH(loaded!AI155,reason,0))</f>
        <v>#N/A</v>
      </c>
      <c r="P155" t="e">
        <f>INDEX(TDS_codes,MATCH(loaded!AK155,TDS,0))</f>
        <v>#N/A</v>
      </c>
      <c r="Q155" t="e">
        <f>IF(K155=2,"",INDEX(method_codes,MATCH(loaded!AM155,method,0)))</f>
        <v>#N/A</v>
      </c>
      <c r="R155" t="e">
        <f>IF(K155=2,"",INDEX(inj_codes,MATCH(loaded!AO155,inj,0)))</f>
        <v>#N/A</v>
      </c>
      <c r="S155" t="e">
        <f>IF(K155=2,"",INDEX(drug_codes,MATCH(loaded!AQ155,drug,0)))</f>
        <v>#N/A</v>
      </c>
      <c r="T155" t="e">
        <f>IF(K155=2,"",_xlfn.IFNA(INDEX(drug_codes,MATCH(loaded!AS155,drug,0)),""))</f>
        <v>#N/A</v>
      </c>
      <c r="U155" t="e">
        <f>IF(K155=2,"",_xlfn.IFNA(INDEX(drug_codes,MATCH(loaded!AU155,drug,0)),""))</f>
        <v>#N/A</v>
      </c>
      <c r="V155" t="e">
        <f>IF(K155=2,"",_xlfn.IFNA(INDEX(drug_codes,MATCH(loaded!AW155,drug,0)),""))</f>
        <v>#N/A</v>
      </c>
      <c r="W155" t="e">
        <f>IF(K155=2,"",_xlfn.IFNA(INDEX(drug_codes,MATCH(loaded!AY155,drug,0)),""))</f>
        <v>#N/A</v>
      </c>
      <c r="X155" t="e">
        <f>IF(K155=2,"",_xlfn.IFNA(INDEX(drug_codes,MATCH(loaded!BA155,drug,0)),""))</f>
        <v>#N/A</v>
      </c>
      <c r="Y155" t="e">
        <f>INDEX(MTT_codes,MATCH(loaded!BC155,MTT,0))</f>
        <v>#N/A</v>
      </c>
      <c r="Z155" t="str">
        <f>_xlfn.IFNA(INDEX(MTT_codes,MATCH(loaded!BE155,MTT,0)),"")</f>
        <v/>
      </c>
      <c r="AA155" t="str">
        <f>_xlfn.IFNA(INDEX(MTT_codes,MATCH(loaded!BG155,MTT,0)),"")</f>
        <v/>
      </c>
      <c r="AB155" t="str">
        <f>_xlfn.IFNA(INDEX(MTT_codes,MATCH(loaded!BI155,MTT,0)),"")</f>
        <v/>
      </c>
      <c r="AC155" t="str">
        <f>_xlfn.IFNA(INDEX(MTT_codes,MATCH(loaded!BK155,MTT,0)),"")</f>
        <v/>
      </c>
      <c r="AD155" t="str">
        <f>_xlfn.IFNA(INDEX(MTT_codes,MATCH(loaded!BM155,MTT,0)),"")</f>
        <v/>
      </c>
      <c r="AE155" t="e">
        <f>INDEX(liv_ar_codes,MATCH(loaded!BO155,liv_ar,0))</f>
        <v>#N/A</v>
      </c>
      <c r="AF155" t="str">
        <f>_xlfn.IFNA(INDEX(MTT_codes,MATCH(loaded!BQ155,MTT,0)),"")</f>
        <v/>
      </c>
      <c r="AG155">
        <f>_xlfn.IFNA(INDEX(mental_codes,MATCH(loaded!BS155,mental,0)),9)</f>
        <v>9</v>
      </c>
    </row>
    <row r="156" spans="1:33" x14ac:dyDescent="0.25">
      <c r="A156">
        <f>loaded!C156</f>
        <v>0</v>
      </c>
      <c r="B156">
        <f>loaded!I156</f>
        <v>0</v>
      </c>
      <c r="C156">
        <f>IF(loaded!K156="Male",1,IF(loaded!K156="Female",2,9))</f>
        <v>9</v>
      </c>
      <c r="D156" s="8">
        <f>loaded!M156</f>
        <v>0</v>
      </c>
      <c r="E156" t="str">
        <f>LEFT(loaded!O156,3)</f>
        <v/>
      </c>
      <c r="F156" t="e">
        <f>INDEX(cntry_codes,MATCH(loaded!Q156,countries,0))</f>
        <v>#N/A</v>
      </c>
      <c r="G156" t="e">
        <f>INDEX(atsi_codes,MATCH(loaded!S156,atsi,0))</f>
        <v>#N/A</v>
      </c>
      <c r="H156" t="e">
        <f>INDEX(lang_codes,MATCH(loaded!U156,lang,0))</f>
        <v>#N/A</v>
      </c>
      <c r="I156" s="8">
        <f>loaded!W156</f>
        <v>0</v>
      </c>
      <c r="J156" t="e">
        <f>INDEX(us_acc_codes,MATCH(loaded!Y156,us_acc,0))</f>
        <v>#N/A</v>
      </c>
      <c r="K156" t="e">
        <f>INDEX(client_codes,MATCH(loaded!AA156,client,0))</f>
        <v>#N/A</v>
      </c>
      <c r="L156" t="e">
        <f>INDEX(src_ref_codes,MATCH(loaded!AC156,src_ref,0))</f>
        <v>#N/A</v>
      </c>
      <c r="M156" s="8">
        <f>loaded!AE156</f>
        <v>0</v>
      </c>
      <c r="N156" s="8">
        <f>loaded!AG156</f>
        <v>0</v>
      </c>
      <c r="O156" t="e">
        <f>INDEX(reces_codes,MATCH(loaded!AI156,reason,0))</f>
        <v>#N/A</v>
      </c>
      <c r="P156" t="e">
        <f>INDEX(TDS_codes,MATCH(loaded!AK156,TDS,0))</f>
        <v>#N/A</v>
      </c>
      <c r="Q156" t="e">
        <f>IF(K156=2,"",INDEX(method_codes,MATCH(loaded!AM156,method,0)))</f>
        <v>#N/A</v>
      </c>
      <c r="R156" t="e">
        <f>IF(K156=2,"",INDEX(inj_codes,MATCH(loaded!AO156,inj,0)))</f>
        <v>#N/A</v>
      </c>
      <c r="S156" t="e">
        <f>IF(K156=2,"",INDEX(drug_codes,MATCH(loaded!AQ156,drug,0)))</f>
        <v>#N/A</v>
      </c>
      <c r="T156" t="e">
        <f>IF(K156=2,"",_xlfn.IFNA(INDEX(drug_codes,MATCH(loaded!AS156,drug,0)),""))</f>
        <v>#N/A</v>
      </c>
      <c r="U156" t="e">
        <f>IF(K156=2,"",_xlfn.IFNA(INDEX(drug_codes,MATCH(loaded!AU156,drug,0)),""))</f>
        <v>#N/A</v>
      </c>
      <c r="V156" t="e">
        <f>IF(K156=2,"",_xlfn.IFNA(INDEX(drug_codes,MATCH(loaded!AW156,drug,0)),""))</f>
        <v>#N/A</v>
      </c>
      <c r="W156" t="e">
        <f>IF(K156=2,"",_xlfn.IFNA(INDEX(drug_codes,MATCH(loaded!AY156,drug,0)),""))</f>
        <v>#N/A</v>
      </c>
      <c r="X156" t="e">
        <f>IF(K156=2,"",_xlfn.IFNA(INDEX(drug_codes,MATCH(loaded!BA156,drug,0)),""))</f>
        <v>#N/A</v>
      </c>
      <c r="Y156" t="e">
        <f>INDEX(MTT_codes,MATCH(loaded!BC156,MTT,0))</f>
        <v>#N/A</v>
      </c>
      <c r="Z156" t="str">
        <f>_xlfn.IFNA(INDEX(MTT_codes,MATCH(loaded!BE156,MTT,0)),"")</f>
        <v/>
      </c>
      <c r="AA156" t="str">
        <f>_xlfn.IFNA(INDEX(MTT_codes,MATCH(loaded!BG156,MTT,0)),"")</f>
        <v/>
      </c>
      <c r="AB156" t="str">
        <f>_xlfn.IFNA(INDEX(MTT_codes,MATCH(loaded!BI156,MTT,0)),"")</f>
        <v/>
      </c>
      <c r="AC156" t="str">
        <f>_xlfn.IFNA(INDEX(MTT_codes,MATCH(loaded!BK156,MTT,0)),"")</f>
        <v/>
      </c>
      <c r="AD156" t="str">
        <f>_xlfn.IFNA(INDEX(MTT_codes,MATCH(loaded!BM156,MTT,0)),"")</f>
        <v/>
      </c>
      <c r="AE156" t="e">
        <f>INDEX(liv_ar_codes,MATCH(loaded!BO156,liv_ar,0))</f>
        <v>#N/A</v>
      </c>
      <c r="AF156" t="str">
        <f>_xlfn.IFNA(INDEX(MTT_codes,MATCH(loaded!BQ156,MTT,0)),"")</f>
        <v/>
      </c>
      <c r="AG156">
        <f>_xlfn.IFNA(INDEX(mental_codes,MATCH(loaded!BS156,mental,0)),9)</f>
        <v>9</v>
      </c>
    </row>
    <row r="157" spans="1:33" x14ac:dyDescent="0.25">
      <c r="A157">
        <f>loaded!C157</f>
        <v>0</v>
      </c>
      <c r="B157">
        <f>loaded!I157</f>
        <v>0</v>
      </c>
      <c r="C157">
        <f>IF(loaded!K157="Male",1,IF(loaded!K157="Female",2,9))</f>
        <v>9</v>
      </c>
      <c r="D157" s="8">
        <f>loaded!M157</f>
        <v>0</v>
      </c>
      <c r="E157" t="str">
        <f>LEFT(loaded!O157,3)</f>
        <v/>
      </c>
      <c r="F157" t="e">
        <f>INDEX(cntry_codes,MATCH(loaded!Q157,countries,0))</f>
        <v>#N/A</v>
      </c>
      <c r="G157" t="e">
        <f>INDEX(atsi_codes,MATCH(loaded!S157,atsi,0))</f>
        <v>#N/A</v>
      </c>
      <c r="H157" t="e">
        <f>INDEX(lang_codes,MATCH(loaded!U157,lang,0))</f>
        <v>#N/A</v>
      </c>
      <c r="I157" s="8">
        <f>loaded!W157</f>
        <v>0</v>
      </c>
      <c r="J157" t="e">
        <f>INDEX(us_acc_codes,MATCH(loaded!Y157,us_acc,0))</f>
        <v>#N/A</v>
      </c>
      <c r="K157" t="e">
        <f>INDEX(client_codes,MATCH(loaded!AA157,client,0))</f>
        <v>#N/A</v>
      </c>
      <c r="L157" t="e">
        <f>INDEX(src_ref_codes,MATCH(loaded!AC157,src_ref,0))</f>
        <v>#N/A</v>
      </c>
      <c r="M157" s="8">
        <f>loaded!AE157</f>
        <v>0</v>
      </c>
      <c r="N157" s="8">
        <f>loaded!AG157</f>
        <v>0</v>
      </c>
      <c r="O157" t="e">
        <f>INDEX(reces_codes,MATCH(loaded!AI157,reason,0))</f>
        <v>#N/A</v>
      </c>
      <c r="P157" t="e">
        <f>INDEX(TDS_codes,MATCH(loaded!AK157,TDS,0))</f>
        <v>#N/A</v>
      </c>
      <c r="Q157" t="e">
        <f>IF(K157=2,"",INDEX(method_codes,MATCH(loaded!AM157,method,0)))</f>
        <v>#N/A</v>
      </c>
      <c r="R157" t="e">
        <f>IF(K157=2,"",INDEX(inj_codes,MATCH(loaded!AO157,inj,0)))</f>
        <v>#N/A</v>
      </c>
      <c r="S157" t="e">
        <f>IF(K157=2,"",INDEX(drug_codes,MATCH(loaded!AQ157,drug,0)))</f>
        <v>#N/A</v>
      </c>
      <c r="T157" t="e">
        <f>IF(K157=2,"",_xlfn.IFNA(INDEX(drug_codes,MATCH(loaded!AS157,drug,0)),""))</f>
        <v>#N/A</v>
      </c>
      <c r="U157" t="e">
        <f>IF(K157=2,"",_xlfn.IFNA(INDEX(drug_codes,MATCH(loaded!AU157,drug,0)),""))</f>
        <v>#N/A</v>
      </c>
      <c r="V157" t="e">
        <f>IF(K157=2,"",_xlfn.IFNA(INDEX(drug_codes,MATCH(loaded!AW157,drug,0)),""))</f>
        <v>#N/A</v>
      </c>
      <c r="W157" t="e">
        <f>IF(K157=2,"",_xlfn.IFNA(INDEX(drug_codes,MATCH(loaded!AY157,drug,0)),""))</f>
        <v>#N/A</v>
      </c>
      <c r="X157" t="e">
        <f>IF(K157=2,"",_xlfn.IFNA(INDEX(drug_codes,MATCH(loaded!BA157,drug,0)),""))</f>
        <v>#N/A</v>
      </c>
      <c r="Y157" t="e">
        <f>INDEX(MTT_codes,MATCH(loaded!BC157,MTT,0))</f>
        <v>#N/A</v>
      </c>
      <c r="Z157" t="str">
        <f>_xlfn.IFNA(INDEX(MTT_codes,MATCH(loaded!BE157,MTT,0)),"")</f>
        <v/>
      </c>
      <c r="AA157" t="str">
        <f>_xlfn.IFNA(INDEX(MTT_codes,MATCH(loaded!BG157,MTT,0)),"")</f>
        <v/>
      </c>
      <c r="AB157" t="str">
        <f>_xlfn.IFNA(INDEX(MTT_codes,MATCH(loaded!BI157,MTT,0)),"")</f>
        <v/>
      </c>
      <c r="AC157" t="str">
        <f>_xlfn.IFNA(INDEX(MTT_codes,MATCH(loaded!BK157,MTT,0)),"")</f>
        <v/>
      </c>
      <c r="AD157" t="str">
        <f>_xlfn.IFNA(INDEX(MTT_codes,MATCH(loaded!BM157,MTT,0)),"")</f>
        <v/>
      </c>
      <c r="AE157" t="e">
        <f>INDEX(liv_ar_codes,MATCH(loaded!BO157,liv_ar,0))</f>
        <v>#N/A</v>
      </c>
      <c r="AF157" t="str">
        <f>_xlfn.IFNA(INDEX(MTT_codes,MATCH(loaded!BQ157,MTT,0)),"")</f>
        <v/>
      </c>
      <c r="AG157">
        <f>_xlfn.IFNA(INDEX(mental_codes,MATCH(loaded!BS157,mental,0)),9)</f>
        <v>9</v>
      </c>
    </row>
    <row r="158" spans="1:33" x14ac:dyDescent="0.25">
      <c r="A158">
        <f>loaded!C158</f>
        <v>0</v>
      </c>
      <c r="B158">
        <f>loaded!I158</f>
        <v>0</v>
      </c>
      <c r="C158">
        <f>IF(loaded!K158="Male",1,IF(loaded!K158="Female",2,9))</f>
        <v>9</v>
      </c>
      <c r="D158" s="8">
        <f>loaded!M158</f>
        <v>0</v>
      </c>
      <c r="E158" t="str">
        <f>LEFT(loaded!O158,3)</f>
        <v/>
      </c>
      <c r="F158" t="e">
        <f>INDEX(cntry_codes,MATCH(loaded!Q158,countries,0))</f>
        <v>#N/A</v>
      </c>
      <c r="G158" t="e">
        <f>INDEX(atsi_codes,MATCH(loaded!S158,atsi,0))</f>
        <v>#N/A</v>
      </c>
      <c r="H158" t="e">
        <f>INDEX(lang_codes,MATCH(loaded!U158,lang,0))</f>
        <v>#N/A</v>
      </c>
      <c r="I158" s="8">
        <f>loaded!W158</f>
        <v>0</v>
      </c>
      <c r="J158" t="e">
        <f>INDEX(us_acc_codes,MATCH(loaded!Y158,us_acc,0))</f>
        <v>#N/A</v>
      </c>
      <c r="K158" t="e">
        <f>INDEX(client_codes,MATCH(loaded!AA158,client,0))</f>
        <v>#N/A</v>
      </c>
      <c r="L158" t="e">
        <f>INDEX(src_ref_codes,MATCH(loaded!AC158,src_ref,0))</f>
        <v>#N/A</v>
      </c>
      <c r="M158" s="8">
        <f>loaded!AE158</f>
        <v>0</v>
      </c>
      <c r="N158" s="8">
        <f>loaded!AG158</f>
        <v>0</v>
      </c>
      <c r="O158" t="e">
        <f>INDEX(reces_codes,MATCH(loaded!AI158,reason,0))</f>
        <v>#N/A</v>
      </c>
      <c r="P158" t="e">
        <f>INDEX(TDS_codes,MATCH(loaded!AK158,TDS,0))</f>
        <v>#N/A</v>
      </c>
      <c r="Q158" t="e">
        <f>IF(K158=2,"",INDEX(method_codes,MATCH(loaded!AM158,method,0)))</f>
        <v>#N/A</v>
      </c>
      <c r="R158" t="e">
        <f>IF(K158=2,"",INDEX(inj_codes,MATCH(loaded!AO158,inj,0)))</f>
        <v>#N/A</v>
      </c>
      <c r="S158" t="e">
        <f>IF(K158=2,"",INDEX(drug_codes,MATCH(loaded!AQ158,drug,0)))</f>
        <v>#N/A</v>
      </c>
      <c r="T158" t="e">
        <f>IF(K158=2,"",_xlfn.IFNA(INDEX(drug_codes,MATCH(loaded!AS158,drug,0)),""))</f>
        <v>#N/A</v>
      </c>
      <c r="U158" t="e">
        <f>IF(K158=2,"",_xlfn.IFNA(INDEX(drug_codes,MATCH(loaded!AU158,drug,0)),""))</f>
        <v>#N/A</v>
      </c>
      <c r="V158" t="e">
        <f>IF(K158=2,"",_xlfn.IFNA(INDEX(drug_codes,MATCH(loaded!AW158,drug,0)),""))</f>
        <v>#N/A</v>
      </c>
      <c r="W158" t="e">
        <f>IF(K158=2,"",_xlfn.IFNA(INDEX(drug_codes,MATCH(loaded!AY158,drug,0)),""))</f>
        <v>#N/A</v>
      </c>
      <c r="X158" t="e">
        <f>IF(K158=2,"",_xlfn.IFNA(INDEX(drug_codes,MATCH(loaded!BA158,drug,0)),""))</f>
        <v>#N/A</v>
      </c>
      <c r="Y158" t="e">
        <f>INDEX(MTT_codes,MATCH(loaded!BC158,MTT,0))</f>
        <v>#N/A</v>
      </c>
      <c r="Z158" t="str">
        <f>_xlfn.IFNA(INDEX(MTT_codes,MATCH(loaded!BE158,MTT,0)),"")</f>
        <v/>
      </c>
      <c r="AA158" t="str">
        <f>_xlfn.IFNA(INDEX(MTT_codes,MATCH(loaded!BG158,MTT,0)),"")</f>
        <v/>
      </c>
      <c r="AB158" t="str">
        <f>_xlfn.IFNA(INDEX(MTT_codes,MATCH(loaded!BI158,MTT,0)),"")</f>
        <v/>
      </c>
      <c r="AC158" t="str">
        <f>_xlfn.IFNA(INDEX(MTT_codes,MATCH(loaded!BK158,MTT,0)),"")</f>
        <v/>
      </c>
      <c r="AD158" t="str">
        <f>_xlfn.IFNA(INDEX(MTT_codes,MATCH(loaded!BM158,MTT,0)),"")</f>
        <v/>
      </c>
      <c r="AE158" t="e">
        <f>INDEX(liv_ar_codes,MATCH(loaded!BO158,liv_ar,0))</f>
        <v>#N/A</v>
      </c>
      <c r="AF158" t="str">
        <f>_xlfn.IFNA(INDEX(MTT_codes,MATCH(loaded!BQ158,MTT,0)),"")</f>
        <v/>
      </c>
      <c r="AG158">
        <f>_xlfn.IFNA(INDEX(mental_codes,MATCH(loaded!BS158,mental,0)),9)</f>
        <v>9</v>
      </c>
    </row>
    <row r="159" spans="1:33" x14ac:dyDescent="0.25">
      <c r="A159">
        <f>loaded!C159</f>
        <v>0</v>
      </c>
      <c r="B159">
        <f>loaded!I159</f>
        <v>0</v>
      </c>
      <c r="C159">
        <f>IF(loaded!K159="Male",1,IF(loaded!K159="Female",2,9))</f>
        <v>9</v>
      </c>
      <c r="D159" s="8">
        <f>loaded!M159</f>
        <v>0</v>
      </c>
      <c r="E159" t="str">
        <f>LEFT(loaded!O159,3)</f>
        <v/>
      </c>
      <c r="F159" t="e">
        <f>INDEX(cntry_codes,MATCH(loaded!Q159,countries,0))</f>
        <v>#N/A</v>
      </c>
      <c r="G159" t="e">
        <f>INDEX(atsi_codes,MATCH(loaded!S159,atsi,0))</f>
        <v>#N/A</v>
      </c>
      <c r="H159" t="e">
        <f>INDEX(lang_codes,MATCH(loaded!U159,lang,0))</f>
        <v>#N/A</v>
      </c>
      <c r="I159" s="8">
        <f>loaded!W159</f>
        <v>0</v>
      </c>
      <c r="J159" t="e">
        <f>INDEX(us_acc_codes,MATCH(loaded!Y159,us_acc,0))</f>
        <v>#N/A</v>
      </c>
      <c r="K159" t="e">
        <f>INDEX(client_codes,MATCH(loaded!AA159,client,0))</f>
        <v>#N/A</v>
      </c>
      <c r="L159" t="e">
        <f>INDEX(src_ref_codes,MATCH(loaded!AC159,src_ref,0))</f>
        <v>#N/A</v>
      </c>
      <c r="M159" s="8">
        <f>loaded!AE159</f>
        <v>0</v>
      </c>
      <c r="N159" s="8">
        <f>loaded!AG159</f>
        <v>0</v>
      </c>
      <c r="O159" t="e">
        <f>INDEX(reces_codes,MATCH(loaded!AI159,reason,0))</f>
        <v>#N/A</v>
      </c>
      <c r="P159" t="e">
        <f>INDEX(TDS_codes,MATCH(loaded!AK159,TDS,0))</f>
        <v>#N/A</v>
      </c>
      <c r="Q159" t="e">
        <f>IF(K159=2,"",INDEX(method_codes,MATCH(loaded!AM159,method,0)))</f>
        <v>#N/A</v>
      </c>
      <c r="R159" t="e">
        <f>IF(K159=2,"",INDEX(inj_codes,MATCH(loaded!AO159,inj,0)))</f>
        <v>#N/A</v>
      </c>
      <c r="S159" t="e">
        <f>IF(K159=2,"",INDEX(drug_codes,MATCH(loaded!AQ159,drug,0)))</f>
        <v>#N/A</v>
      </c>
      <c r="T159" t="e">
        <f>IF(K159=2,"",_xlfn.IFNA(INDEX(drug_codes,MATCH(loaded!AS159,drug,0)),""))</f>
        <v>#N/A</v>
      </c>
      <c r="U159" t="e">
        <f>IF(K159=2,"",_xlfn.IFNA(INDEX(drug_codes,MATCH(loaded!AU159,drug,0)),""))</f>
        <v>#N/A</v>
      </c>
      <c r="V159" t="e">
        <f>IF(K159=2,"",_xlfn.IFNA(INDEX(drug_codes,MATCH(loaded!AW159,drug,0)),""))</f>
        <v>#N/A</v>
      </c>
      <c r="W159" t="e">
        <f>IF(K159=2,"",_xlfn.IFNA(INDEX(drug_codes,MATCH(loaded!AY159,drug,0)),""))</f>
        <v>#N/A</v>
      </c>
      <c r="X159" t="e">
        <f>IF(K159=2,"",_xlfn.IFNA(INDEX(drug_codes,MATCH(loaded!BA159,drug,0)),""))</f>
        <v>#N/A</v>
      </c>
      <c r="Y159" t="e">
        <f>INDEX(MTT_codes,MATCH(loaded!BC159,MTT,0))</f>
        <v>#N/A</v>
      </c>
      <c r="Z159" t="str">
        <f>_xlfn.IFNA(INDEX(MTT_codes,MATCH(loaded!BE159,MTT,0)),"")</f>
        <v/>
      </c>
      <c r="AA159" t="str">
        <f>_xlfn.IFNA(INDEX(MTT_codes,MATCH(loaded!BG159,MTT,0)),"")</f>
        <v/>
      </c>
      <c r="AB159" t="str">
        <f>_xlfn.IFNA(INDEX(MTT_codes,MATCH(loaded!BI159,MTT,0)),"")</f>
        <v/>
      </c>
      <c r="AC159" t="str">
        <f>_xlfn.IFNA(INDEX(MTT_codes,MATCH(loaded!BK159,MTT,0)),"")</f>
        <v/>
      </c>
      <c r="AD159" t="str">
        <f>_xlfn.IFNA(INDEX(MTT_codes,MATCH(loaded!BM159,MTT,0)),"")</f>
        <v/>
      </c>
      <c r="AE159" t="e">
        <f>INDEX(liv_ar_codes,MATCH(loaded!BO159,liv_ar,0))</f>
        <v>#N/A</v>
      </c>
      <c r="AF159" t="str">
        <f>_xlfn.IFNA(INDEX(MTT_codes,MATCH(loaded!BQ159,MTT,0)),"")</f>
        <v/>
      </c>
      <c r="AG159">
        <f>_xlfn.IFNA(INDEX(mental_codes,MATCH(loaded!BS159,mental,0)),9)</f>
        <v>9</v>
      </c>
    </row>
    <row r="160" spans="1:33" x14ac:dyDescent="0.25">
      <c r="A160">
        <f>loaded!C160</f>
        <v>0</v>
      </c>
      <c r="B160">
        <f>loaded!I160</f>
        <v>0</v>
      </c>
      <c r="C160">
        <f>IF(loaded!K160="Male",1,IF(loaded!K160="Female",2,9))</f>
        <v>9</v>
      </c>
      <c r="D160" s="8">
        <f>loaded!M160</f>
        <v>0</v>
      </c>
      <c r="E160" t="str">
        <f>LEFT(loaded!O160,3)</f>
        <v/>
      </c>
      <c r="F160" t="e">
        <f>INDEX(cntry_codes,MATCH(loaded!Q160,countries,0))</f>
        <v>#N/A</v>
      </c>
      <c r="G160" t="e">
        <f>INDEX(atsi_codes,MATCH(loaded!S160,atsi,0))</f>
        <v>#N/A</v>
      </c>
      <c r="H160" t="e">
        <f>INDEX(lang_codes,MATCH(loaded!U160,lang,0))</f>
        <v>#N/A</v>
      </c>
      <c r="I160" s="8">
        <f>loaded!W160</f>
        <v>0</v>
      </c>
      <c r="J160" t="e">
        <f>INDEX(us_acc_codes,MATCH(loaded!Y160,us_acc,0))</f>
        <v>#N/A</v>
      </c>
      <c r="K160" t="e">
        <f>INDEX(client_codes,MATCH(loaded!AA160,client,0))</f>
        <v>#N/A</v>
      </c>
      <c r="L160" t="e">
        <f>INDEX(src_ref_codes,MATCH(loaded!AC160,src_ref,0))</f>
        <v>#N/A</v>
      </c>
      <c r="M160" s="8">
        <f>loaded!AE160</f>
        <v>0</v>
      </c>
      <c r="N160" s="8">
        <f>loaded!AG160</f>
        <v>0</v>
      </c>
      <c r="O160" t="e">
        <f>INDEX(reces_codes,MATCH(loaded!AI160,reason,0))</f>
        <v>#N/A</v>
      </c>
      <c r="P160" t="e">
        <f>INDEX(TDS_codes,MATCH(loaded!AK160,TDS,0))</f>
        <v>#N/A</v>
      </c>
      <c r="Q160" t="e">
        <f>IF(K160=2,"",INDEX(method_codes,MATCH(loaded!AM160,method,0)))</f>
        <v>#N/A</v>
      </c>
      <c r="R160" t="e">
        <f>IF(K160=2,"",INDEX(inj_codes,MATCH(loaded!AO160,inj,0)))</f>
        <v>#N/A</v>
      </c>
      <c r="S160" t="e">
        <f>IF(K160=2,"",INDEX(drug_codes,MATCH(loaded!AQ160,drug,0)))</f>
        <v>#N/A</v>
      </c>
      <c r="T160" t="e">
        <f>IF(K160=2,"",_xlfn.IFNA(INDEX(drug_codes,MATCH(loaded!AS160,drug,0)),""))</f>
        <v>#N/A</v>
      </c>
      <c r="U160" t="e">
        <f>IF(K160=2,"",_xlfn.IFNA(INDEX(drug_codes,MATCH(loaded!AU160,drug,0)),""))</f>
        <v>#N/A</v>
      </c>
      <c r="V160" t="e">
        <f>IF(K160=2,"",_xlfn.IFNA(INDEX(drug_codes,MATCH(loaded!AW160,drug,0)),""))</f>
        <v>#N/A</v>
      </c>
      <c r="W160" t="e">
        <f>IF(K160=2,"",_xlfn.IFNA(INDEX(drug_codes,MATCH(loaded!AY160,drug,0)),""))</f>
        <v>#N/A</v>
      </c>
      <c r="X160" t="e">
        <f>IF(K160=2,"",_xlfn.IFNA(INDEX(drug_codes,MATCH(loaded!BA160,drug,0)),""))</f>
        <v>#N/A</v>
      </c>
      <c r="Y160" t="e">
        <f>INDEX(MTT_codes,MATCH(loaded!BC160,MTT,0))</f>
        <v>#N/A</v>
      </c>
      <c r="Z160" t="str">
        <f>_xlfn.IFNA(INDEX(MTT_codes,MATCH(loaded!BE160,MTT,0)),"")</f>
        <v/>
      </c>
      <c r="AA160" t="str">
        <f>_xlfn.IFNA(INDEX(MTT_codes,MATCH(loaded!BG160,MTT,0)),"")</f>
        <v/>
      </c>
      <c r="AB160" t="str">
        <f>_xlfn.IFNA(INDEX(MTT_codes,MATCH(loaded!BI160,MTT,0)),"")</f>
        <v/>
      </c>
      <c r="AC160" t="str">
        <f>_xlfn.IFNA(INDEX(MTT_codes,MATCH(loaded!BK160,MTT,0)),"")</f>
        <v/>
      </c>
      <c r="AD160" t="str">
        <f>_xlfn.IFNA(INDEX(MTT_codes,MATCH(loaded!BM160,MTT,0)),"")</f>
        <v/>
      </c>
      <c r="AE160" t="e">
        <f>INDEX(liv_ar_codes,MATCH(loaded!BO160,liv_ar,0))</f>
        <v>#N/A</v>
      </c>
      <c r="AF160" t="str">
        <f>_xlfn.IFNA(INDEX(MTT_codes,MATCH(loaded!BQ160,MTT,0)),"")</f>
        <v/>
      </c>
      <c r="AG160">
        <f>_xlfn.IFNA(INDEX(mental_codes,MATCH(loaded!BS160,mental,0)),9)</f>
        <v>9</v>
      </c>
    </row>
    <row r="161" spans="1:33" x14ac:dyDescent="0.25">
      <c r="A161">
        <f>loaded!C161</f>
        <v>0</v>
      </c>
      <c r="B161">
        <f>loaded!I161</f>
        <v>0</v>
      </c>
      <c r="C161">
        <f>IF(loaded!K161="Male",1,IF(loaded!K161="Female",2,9))</f>
        <v>9</v>
      </c>
      <c r="D161" s="8">
        <f>loaded!M161</f>
        <v>0</v>
      </c>
      <c r="E161" t="str">
        <f>LEFT(loaded!O161,3)</f>
        <v/>
      </c>
      <c r="F161" t="e">
        <f>INDEX(cntry_codes,MATCH(loaded!Q161,countries,0))</f>
        <v>#N/A</v>
      </c>
      <c r="G161" t="e">
        <f>INDEX(atsi_codes,MATCH(loaded!S161,atsi,0))</f>
        <v>#N/A</v>
      </c>
      <c r="H161" t="e">
        <f>INDEX(lang_codes,MATCH(loaded!U161,lang,0))</f>
        <v>#N/A</v>
      </c>
      <c r="I161" s="8">
        <f>loaded!W161</f>
        <v>0</v>
      </c>
      <c r="J161" t="e">
        <f>INDEX(us_acc_codes,MATCH(loaded!Y161,us_acc,0))</f>
        <v>#N/A</v>
      </c>
      <c r="K161" t="e">
        <f>INDEX(client_codes,MATCH(loaded!AA161,client,0))</f>
        <v>#N/A</v>
      </c>
      <c r="L161" t="e">
        <f>INDEX(src_ref_codes,MATCH(loaded!AC161,src_ref,0))</f>
        <v>#N/A</v>
      </c>
      <c r="M161" s="8">
        <f>loaded!AE161</f>
        <v>0</v>
      </c>
      <c r="N161" s="8">
        <f>loaded!AG161</f>
        <v>0</v>
      </c>
      <c r="O161" t="e">
        <f>INDEX(reces_codes,MATCH(loaded!AI161,reason,0))</f>
        <v>#N/A</v>
      </c>
      <c r="P161" t="e">
        <f>INDEX(TDS_codes,MATCH(loaded!AK161,TDS,0))</f>
        <v>#N/A</v>
      </c>
      <c r="Q161" t="e">
        <f>IF(K161=2,"",INDEX(method_codes,MATCH(loaded!AM161,method,0)))</f>
        <v>#N/A</v>
      </c>
      <c r="R161" t="e">
        <f>IF(K161=2,"",INDEX(inj_codes,MATCH(loaded!AO161,inj,0)))</f>
        <v>#N/A</v>
      </c>
      <c r="S161" t="e">
        <f>IF(K161=2,"",INDEX(drug_codes,MATCH(loaded!AQ161,drug,0)))</f>
        <v>#N/A</v>
      </c>
      <c r="T161" t="e">
        <f>IF(K161=2,"",_xlfn.IFNA(INDEX(drug_codes,MATCH(loaded!AS161,drug,0)),""))</f>
        <v>#N/A</v>
      </c>
      <c r="U161" t="e">
        <f>IF(K161=2,"",_xlfn.IFNA(INDEX(drug_codes,MATCH(loaded!AU161,drug,0)),""))</f>
        <v>#N/A</v>
      </c>
      <c r="V161" t="e">
        <f>IF(K161=2,"",_xlfn.IFNA(INDEX(drug_codes,MATCH(loaded!AW161,drug,0)),""))</f>
        <v>#N/A</v>
      </c>
      <c r="W161" t="e">
        <f>IF(K161=2,"",_xlfn.IFNA(INDEX(drug_codes,MATCH(loaded!AY161,drug,0)),""))</f>
        <v>#N/A</v>
      </c>
      <c r="X161" t="e">
        <f>IF(K161=2,"",_xlfn.IFNA(INDEX(drug_codes,MATCH(loaded!BA161,drug,0)),""))</f>
        <v>#N/A</v>
      </c>
      <c r="Y161" t="e">
        <f>INDEX(MTT_codes,MATCH(loaded!BC161,MTT,0))</f>
        <v>#N/A</v>
      </c>
      <c r="Z161" t="str">
        <f>_xlfn.IFNA(INDEX(MTT_codes,MATCH(loaded!BE161,MTT,0)),"")</f>
        <v/>
      </c>
      <c r="AA161" t="str">
        <f>_xlfn.IFNA(INDEX(MTT_codes,MATCH(loaded!BG161,MTT,0)),"")</f>
        <v/>
      </c>
      <c r="AB161" t="str">
        <f>_xlfn.IFNA(INDEX(MTT_codes,MATCH(loaded!BI161,MTT,0)),"")</f>
        <v/>
      </c>
      <c r="AC161" t="str">
        <f>_xlfn.IFNA(INDEX(MTT_codes,MATCH(loaded!BK161,MTT,0)),"")</f>
        <v/>
      </c>
      <c r="AD161" t="str">
        <f>_xlfn.IFNA(INDEX(MTT_codes,MATCH(loaded!BM161,MTT,0)),"")</f>
        <v/>
      </c>
      <c r="AE161" t="e">
        <f>INDEX(liv_ar_codes,MATCH(loaded!BO161,liv_ar,0))</f>
        <v>#N/A</v>
      </c>
      <c r="AF161" t="str">
        <f>_xlfn.IFNA(INDEX(MTT_codes,MATCH(loaded!BQ161,MTT,0)),"")</f>
        <v/>
      </c>
      <c r="AG161">
        <f>_xlfn.IFNA(INDEX(mental_codes,MATCH(loaded!BS161,mental,0)),9)</f>
        <v>9</v>
      </c>
    </row>
    <row r="162" spans="1:33" x14ac:dyDescent="0.25">
      <c r="A162">
        <f>loaded!C162</f>
        <v>0</v>
      </c>
      <c r="B162">
        <f>loaded!I162</f>
        <v>0</v>
      </c>
      <c r="C162">
        <f>IF(loaded!K162="Male",1,IF(loaded!K162="Female",2,9))</f>
        <v>9</v>
      </c>
      <c r="D162" s="8">
        <f>loaded!M162</f>
        <v>0</v>
      </c>
      <c r="E162" t="str">
        <f>LEFT(loaded!O162,3)</f>
        <v/>
      </c>
      <c r="F162" t="e">
        <f>INDEX(cntry_codes,MATCH(loaded!Q162,countries,0))</f>
        <v>#N/A</v>
      </c>
      <c r="G162" t="e">
        <f>INDEX(atsi_codes,MATCH(loaded!S162,atsi,0))</f>
        <v>#N/A</v>
      </c>
      <c r="H162" t="e">
        <f>INDEX(lang_codes,MATCH(loaded!U162,lang,0))</f>
        <v>#N/A</v>
      </c>
      <c r="I162" s="8">
        <f>loaded!W162</f>
        <v>0</v>
      </c>
      <c r="J162" t="e">
        <f>INDEX(us_acc_codes,MATCH(loaded!Y162,us_acc,0))</f>
        <v>#N/A</v>
      </c>
      <c r="K162" t="e">
        <f>INDEX(client_codes,MATCH(loaded!AA162,client,0))</f>
        <v>#N/A</v>
      </c>
      <c r="L162" t="e">
        <f>INDEX(src_ref_codes,MATCH(loaded!AC162,src_ref,0))</f>
        <v>#N/A</v>
      </c>
      <c r="M162" s="8">
        <f>loaded!AE162</f>
        <v>0</v>
      </c>
      <c r="N162" s="8">
        <f>loaded!AG162</f>
        <v>0</v>
      </c>
      <c r="O162" t="e">
        <f>INDEX(reces_codes,MATCH(loaded!AI162,reason,0))</f>
        <v>#N/A</v>
      </c>
      <c r="P162" t="e">
        <f>INDEX(TDS_codes,MATCH(loaded!AK162,TDS,0))</f>
        <v>#N/A</v>
      </c>
      <c r="Q162" t="e">
        <f>IF(K162=2,"",INDEX(method_codes,MATCH(loaded!AM162,method,0)))</f>
        <v>#N/A</v>
      </c>
      <c r="R162" t="e">
        <f>IF(K162=2,"",INDEX(inj_codes,MATCH(loaded!AO162,inj,0)))</f>
        <v>#N/A</v>
      </c>
      <c r="S162" t="e">
        <f>IF(K162=2,"",INDEX(drug_codes,MATCH(loaded!AQ162,drug,0)))</f>
        <v>#N/A</v>
      </c>
      <c r="T162" t="e">
        <f>IF(K162=2,"",_xlfn.IFNA(INDEX(drug_codes,MATCH(loaded!AS162,drug,0)),""))</f>
        <v>#N/A</v>
      </c>
      <c r="U162" t="e">
        <f>IF(K162=2,"",_xlfn.IFNA(INDEX(drug_codes,MATCH(loaded!AU162,drug,0)),""))</f>
        <v>#N/A</v>
      </c>
      <c r="V162" t="e">
        <f>IF(K162=2,"",_xlfn.IFNA(INDEX(drug_codes,MATCH(loaded!AW162,drug,0)),""))</f>
        <v>#N/A</v>
      </c>
      <c r="W162" t="e">
        <f>IF(K162=2,"",_xlfn.IFNA(INDEX(drug_codes,MATCH(loaded!AY162,drug,0)),""))</f>
        <v>#N/A</v>
      </c>
      <c r="X162" t="e">
        <f>IF(K162=2,"",_xlfn.IFNA(INDEX(drug_codes,MATCH(loaded!BA162,drug,0)),""))</f>
        <v>#N/A</v>
      </c>
      <c r="Y162" t="e">
        <f>INDEX(MTT_codes,MATCH(loaded!BC162,MTT,0))</f>
        <v>#N/A</v>
      </c>
      <c r="Z162" t="str">
        <f>_xlfn.IFNA(INDEX(MTT_codes,MATCH(loaded!BE162,MTT,0)),"")</f>
        <v/>
      </c>
      <c r="AA162" t="str">
        <f>_xlfn.IFNA(INDEX(MTT_codes,MATCH(loaded!BG162,MTT,0)),"")</f>
        <v/>
      </c>
      <c r="AB162" t="str">
        <f>_xlfn.IFNA(INDEX(MTT_codes,MATCH(loaded!BI162,MTT,0)),"")</f>
        <v/>
      </c>
      <c r="AC162" t="str">
        <f>_xlfn.IFNA(INDEX(MTT_codes,MATCH(loaded!BK162,MTT,0)),"")</f>
        <v/>
      </c>
      <c r="AD162" t="str">
        <f>_xlfn.IFNA(INDEX(MTT_codes,MATCH(loaded!BM162,MTT,0)),"")</f>
        <v/>
      </c>
      <c r="AE162" t="e">
        <f>INDEX(liv_ar_codes,MATCH(loaded!BO162,liv_ar,0))</f>
        <v>#N/A</v>
      </c>
      <c r="AF162" t="str">
        <f>_xlfn.IFNA(INDEX(MTT_codes,MATCH(loaded!BQ162,MTT,0)),"")</f>
        <v/>
      </c>
      <c r="AG162">
        <f>_xlfn.IFNA(INDEX(mental_codes,MATCH(loaded!BS162,mental,0)),9)</f>
        <v>9</v>
      </c>
    </row>
    <row r="163" spans="1:33" x14ac:dyDescent="0.25">
      <c r="A163">
        <f>loaded!C163</f>
        <v>0</v>
      </c>
      <c r="B163">
        <f>loaded!I163</f>
        <v>0</v>
      </c>
      <c r="C163">
        <f>IF(loaded!K163="Male",1,IF(loaded!K163="Female",2,9))</f>
        <v>9</v>
      </c>
      <c r="D163" s="8">
        <f>loaded!M163</f>
        <v>0</v>
      </c>
      <c r="E163" t="str">
        <f>LEFT(loaded!O163,3)</f>
        <v/>
      </c>
      <c r="F163" t="e">
        <f>INDEX(cntry_codes,MATCH(loaded!Q163,countries,0))</f>
        <v>#N/A</v>
      </c>
      <c r="G163" t="e">
        <f>INDEX(atsi_codes,MATCH(loaded!S163,atsi,0))</f>
        <v>#N/A</v>
      </c>
      <c r="H163" t="e">
        <f>INDEX(lang_codes,MATCH(loaded!U163,lang,0))</f>
        <v>#N/A</v>
      </c>
      <c r="I163" s="8">
        <f>loaded!W163</f>
        <v>0</v>
      </c>
      <c r="J163" t="e">
        <f>INDEX(us_acc_codes,MATCH(loaded!Y163,us_acc,0))</f>
        <v>#N/A</v>
      </c>
      <c r="K163" t="e">
        <f>INDEX(client_codes,MATCH(loaded!AA163,client,0))</f>
        <v>#N/A</v>
      </c>
      <c r="L163" t="e">
        <f>INDEX(src_ref_codes,MATCH(loaded!AC163,src_ref,0))</f>
        <v>#N/A</v>
      </c>
      <c r="M163" s="8">
        <f>loaded!AE163</f>
        <v>0</v>
      </c>
      <c r="N163" s="8">
        <f>loaded!AG163</f>
        <v>0</v>
      </c>
      <c r="O163" t="e">
        <f>INDEX(reces_codes,MATCH(loaded!AI163,reason,0))</f>
        <v>#N/A</v>
      </c>
      <c r="P163" t="e">
        <f>INDEX(TDS_codes,MATCH(loaded!AK163,TDS,0))</f>
        <v>#N/A</v>
      </c>
      <c r="Q163" t="e">
        <f>IF(K163=2,"",INDEX(method_codes,MATCH(loaded!AM163,method,0)))</f>
        <v>#N/A</v>
      </c>
      <c r="R163" t="e">
        <f>IF(K163=2,"",INDEX(inj_codes,MATCH(loaded!AO163,inj,0)))</f>
        <v>#N/A</v>
      </c>
      <c r="S163" t="e">
        <f>IF(K163=2,"",INDEX(drug_codes,MATCH(loaded!AQ163,drug,0)))</f>
        <v>#N/A</v>
      </c>
      <c r="T163" t="e">
        <f>IF(K163=2,"",_xlfn.IFNA(INDEX(drug_codes,MATCH(loaded!AS163,drug,0)),""))</f>
        <v>#N/A</v>
      </c>
      <c r="U163" t="e">
        <f>IF(K163=2,"",_xlfn.IFNA(INDEX(drug_codes,MATCH(loaded!AU163,drug,0)),""))</f>
        <v>#N/A</v>
      </c>
      <c r="V163" t="e">
        <f>IF(K163=2,"",_xlfn.IFNA(INDEX(drug_codes,MATCH(loaded!AW163,drug,0)),""))</f>
        <v>#N/A</v>
      </c>
      <c r="W163" t="e">
        <f>IF(K163=2,"",_xlfn.IFNA(INDEX(drug_codes,MATCH(loaded!AY163,drug,0)),""))</f>
        <v>#N/A</v>
      </c>
      <c r="X163" t="e">
        <f>IF(K163=2,"",_xlfn.IFNA(INDEX(drug_codes,MATCH(loaded!BA163,drug,0)),""))</f>
        <v>#N/A</v>
      </c>
      <c r="Y163" t="e">
        <f>INDEX(MTT_codes,MATCH(loaded!BC163,MTT,0))</f>
        <v>#N/A</v>
      </c>
      <c r="Z163" t="str">
        <f>_xlfn.IFNA(INDEX(MTT_codes,MATCH(loaded!BE163,MTT,0)),"")</f>
        <v/>
      </c>
      <c r="AA163" t="str">
        <f>_xlfn.IFNA(INDEX(MTT_codes,MATCH(loaded!BG163,MTT,0)),"")</f>
        <v/>
      </c>
      <c r="AB163" t="str">
        <f>_xlfn.IFNA(INDEX(MTT_codes,MATCH(loaded!BI163,MTT,0)),"")</f>
        <v/>
      </c>
      <c r="AC163" t="str">
        <f>_xlfn.IFNA(INDEX(MTT_codes,MATCH(loaded!BK163,MTT,0)),"")</f>
        <v/>
      </c>
      <c r="AD163" t="str">
        <f>_xlfn.IFNA(INDEX(MTT_codes,MATCH(loaded!BM163,MTT,0)),"")</f>
        <v/>
      </c>
      <c r="AE163" t="e">
        <f>INDEX(liv_ar_codes,MATCH(loaded!BO163,liv_ar,0))</f>
        <v>#N/A</v>
      </c>
      <c r="AF163" t="str">
        <f>_xlfn.IFNA(INDEX(MTT_codes,MATCH(loaded!BQ163,MTT,0)),"")</f>
        <v/>
      </c>
      <c r="AG163">
        <f>_xlfn.IFNA(INDEX(mental_codes,MATCH(loaded!BS163,mental,0)),9)</f>
        <v>9</v>
      </c>
    </row>
    <row r="164" spans="1:33" x14ac:dyDescent="0.25">
      <c r="A164">
        <f>loaded!C164</f>
        <v>0</v>
      </c>
      <c r="B164">
        <f>loaded!I164</f>
        <v>0</v>
      </c>
      <c r="C164">
        <f>IF(loaded!K164="Male",1,IF(loaded!K164="Female",2,9))</f>
        <v>9</v>
      </c>
      <c r="D164" s="8">
        <f>loaded!M164</f>
        <v>0</v>
      </c>
      <c r="E164" t="str">
        <f>LEFT(loaded!O164,3)</f>
        <v/>
      </c>
      <c r="F164" t="e">
        <f>INDEX(cntry_codes,MATCH(loaded!Q164,countries,0))</f>
        <v>#N/A</v>
      </c>
      <c r="G164" t="e">
        <f>INDEX(atsi_codes,MATCH(loaded!S164,atsi,0))</f>
        <v>#N/A</v>
      </c>
      <c r="H164" t="e">
        <f>INDEX(lang_codes,MATCH(loaded!U164,lang,0))</f>
        <v>#N/A</v>
      </c>
      <c r="I164" s="8">
        <f>loaded!W164</f>
        <v>0</v>
      </c>
      <c r="J164" t="e">
        <f>INDEX(us_acc_codes,MATCH(loaded!Y164,us_acc,0))</f>
        <v>#N/A</v>
      </c>
      <c r="K164" t="e">
        <f>INDEX(client_codes,MATCH(loaded!AA164,client,0))</f>
        <v>#N/A</v>
      </c>
      <c r="L164" t="e">
        <f>INDEX(src_ref_codes,MATCH(loaded!AC164,src_ref,0))</f>
        <v>#N/A</v>
      </c>
      <c r="M164" s="8">
        <f>loaded!AE164</f>
        <v>0</v>
      </c>
      <c r="N164" s="8">
        <f>loaded!AG164</f>
        <v>0</v>
      </c>
      <c r="O164" t="e">
        <f>INDEX(reces_codes,MATCH(loaded!AI164,reason,0))</f>
        <v>#N/A</v>
      </c>
      <c r="P164" t="e">
        <f>INDEX(TDS_codes,MATCH(loaded!AK164,TDS,0))</f>
        <v>#N/A</v>
      </c>
      <c r="Q164" t="e">
        <f>IF(K164=2,"",INDEX(method_codes,MATCH(loaded!AM164,method,0)))</f>
        <v>#N/A</v>
      </c>
      <c r="R164" t="e">
        <f>IF(K164=2,"",INDEX(inj_codes,MATCH(loaded!AO164,inj,0)))</f>
        <v>#N/A</v>
      </c>
      <c r="S164" t="e">
        <f>IF(K164=2,"",INDEX(drug_codes,MATCH(loaded!AQ164,drug,0)))</f>
        <v>#N/A</v>
      </c>
      <c r="T164" t="e">
        <f>IF(K164=2,"",_xlfn.IFNA(INDEX(drug_codes,MATCH(loaded!AS164,drug,0)),""))</f>
        <v>#N/A</v>
      </c>
      <c r="U164" t="e">
        <f>IF(K164=2,"",_xlfn.IFNA(INDEX(drug_codes,MATCH(loaded!AU164,drug,0)),""))</f>
        <v>#N/A</v>
      </c>
      <c r="V164" t="e">
        <f>IF(K164=2,"",_xlfn.IFNA(INDEX(drug_codes,MATCH(loaded!AW164,drug,0)),""))</f>
        <v>#N/A</v>
      </c>
      <c r="W164" t="e">
        <f>IF(K164=2,"",_xlfn.IFNA(INDEX(drug_codes,MATCH(loaded!AY164,drug,0)),""))</f>
        <v>#N/A</v>
      </c>
      <c r="X164" t="e">
        <f>IF(K164=2,"",_xlfn.IFNA(INDEX(drug_codes,MATCH(loaded!BA164,drug,0)),""))</f>
        <v>#N/A</v>
      </c>
      <c r="Y164" t="e">
        <f>INDEX(MTT_codes,MATCH(loaded!BC164,MTT,0))</f>
        <v>#N/A</v>
      </c>
      <c r="Z164" t="str">
        <f>_xlfn.IFNA(INDEX(MTT_codes,MATCH(loaded!BE164,MTT,0)),"")</f>
        <v/>
      </c>
      <c r="AA164" t="str">
        <f>_xlfn.IFNA(INDEX(MTT_codes,MATCH(loaded!BG164,MTT,0)),"")</f>
        <v/>
      </c>
      <c r="AB164" t="str">
        <f>_xlfn.IFNA(INDEX(MTT_codes,MATCH(loaded!BI164,MTT,0)),"")</f>
        <v/>
      </c>
      <c r="AC164" t="str">
        <f>_xlfn.IFNA(INDEX(MTT_codes,MATCH(loaded!BK164,MTT,0)),"")</f>
        <v/>
      </c>
      <c r="AD164" t="str">
        <f>_xlfn.IFNA(INDEX(MTT_codes,MATCH(loaded!BM164,MTT,0)),"")</f>
        <v/>
      </c>
      <c r="AE164" t="e">
        <f>INDEX(liv_ar_codes,MATCH(loaded!BO164,liv_ar,0))</f>
        <v>#N/A</v>
      </c>
      <c r="AF164" t="str">
        <f>_xlfn.IFNA(INDEX(MTT_codes,MATCH(loaded!BQ164,MTT,0)),"")</f>
        <v/>
      </c>
      <c r="AG164">
        <f>_xlfn.IFNA(INDEX(mental_codes,MATCH(loaded!BS164,mental,0)),9)</f>
        <v>9</v>
      </c>
    </row>
    <row r="165" spans="1:33" x14ac:dyDescent="0.25">
      <c r="A165">
        <f>loaded!C165</f>
        <v>0</v>
      </c>
      <c r="B165">
        <f>loaded!I165</f>
        <v>0</v>
      </c>
      <c r="C165">
        <f>IF(loaded!K165="Male",1,IF(loaded!K165="Female",2,9))</f>
        <v>9</v>
      </c>
      <c r="D165" s="8">
        <f>loaded!M165</f>
        <v>0</v>
      </c>
      <c r="E165" t="str">
        <f>LEFT(loaded!O165,3)</f>
        <v/>
      </c>
      <c r="F165" t="e">
        <f>INDEX(cntry_codes,MATCH(loaded!Q165,countries,0))</f>
        <v>#N/A</v>
      </c>
      <c r="G165" t="e">
        <f>INDEX(atsi_codes,MATCH(loaded!S165,atsi,0))</f>
        <v>#N/A</v>
      </c>
      <c r="H165" t="e">
        <f>INDEX(lang_codes,MATCH(loaded!U165,lang,0))</f>
        <v>#N/A</v>
      </c>
      <c r="I165" s="8">
        <f>loaded!W165</f>
        <v>0</v>
      </c>
      <c r="J165" t="e">
        <f>INDEX(us_acc_codes,MATCH(loaded!Y165,us_acc,0))</f>
        <v>#N/A</v>
      </c>
      <c r="K165" t="e">
        <f>INDEX(client_codes,MATCH(loaded!AA165,client,0))</f>
        <v>#N/A</v>
      </c>
      <c r="L165" t="e">
        <f>INDEX(src_ref_codes,MATCH(loaded!AC165,src_ref,0))</f>
        <v>#N/A</v>
      </c>
      <c r="M165" s="8">
        <f>loaded!AE165</f>
        <v>0</v>
      </c>
      <c r="N165" s="8">
        <f>loaded!AG165</f>
        <v>0</v>
      </c>
      <c r="O165" t="e">
        <f>INDEX(reces_codes,MATCH(loaded!AI165,reason,0))</f>
        <v>#N/A</v>
      </c>
      <c r="P165" t="e">
        <f>INDEX(TDS_codes,MATCH(loaded!AK165,TDS,0))</f>
        <v>#N/A</v>
      </c>
      <c r="Q165" t="e">
        <f>IF(K165=2,"",INDEX(method_codes,MATCH(loaded!AM165,method,0)))</f>
        <v>#N/A</v>
      </c>
      <c r="R165" t="e">
        <f>IF(K165=2,"",INDEX(inj_codes,MATCH(loaded!AO165,inj,0)))</f>
        <v>#N/A</v>
      </c>
      <c r="S165" t="e">
        <f>IF(K165=2,"",INDEX(drug_codes,MATCH(loaded!AQ165,drug,0)))</f>
        <v>#N/A</v>
      </c>
      <c r="T165" t="e">
        <f>IF(K165=2,"",_xlfn.IFNA(INDEX(drug_codes,MATCH(loaded!AS165,drug,0)),""))</f>
        <v>#N/A</v>
      </c>
      <c r="U165" t="e">
        <f>IF(K165=2,"",_xlfn.IFNA(INDEX(drug_codes,MATCH(loaded!AU165,drug,0)),""))</f>
        <v>#N/A</v>
      </c>
      <c r="V165" t="e">
        <f>IF(K165=2,"",_xlfn.IFNA(INDEX(drug_codes,MATCH(loaded!AW165,drug,0)),""))</f>
        <v>#N/A</v>
      </c>
      <c r="W165" t="e">
        <f>IF(K165=2,"",_xlfn.IFNA(INDEX(drug_codes,MATCH(loaded!AY165,drug,0)),""))</f>
        <v>#N/A</v>
      </c>
      <c r="X165" t="e">
        <f>IF(K165=2,"",_xlfn.IFNA(INDEX(drug_codes,MATCH(loaded!BA165,drug,0)),""))</f>
        <v>#N/A</v>
      </c>
      <c r="Y165" t="e">
        <f>INDEX(MTT_codes,MATCH(loaded!BC165,MTT,0))</f>
        <v>#N/A</v>
      </c>
      <c r="Z165" t="str">
        <f>_xlfn.IFNA(INDEX(MTT_codes,MATCH(loaded!BE165,MTT,0)),"")</f>
        <v/>
      </c>
      <c r="AA165" t="str">
        <f>_xlfn.IFNA(INDEX(MTT_codes,MATCH(loaded!BG165,MTT,0)),"")</f>
        <v/>
      </c>
      <c r="AB165" t="str">
        <f>_xlfn.IFNA(INDEX(MTT_codes,MATCH(loaded!BI165,MTT,0)),"")</f>
        <v/>
      </c>
      <c r="AC165" t="str">
        <f>_xlfn.IFNA(INDEX(MTT_codes,MATCH(loaded!BK165,MTT,0)),"")</f>
        <v/>
      </c>
      <c r="AD165" t="str">
        <f>_xlfn.IFNA(INDEX(MTT_codes,MATCH(loaded!BM165,MTT,0)),"")</f>
        <v/>
      </c>
      <c r="AE165" t="e">
        <f>INDEX(liv_ar_codes,MATCH(loaded!BO165,liv_ar,0))</f>
        <v>#N/A</v>
      </c>
      <c r="AF165" t="str">
        <f>_xlfn.IFNA(INDEX(MTT_codes,MATCH(loaded!BQ165,MTT,0)),"")</f>
        <v/>
      </c>
      <c r="AG165">
        <f>_xlfn.IFNA(INDEX(mental_codes,MATCH(loaded!BS165,mental,0)),9)</f>
        <v>9</v>
      </c>
    </row>
    <row r="166" spans="1:33" x14ac:dyDescent="0.25">
      <c r="A166">
        <f>loaded!C166</f>
        <v>0</v>
      </c>
      <c r="B166">
        <f>loaded!I166</f>
        <v>0</v>
      </c>
      <c r="C166">
        <f>IF(loaded!K166="Male",1,IF(loaded!K166="Female",2,9))</f>
        <v>9</v>
      </c>
      <c r="D166" s="8">
        <f>loaded!M166</f>
        <v>0</v>
      </c>
      <c r="E166" t="str">
        <f>LEFT(loaded!O166,3)</f>
        <v/>
      </c>
      <c r="F166" t="e">
        <f>INDEX(cntry_codes,MATCH(loaded!Q166,countries,0))</f>
        <v>#N/A</v>
      </c>
      <c r="G166" t="e">
        <f>INDEX(atsi_codes,MATCH(loaded!S166,atsi,0))</f>
        <v>#N/A</v>
      </c>
      <c r="H166" t="e">
        <f>INDEX(lang_codes,MATCH(loaded!U166,lang,0))</f>
        <v>#N/A</v>
      </c>
      <c r="I166" s="8">
        <f>loaded!W166</f>
        <v>0</v>
      </c>
      <c r="J166" t="e">
        <f>INDEX(us_acc_codes,MATCH(loaded!Y166,us_acc,0))</f>
        <v>#N/A</v>
      </c>
      <c r="K166" t="e">
        <f>INDEX(client_codes,MATCH(loaded!AA166,client,0))</f>
        <v>#N/A</v>
      </c>
      <c r="L166" t="e">
        <f>INDEX(src_ref_codes,MATCH(loaded!AC166,src_ref,0))</f>
        <v>#N/A</v>
      </c>
      <c r="M166" s="8">
        <f>loaded!AE166</f>
        <v>0</v>
      </c>
      <c r="N166" s="8">
        <f>loaded!AG166</f>
        <v>0</v>
      </c>
      <c r="O166" t="e">
        <f>INDEX(reces_codes,MATCH(loaded!AI166,reason,0))</f>
        <v>#N/A</v>
      </c>
      <c r="P166" t="e">
        <f>INDEX(TDS_codes,MATCH(loaded!AK166,TDS,0))</f>
        <v>#N/A</v>
      </c>
      <c r="Q166" t="e">
        <f>IF(K166=2,"",INDEX(method_codes,MATCH(loaded!AM166,method,0)))</f>
        <v>#N/A</v>
      </c>
      <c r="R166" t="e">
        <f>IF(K166=2,"",INDEX(inj_codes,MATCH(loaded!AO166,inj,0)))</f>
        <v>#N/A</v>
      </c>
      <c r="S166" t="e">
        <f>IF(K166=2,"",INDEX(drug_codes,MATCH(loaded!AQ166,drug,0)))</f>
        <v>#N/A</v>
      </c>
      <c r="T166" t="e">
        <f>IF(K166=2,"",_xlfn.IFNA(INDEX(drug_codes,MATCH(loaded!AS166,drug,0)),""))</f>
        <v>#N/A</v>
      </c>
      <c r="U166" t="e">
        <f>IF(K166=2,"",_xlfn.IFNA(INDEX(drug_codes,MATCH(loaded!AU166,drug,0)),""))</f>
        <v>#N/A</v>
      </c>
      <c r="V166" t="e">
        <f>IF(K166=2,"",_xlfn.IFNA(INDEX(drug_codes,MATCH(loaded!AW166,drug,0)),""))</f>
        <v>#N/A</v>
      </c>
      <c r="W166" t="e">
        <f>IF(K166=2,"",_xlfn.IFNA(INDEX(drug_codes,MATCH(loaded!AY166,drug,0)),""))</f>
        <v>#N/A</v>
      </c>
      <c r="X166" t="e">
        <f>IF(K166=2,"",_xlfn.IFNA(INDEX(drug_codes,MATCH(loaded!BA166,drug,0)),""))</f>
        <v>#N/A</v>
      </c>
      <c r="Y166" t="e">
        <f>INDEX(MTT_codes,MATCH(loaded!BC166,MTT,0))</f>
        <v>#N/A</v>
      </c>
      <c r="Z166" t="str">
        <f>_xlfn.IFNA(INDEX(MTT_codes,MATCH(loaded!BE166,MTT,0)),"")</f>
        <v/>
      </c>
      <c r="AA166" t="str">
        <f>_xlfn.IFNA(INDEX(MTT_codes,MATCH(loaded!BG166,MTT,0)),"")</f>
        <v/>
      </c>
      <c r="AB166" t="str">
        <f>_xlfn.IFNA(INDEX(MTT_codes,MATCH(loaded!BI166,MTT,0)),"")</f>
        <v/>
      </c>
      <c r="AC166" t="str">
        <f>_xlfn.IFNA(INDEX(MTT_codes,MATCH(loaded!BK166,MTT,0)),"")</f>
        <v/>
      </c>
      <c r="AD166" t="str">
        <f>_xlfn.IFNA(INDEX(MTT_codes,MATCH(loaded!BM166,MTT,0)),"")</f>
        <v/>
      </c>
      <c r="AE166" t="e">
        <f>INDEX(liv_ar_codes,MATCH(loaded!BO166,liv_ar,0))</f>
        <v>#N/A</v>
      </c>
      <c r="AF166" t="str">
        <f>_xlfn.IFNA(INDEX(MTT_codes,MATCH(loaded!BQ166,MTT,0)),"")</f>
        <v/>
      </c>
      <c r="AG166">
        <f>_xlfn.IFNA(INDEX(mental_codes,MATCH(loaded!BS166,mental,0)),9)</f>
        <v>9</v>
      </c>
    </row>
    <row r="167" spans="1:33" x14ac:dyDescent="0.25">
      <c r="A167">
        <f>loaded!C167</f>
        <v>0</v>
      </c>
      <c r="B167">
        <f>loaded!I167</f>
        <v>0</v>
      </c>
      <c r="C167">
        <f>IF(loaded!K167="Male",1,IF(loaded!K167="Female",2,9))</f>
        <v>9</v>
      </c>
      <c r="D167" s="8">
        <f>loaded!M167</f>
        <v>0</v>
      </c>
      <c r="E167" t="str">
        <f>LEFT(loaded!O167,3)</f>
        <v/>
      </c>
      <c r="F167" t="e">
        <f>INDEX(cntry_codes,MATCH(loaded!Q167,countries,0))</f>
        <v>#N/A</v>
      </c>
      <c r="G167" t="e">
        <f>INDEX(atsi_codes,MATCH(loaded!S167,atsi,0))</f>
        <v>#N/A</v>
      </c>
      <c r="H167" t="e">
        <f>INDEX(lang_codes,MATCH(loaded!U167,lang,0))</f>
        <v>#N/A</v>
      </c>
      <c r="I167" s="8">
        <f>loaded!W167</f>
        <v>0</v>
      </c>
      <c r="J167" t="e">
        <f>INDEX(us_acc_codes,MATCH(loaded!Y167,us_acc,0))</f>
        <v>#N/A</v>
      </c>
      <c r="K167" t="e">
        <f>INDEX(client_codes,MATCH(loaded!AA167,client,0))</f>
        <v>#N/A</v>
      </c>
      <c r="L167" t="e">
        <f>INDEX(src_ref_codes,MATCH(loaded!AC167,src_ref,0))</f>
        <v>#N/A</v>
      </c>
      <c r="M167" s="8">
        <f>loaded!AE167</f>
        <v>0</v>
      </c>
      <c r="N167" s="8">
        <f>loaded!AG167</f>
        <v>0</v>
      </c>
      <c r="O167" t="e">
        <f>INDEX(reces_codes,MATCH(loaded!AI167,reason,0))</f>
        <v>#N/A</v>
      </c>
      <c r="P167" t="e">
        <f>INDEX(TDS_codes,MATCH(loaded!AK167,TDS,0))</f>
        <v>#N/A</v>
      </c>
      <c r="Q167" t="e">
        <f>IF(K167=2,"",INDEX(method_codes,MATCH(loaded!AM167,method,0)))</f>
        <v>#N/A</v>
      </c>
      <c r="R167" t="e">
        <f>IF(K167=2,"",INDEX(inj_codes,MATCH(loaded!AO167,inj,0)))</f>
        <v>#N/A</v>
      </c>
      <c r="S167" t="e">
        <f>IF(K167=2,"",INDEX(drug_codes,MATCH(loaded!AQ167,drug,0)))</f>
        <v>#N/A</v>
      </c>
      <c r="T167" t="e">
        <f>IF(K167=2,"",_xlfn.IFNA(INDEX(drug_codes,MATCH(loaded!AS167,drug,0)),""))</f>
        <v>#N/A</v>
      </c>
      <c r="U167" t="e">
        <f>IF(K167=2,"",_xlfn.IFNA(INDEX(drug_codes,MATCH(loaded!AU167,drug,0)),""))</f>
        <v>#N/A</v>
      </c>
      <c r="V167" t="e">
        <f>IF(K167=2,"",_xlfn.IFNA(INDEX(drug_codes,MATCH(loaded!AW167,drug,0)),""))</f>
        <v>#N/A</v>
      </c>
      <c r="W167" t="e">
        <f>IF(K167=2,"",_xlfn.IFNA(INDEX(drug_codes,MATCH(loaded!AY167,drug,0)),""))</f>
        <v>#N/A</v>
      </c>
      <c r="X167" t="e">
        <f>IF(K167=2,"",_xlfn.IFNA(INDEX(drug_codes,MATCH(loaded!BA167,drug,0)),""))</f>
        <v>#N/A</v>
      </c>
      <c r="Y167" t="e">
        <f>INDEX(MTT_codes,MATCH(loaded!BC167,MTT,0))</f>
        <v>#N/A</v>
      </c>
      <c r="Z167" t="str">
        <f>_xlfn.IFNA(INDEX(MTT_codes,MATCH(loaded!BE167,MTT,0)),"")</f>
        <v/>
      </c>
      <c r="AA167" t="str">
        <f>_xlfn.IFNA(INDEX(MTT_codes,MATCH(loaded!BG167,MTT,0)),"")</f>
        <v/>
      </c>
      <c r="AB167" t="str">
        <f>_xlfn.IFNA(INDEX(MTT_codes,MATCH(loaded!BI167,MTT,0)),"")</f>
        <v/>
      </c>
      <c r="AC167" t="str">
        <f>_xlfn.IFNA(INDEX(MTT_codes,MATCH(loaded!BK167,MTT,0)),"")</f>
        <v/>
      </c>
      <c r="AD167" t="str">
        <f>_xlfn.IFNA(INDEX(MTT_codes,MATCH(loaded!BM167,MTT,0)),"")</f>
        <v/>
      </c>
      <c r="AE167" t="e">
        <f>INDEX(liv_ar_codes,MATCH(loaded!BO167,liv_ar,0))</f>
        <v>#N/A</v>
      </c>
      <c r="AF167" t="str">
        <f>_xlfn.IFNA(INDEX(MTT_codes,MATCH(loaded!BQ167,MTT,0)),"")</f>
        <v/>
      </c>
      <c r="AG167">
        <f>_xlfn.IFNA(INDEX(mental_codes,MATCH(loaded!BS167,mental,0)),9)</f>
        <v>9</v>
      </c>
    </row>
    <row r="168" spans="1:33" x14ac:dyDescent="0.25">
      <c r="A168">
        <f>loaded!C168</f>
        <v>0</v>
      </c>
      <c r="B168">
        <f>loaded!I168</f>
        <v>0</v>
      </c>
      <c r="C168">
        <f>IF(loaded!K168="Male",1,IF(loaded!K168="Female",2,9))</f>
        <v>9</v>
      </c>
      <c r="D168" s="8">
        <f>loaded!M168</f>
        <v>0</v>
      </c>
      <c r="E168" t="str">
        <f>LEFT(loaded!O168,3)</f>
        <v/>
      </c>
      <c r="F168" t="e">
        <f>INDEX(cntry_codes,MATCH(loaded!Q168,countries,0))</f>
        <v>#N/A</v>
      </c>
      <c r="G168" t="e">
        <f>INDEX(atsi_codes,MATCH(loaded!S168,atsi,0))</f>
        <v>#N/A</v>
      </c>
      <c r="H168" t="e">
        <f>INDEX(lang_codes,MATCH(loaded!U168,lang,0))</f>
        <v>#N/A</v>
      </c>
      <c r="I168" s="8">
        <f>loaded!W168</f>
        <v>0</v>
      </c>
      <c r="J168" t="e">
        <f>INDEX(us_acc_codes,MATCH(loaded!Y168,us_acc,0))</f>
        <v>#N/A</v>
      </c>
      <c r="K168" t="e">
        <f>INDEX(client_codes,MATCH(loaded!AA168,client,0))</f>
        <v>#N/A</v>
      </c>
      <c r="L168" t="e">
        <f>INDEX(src_ref_codes,MATCH(loaded!AC168,src_ref,0))</f>
        <v>#N/A</v>
      </c>
      <c r="M168" s="8">
        <f>loaded!AE168</f>
        <v>0</v>
      </c>
      <c r="N168" s="8">
        <f>loaded!AG168</f>
        <v>0</v>
      </c>
      <c r="O168" t="e">
        <f>INDEX(reces_codes,MATCH(loaded!AI168,reason,0))</f>
        <v>#N/A</v>
      </c>
      <c r="P168" t="e">
        <f>INDEX(TDS_codes,MATCH(loaded!AK168,TDS,0))</f>
        <v>#N/A</v>
      </c>
      <c r="Q168" t="e">
        <f>IF(K168=2,"",INDEX(method_codes,MATCH(loaded!AM168,method,0)))</f>
        <v>#N/A</v>
      </c>
      <c r="R168" t="e">
        <f>IF(K168=2,"",INDEX(inj_codes,MATCH(loaded!AO168,inj,0)))</f>
        <v>#N/A</v>
      </c>
      <c r="S168" t="e">
        <f>IF(K168=2,"",INDEX(drug_codes,MATCH(loaded!AQ168,drug,0)))</f>
        <v>#N/A</v>
      </c>
      <c r="T168" t="e">
        <f>IF(K168=2,"",_xlfn.IFNA(INDEX(drug_codes,MATCH(loaded!AS168,drug,0)),""))</f>
        <v>#N/A</v>
      </c>
      <c r="U168" t="e">
        <f>IF(K168=2,"",_xlfn.IFNA(INDEX(drug_codes,MATCH(loaded!AU168,drug,0)),""))</f>
        <v>#N/A</v>
      </c>
      <c r="V168" t="e">
        <f>IF(K168=2,"",_xlfn.IFNA(INDEX(drug_codes,MATCH(loaded!AW168,drug,0)),""))</f>
        <v>#N/A</v>
      </c>
      <c r="W168" t="e">
        <f>IF(K168=2,"",_xlfn.IFNA(INDEX(drug_codes,MATCH(loaded!AY168,drug,0)),""))</f>
        <v>#N/A</v>
      </c>
      <c r="X168" t="e">
        <f>IF(K168=2,"",_xlfn.IFNA(INDEX(drug_codes,MATCH(loaded!BA168,drug,0)),""))</f>
        <v>#N/A</v>
      </c>
      <c r="Y168" t="e">
        <f>INDEX(MTT_codes,MATCH(loaded!BC168,MTT,0))</f>
        <v>#N/A</v>
      </c>
      <c r="Z168" t="str">
        <f>_xlfn.IFNA(INDEX(MTT_codes,MATCH(loaded!BE168,MTT,0)),"")</f>
        <v/>
      </c>
      <c r="AA168" t="str">
        <f>_xlfn.IFNA(INDEX(MTT_codes,MATCH(loaded!BG168,MTT,0)),"")</f>
        <v/>
      </c>
      <c r="AB168" t="str">
        <f>_xlfn.IFNA(INDEX(MTT_codes,MATCH(loaded!BI168,MTT,0)),"")</f>
        <v/>
      </c>
      <c r="AC168" t="str">
        <f>_xlfn.IFNA(INDEX(MTT_codes,MATCH(loaded!BK168,MTT,0)),"")</f>
        <v/>
      </c>
      <c r="AD168" t="str">
        <f>_xlfn.IFNA(INDEX(MTT_codes,MATCH(loaded!BM168,MTT,0)),"")</f>
        <v/>
      </c>
      <c r="AE168" t="e">
        <f>INDEX(liv_ar_codes,MATCH(loaded!BO168,liv_ar,0))</f>
        <v>#N/A</v>
      </c>
      <c r="AF168" t="str">
        <f>_xlfn.IFNA(INDEX(MTT_codes,MATCH(loaded!BQ168,MTT,0)),"")</f>
        <v/>
      </c>
      <c r="AG168">
        <f>_xlfn.IFNA(INDEX(mental_codes,MATCH(loaded!BS168,mental,0)),9)</f>
        <v>9</v>
      </c>
    </row>
    <row r="169" spans="1:33" x14ac:dyDescent="0.25">
      <c r="A169">
        <f>loaded!C169</f>
        <v>0</v>
      </c>
      <c r="B169">
        <f>loaded!I169</f>
        <v>0</v>
      </c>
      <c r="C169">
        <f>IF(loaded!K169="Male",1,IF(loaded!K169="Female",2,9))</f>
        <v>9</v>
      </c>
      <c r="D169" s="8">
        <f>loaded!M169</f>
        <v>0</v>
      </c>
      <c r="E169" t="str">
        <f>LEFT(loaded!O169,3)</f>
        <v/>
      </c>
      <c r="F169" t="e">
        <f>INDEX(cntry_codes,MATCH(loaded!Q169,countries,0))</f>
        <v>#N/A</v>
      </c>
      <c r="G169" t="e">
        <f>INDEX(atsi_codes,MATCH(loaded!S169,atsi,0))</f>
        <v>#N/A</v>
      </c>
      <c r="H169" t="e">
        <f>INDEX(lang_codes,MATCH(loaded!U169,lang,0))</f>
        <v>#N/A</v>
      </c>
      <c r="I169" s="8">
        <f>loaded!W169</f>
        <v>0</v>
      </c>
      <c r="J169" t="e">
        <f>INDEX(us_acc_codes,MATCH(loaded!Y169,us_acc,0))</f>
        <v>#N/A</v>
      </c>
      <c r="K169" t="e">
        <f>INDEX(client_codes,MATCH(loaded!AA169,client,0))</f>
        <v>#N/A</v>
      </c>
      <c r="L169" t="e">
        <f>INDEX(src_ref_codes,MATCH(loaded!AC169,src_ref,0))</f>
        <v>#N/A</v>
      </c>
      <c r="M169" s="8">
        <f>loaded!AE169</f>
        <v>0</v>
      </c>
      <c r="N169" s="8">
        <f>loaded!AG169</f>
        <v>0</v>
      </c>
      <c r="O169" t="e">
        <f>INDEX(reces_codes,MATCH(loaded!AI169,reason,0))</f>
        <v>#N/A</v>
      </c>
      <c r="P169" t="e">
        <f>INDEX(TDS_codes,MATCH(loaded!AK169,TDS,0))</f>
        <v>#N/A</v>
      </c>
      <c r="Q169" t="e">
        <f>IF(K169=2,"",INDEX(method_codes,MATCH(loaded!AM169,method,0)))</f>
        <v>#N/A</v>
      </c>
      <c r="R169" t="e">
        <f>IF(K169=2,"",INDEX(inj_codes,MATCH(loaded!AO169,inj,0)))</f>
        <v>#N/A</v>
      </c>
      <c r="S169" t="e">
        <f>IF(K169=2,"",INDEX(drug_codes,MATCH(loaded!AQ169,drug,0)))</f>
        <v>#N/A</v>
      </c>
      <c r="T169" t="e">
        <f>IF(K169=2,"",_xlfn.IFNA(INDEX(drug_codes,MATCH(loaded!AS169,drug,0)),""))</f>
        <v>#N/A</v>
      </c>
      <c r="U169" t="e">
        <f>IF(K169=2,"",_xlfn.IFNA(INDEX(drug_codes,MATCH(loaded!AU169,drug,0)),""))</f>
        <v>#N/A</v>
      </c>
      <c r="V169" t="e">
        <f>IF(K169=2,"",_xlfn.IFNA(INDEX(drug_codes,MATCH(loaded!AW169,drug,0)),""))</f>
        <v>#N/A</v>
      </c>
      <c r="W169" t="e">
        <f>IF(K169=2,"",_xlfn.IFNA(INDEX(drug_codes,MATCH(loaded!AY169,drug,0)),""))</f>
        <v>#N/A</v>
      </c>
      <c r="X169" t="e">
        <f>IF(K169=2,"",_xlfn.IFNA(INDEX(drug_codes,MATCH(loaded!BA169,drug,0)),""))</f>
        <v>#N/A</v>
      </c>
      <c r="Y169" t="e">
        <f>INDEX(MTT_codes,MATCH(loaded!BC169,MTT,0))</f>
        <v>#N/A</v>
      </c>
      <c r="Z169" t="str">
        <f>_xlfn.IFNA(INDEX(MTT_codes,MATCH(loaded!BE169,MTT,0)),"")</f>
        <v/>
      </c>
      <c r="AA169" t="str">
        <f>_xlfn.IFNA(INDEX(MTT_codes,MATCH(loaded!BG169,MTT,0)),"")</f>
        <v/>
      </c>
      <c r="AB169" t="str">
        <f>_xlfn.IFNA(INDEX(MTT_codes,MATCH(loaded!BI169,MTT,0)),"")</f>
        <v/>
      </c>
      <c r="AC169" t="str">
        <f>_xlfn.IFNA(INDEX(MTT_codes,MATCH(loaded!BK169,MTT,0)),"")</f>
        <v/>
      </c>
      <c r="AD169" t="str">
        <f>_xlfn.IFNA(INDEX(MTT_codes,MATCH(loaded!BM169,MTT,0)),"")</f>
        <v/>
      </c>
      <c r="AE169" t="e">
        <f>INDEX(liv_ar_codes,MATCH(loaded!BO169,liv_ar,0))</f>
        <v>#N/A</v>
      </c>
      <c r="AF169" t="str">
        <f>_xlfn.IFNA(INDEX(MTT_codes,MATCH(loaded!BQ169,MTT,0)),"")</f>
        <v/>
      </c>
      <c r="AG169">
        <f>_xlfn.IFNA(INDEX(mental_codes,MATCH(loaded!BS169,mental,0)),9)</f>
        <v>9</v>
      </c>
    </row>
    <row r="170" spans="1:33" x14ac:dyDescent="0.25">
      <c r="A170">
        <f>loaded!C170</f>
        <v>0</v>
      </c>
      <c r="B170">
        <f>loaded!I170</f>
        <v>0</v>
      </c>
      <c r="C170">
        <f>IF(loaded!K170="Male",1,IF(loaded!K170="Female",2,9))</f>
        <v>9</v>
      </c>
      <c r="D170" s="8">
        <f>loaded!M170</f>
        <v>0</v>
      </c>
      <c r="E170" t="str">
        <f>LEFT(loaded!O170,3)</f>
        <v/>
      </c>
      <c r="F170" t="e">
        <f>INDEX(cntry_codes,MATCH(loaded!Q170,countries,0))</f>
        <v>#N/A</v>
      </c>
      <c r="G170" t="e">
        <f>INDEX(atsi_codes,MATCH(loaded!S170,atsi,0))</f>
        <v>#N/A</v>
      </c>
      <c r="H170" t="e">
        <f>INDEX(lang_codes,MATCH(loaded!U170,lang,0))</f>
        <v>#N/A</v>
      </c>
      <c r="I170" s="8">
        <f>loaded!W170</f>
        <v>0</v>
      </c>
      <c r="J170" t="e">
        <f>INDEX(us_acc_codes,MATCH(loaded!Y170,us_acc,0))</f>
        <v>#N/A</v>
      </c>
      <c r="K170" t="e">
        <f>INDEX(client_codes,MATCH(loaded!AA170,client,0))</f>
        <v>#N/A</v>
      </c>
      <c r="L170" t="e">
        <f>INDEX(src_ref_codes,MATCH(loaded!AC170,src_ref,0))</f>
        <v>#N/A</v>
      </c>
      <c r="M170" s="8">
        <f>loaded!AE170</f>
        <v>0</v>
      </c>
      <c r="N170" s="8">
        <f>loaded!AG170</f>
        <v>0</v>
      </c>
      <c r="O170" t="e">
        <f>INDEX(reces_codes,MATCH(loaded!AI170,reason,0))</f>
        <v>#N/A</v>
      </c>
      <c r="P170" t="e">
        <f>INDEX(TDS_codes,MATCH(loaded!AK170,TDS,0))</f>
        <v>#N/A</v>
      </c>
      <c r="Q170" t="e">
        <f>IF(K170=2,"",INDEX(method_codes,MATCH(loaded!AM170,method,0)))</f>
        <v>#N/A</v>
      </c>
      <c r="R170" t="e">
        <f>IF(K170=2,"",INDEX(inj_codes,MATCH(loaded!AO170,inj,0)))</f>
        <v>#N/A</v>
      </c>
      <c r="S170" t="e">
        <f>IF(K170=2,"",INDEX(drug_codes,MATCH(loaded!AQ170,drug,0)))</f>
        <v>#N/A</v>
      </c>
      <c r="T170" t="e">
        <f>IF(K170=2,"",_xlfn.IFNA(INDEX(drug_codes,MATCH(loaded!AS170,drug,0)),""))</f>
        <v>#N/A</v>
      </c>
      <c r="U170" t="e">
        <f>IF(K170=2,"",_xlfn.IFNA(INDEX(drug_codes,MATCH(loaded!AU170,drug,0)),""))</f>
        <v>#N/A</v>
      </c>
      <c r="V170" t="e">
        <f>IF(K170=2,"",_xlfn.IFNA(INDEX(drug_codes,MATCH(loaded!AW170,drug,0)),""))</f>
        <v>#N/A</v>
      </c>
      <c r="W170" t="e">
        <f>IF(K170=2,"",_xlfn.IFNA(INDEX(drug_codes,MATCH(loaded!AY170,drug,0)),""))</f>
        <v>#N/A</v>
      </c>
      <c r="X170" t="e">
        <f>IF(K170=2,"",_xlfn.IFNA(INDEX(drug_codes,MATCH(loaded!BA170,drug,0)),""))</f>
        <v>#N/A</v>
      </c>
      <c r="Y170" t="e">
        <f>INDEX(MTT_codes,MATCH(loaded!BC170,MTT,0))</f>
        <v>#N/A</v>
      </c>
      <c r="Z170" t="str">
        <f>_xlfn.IFNA(INDEX(MTT_codes,MATCH(loaded!BE170,MTT,0)),"")</f>
        <v/>
      </c>
      <c r="AA170" t="str">
        <f>_xlfn.IFNA(INDEX(MTT_codes,MATCH(loaded!BG170,MTT,0)),"")</f>
        <v/>
      </c>
      <c r="AB170" t="str">
        <f>_xlfn.IFNA(INDEX(MTT_codes,MATCH(loaded!BI170,MTT,0)),"")</f>
        <v/>
      </c>
      <c r="AC170" t="str">
        <f>_xlfn.IFNA(INDEX(MTT_codes,MATCH(loaded!BK170,MTT,0)),"")</f>
        <v/>
      </c>
      <c r="AD170" t="str">
        <f>_xlfn.IFNA(INDEX(MTT_codes,MATCH(loaded!BM170,MTT,0)),"")</f>
        <v/>
      </c>
      <c r="AE170" t="e">
        <f>INDEX(liv_ar_codes,MATCH(loaded!BO170,liv_ar,0))</f>
        <v>#N/A</v>
      </c>
      <c r="AF170" t="str">
        <f>_xlfn.IFNA(INDEX(MTT_codes,MATCH(loaded!BQ170,MTT,0)),"")</f>
        <v/>
      </c>
      <c r="AG170">
        <f>_xlfn.IFNA(INDEX(mental_codes,MATCH(loaded!BS170,mental,0)),9)</f>
        <v>9</v>
      </c>
    </row>
    <row r="171" spans="1:33" x14ac:dyDescent="0.25">
      <c r="A171">
        <f>loaded!C171</f>
        <v>0</v>
      </c>
      <c r="B171">
        <f>loaded!I171</f>
        <v>0</v>
      </c>
      <c r="C171">
        <f>IF(loaded!K171="Male",1,IF(loaded!K171="Female",2,9))</f>
        <v>9</v>
      </c>
      <c r="D171" s="8">
        <f>loaded!M171</f>
        <v>0</v>
      </c>
      <c r="E171" t="str">
        <f>LEFT(loaded!O171,3)</f>
        <v/>
      </c>
      <c r="F171" t="e">
        <f>INDEX(cntry_codes,MATCH(loaded!Q171,countries,0))</f>
        <v>#N/A</v>
      </c>
      <c r="G171" t="e">
        <f>INDEX(atsi_codes,MATCH(loaded!S171,atsi,0))</f>
        <v>#N/A</v>
      </c>
      <c r="H171" t="e">
        <f>INDEX(lang_codes,MATCH(loaded!U171,lang,0))</f>
        <v>#N/A</v>
      </c>
      <c r="I171" s="8">
        <f>loaded!W171</f>
        <v>0</v>
      </c>
      <c r="J171" t="e">
        <f>INDEX(us_acc_codes,MATCH(loaded!Y171,us_acc,0))</f>
        <v>#N/A</v>
      </c>
      <c r="K171" t="e">
        <f>INDEX(client_codes,MATCH(loaded!AA171,client,0))</f>
        <v>#N/A</v>
      </c>
      <c r="L171" t="e">
        <f>INDEX(src_ref_codes,MATCH(loaded!AC171,src_ref,0))</f>
        <v>#N/A</v>
      </c>
      <c r="M171" s="8">
        <f>loaded!AE171</f>
        <v>0</v>
      </c>
      <c r="N171" s="8">
        <f>loaded!AG171</f>
        <v>0</v>
      </c>
      <c r="O171" t="e">
        <f>INDEX(reces_codes,MATCH(loaded!AI171,reason,0))</f>
        <v>#N/A</v>
      </c>
      <c r="P171" t="e">
        <f>INDEX(TDS_codes,MATCH(loaded!AK171,TDS,0))</f>
        <v>#N/A</v>
      </c>
      <c r="Q171" t="e">
        <f>IF(K171=2,"",INDEX(method_codes,MATCH(loaded!AM171,method,0)))</f>
        <v>#N/A</v>
      </c>
      <c r="R171" t="e">
        <f>IF(K171=2,"",INDEX(inj_codes,MATCH(loaded!AO171,inj,0)))</f>
        <v>#N/A</v>
      </c>
      <c r="S171" t="e">
        <f>IF(K171=2,"",INDEX(drug_codes,MATCH(loaded!AQ171,drug,0)))</f>
        <v>#N/A</v>
      </c>
      <c r="T171" t="e">
        <f>IF(K171=2,"",_xlfn.IFNA(INDEX(drug_codes,MATCH(loaded!AS171,drug,0)),""))</f>
        <v>#N/A</v>
      </c>
      <c r="U171" t="e">
        <f>IF(K171=2,"",_xlfn.IFNA(INDEX(drug_codes,MATCH(loaded!AU171,drug,0)),""))</f>
        <v>#N/A</v>
      </c>
      <c r="V171" t="e">
        <f>IF(K171=2,"",_xlfn.IFNA(INDEX(drug_codes,MATCH(loaded!AW171,drug,0)),""))</f>
        <v>#N/A</v>
      </c>
      <c r="W171" t="e">
        <f>IF(K171=2,"",_xlfn.IFNA(INDEX(drug_codes,MATCH(loaded!AY171,drug,0)),""))</f>
        <v>#N/A</v>
      </c>
      <c r="X171" t="e">
        <f>IF(K171=2,"",_xlfn.IFNA(INDEX(drug_codes,MATCH(loaded!BA171,drug,0)),""))</f>
        <v>#N/A</v>
      </c>
      <c r="Y171" t="e">
        <f>INDEX(MTT_codes,MATCH(loaded!BC171,MTT,0))</f>
        <v>#N/A</v>
      </c>
      <c r="Z171" t="str">
        <f>_xlfn.IFNA(INDEX(MTT_codes,MATCH(loaded!BE171,MTT,0)),"")</f>
        <v/>
      </c>
      <c r="AA171" t="str">
        <f>_xlfn.IFNA(INDEX(MTT_codes,MATCH(loaded!BG171,MTT,0)),"")</f>
        <v/>
      </c>
      <c r="AB171" t="str">
        <f>_xlfn.IFNA(INDEX(MTT_codes,MATCH(loaded!BI171,MTT,0)),"")</f>
        <v/>
      </c>
      <c r="AC171" t="str">
        <f>_xlfn.IFNA(INDEX(MTT_codes,MATCH(loaded!BK171,MTT,0)),"")</f>
        <v/>
      </c>
      <c r="AD171" t="str">
        <f>_xlfn.IFNA(INDEX(MTT_codes,MATCH(loaded!BM171,MTT,0)),"")</f>
        <v/>
      </c>
      <c r="AE171" t="e">
        <f>INDEX(liv_ar_codes,MATCH(loaded!BO171,liv_ar,0))</f>
        <v>#N/A</v>
      </c>
      <c r="AF171" t="str">
        <f>_xlfn.IFNA(INDEX(MTT_codes,MATCH(loaded!BQ171,MTT,0)),"")</f>
        <v/>
      </c>
      <c r="AG171">
        <f>_xlfn.IFNA(INDEX(mental_codes,MATCH(loaded!BS171,mental,0)),9)</f>
        <v>9</v>
      </c>
    </row>
    <row r="172" spans="1:33" x14ac:dyDescent="0.25">
      <c r="A172">
        <f>loaded!C172</f>
        <v>0</v>
      </c>
      <c r="B172">
        <f>loaded!I172</f>
        <v>0</v>
      </c>
      <c r="C172">
        <f>IF(loaded!K172="Male",1,IF(loaded!K172="Female",2,9))</f>
        <v>9</v>
      </c>
      <c r="D172" s="8">
        <f>loaded!M172</f>
        <v>0</v>
      </c>
      <c r="E172" t="str">
        <f>LEFT(loaded!O172,3)</f>
        <v/>
      </c>
      <c r="F172" t="e">
        <f>INDEX(cntry_codes,MATCH(loaded!Q172,countries,0))</f>
        <v>#N/A</v>
      </c>
      <c r="G172" t="e">
        <f>INDEX(atsi_codes,MATCH(loaded!S172,atsi,0))</f>
        <v>#N/A</v>
      </c>
      <c r="H172" t="e">
        <f>INDEX(lang_codes,MATCH(loaded!U172,lang,0))</f>
        <v>#N/A</v>
      </c>
      <c r="I172" s="8">
        <f>loaded!W172</f>
        <v>0</v>
      </c>
      <c r="J172" t="e">
        <f>INDEX(us_acc_codes,MATCH(loaded!Y172,us_acc,0))</f>
        <v>#N/A</v>
      </c>
      <c r="K172" t="e">
        <f>INDEX(client_codes,MATCH(loaded!AA172,client,0))</f>
        <v>#N/A</v>
      </c>
      <c r="L172" t="e">
        <f>INDEX(src_ref_codes,MATCH(loaded!AC172,src_ref,0))</f>
        <v>#N/A</v>
      </c>
      <c r="M172" s="8">
        <f>loaded!AE172</f>
        <v>0</v>
      </c>
      <c r="N172" s="8">
        <f>loaded!AG172</f>
        <v>0</v>
      </c>
      <c r="O172" t="e">
        <f>INDEX(reces_codes,MATCH(loaded!AI172,reason,0))</f>
        <v>#N/A</v>
      </c>
      <c r="P172" t="e">
        <f>INDEX(TDS_codes,MATCH(loaded!AK172,TDS,0))</f>
        <v>#N/A</v>
      </c>
      <c r="Q172" t="e">
        <f>IF(K172=2,"",INDEX(method_codes,MATCH(loaded!AM172,method,0)))</f>
        <v>#N/A</v>
      </c>
      <c r="R172" t="e">
        <f>IF(K172=2,"",INDEX(inj_codes,MATCH(loaded!AO172,inj,0)))</f>
        <v>#N/A</v>
      </c>
      <c r="S172" t="e">
        <f>IF(K172=2,"",INDEX(drug_codes,MATCH(loaded!AQ172,drug,0)))</f>
        <v>#N/A</v>
      </c>
      <c r="T172" t="e">
        <f>IF(K172=2,"",_xlfn.IFNA(INDEX(drug_codes,MATCH(loaded!AS172,drug,0)),""))</f>
        <v>#N/A</v>
      </c>
      <c r="U172" t="e">
        <f>IF(K172=2,"",_xlfn.IFNA(INDEX(drug_codes,MATCH(loaded!AU172,drug,0)),""))</f>
        <v>#N/A</v>
      </c>
      <c r="V172" t="e">
        <f>IF(K172=2,"",_xlfn.IFNA(INDEX(drug_codes,MATCH(loaded!AW172,drug,0)),""))</f>
        <v>#N/A</v>
      </c>
      <c r="W172" t="e">
        <f>IF(K172=2,"",_xlfn.IFNA(INDEX(drug_codes,MATCH(loaded!AY172,drug,0)),""))</f>
        <v>#N/A</v>
      </c>
      <c r="X172" t="e">
        <f>IF(K172=2,"",_xlfn.IFNA(INDEX(drug_codes,MATCH(loaded!BA172,drug,0)),""))</f>
        <v>#N/A</v>
      </c>
      <c r="Y172" t="e">
        <f>INDEX(MTT_codes,MATCH(loaded!BC172,MTT,0))</f>
        <v>#N/A</v>
      </c>
      <c r="Z172" t="str">
        <f>_xlfn.IFNA(INDEX(MTT_codes,MATCH(loaded!BE172,MTT,0)),"")</f>
        <v/>
      </c>
      <c r="AA172" t="str">
        <f>_xlfn.IFNA(INDEX(MTT_codes,MATCH(loaded!BG172,MTT,0)),"")</f>
        <v/>
      </c>
      <c r="AB172" t="str">
        <f>_xlfn.IFNA(INDEX(MTT_codes,MATCH(loaded!BI172,MTT,0)),"")</f>
        <v/>
      </c>
      <c r="AC172" t="str">
        <f>_xlfn.IFNA(INDEX(MTT_codes,MATCH(loaded!BK172,MTT,0)),"")</f>
        <v/>
      </c>
      <c r="AD172" t="str">
        <f>_xlfn.IFNA(INDEX(MTT_codes,MATCH(loaded!BM172,MTT,0)),"")</f>
        <v/>
      </c>
      <c r="AE172" t="e">
        <f>INDEX(liv_ar_codes,MATCH(loaded!BO172,liv_ar,0))</f>
        <v>#N/A</v>
      </c>
      <c r="AF172" t="str">
        <f>_xlfn.IFNA(INDEX(MTT_codes,MATCH(loaded!BQ172,MTT,0)),"")</f>
        <v/>
      </c>
      <c r="AG172">
        <f>_xlfn.IFNA(INDEX(mental_codes,MATCH(loaded!BS172,mental,0)),9)</f>
        <v>9</v>
      </c>
    </row>
    <row r="173" spans="1:33" x14ac:dyDescent="0.25">
      <c r="A173">
        <f>loaded!C173</f>
        <v>0</v>
      </c>
      <c r="B173">
        <f>loaded!I173</f>
        <v>0</v>
      </c>
      <c r="C173">
        <f>IF(loaded!K173="Male",1,IF(loaded!K173="Female",2,9))</f>
        <v>9</v>
      </c>
      <c r="D173" s="8">
        <f>loaded!M173</f>
        <v>0</v>
      </c>
      <c r="E173" t="str">
        <f>LEFT(loaded!O173,3)</f>
        <v/>
      </c>
      <c r="F173" t="e">
        <f>INDEX(cntry_codes,MATCH(loaded!Q173,countries,0))</f>
        <v>#N/A</v>
      </c>
      <c r="G173" t="e">
        <f>INDEX(atsi_codes,MATCH(loaded!S173,atsi,0))</f>
        <v>#N/A</v>
      </c>
      <c r="H173" t="e">
        <f>INDEX(lang_codes,MATCH(loaded!U173,lang,0))</f>
        <v>#N/A</v>
      </c>
      <c r="I173" s="8">
        <f>loaded!W173</f>
        <v>0</v>
      </c>
      <c r="J173" t="e">
        <f>INDEX(us_acc_codes,MATCH(loaded!Y173,us_acc,0))</f>
        <v>#N/A</v>
      </c>
      <c r="K173" t="e">
        <f>INDEX(client_codes,MATCH(loaded!AA173,client,0))</f>
        <v>#N/A</v>
      </c>
      <c r="L173" t="e">
        <f>INDEX(src_ref_codes,MATCH(loaded!AC173,src_ref,0))</f>
        <v>#N/A</v>
      </c>
      <c r="M173" s="8">
        <f>loaded!AE173</f>
        <v>0</v>
      </c>
      <c r="N173" s="8">
        <f>loaded!AG173</f>
        <v>0</v>
      </c>
      <c r="O173" t="e">
        <f>INDEX(reces_codes,MATCH(loaded!AI173,reason,0))</f>
        <v>#N/A</v>
      </c>
      <c r="P173" t="e">
        <f>INDEX(TDS_codes,MATCH(loaded!AK173,TDS,0))</f>
        <v>#N/A</v>
      </c>
      <c r="Q173" t="e">
        <f>IF(K173=2,"",INDEX(method_codes,MATCH(loaded!AM173,method,0)))</f>
        <v>#N/A</v>
      </c>
      <c r="R173" t="e">
        <f>IF(K173=2,"",INDEX(inj_codes,MATCH(loaded!AO173,inj,0)))</f>
        <v>#N/A</v>
      </c>
      <c r="S173" t="e">
        <f>IF(K173=2,"",INDEX(drug_codes,MATCH(loaded!AQ173,drug,0)))</f>
        <v>#N/A</v>
      </c>
      <c r="T173" t="e">
        <f>IF(K173=2,"",_xlfn.IFNA(INDEX(drug_codes,MATCH(loaded!AS173,drug,0)),""))</f>
        <v>#N/A</v>
      </c>
      <c r="U173" t="e">
        <f>IF(K173=2,"",_xlfn.IFNA(INDEX(drug_codes,MATCH(loaded!AU173,drug,0)),""))</f>
        <v>#N/A</v>
      </c>
      <c r="V173" t="e">
        <f>IF(K173=2,"",_xlfn.IFNA(INDEX(drug_codes,MATCH(loaded!AW173,drug,0)),""))</f>
        <v>#N/A</v>
      </c>
      <c r="W173" t="e">
        <f>IF(K173=2,"",_xlfn.IFNA(INDEX(drug_codes,MATCH(loaded!AY173,drug,0)),""))</f>
        <v>#N/A</v>
      </c>
      <c r="X173" t="e">
        <f>IF(K173=2,"",_xlfn.IFNA(INDEX(drug_codes,MATCH(loaded!BA173,drug,0)),""))</f>
        <v>#N/A</v>
      </c>
      <c r="Y173" t="e">
        <f>INDEX(MTT_codes,MATCH(loaded!BC173,MTT,0))</f>
        <v>#N/A</v>
      </c>
      <c r="Z173" t="str">
        <f>_xlfn.IFNA(INDEX(MTT_codes,MATCH(loaded!BE173,MTT,0)),"")</f>
        <v/>
      </c>
      <c r="AA173" t="str">
        <f>_xlfn.IFNA(INDEX(MTT_codes,MATCH(loaded!BG173,MTT,0)),"")</f>
        <v/>
      </c>
      <c r="AB173" t="str">
        <f>_xlfn.IFNA(INDEX(MTT_codes,MATCH(loaded!BI173,MTT,0)),"")</f>
        <v/>
      </c>
      <c r="AC173" t="str">
        <f>_xlfn.IFNA(INDEX(MTT_codes,MATCH(loaded!BK173,MTT,0)),"")</f>
        <v/>
      </c>
      <c r="AD173" t="str">
        <f>_xlfn.IFNA(INDEX(MTT_codes,MATCH(loaded!BM173,MTT,0)),"")</f>
        <v/>
      </c>
      <c r="AE173" t="e">
        <f>INDEX(liv_ar_codes,MATCH(loaded!BO173,liv_ar,0))</f>
        <v>#N/A</v>
      </c>
      <c r="AF173" t="str">
        <f>_xlfn.IFNA(INDEX(MTT_codes,MATCH(loaded!BQ173,MTT,0)),"")</f>
        <v/>
      </c>
      <c r="AG173">
        <f>_xlfn.IFNA(INDEX(mental_codes,MATCH(loaded!BS173,mental,0)),9)</f>
        <v>9</v>
      </c>
    </row>
    <row r="174" spans="1:33" x14ac:dyDescent="0.25">
      <c r="A174">
        <f>loaded!C174</f>
        <v>0</v>
      </c>
      <c r="B174">
        <f>loaded!I174</f>
        <v>0</v>
      </c>
      <c r="C174">
        <f>IF(loaded!K174="Male",1,IF(loaded!K174="Female",2,9))</f>
        <v>9</v>
      </c>
      <c r="D174" s="8">
        <f>loaded!M174</f>
        <v>0</v>
      </c>
      <c r="E174" t="str">
        <f>LEFT(loaded!O174,3)</f>
        <v/>
      </c>
      <c r="F174" t="e">
        <f>INDEX(cntry_codes,MATCH(loaded!Q174,countries,0))</f>
        <v>#N/A</v>
      </c>
      <c r="G174" t="e">
        <f>INDEX(atsi_codes,MATCH(loaded!S174,atsi,0))</f>
        <v>#N/A</v>
      </c>
      <c r="H174" t="e">
        <f>INDEX(lang_codes,MATCH(loaded!U174,lang,0))</f>
        <v>#N/A</v>
      </c>
      <c r="I174" s="8">
        <f>loaded!W174</f>
        <v>0</v>
      </c>
      <c r="J174" t="e">
        <f>INDEX(us_acc_codes,MATCH(loaded!Y174,us_acc,0))</f>
        <v>#N/A</v>
      </c>
      <c r="K174" t="e">
        <f>INDEX(client_codes,MATCH(loaded!AA174,client,0))</f>
        <v>#N/A</v>
      </c>
      <c r="L174" t="e">
        <f>INDEX(src_ref_codes,MATCH(loaded!AC174,src_ref,0))</f>
        <v>#N/A</v>
      </c>
      <c r="M174" s="8">
        <f>loaded!AE174</f>
        <v>0</v>
      </c>
      <c r="N174" s="8">
        <f>loaded!AG174</f>
        <v>0</v>
      </c>
      <c r="O174" t="e">
        <f>INDEX(reces_codes,MATCH(loaded!AI174,reason,0))</f>
        <v>#N/A</v>
      </c>
      <c r="P174" t="e">
        <f>INDEX(TDS_codes,MATCH(loaded!AK174,TDS,0))</f>
        <v>#N/A</v>
      </c>
      <c r="Q174" t="e">
        <f>IF(K174=2,"",INDEX(method_codes,MATCH(loaded!AM174,method,0)))</f>
        <v>#N/A</v>
      </c>
      <c r="R174" t="e">
        <f>IF(K174=2,"",INDEX(inj_codes,MATCH(loaded!AO174,inj,0)))</f>
        <v>#N/A</v>
      </c>
      <c r="S174" t="e">
        <f>IF(K174=2,"",INDEX(drug_codes,MATCH(loaded!AQ174,drug,0)))</f>
        <v>#N/A</v>
      </c>
      <c r="T174" t="e">
        <f>IF(K174=2,"",_xlfn.IFNA(INDEX(drug_codes,MATCH(loaded!AS174,drug,0)),""))</f>
        <v>#N/A</v>
      </c>
      <c r="U174" t="e">
        <f>IF(K174=2,"",_xlfn.IFNA(INDEX(drug_codes,MATCH(loaded!AU174,drug,0)),""))</f>
        <v>#N/A</v>
      </c>
      <c r="V174" t="e">
        <f>IF(K174=2,"",_xlfn.IFNA(INDEX(drug_codes,MATCH(loaded!AW174,drug,0)),""))</f>
        <v>#N/A</v>
      </c>
      <c r="W174" t="e">
        <f>IF(K174=2,"",_xlfn.IFNA(INDEX(drug_codes,MATCH(loaded!AY174,drug,0)),""))</f>
        <v>#N/A</v>
      </c>
      <c r="X174" t="e">
        <f>IF(K174=2,"",_xlfn.IFNA(INDEX(drug_codes,MATCH(loaded!BA174,drug,0)),""))</f>
        <v>#N/A</v>
      </c>
      <c r="Y174" t="e">
        <f>INDEX(MTT_codes,MATCH(loaded!BC174,MTT,0))</f>
        <v>#N/A</v>
      </c>
      <c r="Z174" t="str">
        <f>_xlfn.IFNA(INDEX(MTT_codes,MATCH(loaded!BE174,MTT,0)),"")</f>
        <v/>
      </c>
      <c r="AA174" t="str">
        <f>_xlfn.IFNA(INDEX(MTT_codes,MATCH(loaded!BG174,MTT,0)),"")</f>
        <v/>
      </c>
      <c r="AB174" t="str">
        <f>_xlfn.IFNA(INDEX(MTT_codes,MATCH(loaded!BI174,MTT,0)),"")</f>
        <v/>
      </c>
      <c r="AC174" t="str">
        <f>_xlfn.IFNA(INDEX(MTT_codes,MATCH(loaded!BK174,MTT,0)),"")</f>
        <v/>
      </c>
      <c r="AD174" t="str">
        <f>_xlfn.IFNA(INDEX(MTT_codes,MATCH(loaded!BM174,MTT,0)),"")</f>
        <v/>
      </c>
      <c r="AE174" t="e">
        <f>INDEX(liv_ar_codes,MATCH(loaded!BO174,liv_ar,0))</f>
        <v>#N/A</v>
      </c>
      <c r="AF174" t="str">
        <f>_xlfn.IFNA(INDEX(MTT_codes,MATCH(loaded!BQ174,MTT,0)),"")</f>
        <v/>
      </c>
      <c r="AG174">
        <f>_xlfn.IFNA(INDEX(mental_codes,MATCH(loaded!BS174,mental,0)),9)</f>
        <v>9</v>
      </c>
    </row>
    <row r="175" spans="1:33" x14ac:dyDescent="0.25">
      <c r="A175">
        <f>loaded!C175</f>
        <v>0</v>
      </c>
      <c r="B175">
        <f>loaded!I175</f>
        <v>0</v>
      </c>
      <c r="C175">
        <f>IF(loaded!K175="Male",1,IF(loaded!K175="Female",2,9))</f>
        <v>9</v>
      </c>
      <c r="D175" s="8">
        <f>loaded!M175</f>
        <v>0</v>
      </c>
      <c r="E175" t="str">
        <f>LEFT(loaded!O175,3)</f>
        <v/>
      </c>
      <c r="F175" t="e">
        <f>INDEX(cntry_codes,MATCH(loaded!Q175,countries,0))</f>
        <v>#N/A</v>
      </c>
      <c r="G175" t="e">
        <f>INDEX(atsi_codes,MATCH(loaded!S175,atsi,0))</f>
        <v>#N/A</v>
      </c>
      <c r="H175" t="e">
        <f>INDEX(lang_codes,MATCH(loaded!U175,lang,0))</f>
        <v>#N/A</v>
      </c>
      <c r="I175" s="8">
        <f>loaded!W175</f>
        <v>0</v>
      </c>
      <c r="J175" t="e">
        <f>INDEX(us_acc_codes,MATCH(loaded!Y175,us_acc,0))</f>
        <v>#N/A</v>
      </c>
      <c r="K175" t="e">
        <f>INDEX(client_codes,MATCH(loaded!AA175,client,0))</f>
        <v>#N/A</v>
      </c>
      <c r="L175" t="e">
        <f>INDEX(src_ref_codes,MATCH(loaded!AC175,src_ref,0))</f>
        <v>#N/A</v>
      </c>
      <c r="M175" s="8">
        <f>loaded!AE175</f>
        <v>0</v>
      </c>
      <c r="N175" s="8">
        <f>loaded!AG175</f>
        <v>0</v>
      </c>
      <c r="O175" t="e">
        <f>INDEX(reces_codes,MATCH(loaded!AI175,reason,0))</f>
        <v>#N/A</v>
      </c>
      <c r="P175" t="e">
        <f>INDEX(TDS_codes,MATCH(loaded!AK175,TDS,0))</f>
        <v>#N/A</v>
      </c>
      <c r="Q175" t="e">
        <f>IF(K175=2,"",INDEX(method_codes,MATCH(loaded!AM175,method,0)))</f>
        <v>#N/A</v>
      </c>
      <c r="R175" t="e">
        <f>IF(K175=2,"",INDEX(inj_codes,MATCH(loaded!AO175,inj,0)))</f>
        <v>#N/A</v>
      </c>
      <c r="S175" t="e">
        <f>IF(K175=2,"",INDEX(drug_codes,MATCH(loaded!AQ175,drug,0)))</f>
        <v>#N/A</v>
      </c>
      <c r="T175" t="e">
        <f>IF(K175=2,"",_xlfn.IFNA(INDEX(drug_codes,MATCH(loaded!AS175,drug,0)),""))</f>
        <v>#N/A</v>
      </c>
      <c r="U175" t="e">
        <f>IF(K175=2,"",_xlfn.IFNA(INDEX(drug_codes,MATCH(loaded!AU175,drug,0)),""))</f>
        <v>#N/A</v>
      </c>
      <c r="V175" t="e">
        <f>IF(K175=2,"",_xlfn.IFNA(INDEX(drug_codes,MATCH(loaded!AW175,drug,0)),""))</f>
        <v>#N/A</v>
      </c>
      <c r="W175" t="e">
        <f>IF(K175=2,"",_xlfn.IFNA(INDEX(drug_codes,MATCH(loaded!AY175,drug,0)),""))</f>
        <v>#N/A</v>
      </c>
      <c r="X175" t="e">
        <f>IF(K175=2,"",_xlfn.IFNA(INDEX(drug_codes,MATCH(loaded!BA175,drug,0)),""))</f>
        <v>#N/A</v>
      </c>
      <c r="Y175" t="e">
        <f>INDEX(MTT_codes,MATCH(loaded!BC175,MTT,0))</f>
        <v>#N/A</v>
      </c>
      <c r="Z175" t="str">
        <f>_xlfn.IFNA(INDEX(MTT_codes,MATCH(loaded!BE175,MTT,0)),"")</f>
        <v/>
      </c>
      <c r="AA175" t="str">
        <f>_xlfn.IFNA(INDEX(MTT_codes,MATCH(loaded!BG175,MTT,0)),"")</f>
        <v/>
      </c>
      <c r="AB175" t="str">
        <f>_xlfn.IFNA(INDEX(MTT_codes,MATCH(loaded!BI175,MTT,0)),"")</f>
        <v/>
      </c>
      <c r="AC175" t="str">
        <f>_xlfn.IFNA(INDEX(MTT_codes,MATCH(loaded!BK175,MTT,0)),"")</f>
        <v/>
      </c>
      <c r="AD175" t="str">
        <f>_xlfn.IFNA(INDEX(MTT_codes,MATCH(loaded!BM175,MTT,0)),"")</f>
        <v/>
      </c>
      <c r="AE175" t="e">
        <f>INDEX(liv_ar_codes,MATCH(loaded!BO175,liv_ar,0))</f>
        <v>#N/A</v>
      </c>
      <c r="AF175" t="str">
        <f>_xlfn.IFNA(INDEX(MTT_codes,MATCH(loaded!BQ175,MTT,0)),"")</f>
        <v/>
      </c>
      <c r="AG175">
        <f>_xlfn.IFNA(INDEX(mental_codes,MATCH(loaded!BS175,mental,0)),9)</f>
        <v>9</v>
      </c>
    </row>
    <row r="176" spans="1:33" x14ac:dyDescent="0.25">
      <c r="A176">
        <f>loaded!C176</f>
        <v>0</v>
      </c>
      <c r="B176">
        <f>loaded!I176</f>
        <v>0</v>
      </c>
      <c r="C176">
        <f>IF(loaded!K176="Male",1,IF(loaded!K176="Female",2,9))</f>
        <v>9</v>
      </c>
      <c r="D176" s="8">
        <f>loaded!M176</f>
        <v>0</v>
      </c>
      <c r="E176" t="str">
        <f>LEFT(loaded!O176,3)</f>
        <v/>
      </c>
      <c r="F176" t="e">
        <f>INDEX(cntry_codes,MATCH(loaded!Q176,countries,0))</f>
        <v>#N/A</v>
      </c>
      <c r="G176" t="e">
        <f>INDEX(atsi_codes,MATCH(loaded!S176,atsi,0))</f>
        <v>#N/A</v>
      </c>
      <c r="H176" t="e">
        <f>INDEX(lang_codes,MATCH(loaded!U176,lang,0))</f>
        <v>#N/A</v>
      </c>
      <c r="I176" s="8">
        <f>loaded!W176</f>
        <v>0</v>
      </c>
      <c r="J176" t="e">
        <f>INDEX(us_acc_codes,MATCH(loaded!Y176,us_acc,0))</f>
        <v>#N/A</v>
      </c>
      <c r="K176" t="e">
        <f>INDEX(client_codes,MATCH(loaded!AA176,client,0))</f>
        <v>#N/A</v>
      </c>
      <c r="L176" t="e">
        <f>INDEX(src_ref_codes,MATCH(loaded!AC176,src_ref,0))</f>
        <v>#N/A</v>
      </c>
      <c r="M176" s="8">
        <f>loaded!AE176</f>
        <v>0</v>
      </c>
      <c r="N176" s="8">
        <f>loaded!AG176</f>
        <v>0</v>
      </c>
      <c r="O176" t="e">
        <f>INDEX(reces_codes,MATCH(loaded!AI176,reason,0))</f>
        <v>#N/A</v>
      </c>
      <c r="P176" t="e">
        <f>INDEX(TDS_codes,MATCH(loaded!AK176,TDS,0))</f>
        <v>#N/A</v>
      </c>
      <c r="Q176" t="e">
        <f>IF(K176=2,"",INDEX(method_codes,MATCH(loaded!AM176,method,0)))</f>
        <v>#N/A</v>
      </c>
      <c r="R176" t="e">
        <f>IF(K176=2,"",INDEX(inj_codes,MATCH(loaded!AO176,inj,0)))</f>
        <v>#N/A</v>
      </c>
      <c r="S176" t="e">
        <f>IF(K176=2,"",INDEX(drug_codes,MATCH(loaded!AQ176,drug,0)))</f>
        <v>#N/A</v>
      </c>
      <c r="T176" t="e">
        <f>IF(K176=2,"",_xlfn.IFNA(INDEX(drug_codes,MATCH(loaded!AS176,drug,0)),""))</f>
        <v>#N/A</v>
      </c>
      <c r="U176" t="e">
        <f>IF(K176=2,"",_xlfn.IFNA(INDEX(drug_codes,MATCH(loaded!AU176,drug,0)),""))</f>
        <v>#N/A</v>
      </c>
      <c r="V176" t="e">
        <f>IF(K176=2,"",_xlfn.IFNA(INDEX(drug_codes,MATCH(loaded!AW176,drug,0)),""))</f>
        <v>#N/A</v>
      </c>
      <c r="W176" t="e">
        <f>IF(K176=2,"",_xlfn.IFNA(INDEX(drug_codes,MATCH(loaded!AY176,drug,0)),""))</f>
        <v>#N/A</v>
      </c>
      <c r="X176" t="e">
        <f>IF(K176=2,"",_xlfn.IFNA(INDEX(drug_codes,MATCH(loaded!BA176,drug,0)),""))</f>
        <v>#N/A</v>
      </c>
      <c r="Y176" t="e">
        <f>INDEX(MTT_codes,MATCH(loaded!BC176,MTT,0))</f>
        <v>#N/A</v>
      </c>
      <c r="Z176" t="str">
        <f>_xlfn.IFNA(INDEX(MTT_codes,MATCH(loaded!BE176,MTT,0)),"")</f>
        <v/>
      </c>
      <c r="AA176" t="str">
        <f>_xlfn.IFNA(INDEX(MTT_codes,MATCH(loaded!BG176,MTT,0)),"")</f>
        <v/>
      </c>
      <c r="AB176" t="str">
        <f>_xlfn.IFNA(INDEX(MTT_codes,MATCH(loaded!BI176,MTT,0)),"")</f>
        <v/>
      </c>
      <c r="AC176" t="str">
        <f>_xlfn.IFNA(INDEX(MTT_codes,MATCH(loaded!BK176,MTT,0)),"")</f>
        <v/>
      </c>
      <c r="AD176" t="str">
        <f>_xlfn.IFNA(INDEX(MTT_codes,MATCH(loaded!BM176,MTT,0)),"")</f>
        <v/>
      </c>
      <c r="AE176" t="e">
        <f>INDEX(liv_ar_codes,MATCH(loaded!BO176,liv_ar,0))</f>
        <v>#N/A</v>
      </c>
      <c r="AF176" t="str">
        <f>_xlfn.IFNA(INDEX(MTT_codes,MATCH(loaded!BQ176,MTT,0)),"")</f>
        <v/>
      </c>
      <c r="AG176">
        <f>_xlfn.IFNA(INDEX(mental_codes,MATCH(loaded!BS176,mental,0)),9)</f>
        <v>9</v>
      </c>
    </row>
    <row r="177" spans="1:33" x14ac:dyDescent="0.25">
      <c r="A177">
        <f>loaded!C177</f>
        <v>0</v>
      </c>
      <c r="B177">
        <f>loaded!I177</f>
        <v>0</v>
      </c>
      <c r="C177">
        <f>IF(loaded!K177="Male",1,IF(loaded!K177="Female",2,9))</f>
        <v>9</v>
      </c>
      <c r="D177" s="8">
        <f>loaded!M177</f>
        <v>0</v>
      </c>
      <c r="E177" t="str">
        <f>LEFT(loaded!O177,3)</f>
        <v/>
      </c>
      <c r="F177" t="e">
        <f>INDEX(cntry_codes,MATCH(loaded!Q177,countries,0))</f>
        <v>#N/A</v>
      </c>
      <c r="G177" t="e">
        <f>INDEX(atsi_codes,MATCH(loaded!S177,atsi,0))</f>
        <v>#N/A</v>
      </c>
      <c r="H177" t="e">
        <f>INDEX(lang_codes,MATCH(loaded!U177,lang,0))</f>
        <v>#N/A</v>
      </c>
      <c r="I177" s="8">
        <f>loaded!W177</f>
        <v>0</v>
      </c>
      <c r="J177" t="e">
        <f>INDEX(us_acc_codes,MATCH(loaded!Y177,us_acc,0))</f>
        <v>#N/A</v>
      </c>
      <c r="K177" t="e">
        <f>INDEX(client_codes,MATCH(loaded!AA177,client,0))</f>
        <v>#N/A</v>
      </c>
      <c r="L177" t="e">
        <f>INDEX(src_ref_codes,MATCH(loaded!AC177,src_ref,0))</f>
        <v>#N/A</v>
      </c>
      <c r="M177" s="8">
        <f>loaded!AE177</f>
        <v>0</v>
      </c>
      <c r="N177" s="8">
        <f>loaded!AG177</f>
        <v>0</v>
      </c>
      <c r="O177" t="e">
        <f>INDEX(reces_codes,MATCH(loaded!AI177,reason,0))</f>
        <v>#N/A</v>
      </c>
      <c r="P177" t="e">
        <f>INDEX(TDS_codes,MATCH(loaded!AK177,TDS,0))</f>
        <v>#N/A</v>
      </c>
      <c r="Q177" t="e">
        <f>IF(K177=2,"",INDEX(method_codes,MATCH(loaded!AM177,method,0)))</f>
        <v>#N/A</v>
      </c>
      <c r="R177" t="e">
        <f>IF(K177=2,"",INDEX(inj_codes,MATCH(loaded!AO177,inj,0)))</f>
        <v>#N/A</v>
      </c>
      <c r="S177" t="e">
        <f>IF(K177=2,"",INDEX(drug_codes,MATCH(loaded!AQ177,drug,0)))</f>
        <v>#N/A</v>
      </c>
      <c r="T177" t="e">
        <f>IF(K177=2,"",_xlfn.IFNA(INDEX(drug_codes,MATCH(loaded!AS177,drug,0)),""))</f>
        <v>#N/A</v>
      </c>
      <c r="U177" t="e">
        <f>IF(K177=2,"",_xlfn.IFNA(INDEX(drug_codes,MATCH(loaded!AU177,drug,0)),""))</f>
        <v>#N/A</v>
      </c>
      <c r="V177" t="e">
        <f>IF(K177=2,"",_xlfn.IFNA(INDEX(drug_codes,MATCH(loaded!AW177,drug,0)),""))</f>
        <v>#N/A</v>
      </c>
      <c r="W177" t="e">
        <f>IF(K177=2,"",_xlfn.IFNA(INDEX(drug_codes,MATCH(loaded!AY177,drug,0)),""))</f>
        <v>#N/A</v>
      </c>
      <c r="X177" t="e">
        <f>IF(K177=2,"",_xlfn.IFNA(INDEX(drug_codes,MATCH(loaded!BA177,drug,0)),""))</f>
        <v>#N/A</v>
      </c>
      <c r="Y177" t="e">
        <f>INDEX(MTT_codes,MATCH(loaded!BC177,MTT,0))</f>
        <v>#N/A</v>
      </c>
      <c r="Z177" t="str">
        <f>_xlfn.IFNA(INDEX(MTT_codes,MATCH(loaded!BE177,MTT,0)),"")</f>
        <v/>
      </c>
      <c r="AA177" t="str">
        <f>_xlfn.IFNA(INDEX(MTT_codes,MATCH(loaded!BG177,MTT,0)),"")</f>
        <v/>
      </c>
      <c r="AB177" t="str">
        <f>_xlfn.IFNA(INDEX(MTT_codes,MATCH(loaded!BI177,MTT,0)),"")</f>
        <v/>
      </c>
      <c r="AC177" t="str">
        <f>_xlfn.IFNA(INDEX(MTT_codes,MATCH(loaded!BK177,MTT,0)),"")</f>
        <v/>
      </c>
      <c r="AD177" t="str">
        <f>_xlfn.IFNA(INDEX(MTT_codes,MATCH(loaded!BM177,MTT,0)),"")</f>
        <v/>
      </c>
      <c r="AE177" t="e">
        <f>INDEX(liv_ar_codes,MATCH(loaded!BO177,liv_ar,0))</f>
        <v>#N/A</v>
      </c>
      <c r="AF177" t="str">
        <f>_xlfn.IFNA(INDEX(MTT_codes,MATCH(loaded!BQ177,MTT,0)),"")</f>
        <v/>
      </c>
      <c r="AG177">
        <f>_xlfn.IFNA(INDEX(mental_codes,MATCH(loaded!BS177,mental,0)),9)</f>
        <v>9</v>
      </c>
    </row>
    <row r="178" spans="1:33" x14ac:dyDescent="0.25">
      <c r="A178">
        <f>loaded!C178</f>
        <v>0</v>
      </c>
      <c r="B178">
        <f>loaded!I178</f>
        <v>0</v>
      </c>
      <c r="C178">
        <f>IF(loaded!K178="Male",1,IF(loaded!K178="Female",2,9))</f>
        <v>9</v>
      </c>
      <c r="D178" s="8">
        <f>loaded!M178</f>
        <v>0</v>
      </c>
      <c r="E178" t="str">
        <f>LEFT(loaded!O178,3)</f>
        <v/>
      </c>
      <c r="F178" t="e">
        <f>INDEX(cntry_codes,MATCH(loaded!Q178,countries,0))</f>
        <v>#N/A</v>
      </c>
      <c r="G178" t="e">
        <f>INDEX(atsi_codes,MATCH(loaded!S178,atsi,0))</f>
        <v>#N/A</v>
      </c>
      <c r="H178" t="e">
        <f>INDEX(lang_codes,MATCH(loaded!U178,lang,0))</f>
        <v>#N/A</v>
      </c>
      <c r="I178" s="8">
        <f>loaded!W178</f>
        <v>0</v>
      </c>
      <c r="J178" t="e">
        <f>INDEX(us_acc_codes,MATCH(loaded!Y178,us_acc,0))</f>
        <v>#N/A</v>
      </c>
      <c r="K178" t="e">
        <f>INDEX(client_codes,MATCH(loaded!AA178,client,0))</f>
        <v>#N/A</v>
      </c>
      <c r="L178" t="e">
        <f>INDEX(src_ref_codes,MATCH(loaded!AC178,src_ref,0))</f>
        <v>#N/A</v>
      </c>
      <c r="M178" s="8">
        <f>loaded!AE178</f>
        <v>0</v>
      </c>
      <c r="N178" s="8">
        <f>loaded!AG178</f>
        <v>0</v>
      </c>
      <c r="O178" t="e">
        <f>INDEX(reces_codes,MATCH(loaded!AI178,reason,0))</f>
        <v>#N/A</v>
      </c>
      <c r="P178" t="e">
        <f>INDEX(TDS_codes,MATCH(loaded!AK178,TDS,0))</f>
        <v>#N/A</v>
      </c>
      <c r="Q178" t="e">
        <f>IF(K178=2,"",INDEX(method_codes,MATCH(loaded!AM178,method,0)))</f>
        <v>#N/A</v>
      </c>
      <c r="R178" t="e">
        <f>IF(K178=2,"",INDEX(inj_codes,MATCH(loaded!AO178,inj,0)))</f>
        <v>#N/A</v>
      </c>
      <c r="S178" t="e">
        <f>IF(K178=2,"",INDEX(drug_codes,MATCH(loaded!AQ178,drug,0)))</f>
        <v>#N/A</v>
      </c>
      <c r="T178" t="e">
        <f>IF(K178=2,"",_xlfn.IFNA(INDEX(drug_codes,MATCH(loaded!AS178,drug,0)),""))</f>
        <v>#N/A</v>
      </c>
      <c r="U178" t="e">
        <f>IF(K178=2,"",_xlfn.IFNA(INDEX(drug_codes,MATCH(loaded!AU178,drug,0)),""))</f>
        <v>#N/A</v>
      </c>
      <c r="V178" t="e">
        <f>IF(K178=2,"",_xlfn.IFNA(INDEX(drug_codes,MATCH(loaded!AW178,drug,0)),""))</f>
        <v>#N/A</v>
      </c>
      <c r="W178" t="e">
        <f>IF(K178=2,"",_xlfn.IFNA(INDEX(drug_codes,MATCH(loaded!AY178,drug,0)),""))</f>
        <v>#N/A</v>
      </c>
      <c r="X178" t="e">
        <f>IF(K178=2,"",_xlfn.IFNA(INDEX(drug_codes,MATCH(loaded!BA178,drug,0)),""))</f>
        <v>#N/A</v>
      </c>
      <c r="Y178" t="e">
        <f>INDEX(MTT_codes,MATCH(loaded!BC178,MTT,0))</f>
        <v>#N/A</v>
      </c>
      <c r="Z178" t="str">
        <f>_xlfn.IFNA(INDEX(MTT_codes,MATCH(loaded!BE178,MTT,0)),"")</f>
        <v/>
      </c>
      <c r="AA178" t="str">
        <f>_xlfn.IFNA(INDEX(MTT_codes,MATCH(loaded!BG178,MTT,0)),"")</f>
        <v/>
      </c>
      <c r="AB178" t="str">
        <f>_xlfn.IFNA(INDEX(MTT_codes,MATCH(loaded!BI178,MTT,0)),"")</f>
        <v/>
      </c>
      <c r="AC178" t="str">
        <f>_xlfn.IFNA(INDEX(MTT_codes,MATCH(loaded!BK178,MTT,0)),"")</f>
        <v/>
      </c>
      <c r="AD178" t="str">
        <f>_xlfn.IFNA(INDEX(MTT_codes,MATCH(loaded!BM178,MTT,0)),"")</f>
        <v/>
      </c>
      <c r="AE178" t="e">
        <f>INDEX(liv_ar_codes,MATCH(loaded!BO178,liv_ar,0))</f>
        <v>#N/A</v>
      </c>
      <c r="AF178" t="str">
        <f>_xlfn.IFNA(INDEX(MTT_codes,MATCH(loaded!BQ178,MTT,0)),"")</f>
        <v/>
      </c>
      <c r="AG178">
        <f>_xlfn.IFNA(INDEX(mental_codes,MATCH(loaded!BS178,mental,0)),9)</f>
        <v>9</v>
      </c>
    </row>
    <row r="179" spans="1:33" x14ac:dyDescent="0.25">
      <c r="A179">
        <f>loaded!C179</f>
        <v>0</v>
      </c>
      <c r="B179">
        <f>loaded!I179</f>
        <v>0</v>
      </c>
      <c r="C179">
        <f>IF(loaded!K179="Male",1,IF(loaded!K179="Female",2,9))</f>
        <v>9</v>
      </c>
      <c r="D179" s="8">
        <f>loaded!M179</f>
        <v>0</v>
      </c>
      <c r="E179" t="str">
        <f>LEFT(loaded!O179,3)</f>
        <v/>
      </c>
      <c r="F179" t="e">
        <f>INDEX(cntry_codes,MATCH(loaded!Q179,countries,0))</f>
        <v>#N/A</v>
      </c>
      <c r="G179" t="e">
        <f>INDEX(atsi_codes,MATCH(loaded!S179,atsi,0))</f>
        <v>#N/A</v>
      </c>
      <c r="H179" t="e">
        <f>INDEX(lang_codes,MATCH(loaded!U179,lang,0))</f>
        <v>#N/A</v>
      </c>
      <c r="I179" s="8">
        <f>loaded!W179</f>
        <v>0</v>
      </c>
      <c r="J179" t="e">
        <f>INDEX(us_acc_codes,MATCH(loaded!Y179,us_acc,0))</f>
        <v>#N/A</v>
      </c>
      <c r="K179" t="e">
        <f>INDEX(client_codes,MATCH(loaded!AA179,client,0))</f>
        <v>#N/A</v>
      </c>
      <c r="L179" t="e">
        <f>INDEX(src_ref_codes,MATCH(loaded!AC179,src_ref,0))</f>
        <v>#N/A</v>
      </c>
      <c r="M179" s="8">
        <f>loaded!AE179</f>
        <v>0</v>
      </c>
      <c r="N179" s="8">
        <f>loaded!AG179</f>
        <v>0</v>
      </c>
      <c r="O179" t="e">
        <f>INDEX(reces_codes,MATCH(loaded!AI179,reason,0))</f>
        <v>#N/A</v>
      </c>
      <c r="P179" t="e">
        <f>INDEX(TDS_codes,MATCH(loaded!AK179,TDS,0))</f>
        <v>#N/A</v>
      </c>
      <c r="Q179" t="e">
        <f>IF(K179=2,"",INDEX(method_codes,MATCH(loaded!AM179,method,0)))</f>
        <v>#N/A</v>
      </c>
      <c r="R179" t="e">
        <f>IF(K179=2,"",INDEX(inj_codes,MATCH(loaded!AO179,inj,0)))</f>
        <v>#N/A</v>
      </c>
      <c r="S179" t="e">
        <f>IF(K179=2,"",INDEX(drug_codes,MATCH(loaded!AQ179,drug,0)))</f>
        <v>#N/A</v>
      </c>
      <c r="T179" t="e">
        <f>IF(K179=2,"",_xlfn.IFNA(INDEX(drug_codes,MATCH(loaded!AS179,drug,0)),""))</f>
        <v>#N/A</v>
      </c>
      <c r="U179" t="e">
        <f>IF(K179=2,"",_xlfn.IFNA(INDEX(drug_codes,MATCH(loaded!AU179,drug,0)),""))</f>
        <v>#N/A</v>
      </c>
      <c r="V179" t="e">
        <f>IF(K179=2,"",_xlfn.IFNA(INDEX(drug_codes,MATCH(loaded!AW179,drug,0)),""))</f>
        <v>#N/A</v>
      </c>
      <c r="W179" t="e">
        <f>IF(K179=2,"",_xlfn.IFNA(INDEX(drug_codes,MATCH(loaded!AY179,drug,0)),""))</f>
        <v>#N/A</v>
      </c>
      <c r="X179" t="e">
        <f>IF(K179=2,"",_xlfn.IFNA(INDEX(drug_codes,MATCH(loaded!BA179,drug,0)),""))</f>
        <v>#N/A</v>
      </c>
      <c r="Y179" t="e">
        <f>INDEX(MTT_codes,MATCH(loaded!BC179,MTT,0))</f>
        <v>#N/A</v>
      </c>
      <c r="Z179" t="str">
        <f>_xlfn.IFNA(INDEX(MTT_codes,MATCH(loaded!BE179,MTT,0)),"")</f>
        <v/>
      </c>
      <c r="AA179" t="str">
        <f>_xlfn.IFNA(INDEX(MTT_codes,MATCH(loaded!BG179,MTT,0)),"")</f>
        <v/>
      </c>
      <c r="AB179" t="str">
        <f>_xlfn.IFNA(INDEX(MTT_codes,MATCH(loaded!BI179,MTT,0)),"")</f>
        <v/>
      </c>
      <c r="AC179" t="str">
        <f>_xlfn.IFNA(INDEX(MTT_codes,MATCH(loaded!BK179,MTT,0)),"")</f>
        <v/>
      </c>
      <c r="AD179" t="str">
        <f>_xlfn.IFNA(INDEX(MTT_codes,MATCH(loaded!BM179,MTT,0)),"")</f>
        <v/>
      </c>
      <c r="AE179" t="e">
        <f>INDEX(liv_ar_codes,MATCH(loaded!BO179,liv_ar,0))</f>
        <v>#N/A</v>
      </c>
      <c r="AF179" t="str">
        <f>_xlfn.IFNA(INDEX(MTT_codes,MATCH(loaded!BQ179,MTT,0)),"")</f>
        <v/>
      </c>
      <c r="AG179">
        <f>_xlfn.IFNA(INDEX(mental_codes,MATCH(loaded!BS179,mental,0)),9)</f>
        <v>9</v>
      </c>
    </row>
    <row r="180" spans="1:33" x14ac:dyDescent="0.25">
      <c r="A180">
        <f>loaded!C180</f>
        <v>0</v>
      </c>
      <c r="B180">
        <f>loaded!I180</f>
        <v>0</v>
      </c>
      <c r="C180">
        <f>IF(loaded!K180="Male",1,IF(loaded!K180="Female",2,9))</f>
        <v>9</v>
      </c>
      <c r="D180" s="8">
        <f>loaded!M180</f>
        <v>0</v>
      </c>
      <c r="E180" t="str">
        <f>LEFT(loaded!O180,3)</f>
        <v/>
      </c>
      <c r="F180" t="e">
        <f>INDEX(cntry_codes,MATCH(loaded!Q180,countries,0))</f>
        <v>#N/A</v>
      </c>
      <c r="G180" t="e">
        <f>INDEX(atsi_codes,MATCH(loaded!S180,atsi,0))</f>
        <v>#N/A</v>
      </c>
      <c r="H180" t="e">
        <f>INDEX(lang_codes,MATCH(loaded!U180,lang,0))</f>
        <v>#N/A</v>
      </c>
      <c r="I180" s="8">
        <f>loaded!W180</f>
        <v>0</v>
      </c>
      <c r="J180" t="e">
        <f>INDEX(us_acc_codes,MATCH(loaded!Y180,us_acc,0))</f>
        <v>#N/A</v>
      </c>
      <c r="K180" t="e">
        <f>INDEX(client_codes,MATCH(loaded!AA180,client,0))</f>
        <v>#N/A</v>
      </c>
      <c r="L180" t="e">
        <f>INDEX(src_ref_codes,MATCH(loaded!AC180,src_ref,0))</f>
        <v>#N/A</v>
      </c>
      <c r="M180" s="8">
        <f>loaded!AE180</f>
        <v>0</v>
      </c>
      <c r="N180" s="8">
        <f>loaded!AG180</f>
        <v>0</v>
      </c>
      <c r="O180" t="e">
        <f>INDEX(reces_codes,MATCH(loaded!AI180,reason,0))</f>
        <v>#N/A</v>
      </c>
      <c r="P180" t="e">
        <f>INDEX(TDS_codes,MATCH(loaded!AK180,TDS,0))</f>
        <v>#N/A</v>
      </c>
      <c r="Q180" t="e">
        <f>IF(K180=2,"",INDEX(method_codes,MATCH(loaded!AM180,method,0)))</f>
        <v>#N/A</v>
      </c>
      <c r="R180" t="e">
        <f>IF(K180=2,"",INDEX(inj_codes,MATCH(loaded!AO180,inj,0)))</f>
        <v>#N/A</v>
      </c>
      <c r="S180" t="e">
        <f>IF(K180=2,"",INDEX(drug_codes,MATCH(loaded!AQ180,drug,0)))</f>
        <v>#N/A</v>
      </c>
      <c r="T180" t="e">
        <f>IF(K180=2,"",_xlfn.IFNA(INDEX(drug_codes,MATCH(loaded!AS180,drug,0)),""))</f>
        <v>#N/A</v>
      </c>
      <c r="U180" t="e">
        <f>IF(K180=2,"",_xlfn.IFNA(INDEX(drug_codes,MATCH(loaded!AU180,drug,0)),""))</f>
        <v>#N/A</v>
      </c>
      <c r="V180" t="e">
        <f>IF(K180=2,"",_xlfn.IFNA(INDEX(drug_codes,MATCH(loaded!AW180,drug,0)),""))</f>
        <v>#N/A</v>
      </c>
      <c r="W180" t="e">
        <f>IF(K180=2,"",_xlfn.IFNA(INDEX(drug_codes,MATCH(loaded!AY180,drug,0)),""))</f>
        <v>#N/A</v>
      </c>
      <c r="X180" t="e">
        <f>IF(K180=2,"",_xlfn.IFNA(INDEX(drug_codes,MATCH(loaded!BA180,drug,0)),""))</f>
        <v>#N/A</v>
      </c>
      <c r="Y180" t="e">
        <f>INDEX(MTT_codes,MATCH(loaded!BC180,MTT,0))</f>
        <v>#N/A</v>
      </c>
      <c r="Z180" t="str">
        <f>_xlfn.IFNA(INDEX(MTT_codes,MATCH(loaded!BE180,MTT,0)),"")</f>
        <v/>
      </c>
      <c r="AA180" t="str">
        <f>_xlfn.IFNA(INDEX(MTT_codes,MATCH(loaded!BG180,MTT,0)),"")</f>
        <v/>
      </c>
      <c r="AB180" t="str">
        <f>_xlfn.IFNA(INDEX(MTT_codes,MATCH(loaded!BI180,MTT,0)),"")</f>
        <v/>
      </c>
      <c r="AC180" t="str">
        <f>_xlfn.IFNA(INDEX(MTT_codes,MATCH(loaded!BK180,MTT,0)),"")</f>
        <v/>
      </c>
      <c r="AD180" t="str">
        <f>_xlfn.IFNA(INDEX(MTT_codes,MATCH(loaded!BM180,MTT,0)),"")</f>
        <v/>
      </c>
      <c r="AE180" t="e">
        <f>INDEX(liv_ar_codes,MATCH(loaded!BO180,liv_ar,0))</f>
        <v>#N/A</v>
      </c>
      <c r="AF180" t="str">
        <f>_xlfn.IFNA(INDEX(MTT_codes,MATCH(loaded!BQ180,MTT,0)),"")</f>
        <v/>
      </c>
      <c r="AG180">
        <f>_xlfn.IFNA(INDEX(mental_codes,MATCH(loaded!BS180,mental,0)),9)</f>
        <v>9</v>
      </c>
    </row>
    <row r="181" spans="1:33" x14ac:dyDescent="0.25">
      <c r="A181">
        <f>loaded!C181</f>
        <v>0</v>
      </c>
      <c r="B181">
        <f>loaded!I181</f>
        <v>0</v>
      </c>
      <c r="C181">
        <f>IF(loaded!K181="Male",1,IF(loaded!K181="Female",2,9))</f>
        <v>9</v>
      </c>
      <c r="D181" s="8">
        <f>loaded!M181</f>
        <v>0</v>
      </c>
      <c r="E181" t="str">
        <f>LEFT(loaded!O181,3)</f>
        <v/>
      </c>
      <c r="F181" t="e">
        <f>INDEX(cntry_codes,MATCH(loaded!Q181,countries,0))</f>
        <v>#N/A</v>
      </c>
      <c r="G181" t="e">
        <f>INDEX(atsi_codes,MATCH(loaded!S181,atsi,0))</f>
        <v>#N/A</v>
      </c>
      <c r="H181" t="e">
        <f>INDEX(lang_codes,MATCH(loaded!U181,lang,0))</f>
        <v>#N/A</v>
      </c>
      <c r="I181" s="8">
        <f>loaded!W181</f>
        <v>0</v>
      </c>
      <c r="J181" t="e">
        <f>INDEX(us_acc_codes,MATCH(loaded!Y181,us_acc,0))</f>
        <v>#N/A</v>
      </c>
      <c r="K181" t="e">
        <f>INDEX(client_codes,MATCH(loaded!AA181,client,0))</f>
        <v>#N/A</v>
      </c>
      <c r="L181" t="e">
        <f>INDEX(src_ref_codes,MATCH(loaded!AC181,src_ref,0))</f>
        <v>#N/A</v>
      </c>
      <c r="M181" s="8">
        <f>loaded!AE181</f>
        <v>0</v>
      </c>
      <c r="N181" s="8">
        <f>loaded!AG181</f>
        <v>0</v>
      </c>
      <c r="O181" t="e">
        <f>INDEX(reces_codes,MATCH(loaded!AI181,reason,0))</f>
        <v>#N/A</v>
      </c>
      <c r="P181" t="e">
        <f>INDEX(TDS_codes,MATCH(loaded!AK181,TDS,0))</f>
        <v>#N/A</v>
      </c>
      <c r="Q181" t="e">
        <f>IF(K181=2,"",INDEX(method_codes,MATCH(loaded!AM181,method,0)))</f>
        <v>#N/A</v>
      </c>
      <c r="R181" t="e">
        <f>IF(K181=2,"",INDEX(inj_codes,MATCH(loaded!AO181,inj,0)))</f>
        <v>#N/A</v>
      </c>
      <c r="S181" t="e">
        <f>IF(K181=2,"",INDEX(drug_codes,MATCH(loaded!AQ181,drug,0)))</f>
        <v>#N/A</v>
      </c>
      <c r="T181" t="e">
        <f>IF(K181=2,"",_xlfn.IFNA(INDEX(drug_codes,MATCH(loaded!AS181,drug,0)),""))</f>
        <v>#N/A</v>
      </c>
      <c r="U181" t="e">
        <f>IF(K181=2,"",_xlfn.IFNA(INDEX(drug_codes,MATCH(loaded!AU181,drug,0)),""))</f>
        <v>#N/A</v>
      </c>
      <c r="V181" t="e">
        <f>IF(K181=2,"",_xlfn.IFNA(INDEX(drug_codes,MATCH(loaded!AW181,drug,0)),""))</f>
        <v>#N/A</v>
      </c>
      <c r="W181" t="e">
        <f>IF(K181=2,"",_xlfn.IFNA(INDEX(drug_codes,MATCH(loaded!AY181,drug,0)),""))</f>
        <v>#N/A</v>
      </c>
      <c r="X181" t="e">
        <f>IF(K181=2,"",_xlfn.IFNA(INDEX(drug_codes,MATCH(loaded!BA181,drug,0)),""))</f>
        <v>#N/A</v>
      </c>
      <c r="Y181" t="e">
        <f>INDEX(MTT_codes,MATCH(loaded!BC181,MTT,0))</f>
        <v>#N/A</v>
      </c>
      <c r="Z181" t="str">
        <f>_xlfn.IFNA(INDEX(MTT_codes,MATCH(loaded!BE181,MTT,0)),"")</f>
        <v/>
      </c>
      <c r="AA181" t="str">
        <f>_xlfn.IFNA(INDEX(MTT_codes,MATCH(loaded!BG181,MTT,0)),"")</f>
        <v/>
      </c>
      <c r="AB181" t="str">
        <f>_xlfn.IFNA(INDEX(MTT_codes,MATCH(loaded!BI181,MTT,0)),"")</f>
        <v/>
      </c>
      <c r="AC181" t="str">
        <f>_xlfn.IFNA(INDEX(MTT_codes,MATCH(loaded!BK181,MTT,0)),"")</f>
        <v/>
      </c>
      <c r="AD181" t="str">
        <f>_xlfn.IFNA(INDEX(MTT_codes,MATCH(loaded!BM181,MTT,0)),"")</f>
        <v/>
      </c>
      <c r="AE181" t="e">
        <f>INDEX(liv_ar_codes,MATCH(loaded!BO181,liv_ar,0))</f>
        <v>#N/A</v>
      </c>
      <c r="AF181" t="str">
        <f>_xlfn.IFNA(INDEX(MTT_codes,MATCH(loaded!BQ181,MTT,0)),"")</f>
        <v/>
      </c>
      <c r="AG181">
        <f>_xlfn.IFNA(INDEX(mental_codes,MATCH(loaded!BS181,mental,0)),9)</f>
        <v>9</v>
      </c>
    </row>
    <row r="182" spans="1:33" x14ac:dyDescent="0.25">
      <c r="A182">
        <f>loaded!C182</f>
        <v>0</v>
      </c>
      <c r="B182">
        <f>loaded!I182</f>
        <v>0</v>
      </c>
      <c r="C182">
        <f>IF(loaded!K182="Male",1,IF(loaded!K182="Female",2,9))</f>
        <v>9</v>
      </c>
      <c r="D182" s="8">
        <f>loaded!M182</f>
        <v>0</v>
      </c>
      <c r="E182" t="str">
        <f>LEFT(loaded!O182,3)</f>
        <v/>
      </c>
      <c r="F182" t="e">
        <f>INDEX(cntry_codes,MATCH(loaded!Q182,countries,0))</f>
        <v>#N/A</v>
      </c>
      <c r="G182" t="e">
        <f>INDEX(atsi_codes,MATCH(loaded!S182,atsi,0))</f>
        <v>#N/A</v>
      </c>
      <c r="H182" t="e">
        <f>INDEX(lang_codes,MATCH(loaded!U182,lang,0))</f>
        <v>#N/A</v>
      </c>
      <c r="I182" s="8">
        <f>loaded!W182</f>
        <v>0</v>
      </c>
      <c r="J182" t="e">
        <f>INDEX(us_acc_codes,MATCH(loaded!Y182,us_acc,0))</f>
        <v>#N/A</v>
      </c>
      <c r="K182" t="e">
        <f>INDEX(client_codes,MATCH(loaded!AA182,client,0))</f>
        <v>#N/A</v>
      </c>
      <c r="L182" t="e">
        <f>INDEX(src_ref_codes,MATCH(loaded!AC182,src_ref,0))</f>
        <v>#N/A</v>
      </c>
      <c r="M182" s="8">
        <f>loaded!AE182</f>
        <v>0</v>
      </c>
      <c r="N182" s="8">
        <f>loaded!AG182</f>
        <v>0</v>
      </c>
      <c r="O182" t="e">
        <f>INDEX(reces_codes,MATCH(loaded!AI182,reason,0))</f>
        <v>#N/A</v>
      </c>
      <c r="P182" t="e">
        <f>INDEX(TDS_codes,MATCH(loaded!AK182,TDS,0))</f>
        <v>#N/A</v>
      </c>
      <c r="Q182" t="e">
        <f>IF(K182=2,"",INDEX(method_codes,MATCH(loaded!AM182,method,0)))</f>
        <v>#N/A</v>
      </c>
      <c r="R182" t="e">
        <f>IF(K182=2,"",INDEX(inj_codes,MATCH(loaded!AO182,inj,0)))</f>
        <v>#N/A</v>
      </c>
      <c r="S182" t="e">
        <f>IF(K182=2,"",INDEX(drug_codes,MATCH(loaded!AQ182,drug,0)))</f>
        <v>#N/A</v>
      </c>
      <c r="T182" t="e">
        <f>IF(K182=2,"",_xlfn.IFNA(INDEX(drug_codes,MATCH(loaded!AS182,drug,0)),""))</f>
        <v>#N/A</v>
      </c>
      <c r="U182" t="e">
        <f>IF(K182=2,"",_xlfn.IFNA(INDEX(drug_codes,MATCH(loaded!AU182,drug,0)),""))</f>
        <v>#N/A</v>
      </c>
      <c r="V182" t="e">
        <f>IF(K182=2,"",_xlfn.IFNA(INDEX(drug_codes,MATCH(loaded!AW182,drug,0)),""))</f>
        <v>#N/A</v>
      </c>
      <c r="W182" t="e">
        <f>IF(K182=2,"",_xlfn.IFNA(INDEX(drug_codes,MATCH(loaded!AY182,drug,0)),""))</f>
        <v>#N/A</v>
      </c>
      <c r="X182" t="e">
        <f>IF(K182=2,"",_xlfn.IFNA(INDEX(drug_codes,MATCH(loaded!BA182,drug,0)),""))</f>
        <v>#N/A</v>
      </c>
      <c r="Y182" t="e">
        <f>INDEX(MTT_codes,MATCH(loaded!BC182,MTT,0))</f>
        <v>#N/A</v>
      </c>
      <c r="Z182" t="str">
        <f>_xlfn.IFNA(INDEX(MTT_codes,MATCH(loaded!BE182,MTT,0)),"")</f>
        <v/>
      </c>
      <c r="AA182" t="str">
        <f>_xlfn.IFNA(INDEX(MTT_codes,MATCH(loaded!BG182,MTT,0)),"")</f>
        <v/>
      </c>
      <c r="AB182" t="str">
        <f>_xlfn.IFNA(INDEX(MTT_codes,MATCH(loaded!BI182,MTT,0)),"")</f>
        <v/>
      </c>
      <c r="AC182" t="str">
        <f>_xlfn.IFNA(INDEX(MTT_codes,MATCH(loaded!BK182,MTT,0)),"")</f>
        <v/>
      </c>
      <c r="AD182" t="str">
        <f>_xlfn.IFNA(INDEX(MTT_codes,MATCH(loaded!BM182,MTT,0)),"")</f>
        <v/>
      </c>
      <c r="AE182" t="e">
        <f>INDEX(liv_ar_codes,MATCH(loaded!BO182,liv_ar,0))</f>
        <v>#N/A</v>
      </c>
      <c r="AF182" t="str">
        <f>_xlfn.IFNA(INDEX(MTT_codes,MATCH(loaded!BQ182,MTT,0)),"")</f>
        <v/>
      </c>
      <c r="AG182">
        <f>_xlfn.IFNA(INDEX(mental_codes,MATCH(loaded!BS182,mental,0)),9)</f>
        <v>9</v>
      </c>
    </row>
    <row r="183" spans="1:33" x14ac:dyDescent="0.25">
      <c r="A183">
        <f>loaded!C183</f>
        <v>0</v>
      </c>
      <c r="B183">
        <f>loaded!I183</f>
        <v>0</v>
      </c>
      <c r="C183">
        <f>IF(loaded!K183="Male",1,IF(loaded!K183="Female",2,9))</f>
        <v>9</v>
      </c>
      <c r="D183" s="8">
        <f>loaded!M183</f>
        <v>0</v>
      </c>
      <c r="E183" t="str">
        <f>LEFT(loaded!O183,3)</f>
        <v/>
      </c>
      <c r="F183" t="e">
        <f>INDEX(cntry_codes,MATCH(loaded!Q183,countries,0))</f>
        <v>#N/A</v>
      </c>
      <c r="G183" t="e">
        <f>INDEX(atsi_codes,MATCH(loaded!S183,atsi,0))</f>
        <v>#N/A</v>
      </c>
      <c r="H183" t="e">
        <f>INDEX(lang_codes,MATCH(loaded!U183,lang,0))</f>
        <v>#N/A</v>
      </c>
      <c r="I183" s="8">
        <f>loaded!W183</f>
        <v>0</v>
      </c>
      <c r="J183" t="e">
        <f>INDEX(us_acc_codes,MATCH(loaded!Y183,us_acc,0))</f>
        <v>#N/A</v>
      </c>
      <c r="K183" t="e">
        <f>INDEX(client_codes,MATCH(loaded!AA183,client,0))</f>
        <v>#N/A</v>
      </c>
      <c r="L183" t="e">
        <f>INDEX(src_ref_codes,MATCH(loaded!AC183,src_ref,0))</f>
        <v>#N/A</v>
      </c>
      <c r="M183" s="8">
        <f>loaded!AE183</f>
        <v>0</v>
      </c>
      <c r="N183" s="8">
        <f>loaded!AG183</f>
        <v>0</v>
      </c>
      <c r="O183" t="e">
        <f>INDEX(reces_codes,MATCH(loaded!AI183,reason,0))</f>
        <v>#N/A</v>
      </c>
      <c r="P183" t="e">
        <f>INDEX(TDS_codes,MATCH(loaded!AK183,TDS,0))</f>
        <v>#N/A</v>
      </c>
      <c r="Q183" t="e">
        <f>IF(K183=2,"",INDEX(method_codes,MATCH(loaded!AM183,method,0)))</f>
        <v>#N/A</v>
      </c>
      <c r="R183" t="e">
        <f>IF(K183=2,"",INDEX(inj_codes,MATCH(loaded!AO183,inj,0)))</f>
        <v>#N/A</v>
      </c>
      <c r="S183" t="e">
        <f>IF(K183=2,"",INDEX(drug_codes,MATCH(loaded!AQ183,drug,0)))</f>
        <v>#N/A</v>
      </c>
      <c r="T183" t="e">
        <f>IF(K183=2,"",_xlfn.IFNA(INDEX(drug_codes,MATCH(loaded!AS183,drug,0)),""))</f>
        <v>#N/A</v>
      </c>
      <c r="U183" t="e">
        <f>IF(K183=2,"",_xlfn.IFNA(INDEX(drug_codes,MATCH(loaded!AU183,drug,0)),""))</f>
        <v>#N/A</v>
      </c>
      <c r="V183" t="e">
        <f>IF(K183=2,"",_xlfn.IFNA(INDEX(drug_codes,MATCH(loaded!AW183,drug,0)),""))</f>
        <v>#N/A</v>
      </c>
      <c r="W183" t="e">
        <f>IF(K183=2,"",_xlfn.IFNA(INDEX(drug_codes,MATCH(loaded!AY183,drug,0)),""))</f>
        <v>#N/A</v>
      </c>
      <c r="X183" t="e">
        <f>IF(K183=2,"",_xlfn.IFNA(INDEX(drug_codes,MATCH(loaded!BA183,drug,0)),""))</f>
        <v>#N/A</v>
      </c>
      <c r="Y183" t="e">
        <f>INDEX(MTT_codes,MATCH(loaded!BC183,MTT,0))</f>
        <v>#N/A</v>
      </c>
      <c r="Z183" t="str">
        <f>_xlfn.IFNA(INDEX(MTT_codes,MATCH(loaded!BE183,MTT,0)),"")</f>
        <v/>
      </c>
      <c r="AA183" t="str">
        <f>_xlfn.IFNA(INDEX(MTT_codes,MATCH(loaded!BG183,MTT,0)),"")</f>
        <v/>
      </c>
      <c r="AB183" t="str">
        <f>_xlfn.IFNA(INDEX(MTT_codes,MATCH(loaded!BI183,MTT,0)),"")</f>
        <v/>
      </c>
      <c r="AC183" t="str">
        <f>_xlfn.IFNA(INDEX(MTT_codes,MATCH(loaded!BK183,MTT,0)),"")</f>
        <v/>
      </c>
      <c r="AD183" t="str">
        <f>_xlfn.IFNA(INDEX(MTT_codes,MATCH(loaded!BM183,MTT,0)),"")</f>
        <v/>
      </c>
      <c r="AE183" t="e">
        <f>INDEX(liv_ar_codes,MATCH(loaded!BO183,liv_ar,0))</f>
        <v>#N/A</v>
      </c>
      <c r="AF183" t="str">
        <f>_xlfn.IFNA(INDEX(MTT_codes,MATCH(loaded!BQ183,MTT,0)),"")</f>
        <v/>
      </c>
      <c r="AG183">
        <f>_xlfn.IFNA(INDEX(mental_codes,MATCH(loaded!BS183,mental,0)),9)</f>
        <v>9</v>
      </c>
    </row>
    <row r="184" spans="1:33" x14ac:dyDescent="0.25">
      <c r="A184">
        <f>loaded!C184</f>
        <v>0</v>
      </c>
      <c r="B184">
        <f>loaded!I184</f>
        <v>0</v>
      </c>
      <c r="C184">
        <f>IF(loaded!K184="Male",1,IF(loaded!K184="Female",2,9))</f>
        <v>9</v>
      </c>
      <c r="D184" s="8">
        <f>loaded!M184</f>
        <v>0</v>
      </c>
      <c r="E184" t="str">
        <f>LEFT(loaded!O184,3)</f>
        <v/>
      </c>
      <c r="F184" t="e">
        <f>INDEX(cntry_codes,MATCH(loaded!Q184,countries,0))</f>
        <v>#N/A</v>
      </c>
      <c r="G184" t="e">
        <f>INDEX(atsi_codes,MATCH(loaded!S184,atsi,0))</f>
        <v>#N/A</v>
      </c>
      <c r="H184" t="e">
        <f>INDEX(lang_codes,MATCH(loaded!U184,lang,0))</f>
        <v>#N/A</v>
      </c>
      <c r="I184" s="8">
        <f>loaded!W184</f>
        <v>0</v>
      </c>
      <c r="J184" t="e">
        <f>INDEX(us_acc_codes,MATCH(loaded!Y184,us_acc,0))</f>
        <v>#N/A</v>
      </c>
      <c r="K184" t="e">
        <f>INDEX(client_codes,MATCH(loaded!AA184,client,0))</f>
        <v>#N/A</v>
      </c>
      <c r="L184" t="e">
        <f>INDEX(src_ref_codes,MATCH(loaded!AC184,src_ref,0))</f>
        <v>#N/A</v>
      </c>
      <c r="M184" s="8">
        <f>loaded!AE184</f>
        <v>0</v>
      </c>
      <c r="N184" s="8">
        <f>loaded!AG184</f>
        <v>0</v>
      </c>
      <c r="O184" t="e">
        <f>INDEX(reces_codes,MATCH(loaded!AI184,reason,0))</f>
        <v>#N/A</v>
      </c>
      <c r="P184" t="e">
        <f>INDEX(TDS_codes,MATCH(loaded!AK184,TDS,0))</f>
        <v>#N/A</v>
      </c>
      <c r="Q184" t="e">
        <f>IF(K184=2,"",INDEX(method_codes,MATCH(loaded!AM184,method,0)))</f>
        <v>#N/A</v>
      </c>
      <c r="R184" t="e">
        <f>IF(K184=2,"",INDEX(inj_codes,MATCH(loaded!AO184,inj,0)))</f>
        <v>#N/A</v>
      </c>
      <c r="S184" t="e">
        <f>IF(K184=2,"",INDEX(drug_codes,MATCH(loaded!AQ184,drug,0)))</f>
        <v>#N/A</v>
      </c>
      <c r="T184" t="e">
        <f>IF(K184=2,"",_xlfn.IFNA(INDEX(drug_codes,MATCH(loaded!AS184,drug,0)),""))</f>
        <v>#N/A</v>
      </c>
      <c r="U184" t="e">
        <f>IF(K184=2,"",_xlfn.IFNA(INDEX(drug_codes,MATCH(loaded!AU184,drug,0)),""))</f>
        <v>#N/A</v>
      </c>
      <c r="V184" t="e">
        <f>IF(K184=2,"",_xlfn.IFNA(INDEX(drug_codes,MATCH(loaded!AW184,drug,0)),""))</f>
        <v>#N/A</v>
      </c>
      <c r="W184" t="e">
        <f>IF(K184=2,"",_xlfn.IFNA(INDEX(drug_codes,MATCH(loaded!AY184,drug,0)),""))</f>
        <v>#N/A</v>
      </c>
      <c r="X184" t="e">
        <f>IF(K184=2,"",_xlfn.IFNA(INDEX(drug_codes,MATCH(loaded!BA184,drug,0)),""))</f>
        <v>#N/A</v>
      </c>
      <c r="Y184" t="e">
        <f>INDEX(MTT_codes,MATCH(loaded!BC184,MTT,0))</f>
        <v>#N/A</v>
      </c>
      <c r="Z184" t="str">
        <f>_xlfn.IFNA(INDEX(MTT_codes,MATCH(loaded!BE184,MTT,0)),"")</f>
        <v/>
      </c>
      <c r="AA184" t="str">
        <f>_xlfn.IFNA(INDEX(MTT_codes,MATCH(loaded!BG184,MTT,0)),"")</f>
        <v/>
      </c>
      <c r="AB184" t="str">
        <f>_xlfn.IFNA(INDEX(MTT_codes,MATCH(loaded!BI184,MTT,0)),"")</f>
        <v/>
      </c>
      <c r="AC184" t="str">
        <f>_xlfn.IFNA(INDEX(MTT_codes,MATCH(loaded!BK184,MTT,0)),"")</f>
        <v/>
      </c>
      <c r="AD184" t="str">
        <f>_xlfn.IFNA(INDEX(MTT_codes,MATCH(loaded!BM184,MTT,0)),"")</f>
        <v/>
      </c>
      <c r="AE184" t="e">
        <f>INDEX(liv_ar_codes,MATCH(loaded!BO184,liv_ar,0))</f>
        <v>#N/A</v>
      </c>
      <c r="AF184" t="str">
        <f>_xlfn.IFNA(INDEX(MTT_codes,MATCH(loaded!BQ184,MTT,0)),"")</f>
        <v/>
      </c>
      <c r="AG184">
        <f>_xlfn.IFNA(INDEX(mental_codes,MATCH(loaded!BS184,mental,0)),9)</f>
        <v>9</v>
      </c>
    </row>
    <row r="185" spans="1:33" x14ac:dyDescent="0.25">
      <c r="A185">
        <f>loaded!C185</f>
        <v>0</v>
      </c>
      <c r="B185">
        <f>loaded!I185</f>
        <v>0</v>
      </c>
      <c r="C185">
        <f>IF(loaded!K185="Male",1,IF(loaded!K185="Female",2,9))</f>
        <v>9</v>
      </c>
      <c r="D185" s="8">
        <f>loaded!M185</f>
        <v>0</v>
      </c>
      <c r="E185" t="str">
        <f>LEFT(loaded!O185,3)</f>
        <v/>
      </c>
      <c r="F185" t="e">
        <f>INDEX(cntry_codes,MATCH(loaded!Q185,countries,0))</f>
        <v>#N/A</v>
      </c>
      <c r="G185" t="e">
        <f>INDEX(atsi_codes,MATCH(loaded!S185,atsi,0))</f>
        <v>#N/A</v>
      </c>
      <c r="H185" t="e">
        <f>INDEX(lang_codes,MATCH(loaded!U185,lang,0))</f>
        <v>#N/A</v>
      </c>
      <c r="I185" s="8">
        <f>loaded!W185</f>
        <v>0</v>
      </c>
      <c r="J185" t="e">
        <f>INDEX(us_acc_codes,MATCH(loaded!Y185,us_acc,0))</f>
        <v>#N/A</v>
      </c>
      <c r="K185" t="e">
        <f>INDEX(client_codes,MATCH(loaded!AA185,client,0))</f>
        <v>#N/A</v>
      </c>
      <c r="L185" t="e">
        <f>INDEX(src_ref_codes,MATCH(loaded!AC185,src_ref,0))</f>
        <v>#N/A</v>
      </c>
      <c r="M185" s="8">
        <f>loaded!AE185</f>
        <v>0</v>
      </c>
      <c r="N185" s="8">
        <f>loaded!AG185</f>
        <v>0</v>
      </c>
      <c r="O185" t="e">
        <f>INDEX(reces_codes,MATCH(loaded!AI185,reason,0))</f>
        <v>#N/A</v>
      </c>
      <c r="P185" t="e">
        <f>INDEX(TDS_codes,MATCH(loaded!AK185,TDS,0))</f>
        <v>#N/A</v>
      </c>
      <c r="Q185" t="e">
        <f>IF(K185=2,"",INDEX(method_codes,MATCH(loaded!AM185,method,0)))</f>
        <v>#N/A</v>
      </c>
      <c r="R185" t="e">
        <f>IF(K185=2,"",INDEX(inj_codes,MATCH(loaded!AO185,inj,0)))</f>
        <v>#N/A</v>
      </c>
      <c r="S185" t="e">
        <f>IF(K185=2,"",INDEX(drug_codes,MATCH(loaded!AQ185,drug,0)))</f>
        <v>#N/A</v>
      </c>
      <c r="T185" t="e">
        <f>IF(K185=2,"",_xlfn.IFNA(INDEX(drug_codes,MATCH(loaded!AS185,drug,0)),""))</f>
        <v>#N/A</v>
      </c>
      <c r="U185" t="e">
        <f>IF(K185=2,"",_xlfn.IFNA(INDEX(drug_codes,MATCH(loaded!AU185,drug,0)),""))</f>
        <v>#N/A</v>
      </c>
      <c r="V185" t="e">
        <f>IF(K185=2,"",_xlfn.IFNA(INDEX(drug_codes,MATCH(loaded!AW185,drug,0)),""))</f>
        <v>#N/A</v>
      </c>
      <c r="W185" t="e">
        <f>IF(K185=2,"",_xlfn.IFNA(INDEX(drug_codes,MATCH(loaded!AY185,drug,0)),""))</f>
        <v>#N/A</v>
      </c>
      <c r="X185" t="e">
        <f>IF(K185=2,"",_xlfn.IFNA(INDEX(drug_codes,MATCH(loaded!BA185,drug,0)),""))</f>
        <v>#N/A</v>
      </c>
      <c r="Y185" t="e">
        <f>INDEX(MTT_codes,MATCH(loaded!BC185,MTT,0))</f>
        <v>#N/A</v>
      </c>
      <c r="Z185" t="str">
        <f>_xlfn.IFNA(INDEX(MTT_codes,MATCH(loaded!BE185,MTT,0)),"")</f>
        <v/>
      </c>
      <c r="AA185" t="str">
        <f>_xlfn.IFNA(INDEX(MTT_codes,MATCH(loaded!BG185,MTT,0)),"")</f>
        <v/>
      </c>
      <c r="AB185" t="str">
        <f>_xlfn.IFNA(INDEX(MTT_codes,MATCH(loaded!BI185,MTT,0)),"")</f>
        <v/>
      </c>
      <c r="AC185" t="str">
        <f>_xlfn.IFNA(INDEX(MTT_codes,MATCH(loaded!BK185,MTT,0)),"")</f>
        <v/>
      </c>
      <c r="AD185" t="str">
        <f>_xlfn.IFNA(INDEX(MTT_codes,MATCH(loaded!BM185,MTT,0)),"")</f>
        <v/>
      </c>
      <c r="AE185" t="e">
        <f>INDEX(liv_ar_codes,MATCH(loaded!BO185,liv_ar,0))</f>
        <v>#N/A</v>
      </c>
      <c r="AF185" t="str">
        <f>_xlfn.IFNA(INDEX(MTT_codes,MATCH(loaded!BQ185,MTT,0)),"")</f>
        <v/>
      </c>
      <c r="AG185">
        <f>_xlfn.IFNA(INDEX(mental_codes,MATCH(loaded!BS185,mental,0)),9)</f>
        <v>9</v>
      </c>
    </row>
    <row r="186" spans="1:33" x14ac:dyDescent="0.25">
      <c r="A186">
        <f>loaded!C186</f>
        <v>0</v>
      </c>
      <c r="B186">
        <f>loaded!I186</f>
        <v>0</v>
      </c>
      <c r="C186">
        <f>IF(loaded!K186="Male",1,IF(loaded!K186="Female",2,9))</f>
        <v>9</v>
      </c>
      <c r="D186" s="8">
        <f>loaded!M186</f>
        <v>0</v>
      </c>
      <c r="E186" t="str">
        <f>LEFT(loaded!O186,3)</f>
        <v/>
      </c>
      <c r="F186" t="e">
        <f>INDEX(cntry_codes,MATCH(loaded!Q186,countries,0))</f>
        <v>#N/A</v>
      </c>
      <c r="G186" t="e">
        <f>INDEX(atsi_codes,MATCH(loaded!S186,atsi,0))</f>
        <v>#N/A</v>
      </c>
      <c r="H186" t="e">
        <f>INDEX(lang_codes,MATCH(loaded!U186,lang,0))</f>
        <v>#N/A</v>
      </c>
      <c r="I186" s="8">
        <f>loaded!W186</f>
        <v>0</v>
      </c>
      <c r="J186" t="e">
        <f>INDEX(us_acc_codes,MATCH(loaded!Y186,us_acc,0))</f>
        <v>#N/A</v>
      </c>
      <c r="K186" t="e">
        <f>INDEX(client_codes,MATCH(loaded!AA186,client,0))</f>
        <v>#N/A</v>
      </c>
      <c r="L186" t="e">
        <f>INDEX(src_ref_codes,MATCH(loaded!AC186,src_ref,0))</f>
        <v>#N/A</v>
      </c>
      <c r="M186" s="8">
        <f>loaded!AE186</f>
        <v>0</v>
      </c>
      <c r="N186" s="8">
        <f>loaded!AG186</f>
        <v>0</v>
      </c>
      <c r="O186" t="e">
        <f>INDEX(reces_codes,MATCH(loaded!AI186,reason,0))</f>
        <v>#N/A</v>
      </c>
      <c r="P186" t="e">
        <f>INDEX(TDS_codes,MATCH(loaded!AK186,TDS,0))</f>
        <v>#N/A</v>
      </c>
      <c r="Q186" t="e">
        <f>IF(K186=2,"",INDEX(method_codes,MATCH(loaded!AM186,method,0)))</f>
        <v>#N/A</v>
      </c>
      <c r="R186" t="e">
        <f>IF(K186=2,"",INDEX(inj_codes,MATCH(loaded!AO186,inj,0)))</f>
        <v>#N/A</v>
      </c>
      <c r="S186" t="e">
        <f>IF(K186=2,"",INDEX(drug_codes,MATCH(loaded!AQ186,drug,0)))</f>
        <v>#N/A</v>
      </c>
      <c r="T186" t="e">
        <f>IF(K186=2,"",_xlfn.IFNA(INDEX(drug_codes,MATCH(loaded!AS186,drug,0)),""))</f>
        <v>#N/A</v>
      </c>
      <c r="U186" t="e">
        <f>IF(K186=2,"",_xlfn.IFNA(INDEX(drug_codes,MATCH(loaded!AU186,drug,0)),""))</f>
        <v>#N/A</v>
      </c>
      <c r="V186" t="e">
        <f>IF(K186=2,"",_xlfn.IFNA(INDEX(drug_codes,MATCH(loaded!AW186,drug,0)),""))</f>
        <v>#N/A</v>
      </c>
      <c r="W186" t="e">
        <f>IF(K186=2,"",_xlfn.IFNA(INDEX(drug_codes,MATCH(loaded!AY186,drug,0)),""))</f>
        <v>#N/A</v>
      </c>
      <c r="X186" t="e">
        <f>IF(K186=2,"",_xlfn.IFNA(INDEX(drug_codes,MATCH(loaded!BA186,drug,0)),""))</f>
        <v>#N/A</v>
      </c>
      <c r="Y186" t="e">
        <f>INDEX(MTT_codes,MATCH(loaded!BC186,MTT,0))</f>
        <v>#N/A</v>
      </c>
      <c r="Z186" t="str">
        <f>_xlfn.IFNA(INDEX(MTT_codes,MATCH(loaded!BE186,MTT,0)),"")</f>
        <v/>
      </c>
      <c r="AA186" t="str">
        <f>_xlfn.IFNA(INDEX(MTT_codes,MATCH(loaded!BG186,MTT,0)),"")</f>
        <v/>
      </c>
      <c r="AB186" t="str">
        <f>_xlfn.IFNA(INDEX(MTT_codes,MATCH(loaded!BI186,MTT,0)),"")</f>
        <v/>
      </c>
      <c r="AC186" t="str">
        <f>_xlfn.IFNA(INDEX(MTT_codes,MATCH(loaded!BK186,MTT,0)),"")</f>
        <v/>
      </c>
      <c r="AD186" t="str">
        <f>_xlfn.IFNA(INDEX(MTT_codes,MATCH(loaded!BM186,MTT,0)),"")</f>
        <v/>
      </c>
      <c r="AE186" t="e">
        <f>INDEX(liv_ar_codes,MATCH(loaded!BO186,liv_ar,0))</f>
        <v>#N/A</v>
      </c>
      <c r="AF186" t="str">
        <f>_xlfn.IFNA(INDEX(MTT_codes,MATCH(loaded!BQ186,MTT,0)),"")</f>
        <v/>
      </c>
      <c r="AG186">
        <f>_xlfn.IFNA(INDEX(mental_codes,MATCH(loaded!BS186,mental,0)),9)</f>
        <v>9</v>
      </c>
    </row>
    <row r="187" spans="1:33" x14ac:dyDescent="0.25">
      <c r="A187">
        <f>loaded!C187</f>
        <v>0</v>
      </c>
      <c r="B187">
        <f>loaded!I187</f>
        <v>0</v>
      </c>
      <c r="C187">
        <f>IF(loaded!K187="Male",1,IF(loaded!K187="Female",2,9))</f>
        <v>9</v>
      </c>
      <c r="D187" s="8">
        <f>loaded!M187</f>
        <v>0</v>
      </c>
      <c r="E187" t="str">
        <f>LEFT(loaded!O187,3)</f>
        <v/>
      </c>
      <c r="F187" t="e">
        <f>INDEX(cntry_codes,MATCH(loaded!Q187,countries,0))</f>
        <v>#N/A</v>
      </c>
      <c r="G187" t="e">
        <f>INDEX(atsi_codes,MATCH(loaded!S187,atsi,0))</f>
        <v>#N/A</v>
      </c>
      <c r="H187" t="e">
        <f>INDEX(lang_codes,MATCH(loaded!U187,lang,0))</f>
        <v>#N/A</v>
      </c>
      <c r="I187" s="8">
        <f>loaded!W187</f>
        <v>0</v>
      </c>
      <c r="J187" t="e">
        <f>INDEX(us_acc_codes,MATCH(loaded!Y187,us_acc,0))</f>
        <v>#N/A</v>
      </c>
      <c r="K187" t="e">
        <f>INDEX(client_codes,MATCH(loaded!AA187,client,0))</f>
        <v>#N/A</v>
      </c>
      <c r="L187" t="e">
        <f>INDEX(src_ref_codes,MATCH(loaded!AC187,src_ref,0))</f>
        <v>#N/A</v>
      </c>
      <c r="M187" s="8">
        <f>loaded!AE187</f>
        <v>0</v>
      </c>
      <c r="N187" s="8">
        <f>loaded!AG187</f>
        <v>0</v>
      </c>
      <c r="O187" t="e">
        <f>INDEX(reces_codes,MATCH(loaded!AI187,reason,0))</f>
        <v>#N/A</v>
      </c>
      <c r="P187" t="e">
        <f>INDEX(TDS_codes,MATCH(loaded!AK187,TDS,0))</f>
        <v>#N/A</v>
      </c>
      <c r="Q187" t="e">
        <f>IF(K187=2,"",INDEX(method_codes,MATCH(loaded!AM187,method,0)))</f>
        <v>#N/A</v>
      </c>
      <c r="R187" t="e">
        <f>IF(K187=2,"",INDEX(inj_codes,MATCH(loaded!AO187,inj,0)))</f>
        <v>#N/A</v>
      </c>
      <c r="S187" t="e">
        <f>IF(K187=2,"",INDEX(drug_codes,MATCH(loaded!AQ187,drug,0)))</f>
        <v>#N/A</v>
      </c>
      <c r="T187" t="e">
        <f>IF(K187=2,"",_xlfn.IFNA(INDEX(drug_codes,MATCH(loaded!AS187,drug,0)),""))</f>
        <v>#N/A</v>
      </c>
      <c r="U187" t="e">
        <f>IF(K187=2,"",_xlfn.IFNA(INDEX(drug_codes,MATCH(loaded!AU187,drug,0)),""))</f>
        <v>#N/A</v>
      </c>
      <c r="V187" t="e">
        <f>IF(K187=2,"",_xlfn.IFNA(INDEX(drug_codes,MATCH(loaded!AW187,drug,0)),""))</f>
        <v>#N/A</v>
      </c>
      <c r="W187" t="e">
        <f>IF(K187=2,"",_xlfn.IFNA(INDEX(drug_codes,MATCH(loaded!AY187,drug,0)),""))</f>
        <v>#N/A</v>
      </c>
      <c r="X187" t="e">
        <f>IF(K187=2,"",_xlfn.IFNA(INDEX(drug_codes,MATCH(loaded!BA187,drug,0)),""))</f>
        <v>#N/A</v>
      </c>
      <c r="Y187" t="e">
        <f>INDEX(MTT_codes,MATCH(loaded!BC187,MTT,0))</f>
        <v>#N/A</v>
      </c>
      <c r="Z187" t="str">
        <f>_xlfn.IFNA(INDEX(MTT_codes,MATCH(loaded!BE187,MTT,0)),"")</f>
        <v/>
      </c>
      <c r="AA187" t="str">
        <f>_xlfn.IFNA(INDEX(MTT_codes,MATCH(loaded!BG187,MTT,0)),"")</f>
        <v/>
      </c>
      <c r="AB187" t="str">
        <f>_xlfn.IFNA(INDEX(MTT_codes,MATCH(loaded!BI187,MTT,0)),"")</f>
        <v/>
      </c>
      <c r="AC187" t="str">
        <f>_xlfn.IFNA(INDEX(MTT_codes,MATCH(loaded!BK187,MTT,0)),"")</f>
        <v/>
      </c>
      <c r="AD187" t="str">
        <f>_xlfn.IFNA(INDEX(MTT_codes,MATCH(loaded!BM187,MTT,0)),"")</f>
        <v/>
      </c>
      <c r="AE187" t="e">
        <f>INDEX(liv_ar_codes,MATCH(loaded!BO187,liv_ar,0))</f>
        <v>#N/A</v>
      </c>
      <c r="AF187" t="str">
        <f>_xlfn.IFNA(INDEX(MTT_codes,MATCH(loaded!BQ187,MTT,0)),"")</f>
        <v/>
      </c>
      <c r="AG187">
        <f>_xlfn.IFNA(INDEX(mental_codes,MATCH(loaded!BS187,mental,0)),9)</f>
        <v>9</v>
      </c>
    </row>
    <row r="188" spans="1:33" x14ac:dyDescent="0.25">
      <c r="A188">
        <f>loaded!C188</f>
        <v>0</v>
      </c>
      <c r="B188">
        <f>loaded!I188</f>
        <v>0</v>
      </c>
      <c r="C188">
        <f>IF(loaded!K188="Male",1,IF(loaded!K188="Female",2,9))</f>
        <v>9</v>
      </c>
      <c r="D188" s="8">
        <f>loaded!M188</f>
        <v>0</v>
      </c>
      <c r="E188" t="str">
        <f>LEFT(loaded!O188,3)</f>
        <v/>
      </c>
      <c r="F188" t="e">
        <f>INDEX(cntry_codes,MATCH(loaded!Q188,countries,0))</f>
        <v>#N/A</v>
      </c>
      <c r="G188" t="e">
        <f>INDEX(atsi_codes,MATCH(loaded!S188,atsi,0))</f>
        <v>#N/A</v>
      </c>
      <c r="H188" t="e">
        <f>INDEX(lang_codes,MATCH(loaded!U188,lang,0))</f>
        <v>#N/A</v>
      </c>
      <c r="I188" s="8">
        <f>loaded!W188</f>
        <v>0</v>
      </c>
      <c r="J188" t="e">
        <f>INDEX(us_acc_codes,MATCH(loaded!Y188,us_acc,0))</f>
        <v>#N/A</v>
      </c>
      <c r="K188" t="e">
        <f>INDEX(client_codes,MATCH(loaded!AA188,client,0))</f>
        <v>#N/A</v>
      </c>
      <c r="L188" t="e">
        <f>INDEX(src_ref_codes,MATCH(loaded!AC188,src_ref,0))</f>
        <v>#N/A</v>
      </c>
      <c r="M188" s="8">
        <f>loaded!AE188</f>
        <v>0</v>
      </c>
      <c r="N188" s="8">
        <f>loaded!AG188</f>
        <v>0</v>
      </c>
      <c r="O188" t="e">
        <f>INDEX(reces_codes,MATCH(loaded!AI188,reason,0))</f>
        <v>#N/A</v>
      </c>
      <c r="P188" t="e">
        <f>INDEX(TDS_codes,MATCH(loaded!AK188,TDS,0))</f>
        <v>#N/A</v>
      </c>
      <c r="Q188" t="e">
        <f>IF(K188=2,"",INDEX(method_codes,MATCH(loaded!AM188,method,0)))</f>
        <v>#N/A</v>
      </c>
      <c r="R188" t="e">
        <f>IF(K188=2,"",INDEX(inj_codes,MATCH(loaded!AO188,inj,0)))</f>
        <v>#N/A</v>
      </c>
      <c r="S188" t="e">
        <f>IF(K188=2,"",INDEX(drug_codes,MATCH(loaded!AQ188,drug,0)))</f>
        <v>#N/A</v>
      </c>
      <c r="T188" t="e">
        <f>IF(K188=2,"",_xlfn.IFNA(INDEX(drug_codes,MATCH(loaded!AS188,drug,0)),""))</f>
        <v>#N/A</v>
      </c>
      <c r="U188" t="e">
        <f>IF(K188=2,"",_xlfn.IFNA(INDEX(drug_codes,MATCH(loaded!AU188,drug,0)),""))</f>
        <v>#N/A</v>
      </c>
      <c r="V188" t="e">
        <f>IF(K188=2,"",_xlfn.IFNA(INDEX(drug_codes,MATCH(loaded!AW188,drug,0)),""))</f>
        <v>#N/A</v>
      </c>
      <c r="W188" t="e">
        <f>IF(K188=2,"",_xlfn.IFNA(INDEX(drug_codes,MATCH(loaded!AY188,drug,0)),""))</f>
        <v>#N/A</v>
      </c>
      <c r="X188" t="e">
        <f>IF(K188=2,"",_xlfn.IFNA(INDEX(drug_codes,MATCH(loaded!BA188,drug,0)),""))</f>
        <v>#N/A</v>
      </c>
      <c r="Y188" t="e">
        <f>INDEX(MTT_codes,MATCH(loaded!BC188,MTT,0))</f>
        <v>#N/A</v>
      </c>
      <c r="Z188" t="str">
        <f>_xlfn.IFNA(INDEX(MTT_codes,MATCH(loaded!BE188,MTT,0)),"")</f>
        <v/>
      </c>
      <c r="AA188" t="str">
        <f>_xlfn.IFNA(INDEX(MTT_codes,MATCH(loaded!BG188,MTT,0)),"")</f>
        <v/>
      </c>
      <c r="AB188" t="str">
        <f>_xlfn.IFNA(INDEX(MTT_codes,MATCH(loaded!BI188,MTT,0)),"")</f>
        <v/>
      </c>
      <c r="AC188" t="str">
        <f>_xlfn.IFNA(INDEX(MTT_codes,MATCH(loaded!BK188,MTT,0)),"")</f>
        <v/>
      </c>
      <c r="AD188" t="str">
        <f>_xlfn.IFNA(INDEX(MTT_codes,MATCH(loaded!BM188,MTT,0)),"")</f>
        <v/>
      </c>
      <c r="AE188" t="e">
        <f>INDEX(liv_ar_codes,MATCH(loaded!BO188,liv_ar,0))</f>
        <v>#N/A</v>
      </c>
      <c r="AF188" t="str">
        <f>_xlfn.IFNA(INDEX(MTT_codes,MATCH(loaded!BQ188,MTT,0)),"")</f>
        <v/>
      </c>
      <c r="AG188">
        <f>_xlfn.IFNA(INDEX(mental_codes,MATCH(loaded!BS188,mental,0)),9)</f>
        <v>9</v>
      </c>
    </row>
    <row r="189" spans="1:33" x14ac:dyDescent="0.25">
      <c r="A189">
        <f>loaded!C189</f>
        <v>0</v>
      </c>
      <c r="B189">
        <f>loaded!I189</f>
        <v>0</v>
      </c>
      <c r="C189">
        <f>IF(loaded!K189="Male",1,IF(loaded!K189="Female",2,9))</f>
        <v>9</v>
      </c>
      <c r="D189" s="8">
        <f>loaded!M189</f>
        <v>0</v>
      </c>
      <c r="E189" t="str">
        <f>LEFT(loaded!O189,3)</f>
        <v/>
      </c>
      <c r="F189" t="e">
        <f>INDEX(cntry_codes,MATCH(loaded!Q189,countries,0))</f>
        <v>#N/A</v>
      </c>
      <c r="G189" t="e">
        <f>INDEX(atsi_codes,MATCH(loaded!S189,atsi,0))</f>
        <v>#N/A</v>
      </c>
      <c r="H189" t="e">
        <f>INDEX(lang_codes,MATCH(loaded!U189,lang,0))</f>
        <v>#N/A</v>
      </c>
      <c r="I189" s="8">
        <f>loaded!W189</f>
        <v>0</v>
      </c>
      <c r="J189" t="e">
        <f>INDEX(us_acc_codes,MATCH(loaded!Y189,us_acc,0))</f>
        <v>#N/A</v>
      </c>
      <c r="K189" t="e">
        <f>INDEX(client_codes,MATCH(loaded!AA189,client,0))</f>
        <v>#N/A</v>
      </c>
      <c r="L189" t="e">
        <f>INDEX(src_ref_codes,MATCH(loaded!AC189,src_ref,0))</f>
        <v>#N/A</v>
      </c>
      <c r="M189" s="8">
        <f>loaded!AE189</f>
        <v>0</v>
      </c>
      <c r="N189" s="8">
        <f>loaded!AG189</f>
        <v>0</v>
      </c>
      <c r="O189" t="e">
        <f>INDEX(reces_codes,MATCH(loaded!AI189,reason,0))</f>
        <v>#N/A</v>
      </c>
      <c r="P189" t="e">
        <f>INDEX(TDS_codes,MATCH(loaded!AK189,TDS,0))</f>
        <v>#N/A</v>
      </c>
      <c r="Q189" t="e">
        <f>IF(K189=2,"",INDEX(method_codes,MATCH(loaded!AM189,method,0)))</f>
        <v>#N/A</v>
      </c>
      <c r="R189" t="e">
        <f>IF(K189=2,"",INDEX(inj_codes,MATCH(loaded!AO189,inj,0)))</f>
        <v>#N/A</v>
      </c>
      <c r="S189" t="e">
        <f>IF(K189=2,"",INDEX(drug_codes,MATCH(loaded!AQ189,drug,0)))</f>
        <v>#N/A</v>
      </c>
      <c r="T189" t="e">
        <f>IF(K189=2,"",_xlfn.IFNA(INDEX(drug_codes,MATCH(loaded!AS189,drug,0)),""))</f>
        <v>#N/A</v>
      </c>
      <c r="U189" t="e">
        <f>IF(K189=2,"",_xlfn.IFNA(INDEX(drug_codes,MATCH(loaded!AU189,drug,0)),""))</f>
        <v>#N/A</v>
      </c>
      <c r="V189" t="e">
        <f>IF(K189=2,"",_xlfn.IFNA(INDEX(drug_codes,MATCH(loaded!AW189,drug,0)),""))</f>
        <v>#N/A</v>
      </c>
      <c r="W189" t="e">
        <f>IF(K189=2,"",_xlfn.IFNA(INDEX(drug_codes,MATCH(loaded!AY189,drug,0)),""))</f>
        <v>#N/A</v>
      </c>
      <c r="X189" t="e">
        <f>IF(K189=2,"",_xlfn.IFNA(INDEX(drug_codes,MATCH(loaded!BA189,drug,0)),""))</f>
        <v>#N/A</v>
      </c>
      <c r="Y189" t="e">
        <f>INDEX(MTT_codes,MATCH(loaded!BC189,MTT,0))</f>
        <v>#N/A</v>
      </c>
      <c r="Z189" t="str">
        <f>_xlfn.IFNA(INDEX(MTT_codes,MATCH(loaded!BE189,MTT,0)),"")</f>
        <v/>
      </c>
      <c r="AA189" t="str">
        <f>_xlfn.IFNA(INDEX(MTT_codes,MATCH(loaded!BG189,MTT,0)),"")</f>
        <v/>
      </c>
      <c r="AB189" t="str">
        <f>_xlfn.IFNA(INDEX(MTT_codes,MATCH(loaded!BI189,MTT,0)),"")</f>
        <v/>
      </c>
      <c r="AC189" t="str">
        <f>_xlfn.IFNA(INDEX(MTT_codes,MATCH(loaded!BK189,MTT,0)),"")</f>
        <v/>
      </c>
      <c r="AD189" t="str">
        <f>_xlfn.IFNA(INDEX(MTT_codes,MATCH(loaded!BM189,MTT,0)),"")</f>
        <v/>
      </c>
      <c r="AE189" t="e">
        <f>INDEX(liv_ar_codes,MATCH(loaded!BO189,liv_ar,0))</f>
        <v>#N/A</v>
      </c>
      <c r="AF189" t="str">
        <f>_xlfn.IFNA(INDEX(MTT_codes,MATCH(loaded!BQ189,MTT,0)),"")</f>
        <v/>
      </c>
      <c r="AG189">
        <f>_xlfn.IFNA(INDEX(mental_codes,MATCH(loaded!BS189,mental,0)),9)</f>
        <v>9</v>
      </c>
    </row>
    <row r="190" spans="1:33" x14ac:dyDescent="0.25">
      <c r="A190">
        <f>loaded!C190</f>
        <v>0</v>
      </c>
      <c r="B190">
        <f>loaded!I190</f>
        <v>0</v>
      </c>
      <c r="C190">
        <f>IF(loaded!K190="Male",1,IF(loaded!K190="Female",2,9))</f>
        <v>9</v>
      </c>
      <c r="D190" s="8">
        <f>loaded!M190</f>
        <v>0</v>
      </c>
      <c r="E190" t="str">
        <f>LEFT(loaded!O190,3)</f>
        <v/>
      </c>
      <c r="F190" t="e">
        <f>INDEX(cntry_codes,MATCH(loaded!Q190,countries,0))</f>
        <v>#N/A</v>
      </c>
      <c r="G190" t="e">
        <f>INDEX(atsi_codes,MATCH(loaded!S190,atsi,0))</f>
        <v>#N/A</v>
      </c>
      <c r="H190" t="e">
        <f>INDEX(lang_codes,MATCH(loaded!U190,lang,0))</f>
        <v>#N/A</v>
      </c>
      <c r="I190" s="8">
        <f>loaded!W190</f>
        <v>0</v>
      </c>
      <c r="J190" t="e">
        <f>INDEX(us_acc_codes,MATCH(loaded!Y190,us_acc,0))</f>
        <v>#N/A</v>
      </c>
      <c r="K190" t="e">
        <f>INDEX(client_codes,MATCH(loaded!AA190,client,0))</f>
        <v>#N/A</v>
      </c>
      <c r="L190" t="e">
        <f>INDEX(src_ref_codes,MATCH(loaded!AC190,src_ref,0))</f>
        <v>#N/A</v>
      </c>
      <c r="M190" s="8">
        <f>loaded!AE190</f>
        <v>0</v>
      </c>
      <c r="N190" s="8">
        <f>loaded!AG190</f>
        <v>0</v>
      </c>
      <c r="O190" t="e">
        <f>INDEX(reces_codes,MATCH(loaded!AI190,reason,0))</f>
        <v>#N/A</v>
      </c>
      <c r="P190" t="e">
        <f>INDEX(TDS_codes,MATCH(loaded!AK190,TDS,0))</f>
        <v>#N/A</v>
      </c>
      <c r="Q190" t="e">
        <f>IF(K190=2,"",INDEX(method_codes,MATCH(loaded!AM190,method,0)))</f>
        <v>#N/A</v>
      </c>
      <c r="R190" t="e">
        <f>IF(K190=2,"",INDEX(inj_codes,MATCH(loaded!AO190,inj,0)))</f>
        <v>#N/A</v>
      </c>
      <c r="S190" t="e">
        <f>IF(K190=2,"",INDEX(drug_codes,MATCH(loaded!AQ190,drug,0)))</f>
        <v>#N/A</v>
      </c>
      <c r="T190" t="e">
        <f>IF(K190=2,"",_xlfn.IFNA(INDEX(drug_codes,MATCH(loaded!AS190,drug,0)),""))</f>
        <v>#N/A</v>
      </c>
      <c r="U190" t="e">
        <f>IF(K190=2,"",_xlfn.IFNA(INDEX(drug_codes,MATCH(loaded!AU190,drug,0)),""))</f>
        <v>#N/A</v>
      </c>
      <c r="V190" t="e">
        <f>IF(K190=2,"",_xlfn.IFNA(INDEX(drug_codes,MATCH(loaded!AW190,drug,0)),""))</f>
        <v>#N/A</v>
      </c>
      <c r="W190" t="e">
        <f>IF(K190=2,"",_xlfn.IFNA(INDEX(drug_codes,MATCH(loaded!AY190,drug,0)),""))</f>
        <v>#N/A</v>
      </c>
      <c r="X190" t="e">
        <f>IF(K190=2,"",_xlfn.IFNA(INDEX(drug_codes,MATCH(loaded!BA190,drug,0)),""))</f>
        <v>#N/A</v>
      </c>
      <c r="Y190" t="e">
        <f>INDEX(MTT_codes,MATCH(loaded!BC190,MTT,0))</f>
        <v>#N/A</v>
      </c>
      <c r="Z190" t="str">
        <f>_xlfn.IFNA(INDEX(MTT_codes,MATCH(loaded!BE190,MTT,0)),"")</f>
        <v/>
      </c>
      <c r="AA190" t="str">
        <f>_xlfn.IFNA(INDEX(MTT_codes,MATCH(loaded!BG190,MTT,0)),"")</f>
        <v/>
      </c>
      <c r="AB190" t="str">
        <f>_xlfn.IFNA(INDEX(MTT_codes,MATCH(loaded!BI190,MTT,0)),"")</f>
        <v/>
      </c>
      <c r="AC190" t="str">
        <f>_xlfn.IFNA(INDEX(MTT_codes,MATCH(loaded!BK190,MTT,0)),"")</f>
        <v/>
      </c>
      <c r="AD190" t="str">
        <f>_xlfn.IFNA(INDEX(MTT_codes,MATCH(loaded!BM190,MTT,0)),"")</f>
        <v/>
      </c>
      <c r="AE190" t="e">
        <f>INDEX(liv_ar_codes,MATCH(loaded!BO190,liv_ar,0))</f>
        <v>#N/A</v>
      </c>
      <c r="AF190" t="str">
        <f>_xlfn.IFNA(INDEX(MTT_codes,MATCH(loaded!BQ190,MTT,0)),"")</f>
        <v/>
      </c>
      <c r="AG190">
        <f>_xlfn.IFNA(INDEX(mental_codes,MATCH(loaded!BS190,mental,0)),9)</f>
        <v>9</v>
      </c>
    </row>
    <row r="191" spans="1:33" x14ac:dyDescent="0.25">
      <c r="A191">
        <f>loaded!C191</f>
        <v>0</v>
      </c>
      <c r="B191">
        <f>loaded!I191</f>
        <v>0</v>
      </c>
      <c r="C191">
        <f>IF(loaded!K191="Male",1,IF(loaded!K191="Female",2,9))</f>
        <v>9</v>
      </c>
      <c r="D191" s="8">
        <f>loaded!M191</f>
        <v>0</v>
      </c>
      <c r="E191" t="str">
        <f>LEFT(loaded!O191,3)</f>
        <v/>
      </c>
      <c r="F191" t="e">
        <f>INDEX(cntry_codes,MATCH(loaded!Q191,countries,0))</f>
        <v>#N/A</v>
      </c>
      <c r="G191" t="e">
        <f>INDEX(atsi_codes,MATCH(loaded!S191,atsi,0))</f>
        <v>#N/A</v>
      </c>
      <c r="H191" t="e">
        <f>INDEX(lang_codes,MATCH(loaded!U191,lang,0))</f>
        <v>#N/A</v>
      </c>
      <c r="I191" s="8">
        <f>loaded!W191</f>
        <v>0</v>
      </c>
      <c r="J191" t="e">
        <f>INDEX(us_acc_codes,MATCH(loaded!Y191,us_acc,0))</f>
        <v>#N/A</v>
      </c>
      <c r="K191" t="e">
        <f>INDEX(client_codes,MATCH(loaded!AA191,client,0))</f>
        <v>#N/A</v>
      </c>
      <c r="L191" t="e">
        <f>INDEX(src_ref_codes,MATCH(loaded!AC191,src_ref,0))</f>
        <v>#N/A</v>
      </c>
      <c r="M191" s="8">
        <f>loaded!AE191</f>
        <v>0</v>
      </c>
      <c r="N191" s="8">
        <f>loaded!AG191</f>
        <v>0</v>
      </c>
      <c r="O191" t="e">
        <f>INDEX(reces_codes,MATCH(loaded!AI191,reason,0))</f>
        <v>#N/A</v>
      </c>
      <c r="P191" t="e">
        <f>INDEX(TDS_codes,MATCH(loaded!AK191,TDS,0))</f>
        <v>#N/A</v>
      </c>
      <c r="Q191" t="e">
        <f>IF(K191=2,"",INDEX(method_codes,MATCH(loaded!AM191,method,0)))</f>
        <v>#N/A</v>
      </c>
      <c r="R191" t="e">
        <f>IF(K191=2,"",INDEX(inj_codes,MATCH(loaded!AO191,inj,0)))</f>
        <v>#N/A</v>
      </c>
      <c r="S191" t="e">
        <f>IF(K191=2,"",INDEX(drug_codes,MATCH(loaded!AQ191,drug,0)))</f>
        <v>#N/A</v>
      </c>
      <c r="T191" t="e">
        <f>IF(K191=2,"",_xlfn.IFNA(INDEX(drug_codes,MATCH(loaded!AS191,drug,0)),""))</f>
        <v>#N/A</v>
      </c>
      <c r="U191" t="e">
        <f>IF(K191=2,"",_xlfn.IFNA(INDEX(drug_codes,MATCH(loaded!AU191,drug,0)),""))</f>
        <v>#N/A</v>
      </c>
      <c r="V191" t="e">
        <f>IF(K191=2,"",_xlfn.IFNA(INDEX(drug_codes,MATCH(loaded!AW191,drug,0)),""))</f>
        <v>#N/A</v>
      </c>
      <c r="W191" t="e">
        <f>IF(K191=2,"",_xlfn.IFNA(INDEX(drug_codes,MATCH(loaded!AY191,drug,0)),""))</f>
        <v>#N/A</v>
      </c>
      <c r="X191" t="e">
        <f>IF(K191=2,"",_xlfn.IFNA(INDEX(drug_codes,MATCH(loaded!BA191,drug,0)),""))</f>
        <v>#N/A</v>
      </c>
      <c r="Y191" t="e">
        <f>INDEX(MTT_codes,MATCH(loaded!BC191,MTT,0))</f>
        <v>#N/A</v>
      </c>
      <c r="Z191" t="str">
        <f>_xlfn.IFNA(INDEX(MTT_codes,MATCH(loaded!BE191,MTT,0)),"")</f>
        <v/>
      </c>
      <c r="AA191" t="str">
        <f>_xlfn.IFNA(INDEX(MTT_codes,MATCH(loaded!BG191,MTT,0)),"")</f>
        <v/>
      </c>
      <c r="AB191" t="str">
        <f>_xlfn.IFNA(INDEX(MTT_codes,MATCH(loaded!BI191,MTT,0)),"")</f>
        <v/>
      </c>
      <c r="AC191" t="str">
        <f>_xlfn.IFNA(INDEX(MTT_codes,MATCH(loaded!BK191,MTT,0)),"")</f>
        <v/>
      </c>
      <c r="AD191" t="str">
        <f>_xlfn.IFNA(INDEX(MTT_codes,MATCH(loaded!BM191,MTT,0)),"")</f>
        <v/>
      </c>
      <c r="AE191" t="e">
        <f>INDEX(liv_ar_codes,MATCH(loaded!BO191,liv_ar,0))</f>
        <v>#N/A</v>
      </c>
      <c r="AF191" t="str">
        <f>_xlfn.IFNA(INDEX(MTT_codes,MATCH(loaded!BQ191,MTT,0)),"")</f>
        <v/>
      </c>
      <c r="AG191">
        <f>_xlfn.IFNA(INDEX(mental_codes,MATCH(loaded!BS191,mental,0)),9)</f>
        <v>9</v>
      </c>
    </row>
    <row r="192" spans="1:33" x14ac:dyDescent="0.25">
      <c r="A192">
        <f>loaded!C192</f>
        <v>0</v>
      </c>
      <c r="B192">
        <f>loaded!I192</f>
        <v>0</v>
      </c>
      <c r="C192">
        <f>IF(loaded!K192="Male",1,IF(loaded!K192="Female",2,9))</f>
        <v>9</v>
      </c>
      <c r="D192" s="8">
        <f>loaded!M192</f>
        <v>0</v>
      </c>
      <c r="E192" t="str">
        <f>LEFT(loaded!O192,3)</f>
        <v/>
      </c>
      <c r="F192" t="e">
        <f>INDEX(cntry_codes,MATCH(loaded!Q192,countries,0))</f>
        <v>#N/A</v>
      </c>
      <c r="G192" t="e">
        <f>INDEX(atsi_codes,MATCH(loaded!S192,atsi,0))</f>
        <v>#N/A</v>
      </c>
      <c r="H192" t="e">
        <f>INDEX(lang_codes,MATCH(loaded!U192,lang,0))</f>
        <v>#N/A</v>
      </c>
      <c r="I192" s="8">
        <f>loaded!W192</f>
        <v>0</v>
      </c>
      <c r="J192" t="e">
        <f>INDEX(us_acc_codes,MATCH(loaded!Y192,us_acc,0))</f>
        <v>#N/A</v>
      </c>
      <c r="K192" t="e">
        <f>INDEX(client_codes,MATCH(loaded!AA192,client,0))</f>
        <v>#N/A</v>
      </c>
      <c r="L192" t="e">
        <f>INDEX(src_ref_codes,MATCH(loaded!AC192,src_ref,0))</f>
        <v>#N/A</v>
      </c>
      <c r="M192" s="8">
        <f>loaded!AE192</f>
        <v>0</v>
      </c>
      <c r="N192" s="8">
        <f>loaded!AG192</f>
        <v>0</v>
      </c>
      <c r="O192" t="e">
        <f>INDEX(reces_codes,MATCH(loaded!AI192,reason,0))</f>
        <v>#N/A</v>
      </c>
      <c r="P192" t="e">
        <f>INDEX(TDS_codes,MATCH(loaded!AK192,TDS,0))</f>
        <v>#N/A</v>
      </c>
      <c r="Q192" t="e">
        <f>IF(K192=2,"",INDEX(method_codes,MATCH(loaded!AM192,method,0)))</f>
        <v>#N/A</v>
      </c>
      <c r="R192" t="e">
        <f>IF(K192=2,"",INDEX(inj_codes,MATCH(loaded!AO192,inj,0)))</f>
        <v>#N/A</v>
      </c>
      <c r="S192" t="e">
        <f>IF(K192=2,"",INDEX(drug_codes,MATCH(loaded!AQ192,drug,0)))</f>
        <v>#N/A</v>
      </c>
      <c r="T192" t="e">
        <f>IF(K192=2,"",_xlfn.IFNA(INDEX(drug_codes,MATCH(loaded!AS192,drug,0)),""))</f>
        <v>#N/A</v>
      </c>
      <c r="U192" t="e">
        <f>IF(K192=2,"",_xlfn.IFNA(INDEX(drug_codes,MATCH(loaded!AU192,drug,0)),""))</f>
        <v>#N/A</v>
      </c>
      <c r="V192" t="e">
        <f>IF(K192=2,"",_xlfn.IFNA(INDEX(drug_codes,MATCH(loaded!AW192,drug,0)),""))</f>
        <v>#N/A</v>
      </c>
      <c r="W192" t="e">
        <f>IF(K192=2,"",_xlfn.IFNA(INDEX(drug_codes,MATCH(loaded!AY192,drug,0)),""))</f>
        <v>#N/A</v>
      </c>
      <c r="X192" t="e">
        <f>IF(K192=2,"",_xlfn.IFNA(INDEX(drug_codes,MATCH(loaded!BA192,drug,0)),""))</f>
        <v>#N/A</v>
      </c>
      <c r="Y192" t="e">
        <f>INDEX(MTT_codes,MATCH(loaded!BC192,MTT,0))</f>
        <v>#N/A</v>
      </c>
      <c r="Z192" t="str">
        <f>_xlfn.IFNA(INDEX(MTT_codes,MATCH(loaded!BE192,MTT,0)),"")</f>
        <v/>
      </c>
      <c r="AA192" t="str">
        <f>_xlfn.IFNA(INDEX(MTT_codes,MATCH(loaded!BG192,MTT,0)),"")</f>
        <v/>
      </c>
      <c r="AB192" t="str">
        <f>_xlfn.IFNA(INDEX(MTT_codes,MATCH(loaded!BI192,MTT,0)),"")</f>
        <v/>
      </c>
      <c r="AC192" t="str">
        <f>_xlfn.IFNA(INDEX(MTT_codes,MATCH(loaded!BK192,MTT,0)),"")</f>
        <v/>
      </c>
      <c r="AD192" t="str">
        <f>_xlfn.IFNA(INDEX(MTT_codes,MATCH(loaded!BM192,MTT,0)),"")</f>
        <v/>
      </c>
      <c r="AE192" t="e">
        <f>INDEX(liv_ar_codes,MATCH(loaded!BO192,liv_ar,0))</f>
        <v>#N/A</v>
      </c>
      <c r="AF192" t="str">
        <f>_xlfn.IFNA(INDEX(MTT_codes,MATCH(loaded!BQ192,MTT,0)),"")</f>
        <v/>
      </c>
      <c r="AG192">
        <f>_xlfn.IFNA(INDEX(mental_codes,MATCH(loaded!BS192,mental,0)),9)</f>
        <v>9</v>
      </c>
    </row>
    <row r="193" spans="1:33" x14ac:dyDescent="0.25">
      <c r="A193">
        <f>loaded!C193</f>
        <v>0</v>
      </c>
      <c r="B193">
        <f>loaded!I193</f>
        <v>0</v>
      </c>
      <c r="C193">
        <f>IF(loaded!K193="Male",1,IF(loaded!K193="Female",2,9))</f>
        <v>9</v>
      </c>
      <c r="D193" s="8">
        <f>loaded!M193</f>
        <v>0</v>
      </c>
      <c r="E193" t="str">
        <f>LEFT(loaded!O193,3)</f>
        <v/>
      </c>
      <c r="F193" t="e">
        <f>INDEX(cntry_codes,MATCH(loaded!Q193,countries,0))</f>
        <v>#N/A</v>
      </c>
      <c r="G193" t="e">
        <f>INDEX(atsi_codes,MATCH(loaded!S193,atsi,0))</f>
        <v>#N/A</v>
      </c>
      <c r="H193" t="e">
        <f>INDEX(lang_codes,MATCH(loaded!U193,lang,0))</f>
        <v>#N/A</v>
      </c>
      <c r="I193" s="8">
        <f>loaded!W193</f>
        <v>0</v>
      </c>
      <c r="J193" t="e">
        <f>INDEX(us_acc_codes,MATCH(loaded!Y193,us_acc,0))</f>
        <v>#N/A</v>
      </c>
      <c r="K193" t="e">
        <f>INDEX(client_codes,MATCH(loaded!AA193,client,0))</f>
        <v>#N/A</v>
      </c>
      <c r="L193" t="e">
        <f>INDEX(src_ref_codes,MATCH(loaded!AC193,src_ref,0))</f>
        <v>#N/A</v>
      </c>
      <c r="M193" s="8">
        <f>loaded!AE193</f>
        <v>0</v>
      </c>
      <c r="N193" s="8">
        <f>loaded!AG193</f>
        <v>0</v>
      </c>
      <c r="O193" t="e">
        <f>INDEX(reces_codes,MATCH(loaded!AI193,reason,0))</f>
        <v>#N/A</v>
      </c>
      <c r="P193" t="e">
        <f>INDEX(TDS_codes,MATCH(loaded!AK193,TDS,0))</f>
        <v>#N/A</v>
      </c>
      <c r="Q193" t="e">
        <f>IF(K193=2,"",INDEX(method_codes,MATCH(loaded!AM193,method,0)))</f>
        <v>#N/A</v>
      </c>
      <c r="R193" t="e">
        <f>IF(K193=2,"",INDEX(inj_codes,MATCH(loaded!AO193,inj,0)))</f>
        <v>#N/A</v>
      </c>
      <c r="S193" t="e">
        <f>IF(K193=2,"",INDEX(drug_codes,MATCH(loaded!AQ193,drug,0)))</f>
        <v>#N/A</v>
      </c>
      <c r="T193" t="e">
        <f>IF(K193=2,"",_xlfn.IFNA(INDEX(drug_codes,MATCH(loaded!AS193,drug,0)),""))</f>
        <v>#N/A</v>
      </c>
      <c r="U193" t="e">
        <f>IF(K193=2,"",_xlfn.IFNA(INDEX(drug_codes,MATCH(loaded!AU193,drug,0)),""))</f>
        <v>#N/A</v>
      </c>
      <c r="V193" t="e">
        <f>IF(K193=2,"",_xlfn.IFNA(INDEX(drug_codes,MATCH(loaded!AW193,drug,0)),""))</f>
        <v>#N/A</v>
      </c>
      <c r="W193" t="e">
        <f>IF(K193=2,"",_xlfn.IFNA(INDEX(drug_codes,MATCH(loaded!AY193,drug,0)),""))</f>
        <v>#N/A</v>
      </c>
      <c r="X193" t="e">
        <f>IF(K193=2,"",_xlfn.IFNA(INDEX(drug_codes,MATCH(loaded!BA193,drug,0)),""))</f>
        <v>#N/A</v>
      </c>
      <c r="Y193" t="e">
        <f>INDEX(MTT_codes,MATCH(loaded!BC193,MTT,0))</f>
        <v>#N/A</v>
      </c>
      <c r="Z193" t="str">
        <f>_xlfn.IFNA(INDEX(MTT_codes,MATCH(loaded!BE193,MTT,0)),"")</f>
        <v/>
      </c>
      <c r="AA193" t="str">
        <f>_xlfn.IFNA(INDEX(MTT_codes,MATCH(loaded!BG193,MTT,0)),"")</f>
        <v/>
      </c>
      <c r="AB193" t="str">
        <f>_xlfn.IFNA(INDEX(MTT_codes,MATCH(loaded!BI193,MTT,0)),"")</f>
        <v/>
      </c>
      <c r="AC193" t="str">
        <f>_xlfn.IFNA(INDEX(MTT_codes,MATCH(loaded!BK193,MTT,0)),"")</f>
        <v/>
      </c>
      <c r="AD193" t="str">
        <f>_xlfn.IFNA(INDEX(MTT_codes,MATCH(loaded!BM193,MTT,0)),"")</f>
        <v/>
      </c>
      <c r="AE193" t="e">
        <f>INDEX(liv_ar_codes,MATCH(loaded!BO193,liv_ar,0))</f>
        <v>#N/A</v>
      </c>
      <c r="AF193" t="str">
        <f>_xlfn.IFNA(INDEX(MTT_codes,MATCH(loaded!BQ193,MTT,0)),"")</f>
        <v/>
      </c>
      <c r="AG193">
        <f>_xlfn.IFNA(INDEX(mental_codes,MATCH(loaded!BS193,mental,0)),9)</f>
        <v>9</v>
      </c>
    </row>
    <row r="194" spans="1:33" x14ac:dyDescent="0.25">
      <c r="A194">
        <f>loaded!C194</f>
        <v>0</v>
      </c>
      <c r="B194">
        <f>loaded!I194</f>
        <v>0</v>
      </c>
      <c r="C194">
        <f>IF(loaded!K194="Male",1,IF(loaded!K194="Female",2,9))</f>
        <v>9</v>
      </c>
      <c r="D194" s="8">
        <f>loaded!M194</f>
        <v>0</v>
      </c>
      <c r="E194" t="str">
        <f>LEFT(loaded!O194,3)</f>
        <v/>
      </c>
      <c r="F194" t="e">
        <f>INDEX(cntry_codes,MATCH(loaded!Q194,countries,0))</f>
        <v>#N/A</v>
      </c>
      <c r="G194" t="e">
        <f>INDEX(atsi_codes,MATCH(loaded!S194,atsi,0))</f>
        <v>#N/A</v>
      </c>
      <c r="H194" t="e">
        <f>INDEX(lang_codes,MATCH(loaded!U194,lang,0))</f>
        <v>#N/A</v>
      </c>
      <c r="I194" s="8">
        <f>loaded!W194</f>
        <v>0</v>
      </c>
      <c r="J194" t="e">
        <f>INDEX(us_acc_codes,MATCH(loaded!Y194,us_acc,0))</f>
        <v>#N/A</v>
      </c>
      <c r="K194" t="e">
        <f>INDEX(client_codes,MATCH(loaded!AA194,client,0))</f>
        <v>#N/A</v>
      </c>
      <c r="L194" t="e">
        <f>INDEX(src_ref_codes,MATCH(loaded!AC194,src_ref,0))</f>
        <v>#N/A</v>
      </c>
      <c r="M194" s="8">
        <f>loaded!AE194</f>
        <v>0</v>
      </c>
      <c r="N194" s="8">
        <f>loaded!AG194</f>
        <v>0</v>
      </c>
      <c r="O194" t="e">
        <f>INDEX(reces_codes,MATCH(loaded!AI194,reason,0))</f>
        <v>#N/A</v>
      </c>
      <c r="P194" t="e">
        <f>INDEX(TDS_codes,MATCH(loaded!AK194,TDS,0))</f>
        <v>#N/A</v>
      </c>
      <c r="Q194" t="e">
        <f>IF(K194=2,"",INDEX(method_codes,MATCH(loaded!AM194,method,0)))</f>
        <v>#N/A</v>
      </c>
      <c r="R194" t="e">
        <f>IF(K194=2,"",INDEX(inj_codes,MATCH(loaded!AO194,inj,0)))</f>
        <v>#N/A</v>
      </c>
      <c r="S194" t="e">
        <f>IF(K194=2,"",INDEX(drug_codes,MATCH(loaded!AQ194,drug,0)))</f>
        <v>#N/A</v>
      </c>
      <c r="T194" t="e">
        <f>IF(K194=2,"",_xlfn.IFNA(INDEX(drug_codes,MATCH(loaded!AS194,drug,0)),""))</f>
        <v>#N/A</v>
      </c>
      <c r="U194" t="e">
        <f>IF(K194=2,"",_xlfn.IFNA(INDEX(drug_codes,MATCH(loaded!AU194,drug,0)),""))</f>
        <v>#N/A</v>
      </c>
      <c r="V194" t="e">
        <f>IF(K194=2,"",_xlfn.IFNA(INDEX(drug_codes,MATCH(loaded!AW194,drug,0)),""))</f>
        <v>#N/A</v>
      </c>
      <c r="W194" t="e">
        <f>IF(K194=2,"",_xlfn.IFNA(INDEX(drug_codes,MATCH(loaded!AY194,drug,0)),""))</f>
        <v>#N/A</v>
      </c>
      <c r="X194" t="e">
        <f>IF(K194=2,"",_xlfn.IFNA(INDEX(drug_codes,MATCH(loaded!BA194,drug,0)),""))</f>
        <v>#N/A</v>
      </c>
      <c r="Y194" t="e">
        <f>INDEX(MTT_codes,MATCH(loaded!BC194,MTT,0))</f>
        <v>#N/A</v>
      </c>
      <c r="Z194" t="str">
        <f>_xlfn.IFNA(INDEX(MTT_codes,MATCH(loaded!BE194,MTT,0)),"")</f>
        <v/>
      </c>
      <c r="AA194" t="str">
        <f>_xlfn.IFNA(INDEX(MTT_codes,MATCH(loaded!BG194,MTT,0)),"")</f>
        <v/>
      </c>
      <c r="AB194" t="str">
        <f>_xlfn.IFNA(INDEX(MTT_codes,MATCH(loaded!BI194,MTT,0)),"")</f>
        <v/>
      </c>
      <c r="AC194" t="str">
        <f>_xlfn.IFNA(INDEX(MTT_codes,MATCH(loaded!BK194,MTT,0)),"")</f>
        <v/>
      </c>
      <c r="AD194" t="str">
        <f>_xlfn.IFNA(INDEX(MTT_codes,MATCH(loaded!BM194,MTT,0)),"")</f>
        <v/>
      </c>
      <c r="AE194" t="e">
        <f>INDEX(liv_ar_codes,MATCH(loaded!BO194,liv_ar,0))</f>
        <v>#N/A</v>
      </c>
      <c r="AF194" t="str">
        <f>_xlfn.IFNA(INDEX(MTT_codes,MATCH(loaded!BQ194,MTT,0)),"")</f>
        <v/>
      </c>
      <c r="AG194">
        <f>_xlfn.IFNA(INDEX(mental_codes,MATCH(loaded!BS194,mental,0)),9)</f>
        <v>9</v>
      </c>
    </row>
    <row r="195" spans="1:33" x14ac:dyDescent="0.25">
      <c r="A195">
        <f>loaded!C195</f>
        <v>0</v>
      </c>
      <c r="B195">
        <f>loaded!I195</f>
        <v>0</v>
      </c>
      <c r="C195">
        <f>IF(loaded!K195="Male",1,IF(loaded!K195="Female",2,9))</f>
        <v>9</v>
      </c>
      <c r="D195" s="8">
        <f>loaded!M195</f>
        <v>0</v>
      </c>
      <c r="E195" t="str">
        <f>LEFT(loaded!O195,3)</f>
        <v/>
      </c>
      <c r="F195" t="e">
        <f>INDEX(cntry_codes,MATCH(loaded!Q195,countries,0))</f>
        <v>#N/A</v>
      </c>
      <c r="G195" t="e">
        <f>INDEX(atsi_codes,MATCH(loaded!S195,atsi,0))</f>
        <v>#N/A</v>
      </c>
      <c r="H195" t="e">
        <f>INDEX(lang_codes,MATCH(loaded!U195,lang,0))</f>
        <v>#N/A</v>
      </c>
      <c r="I195" s="8">
        <f>loaded!W195</f>
        <v>0</v>
      </c>
      <c r="J195" t="e">
        <f>INDEX(us_acc_codes,MATCH(loaded!Y195,us_acc,0))</f>
        <v>#N/A</v>
      </c>
      <c r="K195" t="e">
        <f>INDEX(client_codes,MATCH(loaded!AA195,client,0))</f>
        <v>#N/A</v>
      </c>
      <c r="L195" t="e">
        <f>INDEX(src_ref_codes,MATCH(loaded!AC195,src_ref,0))</f>
        <v>#N/A</v>
      </c>
      <c r="M195" s="8">
        <f>loaded!AE195</f>
        <v>0</v>
      </c>
      <c r="N195" s="8">
        <f>loaded!AG195</f>
        <v>0</v>
      </c>
      <c r="O195" t="e">
        <f>INDEX(reces_codes,MATCH(loaded!AI195,reason,0))</f>
        <v>#N/A</v>
      </c>
      <c r="P195" t="e">
        <f>INDEX(TDS_codes,MATCH(loaded!AK195,TDS,0))</f>
        <v>#N/A</v>
      </c>
      <c r="Q195" t="e">
        <f>IF(K195=2,"",INDEX(method_codes,MATCH(loaded!AM195,method,0)))</f>
        <v>#N/A</v>
      </c>
      <c r="R195" t="e">
        <f>IF(K195=2,"",INDEX(inj_codes,MATCH(loaded!AO195,inj,0)))</f>
        <v>#N/A</v>
      </c>
      <c r="S195" t="e">
        <f>IF(K195=2,"",INDEX(drug_codes,MATCH(loaded!AQ195,drug,0)))</f>
        <v>#N/A</v>
      </c>
      <c r="T195" t="e">
        <f>IF(K195=2,"",_xlfn.IFNA(INDEX(drug_codes,MATCH(loaded!AS195,drug,0)),""))</f>
        <v>#N/A</v>
      </c>
      <c r="U195" t="e">
        <f>IF(K195=2,"",_xlfn.IFNA(INDEX(drug_codes,MATCH(loaded!AU195,drug,0)),""))</f>
        <v>#N/A</v>
      </c>
      <c r="V195" t="e">
        <f>IF(K195=2,"",_xlfn.IFNA(INDEX(drug_codes,MATCH(loaded!AW195,drug,0)),""))</f>
        <v>#N/A</v>
      </c>
      <c r="W195" t="e">
        <f>IF(K195=2,"",_xlfn.IFNA(INDEX(drug_codes,MATCH(loaded!AY195,drug,0)),""))</f>
        <v>#N/A</v>
      </c>
      <c r="X195" t="e">
        <f>IF(K195=2,"",_xlfn.IFNA(INDEX(drug_codes,MATCH(loaded!BA195,drug,0)),""))</f>
        <v>#N/A</v>
      </c>
      <c r="Y195" t="e">
        <f>INDEX(MTT_codes,MATCH(loaded!BC195,MTT,0))</f>
        <v>#N/A</v>
      </c>
      <c r="Z195" t="str">
        <f>_xlfn.IFNA(INDEX(MTT_codes,MATCH(loaded!BE195,MTT,0)),"")</f>
        <v/>
      </c>
      <c r="AA195" t="str">
        <f>_xlfn.IFNA(INDEX(MTT_codes,MATCH(loaded!BG195,MTT,0)),"")</f>
        <v/>
      </c>
      <c r="AB195" t="str">
        <f>_xlfn.IFNA(INDEX(MTT_codes,MATCH(loaded!BI195,MTT,0)),"")</f>
        <v/>
      </c>
      <c r="AC195" t="str">
        <f>_xlfn.IFNA(INDEX(MTT_codes,MATCH(loaded!BK195,MTT,0)),"")</f>
        <v/>
      </c>
      <c r="AD195" t="str">
        <f>_xlfn.IFNA(INDEX(MTT_codes,MATCH(loaded!BM195,MTT,0)),"")</f>
        <v/>
      </c>
      <c r="AE195" t="e">
        <f>INDEX(liv_ar_codes,MATCH(loaded!BO195,liv_ar,0))</f>
        <v>#N/A</v>
      </c>
      <c r="AF195" t="str">
        <f>_xlfn.IFNA(INDEX(MTT_codes,MATCH(loaded!BQ195,MTT,0)),"")</f>
        <v/>
      </c>
      <c r="AG195">
        <f>_xlfn.IFNA(INDEX(mental_codes,MATCH(loaded!BS195,mental,0)),9)</f>
        <v>9</v>
      </c>
    </row>
    <row r="196" spans="1:33" x14ac:dyDescent="0.25">
      <c r="A196">
        <f>loaded!C196</f>
        <v>0</v>
      </c>
      <c r="B196">
        <f>loaded!I196</f>
        <v>0</v>
      </c>
      <c r="C196">
        <f>IF(loaded!K196="Male",1,IF(loaded!K196="Female",2,9))</f>
        <v>9</v>
      </c>
      <c r="D196" s="8">
        <f>loaded!M196</f>
        <v>0</v>
      </c>
      <c r="E196" t="str">
        <f>LEFT(loaded!O196,3)</f>
        <v/>
      </c>
      <c r="F196" t="e">
        <f>INDEX(cntry_codes,MATCH(loaded!Q196,countries,0))</f>
        <v>#N/A</v>
      </c>
      <c r="G196" t="e">
        <f>INDEX(atsi_codes,MATCH(loaded!S196,atsi,0))</f>
        <v>#N/A</v>
      </c>
      <c r="H196" t="e">
        <f>INDEX(lang_codes,MATCH(loaded!U196,lang,0))</f>
        <v>#N/A</v>
      </c>
      <c r="I196" s="8">
        <f>loaded!W196</f>
        <v>0</v>
      </c>
      <c r="J196" t="e">
        <f>INDEX(us_acc_codes,MATCH(loaded!Y196,us_acc,0))</f>
        <v>#N/A</v>
      </c>
      <c r="K196" t="e">
        <f>INDEX(client_codes,MATCH(loaded!AA196,client,0))</f>
        <v>#N/A</v>
      </c>
      <c r="L196" t="e">
        <f>INDEX(src_ref_codes,MATCH(loaded!AC196,src_ref,0))</f>
        <v>#N/A</v>
      </c>
      <c r="M196" s="8">
        <f>loaded!AE196</f>
        <v>0</v>
      </c>
      <c r="N196" s="8">
        <f>loaded!AG196</f>
        <v>0</v>
      </c>
      <c r="O196" t="e">
        <f>INDEX(reces_codes,MATCH(loaded!AI196,reason,0))</f>
        <v>#N/A</v>
      </c>
      <c r="P196" t="e">
        <f>INDEX(TDS_codes,MATCH(loaded!AK196,TDS,0))</f>
        <v>#N/A</v>
      </c>
      <c r="Q196" t="e">
        <f>IF(K196=2,"",INDEX(method_codes,MATCH(loaded!AM196,method,0)))</f>
        <v>#N/A</v>
      </c>
      <c r="R196" t="e">
        <f>IF(K196=2,"",INDEX(inj_codes,MATCH(loaded!AO196,inj,0)))</f>
        <v>#N/A</v>
      </c>
      <c r="S196" t="e">
        <f>IF(K196=2,"",INDEX(drug_codes,MATCH(loaded!AQ196,drug,0)))</f>
        <v>#N/A</v>
      </c>
      <c r="T196" t="e">
        <f>IF(K196=2,"",_xlfn.IFNA(INDEX(drug_codes,MATCH(loaded!AS196,drug,0)),""))</f>
        <v>#N/A</v>
      </c>
      <c r="U196" t="e">
        <f>IF(K196=2,"",_xlfn.IFNA(INDEX(drug_codes,MATCH(loaded!AU196,drug,0)),""))</f>
        <v>#N/A</v>
      </c>
      <c r="V196" t="e">
        <f>IF(K196=2,"",_xlfn.IFNA(INDEX(drug_codes,MATCH(loaded!AW196,drug,0)),""))</f>
        <v>#N/A</v>
      </c>
      <c r="W196" t="e">
        <f>IF(K196=2,"",_xlfn.IFNA(INDEX(drug_codes,MATCH(loaded!AY196,drug,0)),""))</f>
        <v>#N/A</v>
      </c>
      <c r="X196" t="e">
        <f>IF(K196=2,"",_xlfn.IFNA(INDEX(drug_codes,MATCH(loaded!BA196,drug,0)),""))</f>
        <v>#N/A</v>
      </c>
      <c r="Y196" t="e">
        <f>INDEX(MTT_codes,MATCH(loaded!BC196,MTT,0))</f>
        <v>#N/A</v>
      </c>
      <c r="Z196" t="str">
        <f>_xlfn.IFNA(INDEX(MTT_codes,MATCH(loaded!BE196,MTT,0)),"")</f>
        <v/>
      </c>
      <c r="AA196" t="str">
        <f>_xlfn.IFNA(INDEX(MTT_codes,MATCH(loaded!BG196,MTT,0)),"")</f>
        <v/>
      </c>
      <c r="AB196" t="str">
        <f>_xlfn.IFNA(INDEX(MTT_codes,MATCH(loaded!BI196,MTT,0)),"")</f>
        <v/>
      </c>
      <c r="AC196" t="str">
        <f>_xlfn.IFNA(INDEX(MTT_codes,MATCH(loaded!BK196,MTT,0)),"")</f>
        <v/>
      </c>
      <c r="AD196" t="str">
        <f>_xlfn.IFNA(INDEX(MTT_codes,MATCH(loaded!BM196,MTT,0)),"")</f>
        <v/>
      </c>
      <c r="AE196" t="e">
        <f>INDEX(liv_ar_codes,MATCH(loaded!BO196,liv_ar,0))</f>
        <v>#N/A</v>
      </c>
      <c r="AF196" t="str">
        <f>_xlfn.IFNA(INDEX(MTT_codes,MATCH(loaded!BQ196,MTT,0)),"")</f>
        <v/>
      </c>
      <c r="AG196">
        <f>_xlfn.IFNA(INDEX(mental_codes,MATCH(loaded!BS196,mental,0)),9)</f>
        <v>9</v>
      </c>
    </row>
    <row r="197" spans="1:33" x14ac:dyDescent="0.25">
      <c r="A197">
        <f>loaded!C197</f>
        <v>0</v>
      </c>
      <c r="B197">
        <f>loaded!I197</f>
        <v>0</v>
      </c>
      <c r="C197">
        <f>IF(loaded!K197="Male",1,IF(loaded!K197="Female",2,9))</f>
        <v>9</v>
      </c>
      <c r="D197" s="8">
        <f>loaded!M197</f>
        <v>0</v>
      </c>
      <c r="E197" t="str">
        <f>LEFT(loaded!O197,3)</f>
        <v/>
      </c>
      <c r="F197" t="e">
        <f>INDEX(cntry_codes,MATCH(loaded!Q197,countries,0))</f>
        <v>#N/A</v>
      </c>
      <c r="G197" t="e">
        <f>INDEX(atsi_codes,MATCH(loaded!S197,atsi,0))</f>
        <v>#N/A</v>
      </c>
      <c r="H197" t="e">
        <f>INDEX(lang_codes,MATCH(loaded!U197,lang,0))</f>
        <v>#N/A</v>
      </c>
      <c r="I197" s="8">
        <f>loaded!W197</f>
        <v>0</v>
      </c>
      <c r="J197" t="e">
        <f>INDEX(us_acc_codes,MATCH(loaded!Y197,us_acc,0))</f>
        <v>#N/A</v>
      </c>
      <c r="K197" t="e">
        <f>INDEX(client_codes,MATCH(loaded!AA197,client,0))</f>
        <v>#N/A</v>
      </c>
      <c r="L197" t="e">
        <f>INDEX(src_ref_codes,MATCH(loaded!AC197,src_ref,0))</f>
        <v>#N/A</v>
      </c>
      <c r="M197" s="8">
        <f>loaded!AE197</f>
        <v>0</v>
      </c>
      <c r="N197" s="8">
        <f>loaded!AG197</f>
        <v>0</v>
      </c>
      <c r="O197" t="e">
        <f>INDEX(reces_codes,MATCH(loaded!AI197,reason,0))</f>
        <v>#N/A</v>
      </c>
      <c r="P197" t="e">
        <f>INDEX(TDS_codes,MATCH(loaded!AK197,TDS,0))</f>
        <v>#N/A</v>
      </c>
      <c r="Q197" t="e">
        <f>IF(K197=2,"",INDEX(method_codes,MATCH(loaded!AM197,method,0)))</f>
        <v>#N/A</v>
      </c>
      <c r="R197" t="e">
        <f>IF(K197=2,"",INDEX(inj_codes,MATCH(loaded!AO197,inj,0)))</f>
        <v>#N/A</v>
      </c>
      <c r="S197" t="e">
        <f>IF(K197=2,"",INDEX(drug_codes,MATCH(loaded!AQ197,drug,0)))</f>
        <v>#N/A</v>
      </c>
      <c r="T197" t="e">
        <f>IF(K197=2,"",_xlfn.IFNA(INDEX(drug_codes,MATCH(loaded!AS197,drug,0)),""))</f>
        <v>#N/A</v>
      </c>
      <c r="U197" t="e">
        <f>IF(K197=2,"",_xlfn.IFNA(INDEX(drug_codes,MATCH(loaded!AU197,drug,0)),""))</f>
        <v>#N/A</v>
      </c>
      <c r="V197" t="e">
        <f>IF(K197=2,"",_xlfn.IFNA(INDEX(drug_codes,MATCH(loaded!AW197,drug,0)),""))</f>
        <v>#N/A</v>
      </c>
      <c r="W197" t="e">
        <f>IF(K197=2,"",_xlfn.IFNA(INDEX(drug_codes,MATCH(loaded!AY197,drug,0)),""))</f>
        <v>#N/A</v>
      </c>
      <c r="X197" t="e">
        <f>IF(K197=2,"",_xlfn.IFNA(INDEX(drug_codes,MATCH(loaded!BA197,drug,0)),""))</f>
        <v>#N/A</v>
      </c>
      <c r="Y197" t="e">
        <f>INDEX(MTT_codes,MATCH(loaded!BC197,MTT,0))</f>
        <v>#N/A</v>
      </c>
      <c r="Z197" t="str">
        <f>_xlfn.IFNA(INDEX(MTT_codes,MATCH(loaded!BE197,MTT,0)),"")</f>
        <v/>
      </c>
      <c r="AA197" t="str">
        <f>_xlfn.IFNA(INDEX(MTT_codes,MATCH(loaded!BG197,MTT,0)),"")</f>
        <v/>
      </c>
      <c r="AB197" t="str">
        <f>_xlfn.IFNA(INDEX(MTT_codes,MATCH(loaded!BI197,MTT,0)),"")</f>
        <v/>
      </c>
      <c r="AC197" t="str">
        <f>_xlfn.IFNA(INDEX(MTT_codes,MATCH(loaded!BK197,MTT,0)),"")</f>
        <v/>
      </c>
      <c r="AD197" t="str">
        <f>_xlfn.IFNA(INDEX(MTT_codes,MATCH(loaded!BM197,MTT,0)),"")</f>
        <v/>
      </c>
      <c r="AE197" t="e">
        <f>INDEX(liv_ar_codes,MATCH(loaded!BO197,liv_ar,0))</f>
        <v>#N/A</v>
      </c>
      <c r="AF197" t="str">
        <f>_xlfn.IFNA(INDEX(MTT_codes,MATCH(loaded!BQ197,MTT,0)),"")</f>
        <v/>
      </c>
      <c r="AG197">
        <f>_xlfn.IFNA(INDEX(mental_codes,MATCH(loaded!BS197,mental,0)),9)</f>
        <v>9</v>
      </c>
    </row>
    <row r="198" spans="1:33" x14ac:dyDescent="0.25">
      <c r="A198">
        <f>loaded!C198</f>
        <v>0</v>
      </c>
      <c r="B198">
        <f>loaded!I198</f>
        <v>0</v>
      </c>
      <c r="C198">
        <f>IF(loaded!K198="Male",1,IF(loaded!K198="Female",2,9))</f>
        <v>9</v>
      </c>
      <c r="D198" s="8">
        <f>loaded!M198</f>
        <v>0</v>
      </c>
      <c r="E198" t="str">
        <f>LEFT(loaded!O198,3)</f>
        <v/>
      </c>
      <c r="F198" t="e">
        <f>INDEX(cntry_codes,MATCH(loaded!Q198,countries,0))</f>
        <v>#N/A</v>
      </c>
      <c r="G198" t="e">
        <f>INDEX(atsi_codes,MATCH(loaded!S198,atsi,0))</f>
        <v>#N/A</v>
      </c>
      <c r="H198" t="e">
        <f>INDEX(lang_codes,MATCH(loaded!U198,lang,0))</f>
        <v>#N/A</v>
      </c>
      <c r="I198" s="8">
        <f>loaded!W198</f>
        <v>0</v>
      </c>
      <c r="J198" t="e">
        <f>INDEX(us_acc_codes,MATCH(loaded!Y198,us_acc,0))</f>
        <v>#N/A</v>
      </c>
      <c r="K198" t="e">
        <f>INDEX(client_codes,MATCH(loaded!AA198,client,0))</f>
        <v>#N/A</v>
      </c>
      <c r="L198" t="e">
        <f>INDEX(src_ref_codes,MATCH(loaded!AC198,src_ref,0))</f>
        <v>#N/A</v>
      </c>
      <c r="M198" s="8">
        <f>loaded!AE198</f>
        <v>0</v>
      </c>
      <c r="N198" s="8">
        <f>loaded!AG198</f>
        <v>0</v>
      </c>
      <c r="O198" t="e">
        <f>INDEX(reces_codes,MATCH(loaded!AI198,reason,0))</f>
        <v>#N/A</v>
      </c>
      <c r="P198" t="e">
        <f>INDEX(TDS_codes,MATCH(loaded!AK198,TDS,0))</f>
        <v>#N/A</v>
      </c>
      <c r="Q198" t="e">
        <f>IF(K198=2,"",INDEX(method_codes,MATCH(loaded!AM198,method,0)))</f>
        <v>#N/A</v>
      </c>
      <c r="R198" t="e">
        <f>IF(K198=2,"",INDEX(inj_codes,MATCH(loaded!AO198,inj,0)))</f>
        <v>#N/A</v>
      </c>
      <c r="S198" t="e">
        <f>IF(K198=2,"",INDEX(drug_codes,MATCH(loaded!AQ198,drug,0)))</f>
        <v>#N/A</v>
      </c>
      <c r="T198" t="e">
        <f>IF(K198=2,"",_xlfn.IFNA(INDEX(drug_codes,MATCH(loaded!AS198,drug,0)),""))</f>
        <v>#N/A</v>
      </c>
      <c r="U198" t="e">
        <f>IF(K198=2,"",_xlfn.IFNA(INDEX(drug_codes,MATCH(loaded!AU198,drug,0)),""))</f>
        <v>#N/A</v>
      </c>
      <c r="V198" t="e">
        <f>IF(K198=2,"",_xlfn.IFNA(INDEX(drug_codes,MATCH(loaded!AW198,drug,0)),""))</f>
        <v>#N/A</v>
      </c>
      <c r="W198" t="e">
        <f>IF(K198=2,"",_xlfn.IFNA(INDEX(drug_codes,MATCH(loaded!AY198,drug,0)),""))</f>
        <v>#N/A</v>
      </c>
      <c r="X198" t="e">
        <f>IF(K198=2,"",_xlfn.IFNA(INDEX(drug_codes,MATCH(loaded!BA198,drug,0)),""))</f>
        <v>#N/A</v>
      </c>
      <c r="Y198" t="e">
        <f>INDEX(MTT_codes,MATCH(loaded!BC198,MTT,0))</f>
        <v>#N/A</v>
      </c>
      <c r="Z198" t="str">
        <f>_xlfn.IFNA(INDEX(MTT_codes,MATCH(loaded!BE198,MTT,0)),"")</f>
        <v/>
      </c>
      <c r="AA198" t="str">
        <f>_xlfn.IFNA(INDEX(MTT_codes,MATCH(loaded!BG198,MTT,0)),"")</f>
        <v/>
      </c>
      <c r="AB198" t="str">
        <f>_xlfn.IFNA(INDEX(MTT_codes,MATCH(loaded!BI198,MTT,0)),"")</f>
        <v/>
      </c>
      <c r="AC198" t="str">
        <f>_xlfn.IFNA(INDEX(MTT_codes,MATCH(loaded!BK198,MTT,0)),"")</f>
        <v/>
      </c>
      <c r="AD198" t="str">
        <f>_xlfn.IFNA(INDEX(MTT_codes,MATCH(loaded!BM198,MTT,0)),"")</f>
        <v/>
      </c>
      <c r="AE198" t="e">
        <f>INDEX(liv_ar_codes,MATCH(loaded!BO198,liv_ar,0))</f>
        <v>#N/A</v>
      </c>
      <c r="AF198" t="str">
        <f>_xlfn.IFNA(INDEX(MTT_codes,MATCH(loaded!BQ198,MTT,0)),"")</f>
        <v/>
      </c>
      <c r="AG198">
        <f>_xlfn.IFNA(INDEX(mental_codes,MATCH(loaded!BS198,mental,0)),9)</f>
        <v>9</v>
      </c>
    </row>
    <row r="199" spans="1:33" x14ac:dyDescent="0.25">
      <c r="A199">
        <f>loaded!C199</f>
        <v>0</v>
      </c>
      <c r="B199">
        <f>loaded!I199</f>
        <v>0</v>
      </c>
      <c r="C199">
        <f>IF(loaded!K199="Male",1,IF(loaded!K199="Female",2,9))</f>
        <v>9</v>
      </c>
      <c r="D199" s="8">
        <f>loaded!M199</f>
        <v>0</v>
      </c>
      <c r="E199" t="str">
        <f>LEFT(loaded!O199,3)</f>
        <v/>
      </c>
      <c r="F199" t="e">
        <f>INDEX(cntry_codes,MATCH(loaded!Q199,countries,0))</f>
        <v>#N/A</v>
      </c>
      <c r="G199" t="e">
        <f>INDEX(atsi_codes,MATCH(loaded!S199,atsi,0))</f>
        <v>#N/A</v>
      </c>
      <c r="H199" t="e">
        <f>INDEX(lang_codes,MATCH(loaded!U199,lang,0))</f>
        <v>#N/A</v>
      </c>
      <c r="I199" s="8">
        <f>loaded!W199</f>
        <v>0</v>
      </c>
      <c r="J199" t="e">
        <f>INDEX(us_acc_codes,MATCH(loaded!Y199,us_acc,0))</f>
        <v>#N/A</v>
      </c>
      <c r="K199" t="e">
        <f>INDEX(client_codes,MATCH(loaded!AA199,client,0))</f>
        <v>#N/A</v>
      </c>
      <c r="L199" t="e">
        <f>INDEX(src_ref_codes,MATCH(loaded!AC199,src_ref,0))</f>
        <v>#N/A</v>
      </c>
      <c r="M199" s="8">
        <f>loaded!AE199</f>
        <v>0</v>
      </c>
      <c r="N199" s="8">
        <f>loaded!AG199</f>
        <v>0</v>
      </c>
      <c r="O199" t="e">
        <f>INDEX(reces_codes,MATCH(loaded!AI199,reason,0))</f>
        <v>#N/A</v>
      </c>
      <c r="P199" t="e">
        <f>INDEX(TDS_codes,MATCH(loaded!AK199,TDS,0))</f>
        <v>#N/A</v>
      </c>
      <c r="Q199" t="e">
        <f>IF(K199=2,"",INDEX(method_codes,MATCH(loaded!AM199,method,0)))</f>
        <v>#N/A</v>
      </c>
      <c r="R199" t="e">
        <f>IF(K199=2,"",INDEX(inj_codes,MATCH(loaded!AO199,inj,0)))</f>
        <v>#N/A</v>
      </c>
      <c r="S199" t="e">
        <f>IF(K199=2,"",INDEX(drug_codes,MATCH(loaded!AQ199,drug,0)))</f>
        <v>#N/A</v>
      </c>
      <c r="T199" t="e">
        <f>IF(K199=2,"",_xlfn.IFNA(INDEX(drug_codes,MATCH(loaded!AS199,drug,0)),""))</f>
        <v>#N/A</v>
      </c>
      <c r="U199" t="e">
        <f>IF(K199=2,"",_xlfn.IFNA(INDEX(drug_codes,MATCH(loaded!AU199,drug,0)),""))</f>
        <v>#N/A</v>
      </c>
      <c r="V199" t="e">
        <f>IF(K199=2,"",_xlfn.IFNA(INDEX(drug_codes,MATCH(loaded!AW199,drug,0)),""))</f>
        <v>#N/A</v>
      </c>
      <c r="W199" t="e">
        <f>IF(K199=2,"",_xlfn.IFNA(INDEX(drug_codes,MATCH(loaded!AY199,drug,0)),""))</f>
        <v>#N/A</v>
      </c>
      <c r="X199" t="e">
        <f>IF(K199=2,"",_xlfn.IFNA(INDEX(drug_codes,MATCH(loaded!BA199,drug,0)),""))</f>
        <v>#N/A</v>
      </c>
      <c r="Y199" t="e">
        <f>INDEX(MTT_codes,MATCH(loaded!BC199,MTT,0))</f>
        <v>#N/A</v>
      </c>
      <c r="Z199" t="str">
        <f>_xlfn.IFNA(INDEX(MTT_codes,MATCH(loaded!BE199,MTT,0)),"")</f>
        <v/>
      </c>
      <c r="AA199" t="str">
        <f>_xlfn.IFNA(INDEX(MTT_codes,MATCH(loaded!BG199,MTT,0)),"")</f>
        <v/>
      </c>
      <c r="AB199" t="str">
        <f>_xlfn.IFNA(INDEX(MTT_codes,MATCH(loaded!BI199,MTT,0)),"")</f>
        <v/>
      </c>
      <c r="AC199" t="str">
        <f>_xlfn.IFNA(INDEX(MTT_codes,MATCH(loaded!BK199,MTT,0)),"")</f>
        <v/>
      </c>
      <c r="AD199" t="str">
        <f>_xlfn.IFNA(INDEX(MTT_codes,MATCH(loaded!BM199,MTT,0)),"")</f>
        <v/>
      </c>
      <c r="AE199" t="e">
        <f>INDEX(liv_ar_codes,MATCH(loaded!BO199,liv_ar,0))</f>
        <v>#N/A</v>
      </c>
      <c r="AF199" t="str">
        <f>_xlfn.IFNA(INDEX(MTT_codes,MATCH(loaded!BQ199,MTT,0)),"")</f>
        <v/>
      </c>
      <c r="AG199">
        <f>_xlfn.IFNA(INDEX(mental_codes,MATCH(loaded!BS199,mental,0)),9)</f>
        <v>9</v>
      </c>
    </row>
    <row r="200" spans="1:33" x14ac:dyDescent="0.25">
      <c r="A200">
        <f>loaded!C200</f>
        <v>0</v>
      </c>
      <c r="B200">
        <f>loaded!I200</f>
        <v>0</v>
      </c>
      <c r="C200">
        <f>IF(loaded!K200="Male",1,IF(loaded!K200="Female",2,9))</f>
        <v>9</v>
      </c>
      <c r="D200" s="8">
        <f>loaded!M200</f>
        <v>0</v>
      </c>
      <c r="E200" t="str">
        <f>LEFT(loaded!O200,3)</f>
        <v/>
      </c>
      <c r="F200" t="e">
        <f>INDEX(cntry_codes,MATCH(loaded!Q200,countries,0))</f>
        <v>#N/A</v>
      </c>
      <c r="G200" t="e">
        <f>INDEX(atsi_codes,MATCH(loaded!S200,atsi,0))</f>
        <v>#N/A</v>
      </c>
      <c r="H200" t="e">
        <f>INDEX(lang_codes,MATCH(loaded!U200,lang,0))</f>
        <v>#N/A</v>
      </c>
      <c r="I200" s="8">
        <f>loaded!W200</f>
        <v>0</v>
      </c>
      <c r="J200" t="e">
        <f>INDEX(us_acc_codes,MATCH(loaded!Y200,us_acc,0))</f>
        <v>#N/A</v>
      </c>
      <c r="K200" t="e">
        <f>INDEX(client_codes,MATCH(loaded!AA200,client,0))</f>
        <v>#N/A</v>
      </c>
      <c r="L200" t="e">
        <f>INDEX(src_ref_codes,MATCH(loaded!AC200,src_ref,0))</f>
        <v>#N/A</v>
      </c>
      <c r="M200" s="8">
        <f>loaded!AE200</f>
        <v>0</v>
      </c>
      <c r="N200" s="8">
        <f>loaded!AG200</f>
        <v>0</v>
      </c>
      <c r="O200" t="e">
        <f>INDEX(reces_codes,MATCH(loaded!AI200,reason,0))</f>
        <v>#N/A</v>
      </c>
      <c r="P200" t="e">
        <f>INDEX(TDS_codes,MATCH(loaded!AK200,TDS,0))</f>
        <v>#N/A</v>
      </c>
      <c r="Q200" t="e">
        <f>IF(K200=2,"",INDEX(method_codes,MATCH(loaded!AM200,method,0)))</f>
        <v>#N/A</v>
      </c>
      <c r="R200" t="e">
        <f>IF(K200=2,"",INDEX(inj_codes,MATCH(loaded!AO200,inj,0)))</f>
        <v>#N/A</v>
      </c>
      <c r="S200" t="e">
        <f>IF(K200=2,"",INDEX(drug_codes,MATCH(loaded!AQ200,drug,0)))</f>
        <v>#N/A</v>
      </c>
      <c r="T200" t="e">
        <f>IF(K200=2,"",_xlfn.IFNA(INDEX(drug_codes,MATCH(loaded!AS200,drug,0)),""))</f>
        <v>#N/A</v>
      </c>
      <c r="U200" t="e">
        <f>IF(K200=2,"",_xlfn.IFNA(INDEX(drug_codes,MATCH(loaded!AU200,drug,0)),""))</f>
        <v>#N/A</v>
      </c>
      <c r="V200" t="e">
        <f>IF(K200=2,"",_xlfn.IFNA(INDEX(drug_codes,MATCH(loaded!AW200,drug,0)),""))</f>
        <v>#N/A</v>
      </c>
      <c r="W200" t="e">
        <f>IF(K200=2,"",_xlfn.IFNA(INDEX(drug_codes,MATCH(loaded!AY200,drug,0)),""))</f>
        <v>#N/A</v>
      </c>
      <c r="X200" t="e">
        <f>IF(K200=2,"",_xlfn.IFNA(INDEX(drug_codes,MATCH(loaded!BA200,drug,0)),""))</f>
        <v>#N/A</v>
      </c>
      <c r="Y200" t="e">
        <f>INDEX(MTT_codes,MATCH(loaded!BC200,MTT,0))</f>
        <v>#N/A</v>
      </c>
      <c r="Z200" t="str">
        <f>_xlfn.IFNA(INDEX(MTT_codes,MATCH(loaded!BE200,MTT,0)),"")</f>
        <v/>
      </c>
      <c r="AA200" t="str">
        <f>_xlfn.IFNA(INDEX(MTT_codes,MATCH(loaded!BG200,MTT,0)),"")</f>
        <v/>
      </c>
      <c r="AB200" t="str">
        <f>_xlfn.IFNA(INDEX(MTT_codes,MATCH(loaded!BI200,MTT,0)),"")</f>
        <v/>
      </c>
      <c r="AC200" t="str">
        <f>_xlfn.IFNA(INDEX(MTT_codes,MATCH(loaded!BK200,MTT,0)),"")</f>
        <v/>
      </c>
      <c r="AD200" t="str">
        <f>_xlfn.IFNA(INDEX(MTT_codes,MATCH(loaded!BM200,MTT,0)),"")</f>
        <v/>
      </c>
      <c r="AE200" t="e">
        <f>INDEX(liv_ar_codes,MATCH(loaded!BO200,liv_ar,0))</f>
        <v>#N/A</v>
      </c>
      <c r="AF200" t="str">
        <f>_xlfn.IFNA(INDEX(MTT_codes,MATCH(loaded!BQ200,MTT,0)),"")</f>
        <v/>
      </c>
      <c r="AG200">
        <f>_xlfn.IFNA(INDEX(mental_codes,MATCH(loaded!BS200,mental,0)),9)</f>
        <v>9</v>
      </c>
    </row>
    <row r="201" spans="1:33" x14ac:dyDescent="0.25">
      <c r="A201">
        <f>loaded!C201</f>
        <v>0</v>
      </c>
      <c r="B201">
        <f>loaded!I201</f>
        <v>0</v>
      </c>
      <c r="C201">
        <f>IF(loaded!K201="Male",1,IF(loaded!K201="Female",2,9))</f>
        <v>9</v>
      </c>
      <c r="D201" s="8">
        <f>loaded!M201</f>
        <v>0</v>
      </c>
      <c r="E201" t="str">
        <f>LEFT(loaded!O201,3)</f>
        <v/>
      </c>
      <c r="F201" t="e">
        <f>INDEX(cntry_codes,MATCH(loaded!Q201,countries,0))</f>
        <v>#N/A</v>
      </c>
      <c r="G201" t="e">
        <f>INDEX(atsi_codes,MATCH(loaded!S201,atsi,0))</f>
        <v>#N/A</v>
      </c>
      <c r="H201" t="e">
        <f>INDEX(lang_codes,MATCH(loaded!U201,lang,0))</f>
        <v>#N/A</v>
      </c>
      <c r="I201" s="8">
        <f>loaded!W201</f>
        <v>0</v>
      </c>
      <c r="J201" t="e">
        <f>INDEX(us_acc_codes,MATCH(loaded!Y201,us_acc,0))</f>
        <v>#N/A</v>
      </c>
      <c r="K201" t="e">
        <f>INDEX(client_codes,MATCH(loaded!AA201,client,0))</f>
        <v>#N/A</v>
      </c>
      <c r="L201" t="e">
        <f>INDEX(src_ref_codes,MATCH(loaded!AC201,src_ref,0))</f>
        <v>#N/A</v>
      </c>
      <c r="M201" s="8">
        <f>loaded!AE201</f>
        <v>0</v>
      </c>
      <c r="N201" s="8">
        <f>loaded!AG201</f>
        <v>0</v>
      </c>
      <c r="O201" t="e">
        <f>INDEX(reces_codes,MATCH(loaded!AI201,reason,0))</f>
        <v>#N/A</v>
      </c>
      <c r="P201" t="e">
        <f>INDEX(TDS_codes,MATCH(loaded!AK201,TDS,0))</f>
        <v>#N/A</v>
      </c>
      <c r="Q201" t="e">
        <f>IF(K201=2,"",INDEX(method_codes,MATCH(loaded!AM201,method,0)))</f>
        <v>#N/A</v>
      </c>
      <c r="R201" t="e">
        <f>IF(K201=2,"",INDEX(inj_codes,MATCH(loaded!AO201,inj,0)))</f>
        <v>#N/A</v>
      </c>
      <c r="S201" t="e">
        <f>IF(K201=2,"",INDEX(drug_codes,MATCH(loaded!AQ201,drug,0)))</f>
        <v>#N/A</v>
      </c>
      <c r="T201" t="e">
        <f>IF(K201=2,"",_xlfn.IFNA(INDEX(drug_codes,MATCH(loaded!AS201,drug,0)),""))</f>
        <v>#N/A</v>
      </c>
      <c r="U201" t="e">
        <f>IF(K201=2,"",_xlfn.IFNA(INDEX(drug_codes,MATCH(loaded!AU201,drug,0)),""))</f>
        <v>#N/A</v>
      </c>
      <c r="V201" t="e">
        <f>IF(K201=2,"",_xlfn.IFNA(INDEX(drug_codes,MATCH(loaded!AW201,drug,0)),""))</f>
        <v>#N/A</v>
      </c>
      <c r="W201" t="e">
        <f>IF(K201=2,"",_xlfn.IFNA(INDEX(drug_codes,MATCH(loaded!AY201,drug,0)),""))</f>
        <v>#N/A</v>
      </c>
      <c r="X201" t="e">
        <f>IF(K201=2,"",_xlfn.IFNA(INDEX(drug_codes,MATCH(loaded!BA201,drug,0)),""))</f>
        <v>#N/A</v>
      </c>
      <c r="Y201" t="e">
        <f>INDEX(MTT_codes,MATCH(loaded!BC201,MTT,0))</f>
        <v>#N/A</v>
      </c>
      <c r="Z201" t="str">
        <f>_xlfn.IFNA(INDEX(MTT_codes,MATCH(loaded!BE201,MTT,0)),"")</f>
        <v/>
      </c>
      <c r="AA201" t="str">
        <f>_xlfn.IFNA(INDEX(MTT_codes,MATCH(loaded!BG201,MTT,0)),"")</f>
        <v/>
      </c>
      <c r="AB201" t="str">
        <f>_xlfn.IFNA(INDEX(MTT_codes,MATCH(loaded!BI201,MTT,0)),"")</f>
        <v/>
      </c>
      <c r="AC201" t="str">
        <f>_xlfn.IFNA(INDEX(MTT_codes,MATCH(loaded!BK201,MTT,0)),"")</f>
        <v/>
      </c>
      <c r="AD201" t="str">
        <f>_xlfn.IFNA(INDEX(MTT_codes,MATCH(loaded!BM201,MTT,0)),"")</f>
        <v/>
      </c>
      <c r="AE201" t="e">
        <f>INDEX(liv_ar_codes,MATCH(loaded!BO201,liv_ar,0))</f>
        <v>#N/A</v>
      </c>
      <c r="AF201" t="str">
        <f>_xlfn.IFNA(INDEX(MTT_codes,MATCH(loaded!BQ201,MTT,0)),"")</f>
        <v/>
      </c>
      <c r="AG201">
        <f>_xlfn.IFNA(INDEX(mental_codes,MATCH(loaded!BS201,mental,0)),9)</f>
        <v>9</v>
      </c>
    </row>
    <row r="202" spans="1:33" x14ac:dyDescent="0.25">
      <c r="A202">
        <f>loaded!C202</f>
        <v>0</v>
      </c>
      <c r="B202">
        <f>loaded!I202</f>
        <v>0</v>
      </c>
      <c r="C202">
        <f>IF(loaded!K202="Male",1,IF(loaded!K202="Female",2,9))</f>
        <v>9</v>
      </c>
      <c r="D202" s="8">
        <f>loaded!M202</f>
        <v>0</v>
      </c>
      <c r="E202" t="str">
        <f>LEFT(loaded!O202,3)</f>
        <v/>
      </c>
      <c r="F202" t="e">
        <f>INDEX(cntry_codes,MATCH(loaded!Q202,countries,0))</f>
        <v>#N/A</v>
      </c>
      <c r="G202" t="e">
        <f>INDEX(atsi_codes,MATCH(loaded!S202,atsi,0))</f>
        <v>#N/A</v>
      </c>
      <c r="H202" t="e">
        <f>INDEX(lang_codes,MATCH(loaded!U202,lang,0))</f>
        <v>#N/A</v>
      </c>
      <c r="I202" s="8">
        <f>loaded!W202</f>
        <v>0</v>
      </c>
      <c r="J202" t="e">
        <f>INDEX(us_acc_codes,MATCH(loaded!Y202,us_acc,0))</f>
        <v>#N/A</v>
      </c>
      <c r="K202" t="e">
        <f>INDEX(client_codes,MATCH(loaded!AA202,client,0))</f>
        <v>#N/A</v>
      </c>
      <c r="L202" t="e">
        <f>INDEX(src_ref_codes,MATCH(loaded!AC202,src_ref,0))</f>
        <v>#N/A</v>
      </c>
      <c r="M202" s="8">
        <f>loaded!AE202</f>
        <v>0</v>
      </c>
      <c r="N202" s="8">
        <f>loaded!AG202</f>
        <v>0</v>
      </c>
      <c r="O202" t="e">
        <f>INDEX(reces_codes,MATCH(loaded!AI202,reason,0))</f>
        <v>#N/A</v>
      </c>
      <c r="P202" t="e">
        <f>INDEX(TDS_codes,MATCH(loaded!AK202,TDS,0))</f>
        <v>#N/A</v>
      </c>
      <c r="Q202" t="e">
        <f>IF(K202=2,"",INDEX(method_codes,MATCH(loaded!AM202,method,0)))</f>
        <v>#N/A</v>
      </c>
      <c r="R202" t="e">
        <f>IF(K202=2,"",INDEX(inj_codes,MATCH(loaded!AO202,inj,0)))</f>
        <v>#N/A</v>
      </c>
      <c r="S202" t="e">
        <f>IF(K202=2,"",INDEX(drug_codes,MATCH(loaded!AQ202,drug,0)))</f>
        <v>#N/A</v>
      </c>
      <c r="T202" t="e">
        <f>IF(K202=2,"",_xlfn.IFNA(INDEX(drug_codes,MATCH(loaded!AS202,drug,0)),""))</f>
        <v>#N/A</v>
      </c>
      <c r="U202" t="e">
        <f>IF(K202=2,"",_xlfn.IFNA(INDEX(drug_codes,MATCH(loaded!AU202,drug,0)),""))</f>
        <v>#N/A</v>
      </c>
      <c r="V202" t="e">
        <f>IF(K202=2,"",_xlfn.IFNA(INDEX(drug_codes,MATCH(loaded!AW202,drug,0)),""))</f>
        <v>#N/A</v>
      </c>
      <c r="W202" t="e">
        <f>IF(K202=2,"",_xlfn.IFNA(INDEX(drug_codes,MATCH(loaded!AY202,drug,0)),""))</f>
        <v>#N/A</v>
      </c>
      <c r="X202" t="e">
        <f>IF(K202=2,"",_xlfn.IFNA(INDEX(drug_codes,MATCH(loaded!BA202,drug,0)),""))</f>
        <v>#N/A</v>
      </c>
      <c r="Y202" t="e">
        <f>INDEX(MTT_codes,MATCH(loaded!BC202,MTT,0))</f>
        <v>#N/A</v>
      </c>
      <c r="Z202" t="str">
        <f>_xlfn.IFNA(INDEX(MTT_codes,MATCH(loaded!BE202,MTT,0)),"")</f>
        <v/>
      </c>
      <c r="AA202" t="str">
        <f>_xlfn.IFNA(INDEX(MTT_codes,MATCH(loaded!BG202,MTT,0)),"")</f>
        <v/>
      </c>
      <c r="AB202" t="str">
        <f>_xlfn.IFNA(INDEX(MTT_codes,MATCH(loaded!BI202,MTT,0)),"")</f>
        <v/>
      </c>
      <c r="AC202" t="str">
        <f>_xlfn.IFNA(INDEX(MTT_codes,MATCH(loaded!BK202,MTT,0)),"")</f>
        <v/>
      </c>
      <c r="AD202" t="str">
        <f>_xlfn.IFNA(INDEX(MTT_codes,MATCH(loaded!BM202,MTT,0)),"")</f>
        <v/>
      </c>
      <c r="AE202" t="e">
        <f>INDEX(liv_ar_codes,MATCH(loaded!BO202,liv_ar,0))</f>
        <v>#N/A</v>
      </c>
      <c r="AF202" t="str">
        <f>_xlfn.IFNA(INDEX(MTT_codes,MATCH(loaded!BQ202,MTT,0)),"")</f>
        <v/>
      </c>
      <c r="AG202">
        <f>_xlfn.IFNA(INDEX(mental_codes,MATCH(loaded!BS202,mental,0)),9)</f>
        <v>9</v>
      </c>
    </row>
    <row r="203" spans="1:33" x14ac:dyDescent="0.25">
      <c r="A203">
        <f>loaded!C203</f>
        <v>0</v>
      </c>
      <c r="B203">
        <f>loaded!I203</f>
        <v>0</v>
      </c>
      <c r="C203">
        <f>IF(loaded!K203="Male",1,IF(loaded!K203="Female",2,9))</f>
        <v>9</v>
      </c>
      <c r="D203" s="8">
        <f>loaded!M203</f>
        <v>0</v>
      </c>
      <c r="E203" t="str">
        <f>LEFT(loaded!O203,3)</f>
        <v/>
      </c>
      <c r="F203" t="e">
        <f>INDEX(cntry_codes,MATCH(loaded!Q203,countries,0))</f>
        <v>#N/A</v>
      </c>
      <c r="G203" t="e">
        <f>INDEX(atsi_codes,MATCH(loaded!S203,atsi,0))</f>
        <v>#N/A</v>
      </c>
      <c r="H203" t="e">
        <f>INDEX(lang_codes,MATCH(loaded!U203,lang,0))</f>
        <v>#N/A</v>
      </c>
      <c r="I203" s="8">
        <f>loaded!W203</f>
        <v>0</v>
      </c>
      <c r="J203" t="e">
        <f>INDEX(us_acc_codes,MATCH(loaded!Y203,us_acc,0))</f>
        <v>#N/A</v>
      </c>
      <c r="K203" t="e">
        <f>INDEX(client_codes,MATCH(loaded!AA203,client,0))</f>
        <v>#N/A</v>
      </c>
      <c r="L203" t="e">
        <f>INDEX(src_ref_codes,MATCH(loaded!AC203,src_ref,0))</f>
        <v>#N/A</v>
      </c>
      <c r="M203" s="8">
        <f>loaded!AE203</f>
        <v>0</v>
      </c>
      <c r="N203" s="8">
        <f>loaded!AG203</f>
        <v>0</v>
      </c>
      <c r="O203" t="e">
        <f>INDEX(reces_codes,MATCH(loaded!AI203,reason,0))</f>
        <v>#N/A</v>
      </c>
      <c r="P203" t="e">
        <f>INDEX(TDS_codes,MATCH(loaded!AK203,TDS,0))</f>
        <v>#N/A</v>
      </c>
      <c r="Q203" t="e">
        <f>IF(K203=2,"",INDEX(method_codes,MATCH(loaded!AM203,method,0)))</f>
        <v>#N/A</v>
      </c>
      <c r="R203" t="e">
        <f>IF(K203=2,"",INDEX(inj_codes,MATCH(loaded!AO203,inj,0)))</f>
        <v>#N/A</v>
      </c>
      <c r="S203" t="e">
        <f>IF(K203=2,"",INDEX(drug_codes,MATCH(loaded!AQ203,drug,0)))</f>
        <v>#N/A</v>
      </c>
      <c r="T203" t="e">
        <f>IF(K203=2,"",_xlfn.IFNA(INDEX(drug_codes,MATCH(loaded!AS203,drug,0)),""))</f>
        <v>#N/A</v>
      </c>
      <c r="U203" t="e">
        <f>IF(K203=2,"",_xlfn.IFNA(INDEX(drug_codes,MATCH(loaded!AU203,drug,0)),""))</f>
        <v>#N/A</v>
      </c>
      <c r="V203" t="e">
        <f>IF(K203=2,"",_xlfn.IFNA(INDEX(drug_codes,MATCH(loaded!AW203,drug,0)),""))</f>
        <v>#N/A</v>
      </c>
      <c r="W203" t="e">
        <f>IF(K203=2,"",_xlfn.IFNA(INDEX(drug_codes,MATCH(loaded!AY203,drug,0)),""))</f>
        <v>#N/A</v>
      </c>
      <c r="X203" t="e">
        <f>IF(K203=2,"",_xlfn.IFNA(INDEX(drug_codes,MATCH(loaded!BA203,drug,0)),""))</f>
        <v>#N/A</v>
      </c>
      <c r="Y203" t="e">
        <f>INDEX(MTT_codes,MATCH(loaded!BC203,MTT,0))</f>
        <v>#N/A</v>
      </c>
      <c r="Z203" t="str">
        <f>_xlfn.IFNA(INDEX(MTT_codes,MATCH(loaded!BE203,MTT,0)),"")</f>
        <v/>
      </c>
      <c r="AA203" t="str">
        <f>_xlfn.IFNA(INDEX(MTT_codes,MATCH(loaded!BG203,MTT,0)),"")</f>
        <v/>
      </c>
      <c r="AB203" t="str">
        <f>_xlfn.IFNA(INDEX(MTT_codes,MATCH(loaded!BI203,MTT,0)),"")</f>
        <v/>
      </c>
      <c r="AC203" t="str">
        <f>_xlfn.IFNA(INDEX(MTT_codes,MATCH(loaded!BK203,MTT,0)),"")</f>
        <v/>
      </c>
      <c r="AD203" t="str">
        <f>_xlfn.IFNA(INDEX(MTT_codes,MATCH(loaded!BM203,MTT,0)),"")</f>
        <v/>
      </c>
      <c r="AE203" t="e">
        <f>INDEX(liv_ar_codes,MATCH(loaded!BO203,liv_ar,0))</f>
        <v>#N/A</v>
      </c>
      <c r="AF203" t="str">
        <f>_xlfn.IFNA(INDEX(MTT_codes,MATCH(loaded!BQ203,MTT,0)),"")</f>
        <v/>
      </c>
      <c r="AG203">
        <f>_xlfn.IFNA(INDEX(mental_codes,MATCH(loaded!BS203,mental,0)),9)</f>
        <v>9</v>
      </c>
    </row>
    <row r="204" spans="1:33" x14ac:dyDescent="0.25">
      <c r="A204">
        <f>loaded!C204</f>
        <v>0</v>
      </c>
      <c r="B204">
        <f>loaded!I204</f>
        <v>0</v>
      </c>
      <c r="C204">
        <f>IF(loaded!K204="Male",1,IF(loaded!K204="Female",2,9))</f>
        <v>9</v>
      </c>
      <c r="D204" s="8">
        <f>loaded!M204</f>
        <v>0</v>
      </c>
      <c r="E204" t="str">
        <f>LEFT(loaded!O204,3)</f>
        <v/>
      </c>
      <c r="F204" t="e">
        <f>INDEX(cntry_codes,MATCH(loaded!Q204,countries,0))</f>
        <v>#N/A</v>
      </c>
      <c r="G204" t="e">
        <f>INDEX(atsi_codes,MATCH(loaded!S204,atsi,0))</f>
        <v>#N/A</v>
      </c>
      <c r="H204" t="e">
        <f>INDEX(lang_codes,MATCH(loaded!U204,lang,0))</f>
        <v>#N/A</v>
      </c>
      <c r="I204" s="8">
        <f>loaded!W204</f>
        <v>0</v>
      </c>
      <c r="J204" t="e">
        <f>INDEX(us_acc_codes,MATCH(loaded!Y204,us_acc,0))</f>
        <v>#N/A</v>
      </c>
      <c r="K204" t="e">
        <f>INDEX(client_codes,MATCH(loaded!AA204,client,0))</f>
        <v>#N/A</v>
      </c>
      <c r="L204" t="e">
        <f>INDEX(src_ref_codes,MATCH(loaded!AC204,src_ref,0))</f>
        <v>#N/A</v>
      </c>
      <c r="M204" s="8">
        <f>loaded!AE204</f>
        <v>0</v>
      </c>
      <c r="N204" s="8">
        <f>loaded!AG204</f>
        <v>0</v>
      </c>
      <c r="O204" t="e">
        <f>INDEX(reces_codes,MATCH(loaded!AI204,reason,0))</f>
        <v>#N/A</v>
      </c>
      <c r="P204" t="e">
        <f>INDEX(TDS_codes,MATCH(loaded!AK204,TDS,0))</f>
        <v>#N/A</v>
      </c>
      <c r="Q204" t="e">
        <f>IF(K204=2,"",INDEX(method_codes,MATCH(loaded!AM204,method,0)))</f>
        <v>#N/A</v>
      </c>
      <c r="R204" t="e">
        <f>IF(K204=2,"",INDEX(inj_codes,MATCH(loaded!AO204,inj,0)))</f>
        <v>#N/A</v>
      </c>
      <c r="S204" t="e">
        <f>IF(K204=2,"",INDEX(drug_codes,MATCH(loaded!AQ204,drug,0)))</f>
        <v>#N/A</v>
      </c>
      <c r="T204" t="e">
        <f>IF(K204=2,"",_xlfn.IFNA(INDEX(drug_codes,MATCH(loaded!AS204,drug,0)),""))</f>
        <v>#N/A</v>
      </c>
      <c r="U204" t="e">
        <f>IF(K204=2,"",_xlfn.IFNA(INDEX(drug_codes,MATCH(loaded!AU204,drug,0)),""))</f>
        <v>#N/A</v>
      </c>
      <c r="V204" t="e">
        <f>IF(K204=2,"",_xlfn.IFNA(INDEX(drug_codes,MATCH(loaded!AW204,drug,0)),""))</f>
        <v>#N/A</v>
      </c>
      <c r="W204" t="e">
        <f>IF(K204=2,"",_xlfn.IFNA(INDEX(drug_codes,MATCH(loaded!AY204,drug,0)),""))</f>
        <v>#N/A</v>
      </c>
      <c r="X204" t="e">
        <f>IF(K204=2,"",_xlfn.IFNA(INDEX(drug_codes,MATCH(loaded!BA204,drug,0)),""))</f>
        <v>#N/A</v>
      </c>
      <c r="Y204" t="e">
        <f>INDEX(MTT_codes,MATCH(loaded!BC204,MTT,0))</f>
        <v>#N/A</v>
      </c>
      <c r="Z204" t="str">
        <f>_xlfn.IFNA(INDEX(MTT_codes,MATCH(loaded!BE204,MTT,0)),"")</f>
        <v/>
      </c>
      <c r="AA204" t="str">
        <f>_xlfn.IFNA(INDEX(MTT_codes,MATCH(loaded!BG204,MTT,0)),"")</f>
        <v/>
      </c>
      <c r="AB204" t="str">
        <f>_xlfn.IFNA(INDEX(MTT_codes,MATCH(loaded!BI204,MTT,0)),"")</f>
        <v/>
      </c>
      <c r="AC204" t="str">
        <f>_xlfn.IFNA(INDEX(MTT_codes,MATCH(loaded!BK204,MTT,0)),"")</f>
        <v/>
      </c>
      <c r="AD204" t="str">
        <f>_xlfn.IFNA(INDEX(MTT_codes,MATCH(loaded!BM204,MTT,0)),"")</f>
        <v/>
      </c>
      <c r="AE204" t="e">
        <f>INDEX(liv_ar_codes,MATCH(loaded!BO204,liv_ar,0))</f>
        <v>#N/A</v>
      </c>
      <c r="AF204" t="str">
        <f>_xlfn.IFNA(INDEX(MTT_codes,MATCH(loaded!BQ204,MTT,0)),"")</f>
        <v/>
      </c>
      <c r="AG204">
        <f>_xlfn.IFNA(INDEX(mental_codes,MATCH(loaded!BS204,mental,0)),9)</f>
        <v>9</v>
      </c>
    </row>
    <row r="205" spans="1:33" x14ac:dyDescent="0.25">
      <c r="A205">
        <f>loaded!C205</f>
        <v>0</v>
      </c>
      <c r="B205">
        <f>loaded!I205</f>
        <v>0</v>
      </c>
      <c r="C205">
        <f>IF(loaded!K205="Male",1,IF(loaded!K205="Female",2,9))</f>
        <v>9</v>
      </c>
      <c r="D205" s="8">
        <f>loaded!M205</f>
        <v>0</v>
      </c>
      <c r="E205" t="str">
        <f>LEFT(loaded!O205,3)</f>
        <v/>
      </c>
      <c r="F205" t="e">
        <f>INDEX(cntry_codes,MATCH(loaded!Q205,countries,0))</f>
        <v>#N/A</v>
      </c>
      <c r="G205" t="e">
        <f>INDEX(atsi_codes,MATCH(loaded!S205,atsi,0))</f>
        <v>#N/A</v>
      </c>
      <c r="H205" t="e">
        <f>INDEX(lang_codes,MATCH(loaded!U205,lang,0))</f>
        <v>#N/A</v>
      </c>
      <c r="I205" s="8">
        <f>loaded!W205</f>
        <v>0</v>
      </c>
      <c r="J205" t="e">
        <f>INDEX(us_acc_codes,MATCH(loaded!Y205,us_acc,0))</f>
        <v>#N/A</v>
      </c>
      <c r="K205" t="e">
        <f>INDEX(client_codes,MATCH(loaded!AA205,client,0))</f>
        <v>#N/A</v>
      </c>
      <c r="L205" t="e">
        <f>INDEX(src_ref_codes,MATCH(loaded!AC205,src_ref,0))</f>
        <v>#N/A</v>
      </c>
      <c r="M205" s="8">
        <f>loaded!AE205</f>
        <v>0</v>
      </c>
      <c r="N205" s="8">
        <f>loaded!AG205</f>
        <v>0</v>
      </c>
      <c r="O205" t="e">
        <f>INDEX(reces_codes,MATCH(loaded!AI205,reason,0))</f>
        <v>#N/A</v>
      </c>
      <c r="P205" t="e">
        <f>INDEX(TDS_codes,MATCH(loaded!AK205,TDS,0))</f>
        <v>#N/A</v>
      </c>
      <c r="Q205" t="e">
        <f>IF(K205=2,"",INDEX(method_codes,MATCH(loaded!AM205,method,0)))</f>
        <v>#N/A</v>
      </c>
      <c r="R205" t="e">
        <f>IF(K205=2,"",INDEX(inj_codes,MATCH(loaded!AO205,inj,0)))</f>
        <v>#N/A</v>
      </c>
      <c r="S205" t="e">
        <f>IF(K205=2,"",INDEX(drug_codes,MATCH(loaded!AQ205,drug,0)))</f>
        <v>#N/A</v>
      </c>
      <c r="T205" t="e">
        <f>IF(K205=2,"",_xlfn.IFNA(INDEX(drug_codes,MATCH(loaded!AS205,drug,0)),""))</f>
        <v>#N/A</v>
      </c>
      <c r="U205" t="e">
        <f>IF(K205=2,"",_xlfn.IFNA(INDEX(drug_codes,MATCH(loaded!AU205,drug,0)),""))</f>
        <v>#N/A</v>
      </c>
      <c r="V205" t="e">
        <f>IF(K205=2,"",_xlfn.IFNA(INDEX(drug_codes,MATCH(loaded!AW205,drug,0)),""))</f>
        <v>#N/A</v>
      </c>
      <c r="W205" t="e">
        <f>IF(K205=2,"",_xlfn.IFNA(INDEX(drug_codes,MATCH(loaded!AY205,drug,0)),""))</f>
        <v>#N/A</v>
      </c>
      <c r="X205" t="e">
        <f>IF(K205=2,"",_xlfn.IFNA(INDEX(drug_codes,MATCH(loaded!BA205,drug,0)),""))</f>
        <v>#N/A</v>
      </c>
      <c r="Y205" t="e">
        <f>INDEX(MTT_codes,MATCH(loaded!BC205,MTT,0))</f>
        <v>#N/A</v>
      </c>
      <c r="Z205" t="str">
        <f>_xlfn.IFNA(INDEX(MTT_codes,MATCH(loaded!BE205,MTT,0)),"")</f>
        <v/>
      </c>
      <c r="AA205" t="str">
        <f>_xlfn.IFNA(INDEX(MTT_codes,MATCH(loaded!BG205,MTT,0)),"")</f>
        <v/>
      </c>
      <c r="AB205" t="str">
        <f>_xlfn.IFNA(INDEX(MTT_codes,MATCH(loaded!BI205,MTT,0)),"")</f>
        <v/>
      </c>
      <c r="AC205" t="str">
        <f>_xlfn.IFNA(INDEX(MTT_codes,MATCH(loaded!BK205,MTT,0)),"")</f>
        <v/>
      </c>
      <c r="AD205" t="str">
        <f>_xlfn.IFNA(INDEX(MTT_codes,MATCH(loaded!BM205,MTT,0)),"")</f>
        <v/>
      </c>
      <c r="AE205" t="e">
        <f>INDEX(liv_ar_codes,MATCH(loaded!BO205,liv_ar,0))</f>
        <v>#N/A</v>
      </c>
      <c r="AF205" t="str">
        <f>_xlfn.IFNA(INDEX(MTT_codes,MATCH(loaded!BQ205,MTT,0)),"")</f>
        <v/>
      </c>
      <c r="AG205">
        <f>_xlfn.IFNA(INDEX(mental_codes,MATCH(loaded!BS205,mental,0)),9)</f>
        <v>9</v>
      </c>
    </row>
    <row r="206" spans="1:33" x14ac:dyDescent="0.25">
      <c r="A206">
        <f>loaded!C206</f>
        <v>0</v>
      </c>
      <c r="B206">
        <f>loaded!I206</f>
        <v>0</v>
      </c>
      <c r="C206">
        <f>IF(loaded!K206="Male",1,IF(loaded!K206="Female",2,9))</f>
        <v>9</v>
      </c>
      <c r="D206" s="8">
        <f>loaded!M206</f>
        <v>0</v>
      </c>
      <c r="E206" t="str">
        <f>LEFT(loaded!O206,3)</f>
        <v/>
      </c>
      <c r="F206" t="e">
        <f>INDEX(cntry_codes,MATCH(loaded!Q206,countries,0))</f>
        <v>#N/A</v>
      </c>
      <c r="G206" t="e">
        <f>INDEX(atsi_codes,MATCH(loaded!S206,atsi,0))</f>
        <v>#N/A</v>
      </c>
      <c r="H206" t="e">
        <f>INDEX(lang_codes,MATCH(loaded!U206,lang,0))</f>
        <v>#N/A</v>
      </c>
      <c r="I206" s="8">
        <f>loaded!W206</f>
        <v>0</v>
      </c>
      <c r="J206" t="e">
        <f>INDEX(us_acc_codes,MATCH(loaded!Y206,us_acc,0))</f>
        <v>#N/A</v>
      </c>
      <c r="K206" t="e">
        <f>INDEX(client_codes,MATCH(loaded!AA206,client,0))</f>
        <v>#N/A</v>
      </c>
      <c r="L206" t="e">
        <f>INDEX(src_ref_codes,MATCH(loaded!AC206,src_ref,0))</f>
        <v>#N/A</v>
      </c>
      <c r="M206" s="8">
        <f>loaded!AE206</f>
        <v>0</v>
      </c>
      <c r="N206" s="8">
        <f>loaded!AG206</f>
        <v>0</v>
      </c>
      <c r="O206" t="e">
        <f>INDEX(reces_codes,MATCH(loaded!AI206,reason,0))</f>
        <v>#N/A</v>
      </c>
      <c r="P206" t="e">
        <f>INDEX(TDS_codes,MATCH(loaded!AK206,TDS,0))</f>
        <v>#N/A</v>
      </c>
      <c r="Q206" t="e">
        <f>IF(K206=2,"",INDEX(method_codes,MATCH(loaded!AM206,method,0)))</f>
        <v>#N/A</v>
      </c>
      <c r="R206" t="e">
        <f>IF(K206=2,"",INDEX(inj_codes,MATCH(loaded!AO206,inj,0)))</f>
        <v>#N/A</v>
      </c>
      <c r="S206" t="e">
        <f>IF(K206=2,"",INDEX(drug_codes,MATCH(loaded!AQ206,drug,0)))</f>
        <v>#N/A</v>
      </c>
      <c r="T206" t="e">
        <f>IF(K206=2,"",_xlfn.IFNA(INDEX(drug_codes,MATCH(loaded!AS206,drug,0)),""))</f>
        <v>#N/A</v>
      </c>
      <c r="U206" t="e">
        <f>IF(K206=2,"",_xlfn.IFNA(INDEX(drug_codes,MATCH(loaded!AU206,drug,0)),""))</f>
        <v>#N/A</v>
      </c>
      <c r="V206" t="e">
        <f>IF(K206=2,"",_xlfn.IFNA(INDEX(drug_codes,MATCH(loaded!AW206,drug,0)),""))</f>
        <v>#N/A</v>
      </c>
      <c r="W206" t="e">
        <f>IF(K206=2,"",_xlfn.IFNA(INDEX(drug_codes,MATCH(loaded!AY206,drug,0)),""))</f>
        <v>#N/A</v>
      </c>
      <c r="X206" t="e">
        <f>IF(K206=2,"",_xlfn.IFNA(INDEX(drug_codes,MATCH(loaded!BA206,drug,0)),""))</f>
        <v>#N/A</v>
      </c>
      <c r="Y206" t="e">
        <f>INDEX(MTT_codes,MATCH(loaded!BC206,MTT,0))</f>
        <v>#N/A</v>
      </c>
      <c r="Z206" t="str">
        <f>_xlfn.IFNA(INDEX(MTT_codes,MATCH(loaded!BE206,MTT,0)),"")</f>
        <v/>
      </c>
      <c r="AA206" t="str">
        <f>_xlfn.IFNA(INDEX(MTT_codes,MATCH(loaded!BG206,MTT,0)),"")</f>
        <v/>
      </c>
      <c r="AB206" t="str">
        <f>_xlfn.IFNA(INDEX(MTT_codes,MATCH(loaded!BI206,MTT,0)),"")</f>
        <v/>
      </c>
      <c r="AC206" t="str">
        <f>_xlfn.IFNA(INDEX(MTT_codes,MATCH(loaded!BK206,MTT,0)),"")</f>
        <v/>
      </c>
      <c r="AD206" t="str">
        <f>_xlfn.IFNA(INDEX(MTT_codes,MATCH(loaded!BM206,MTT,0)),"")</f>
        <v/>
      </c>
      <c r="AE206" t="e">
        <f>INDEX(liv_ar_codes,MATCH(loaded!BO206,liv_ar,0))</f>
        <v>#N/A</v>
      </c>
      <c r="AF206" t="str">
        <f>_xlfn.IFNA(INDEX(MTT_codes,MATCH(loaded!BQ206,MTT,0)),"")</f>
        <v/>
      </c>
      <c r="AG206">
        <f>_xlfn.IFNA(INDEX(mental_codes,MATCH(loaded!BS206,mental,0)),9)</f>
        <v>9</v>
      </c>
    </row>
    <row r="207" spans="1:33" x14ac:dyDescent="0.25">
      <c r="A207">
        <f>loaded!C207</f>
        <v>0</v>
      </c>
      <c r="B207">
        <f>loaded!I207</f>
        <v>0</v>
      </c>
      <c r="C207">
        <f>IF(loaded!K207="Male",1,IF(loaded!K207="Female",2,9))</f>
        <v>9</v>
      </c>
      <c r="D207" s="8">
        <f>loaded!M207</f>
        <v>0</v>
      </c>
      <c r="E207" t="str">
        <f>LEFT(loaded!O207,3)</f>
        <v/>
      </c>
      <c r="F207" t="e">
        <f>INDEX(cntry_codes,MATCH(loaded!Q207,countries,0))</f>
        <v>#N/A</v>
      </c>
      <c r="G207" t="e">
        <f>INDEX(atsi_codes,MATCH(loaded!S207,atsi,0))</f>
        <v>#N/A</v>
      </c>
      <c r="H207" t="e">
        <f>INDEX(lang_codes,MATCH(loaded!U207,lang,0))</f>
        <v>#N/A</v>
      </c>
      <c r="I207" s="8">
        <f>loaded!W207</f>
        <v>0</v>
      </c>
      <c r="J207" t="e">
        <f>INDEX(us_acc_codes,MATCH(loaded!Y207,us_acc,0))</f>
        <v>#N/A</v>
      </c>
      <c r="K207" t="e">
        <f>INDEX(client_codes,MATCH(loaded!AA207,client,0))</f>
        <v>#N/A</v>
      </c>
      <c r="L207" t="e">
        <f>INDEX(src_ref_codes,MATCH(loaded!AC207,src_ref,0))</f>
        <v>#N/A</v>
      </c>
      <c r="M207" s="8">
        <f>loaded!AE207</f>
        <v>0</v>
      </c>
      <c r="N207" s="8">
        <f>loaded!AG207</f>
        <v>0</v>
      </c>
      <c r="O207" t="e">
        <f>INDEX(reces_codes,MATCH(loaded!AI207,reason,0))</f>
        <v>#N/A</v>
      </c>
      <c r="P207" t="e">
        <f>INDEX(TDS_codes,MATCH(loaded!AK207,TDS,0))</f>
        <v>#N/A</v>
      </c>
      <c r="Q207" t="e">
        <f>IF(K207=2,"",INDEX(method_codes,MATCH(loaded!AM207,method,0)))</f>
        <v>#N/A</v>
      </c>
      <c r="R207" t="e">
        <f>IF(K207=2,"",INDEX(inj_codes,MATCH(loaded!AO207,inj,0)))</f>
        <v>#N/A</v>
      </c>
      <c r="S207" t="e">
        <f>IF(K207=2,"",INDEX(drug_codes,MATCH(loaded!AQ207,drug,0)))</f>
        <v>#N/A</v>
      </c>
      <c r="T207" t="e">
        <f>IF(K207=2,"",_xlfn.IFNA(INDEX(drug_codes,MATCH(loaded!AS207,drug,0)),""))</f>
        <v>#N/A</v>
      </c>
      <c r="U207" t="e">
        <f>IF(K207=2,"",_xlfn.IFNA(INDEX(drug_codes,MATCH(loaded!AU207,drug,0)),""))</f>
        <v>#N/A</v>
      </c>
      <c r="V207" t="e">
        <f>IF(K207=2,"",_xlfn.IFNA(INDEX(drug_codes,MATCH(loaded!AW207,drug,0)),""))</f>
        <v>#N/A</v>
      </c>
      <c r="W207" t="e">
        <f>IF(K207=2,"",_xlfn.IFNA(INDEX(drug_codes,MATCH(loaded!AY207,drug,0)),""))</f>
        <v>#N/A</v>
      </c>
      <c r="X207" t="e">
        <f>IF(K207=2,"",_xlfn.IFNA(INDEX(drug_codes,MATCH(loaded!BA207,drug,0)),""))</f>
        <v>#N/A</v>
      </c>
      <c r="Y207" t="e">
        <f>INDEX(MTT_codes,MATCH(loaded!BC207,MTT,0))</f>
        <v>#N/A</v>
      </c>
      <c r="Z207" t="str">
        <f>_xlfn.IFNA(INDEX(MTT_codes,MATCH(loaded!BE207,MTT,0)),"")</f>
        <v/>
      </c>
      <c r="AA207" t="str">
        <f>_xlfn.IFNA(INDEX(MTT_codes,MATCH(loaded!BG207,MTT,0)),"")</f>
        <v/>
      </c>
      <c r="AB207" t="str">
        <f>_xlfn.IFNA(INDEX(MTT_codes,MATCH(loaded!BI207,MTT,0)),"")</f>
        <v/>
      </c>
      <c r="AC207" t="str">
        <f>_xlfn.IFNA(INDEX(MTT_codes,MATCH(loaded!BK207,MTT,0)),"")</f>
        <v/>
      </c>
      <c r="AD207" t="str">
        <f>_xlfn.IFNA(INDEX(MTT_codes,MATCH(loaded!BM207,MTT,0)),"")</f>
        <v/>
      </c>
      <c r="AE207" t="e">
        <f>INDEX(liv_ar_codes,MATCH(loaded!BO207,liv_ar,0))</f>
        <v>#N/A</v>
      </c>
      <c r="AF207" t="str">
        <f>_xlfn.IFNA(INDEX(MTT_codes,MATCH(loaded!BQ207,MTT,0)),"")</f>
        <v/>
      </c>
      <c r="AG207">
        <f>_xlfn.IFNA(INDEX(mental_codes,MATCH(loaded!BS207,mental,0)),9)</f>
        <v>9</v>
      </c>
    </row>
    <row r="208" spans="1:33" x14ac:dyDescent="0.25">
      <c r="A208">
        <f>loaded!C208</f>
        <v>0</v>
      </c>
      <c r="B208">
        <f>loaded!I208</f>
        <v>0</v>
      </c>
      <c r="C208">
        <f>IF(loaded!K208="Male",1,IF(loaded!K208="Female",2,9))</f>
        <v>9</v>
      </c>
      <c r="D208" s="8">
        <f>loaded!M208</f>
        <v>0</v>
      </c>
      <c r="E208" t="str">
        <f>LEFT(loaded!O208,3)</f>
        <v/>
      </c>
      <c r="F208" t="e">
        <f>INDEX(cntry_codes,MATCH(loaded!Q208,countries,0))</f>
        <v>#N/A</v>
      </c>
      <c r="G208" t="e">
        <f>INDEX(atsi_codes,MATCH(loaded!S208,atsi,0))</f>
        <v>#N/A</v>
      </c>
      <c r="H208" t="e">
        <f>INDEX(lang_codes,MATCH(loaded!U208,lang,0))</f>
        <v>#N/A</v>
      </c>
      <c r="I208" s="8">
        <f>loaded!W208</f>
        <v>0</v>
      </c>
      <c r="J208" t="e">
        <f>INDEX(us_acc_codes,MATCH(loaded!Y208,us_acc,0))</f>
        <v>#N/A</v>
      </c>
      <c r="K208" t="e">
        <f>INDEX(client_codes,MATCH(loaded!AA208,client,0))</f>
        <v>#N/A</v>
      </c>
      <c r="L208" t="e">
        <f>INDEX(src_ref_codes,MATCH(loaded!AC208,src_ref,0))</f>
        <v>#N/A</v>
      </c>
      <c r="M208" s="8">
        <f>loaded!AE208</f>
        <v>0</v>
      </c>
      <c r="N208" s="8">
        <f>loaded!AG208</f>
        <v>0</v>
      </c>
      <c r="O208" t="e">
        <f>INDEX(reces_codes,MATCH(loaded!AI208,reason,0))</f>
        <v>#N/A</v>
      </c>
      <c r="P208" t="e">
        <f>INDEX(TDS_codes,MATCH(loaded!AK208,TDS,0))</f>
        <v>#N/A</v>
      </c>
      <c r="Q208" t="e">
        <f>IF(K208=2,"",INDEX(method_codes,MATCH(loaded!AM208,method,0)))</f>
        <v>#N/A</v>
      </c>
      <c r="R208" t="e">
        <f>IF(K208=2,"",INDEX(inj_codes,MATCH(loaded!AO208,inj,0)))</f>
        <v>#N/A</v>
      </c>
      <c r="S208" t="e">
        <f>IF(K208=2,"",INDEX(drug_codes,MATCH(loaded!AQ208,drug,0)))</f>
        <v>#N/A</v>
      </c>
      <c r="T208" t="e">
        <f>IF(K208=2,"",_xlfn.IFNA(INDEX(drug_codes,MATCH(loaded!AS208,drug,0)),""))</f>
        <v>#N/A</v>
      </c>
      <c r="U208" t="e">
        <f>IF(K208=2,"",_xlfn.IFNA(INDEX(drug_codes,MATCH(loaded!AU208,drug,0)),""))</f>
        <v>#N/A</v>
      </c>
      <c r="V208" t="e">
        <f>IF(K208=2,"",_xlfn.IFNA(INDEX(drug_codes,MATCH(loaded!AW208,drug,0)),""))</f>
        <v>#N/A</v>
      </c>
      <c r="W208" t="e">
        <f>IF(K208=2,"",_xlfn.IFNA(INDEX(drug_codes,MATCH(loaded!AY208,drug,0)),""))</f>
        <v>#N/A</v>
      </c>
      <c r="X208" t="e">
        <f>IF(K208=2,"",_xlfn.IFNA(INDEX(drug_codes,MATCH(loaded!BA208,drug,0)),""))</f>
        <v>#N/A</v>
      </c>
      <c r="Y208" t="e">
        <f>INDEX(MTT_codes,MATCH(loaded!BC208,MTT,0))</f>
        <v>#N/A</v>
      </c>
      <c r="Z208" t="str">
        <f>_xlfn.IFNA(INDEX(MTT_codes,MATCH(loaded!BE208,MTT,0)),"")</f>
        <v/>
      </c>
      <c r="AA208" t="str">
        <f>_xlfn.IFNA(INDEX(MTT_codes,MATCH(loaded!BG208,MTT,0)),"")</f>
        <v/>
      </c>
      <c r="AB208" t="str">
        <f>_xlfn.IFNA(INDEX(MTT_codes,MATCH(loaded!BI208,MTT,0)),"")</f>
        <v/>
      </c>
      <c r="AC208" t="str">
        <f>_xlfn.IFNA(INDEX(MTT_codes,MATCH(loaded!BK208,MTT,0)),"")</f>
        <v/>
      </c>
      <c r="AD208" t="str">
        <f>_xlfn.IFNA(INDEX(MTT_codes,MATCH(loaded!BM208,MTT,0)),"")</f>
        <v/>
      </c>
      <c r="AE208" t="e">
        <f>INDEX(liv_ar_codes,MATCH(loaded!BO208,liv_ar,0))</f>
        <v>#N/A</v>
      </c>
      <c r="AF208" t="str">
        <f>_xlfn.IFNA(INDEX(MTT_codes,MATCH(loaded!BQ208,MTT,0)),"")</f>
        <v/>
      </c>
      <c r="AG208">
        <f>_xlfn.IFNA(INDEX(mental_codes,MATCH(loaded!BS208,mental,0)),9)</f>
        <v>9</v>
      </c>
    </row>
    <row r="209" spans="1:33" x14ac:dyDescent="0.25">
      <c r="A209">
        <f>loaded!C209</f>
        <v>0</v>
      </c>
      <c r="B209">
        <f>loaded!I209</f>
        <v>0</v>
      </c>
      <c r="C209">
        <f>IF(loaded!K209="Male",1,IF(loaded!K209="Female",2,9))</f>
        <v>9</v>
      </c>
      <c r="D209" s="8">
        <f>loaded!M209</f>
        <v>0</v>
      </c>
      <c r="E209" t="str">
        <f>LEFT(loaded!O209,3)</f>
        <v/>
      </c>
      <c r="F209" t="e">
        <f>INDEX(cntry_codes,MATCH(loaded!Q209,countries,0))</f>
        <v>#N/A</v>
      </c>
      <c r="G209" t="e">
        <f>INDEX(atsi_codes,MATCH(loaded!S209,atsi,0))</f>
        <v>#N/A</v>
      </c>
      <c r="H209" t="e">
        <f>INDEX(lang_codes,MATCH(loaded!U209,lang,0))</f>
        <v>#N/A</v>
      </c>
      <c r="I209" s="8">
        <f>loaded!W209</f>
        <v>0</v>
      </c>
      <c r="J209" t="e">
        <f>INDEX(us_acc_codes,MATCH(loaded!Y209,us_acc,0))</f>
        <v>#N/A</v>
      </c>
      <c r="K209" t="e">
        <f>INDEX(client_codes,MATCH(loaded!AA209,client,0))</f>
        <v>#N/A</v>
      </c>
      <c r="L209" t="e">
        <f>INDEX(src_ref_codes,MATCH(loaded!AC209,src_ref,0))</f>
        <v>#N/A</v>
      </c>
      <c r="M209" s="8">
        <f>loaded!AE209</f>
        <v>0</v>
      </c>
      <c r="N209" s="8">
        <f>loaded!AG209</f>
        <v>0</v>
      </c>
      <c r="O209" t="e">
        <f>INDEX(reces_codes,MATCH(loaded!AI209,reason,0))</f>
        <v>#N/A</v>
      </c>
      <c r="P209" t="e">
        <f>INDEX(TDS_codes,MATCH(loaded!AK209,TDS,0))</f>
        <v>#N/A</v>
      </c>
      <c r="Q209" t="e">
        <f>IF(K209=2,"",INDEX(method_codes,MATCH(loaded!AM209,method,0)))</f>
        <v>#N/A</v>
      </c>
      <c r="R209" t="e">
        <f>IF(K209=2,"",INDEX(inj_codes,MATCH(loaded!AO209,inj,0)))</f>
        <v>#N/A</v>
      </c>
      <c r="S209" t="e">
        <f>IF(K209=2,"",INDEX(drug_codes,MATCH(loaded!AQ209,drug,0)))</f>
        <v>#N/A</v>
      </c>
      <c r="T209" t="e">
        <f>IF(K209=2,"",_xlfn.IFNA(INDEX(drug_codes,MATCH(loaded!AS209,drug,0)),""))</f>
        <v>#N/A</v>
      </c>
      <c r="U209" t="e">
        <f>IF(K209=2,"",_xlfn.IFNA(INDEX(drug_codes,MATCH(loaded!AU209,drug,0)),""))</f>
        <v>#N/A</v>
      </c>
      <c r="V209" t="e">
        <f>IF(K209=2,"",_xlfn.IFNA(INDEX(drug_codes,MATCH(loaded!AW209,drug,0)),""))</f>
        <v>#N/A</v>
      </c>
      <c r="W209" t="e">
        <f>IF(K209=2,"",_xlfn.IFNA(INDEX(drug_codes,MATCH(loaded!AY209,drug,0)),""))</f>
        <v>#N/A</v>
      </c>
      <c r="X209" t="e">
        <f>IF(K209=2,"",_xlfn.IFNA(INDEX(drug_codes,MATCH(loaded!BA209,drug,0)),""))</f>
        <v>#N/A</v>
      </c>
      <c r="Y209" t="e">
        <f>INDEX(MTT_codes,MATCH(loaded!BC209,MTT,0))</f>
        <v>#N/A</v>
      </c>
      <c r="Z209" t="str">
        <f>_xlfn.IFNA(INDEX(MTT_codes,MATCH(loaded!BE209,MTT,0)),"")</f>
        <v/>
      </c>
      <c r="AA209" t="str">
        <f>_xlfn.IFNA(INDEX(MTT_codes,MATCH(loaded!BG209,MTT,0)),"")</f>
        <v/>
      </c>
      <c r="AB209" t="str">
        <f>_xlfn.IFNA(INDEX(MTT_codes,MATCH(loaded!BI209,MTT,0)),"")</f>
        <v/>
      </c>
      <c r="AC209" t="str">
        <f>_xlfn.IFNA(INDEX(MTT_codes,MATCH(loaded!BK209,MTT,0)),"")</f>
        <v/>
      </c>
      <c r="AD209" t="str">
        <f>_xlfn.IFNA(INDEX(MTT_codes,MATCH(loaded!BM209,MTT,0)),"")</f>
        <v/>
      </c>
      <c r="AE209" t="e">
        <f>INDEX(liv_ar_codes,MATCH(loaded!BO209,liv_ar,0))</f>
        <v>#N/A</v>
      </c>
      <c r="AF209" t="str">
        <f>_xlfn.IFNA(INDEX(MTT_codes,MATCH(loaded!BQ209,MTT,0)),"")</f>
        <v/>
      </c>
      <c r="AG209">
        <f>_xlfn.IFNA(INDEX(mental_codes,MATCH(loaded!BS209,mental,0)),9)</f>
        <v>9</v>
      </c>
    </row>
    <row r="210" spans="1:33" x14ac:dyDescent="0.25">
      <c r="A210">
        <f>loaded!C210</f>
        <v>0</v>
      </c>
      <c r="B210">
        <f>loaded!I210</f>
        <v>0</v>
      </c>
      <c r="C210">
        <f>IF(loaded!K210="Male",1,IF(loaded!K210="Female",2,9))</f>
        <v>9</v>
      </c>
      <c r="D210" s="8">
        <f>loaded!M210</f>
        <v>0</v>
      </c>
      <c r="E210" t="str">
        <f>LEFT(loaded!O210,3)</f>
        <v/>
      </c>
      <c r="F210" t="e">
        <f>INDEX(cntry_codes,MATCH(loaded!Q210,countries,0))</f>
        <v>#N/A</v>
      </c>
      <c r="G210" t="e">
        <f>INDEX(atsi_codes,MATCH(loaded!S210,atsi,0))</f>
        <v>#N/A</v>
      </c>
      <c r="H210" t="e">
        <f>INDEX(lang_codes,MATCH(loaded!U210,lang,0))</f>
        <v>#N/A</v>
      </c>
      <c r="I210" s="8">
        <f>loaded!W210</f>
        <v>0</v>
      </c>
      <c r="J210" t="e">
        <f>INDEX(us_acc_codes,MATCH(loaded!Y210,us_acc,0))</f>
        <v>#N/A</v>
      </c>
      <c r="K210" t="e">
        <f>INDEX(client_codes,MATCH(loaded!AA210,client,0))</f>
        <v>#N/A</v>
      </c>
      <c r="L210" t="e">
        <f>INDEX(src_ref_codes,MATCH(loaded!AC210,src_ref,0))</f>
        <v>#N/A</v>
      </c>
      <c r="M210" s="8">
        <f>loaded!AE210</f>
        <v>0</v>
      </c>
      <c r="N210" s="8">
        <f>loaded!AG210</f>
        <v>0</v>
      </c>
      <c r="O210" t="e">
        <f>INDEX(reces_codes,MATCH(loaded!AI210,reason,0))</f>
        <v>#N/A</v>
      </c>
      <c r="P210" t="e">
        <f>INDEX(TDS_codes,MATCH(loaded!AK210,TDS,0))</f>
        <v>#N/A</v>
      </c>
      <c r="Q210" t="e">
        <f>IF(K210=2,"",INDEX(method_codes,MATCH(loaded!AM210,method,0)))</f>
        <v>#N/A</v>
      </c>
      <c r="R210" t="e">
        <f>IF(K210=2,"",INDEX(inj_codes,MATCH(loaded!AO210,inj,0)))</f>
        <v>#N/A</v>
      </c>
      <c r="S210" t="e">
        <f>IF(K210=2,"",INDEX(drug_codes,MATCH(loaded!AQ210,drug,0)))</f>
        <v>#N/A</v>
      </c>
      <c r="T210" t="e">
        <f>IF(K210=2,"",_xlfn.IFNA(INDEX(drug_codes,MATCH(loaded!AS210,drug,0)),""))</f>
        <v>#N/A</v>
      </c>
      <c r="U210" t="e">
        <f>IF(K210=2,"",_xlfn.IFNA(INDEX(drug_codes,MATCH(loaded!AU210,drug,0)),""))</f>
        <v>#N/A</v>
      </c>
      <c r="V210" t="e">
        <f>IF(K210=2,"",_xlfn.IFNA(INDEX(drug_codes,MATCH(loaded!AW210,drug,0)),""))</f>
        <v>#N/A</v>
      </c>
      <c r="W210" t="e">
        <f>IF(K210=2,"",_xlfn.IFNA(INDEX(drug_codes,MATCH(loaded!AY210,drug,0)),""))</f>
        <v>#N/A</v>
      </c>
      <c r="X210" t="e">
        <f>IF(K210=2,"",_xlfn.IFNA(INDEX(drug_codes,MATCH(loaded!BA210,drug,0)),""))</f>
        <v>#N/A</v>
      </c>
      <c r="Y210" t="e">
        <f>INDEX(MTT_codes,MATCH(loaded!BC210,MTT,0))</f>
        <v>#N/A</v>
      </c>
      <c r="Z210" t="str">
        <f>_xlfn.IFNA(INDEX(MTT_codes,MATCH(loaded!BE210,MTT,0)),"")</f>
        <v/>
      </c>
      <c r="AA210" t="str">
        <f>_xlfn.IFNA(INDEX(MTT_codes,MATCH(loaded!BG210,MTT,0)),"")</f>
        <v/>
      </c>
      <c r="AB210" t="str">
        <f>_xlfn.IFNA(INDEX(MTT_codes,MATCH(loaded!BI210,MTT,0)),"")</f>
        <v/>
      </c>
      <c r="AC210" t="str">
        <f>_xlfn.IFNA(INDEX(MTT_codes,MATCH(loaded!BK210,MTT,0)),"")</f>
        <v/>
      </c>
      <c r="AD210" t="str">
        <f>_xlfn.IFNA(INDEX(MTT_codes,MATCH(loaded!BM210,MTT,0)),"")</f>
        <v/>
      </c>
      <c r="AE210" t="e">
        <f>INDEX(liv_ar_codes,MATCH(loaded!BO210,liv_ar,0))</f>
        <v>#N/A</v>
      </c>
      <c r="AF210" t="str">
        <f>_xlfn.IFNA(INDEX(MTT_codes,MATCH(loaded!BQ210,MTT,0)),"")</f>
        <v/>
      </c>
      <c r="AG210">
        <f>_xlfn.IFNA(INDEX(mental_codes,MATCH(loaded!BS210,mental,0)),9)</f>
        <v>9</v>
      </c>
    </row>
    <row r="211" spans="1:33" x14ac:dyDescent="0.25">
      <c r="A211">
        <f>loaded!C211</f>
        <v>0</v>
      </c>
      <c r="B211">
        <f>loaded!I211</f>
        <v>0</v>
      </c>
      <c r="C211">
        <f>IF(loaded!K211="Male",1,IF(loaded!K211="Female",2,9))</f>
        <v>9</v>
      </c>
      <c r="D211" s="8">
        <f>loaded!M211</f>
        <v>0</v>
      </c>
      <c r="E211" t="str">
        <f>LEFT(loaded!O211,3)</f>
        <v/>
      </c>
      <c r="F211" t="e">
        <f>INDEX(cntry_codes,MATCH(loaded!Q211,countries,0))</f>
        <v>#N/A</v>
      </c>
      <c r="G211" t="e">
        <f>INDEX(atsi_codes,MATCH(loaded!S211,atsi,0))</f>
        <v>#N/A</v>
      </c>
      <c r="H211" t="e">
        <f>INDEX(lang_codes,MATCH(loaded!U211,lang,0))</f>
        <v>#N/A</v>
      </c>
      <c r="I211" s="8">
        <f>loaded!W211</f>
        <v>0</v>
      </c>
      <c r="J211" t="e">
        <f>INDEX(us_acc_codes,MATCH(loaded!Y211,us_acc,0))</f>
        <v>#N/A</v>
      </c>
      <c r="K211" t="e">
        <f>INDEX(client_codes,MATCH(loaded!AA211,client,0))</f>
        <v>#N/A</v>
      </c>
      <c r="L211" t="e">
        <f>INDEX(src_ref_codes,MATCH(loaded!AC211,src_ref,0))</f>
        <v>#N/A</v>
      </c>
      <c r="M211" s="8">
        <f>loaded!AE211</f>
        <v>0</v>
      </c>
      <c r="N211" s="8">
        <f>loaded!AG211</f>
        <v>0</v>
      </c>
      <c r="O211" t="e">
        <f>INDEX(reces_codes,MATCH(loaded!AI211,reason,0))</f>
        <v>#N/A</v>
      </c>
      <c r="P211" t="e">
        <f>INDEX(TDS_codes,MATCH(loaded!AK211,TDS,0))</f>
        <v>#N/A</v>
      </c>
      <c r="Q211" t="e">
        <f>IF(K211=2,"",INDEX(method_codes,MATCH(loaded!AM211,method,0)))</f>
        <v>#N/A</v>
      </c>
      <c r="R211" t="e">
        <f>IF(K211=2,"",INDEX(inj_codes,MATCH(loaded!AO211,inj,0)))</f>
        <v>#N/A</v>
      </c>
      <c r="S211" t="e">
        <f>IF(K211=2,"",INDEX(drug_codes,MATCH(loaded!AQ211,drug,0)))</f>
        <v>#N/A</v>
      </c>
      <c r="T211" t="e">
        <f>IF(K211=2,"",_xlfn.IFNA(INDEX(drug_codes,MATCH(loaded!AS211,drug,0)),""))</f>
        <v>#N/A</v>
      </c>
      <c r="U211" t="e">
        <f>IF(K211=2,"",_xlfn.IFNA(INDEX(drug_codes,MATCH(loaded!AU211,drug,0)),""))</f>
        <v>#N/A</v>
      </c>
      <c r="V211" t="e">
        <f>IF(K211=2,"",_xlfn.IFNA(INDEX(drug_codes,MATCH(loaded!AW211,drug,0)),""))</f>
        <v>#N/A</v>
      </c>
      <c r="W211" t="e">
        <f>IF(K211=2,"",_xlfn.IFNA(INDEX(drug_codes,MATCH(loaded!AY211,drug,0)),""))</f>
        <v>#N/A</v>
      </c>
      <c r="X211" t="e">
        <f>IF(K211=2,"",_xlfn.IFNA(INDEX(drug_codes,MATCH(loaded!BA211,drug,0)),""))</f>
        <v>#N/A</v>
      </c>
      <c r="Y211" t="e">
        <f>INDEX(MTT_codes,MATCH(loaded!BC211,MTT,0))</f>
        <v>#N/A</v>
      </c>
      <c r="Z211" t="str">
        <f>_xlfn.IFNA(INDEX(MTT_codes,MATCH(loaded!BE211,MTT,0)),"")</f>
        <v/>
      </c>
      <c r="AA211" t="str">
        <f>_xlfn.IFNA(INDEX(MTT_codes,MATCH(loaded!BG211,MTT,0)),"")</f>
        <v/>
      </c>
      <c r="AB211" t="str">
        <f>_xlfn.IFNA(INDEX(MTT_codes,MATCH(loaded!BI211,MTT,0)),"")</f>
        <v/>
      </c>
      <c r="AC211" t="str">
        <f>_xlfn.IFNA(INDEX(MTT_codes,MATCH(loaded!BK211,MTT,0)),"")</f>
        <v/>
      </c>
      <c r="AD211" t="str">
        <f>_xlfn.IFNA(INDEX(MTT_codes,MATCH(loaded!BM211,MTT,0)),"")</f>
        <v/>
      </c>
      <c r="AE211" t="e">
        <f>INDEX(liv_ar_codes,MATCH(loaded!BO211,liv_ar,0))</f>
        <v>#N/A</v>
      </c>
      <c r="AF211" t="str">
        <f>_xlfn.IFNA(INDEX(MTT_codes,MATCH(loaded!BQ211,MTT,0)),"")</f>
        <v/>
      </c>
      <c r="AG211">
        <f>_xlfn.IFNA(INDEX(mental_codes,MATCH(loaded!BS211,mental,0)),9)</f>
        <v>9</v>
      </c>
    </row>
    <row r="212" spans="1:33" x14ac:dyDescent="0.25">
      <c r="A212">
        <f>loaded!C212</f>
        <v>0</v>
      </c>
      <c r="B212">
        <f>loaded!I212</f>
        <v>0</v>
      </c>
      <c r="C212">
        <f>IF(loaded!K212="Male",1,IF(loaded!K212="Female",2,9))</f>
        <v>9</v>
      </c>
      <c r="D212" s="8">
        <f>loaded!M212</f>
        <v>0</v>
      </c>
      <c r="E212" t="str">
        <f>LEFT(loaded!O212,3)</f>
        <v/>
      </c>
      <c r="F212" t="e">
        <f>INDEX(cntry_codes,MATCH(loaded!Q212,countries,0))</f>
        <v>#N/A</v>
      </c>
      <c r="G212" t="e">
        <f>INDEX(atsi_codes,MATCH(loaded!S212,atsi,0))</f>
        <v>#N/A</v>
      </c>
      <c r="H212" t="e">
        <f>INDEX(lang_codes,MATCH(loaded!U212,lang,0))</f>
        <v>#N/A</v>
      </c>
      <c r="I212" s="8">
        <f>loaded!W212</f>
        <v>0</v>
      </c>
      <c r="J212" t="e">
        <f>INDEX(us_acc_codes,MATCH(loaded!Y212,us_acc,0))</f>
        <v>#N/A</v>
      </c>
      <c r="K212" t="e">
        <f>INDEX(client_codes,MATCH(loaded!AA212,client,0))</f>
        <v>#N/A</v>
      </c>
      <c r="L212" t="e">
        <f>INDEX(src_ref_codes,MATCH(loaded!AC212,src_ref,0))</f>
        <v>#N/A</v>
      </c>
      <c r="M212" s="8">
        <f>loaded!AE212</f>
        <v>0</v>
      </c>
      <c r="N212" s="8">
        <f>loaded!AG212</f>
        <v>0</v>
      </c>
      <c r="O212" t="e">
        <f>INDEX(reces_codes,MATCH(loaded!AI212,reason,0))</f>
        <v>#N/A</v>
      </c>
      <c r="P212" t="e">
        <f>INDEX(TDS_codes,MATCH(loaded!AK212,TDS,0))</f>
        <v>#N/A</v>
      </c>
      <c r="Q212" t="e">
        <f>IF(K212=2,"",INDEX(method_codes,MATCH(loaded!AM212,method,0)))</f>
        <v>#N/A</v>
      </c>
      <c r="R212" t="e">
        <f>IF(K212=2,"",INDEX(inj_codes,MATCH(loaded!AO212,inj,0)))</f>
        <v>#N/A</v>
      </c>
      <c r="S212" t="e">
        <f>IF(K212=2,"",INDEX(drug_codes,MATCH(loaded!AQ212,drug,0)))</f>
        <v>#N/A</v>
      </c>
      <c r="T212" t="e">
        <f>IF(K212=2,"",_xlfn.IFNA(INDEX(drug_codes,MATCH(loaded!AS212,drug,0)),""))</f>
        <v>#N/A</v>
      </c>
      <c r="U212" t="e">
        <f>IF(K212=2,"",_xlfn.IFNA(INDEX(drug_codes,MATCH(loaded!AU212,drug,0)),""))</f>
        <v>#N/A</v>
      </c>
      <c r="V212" t="e">
        <f>IF(K212=2,"",_xlfn.IFNA(INDEX(drug_codes,MATCH(loaded!AW212,drug,0)),""))</f>
        <v>#N/A</v>
      </c>
      <c r="W212" t="e">
        <f>IF(K212=2,"",_xlfn.IFNA(INDEX(drug_codes,MATCH(loaded!AY212,drug,0)),""))</f>
        <v>#N/A</v>
      </c>
      <c r="X212" t="e">
        <f>IF(K212=2,"",_xlfn.IFNA(INDEX(drug_codes,MATCH(loaded!BA212,drug,0)),""))</f>
        <v>#N/A</v>
      </c>
      <c r="Y212" t="e">
        <f>INDEX(MTT_codes,MATCH(loaded!BC212,MTT,0))</f>
        <v>#N/A</v>
      </c>
      <c r="Z212" t="str">
        <f>_xlfn.IFNA(INDEX(MTT_codes,MATCH(loaded!BE212,MTT,0)),"")</f>
        <v/>
      </c>
      <c r="AA212" t="str">
        <f>_xlfn.IFNA(INDEX(MTT_codes,MATCH(loaded!BG212,MTT,0)),"")</f>
        <v/>
      </c>
      <c r="AB212" t="str">
        <f>_xlfn.IFNA(INDEX(MTT_codes,MATCH(loaded!BI212,MTT,0)),"")</f>
        <v/>
      </c>
      <c r="AC212" t="str">
        <f>_xlfn.IFNA(INDEX(MTT_codes,MATCH(loaded!BK212,MTT,0)),"")</f>
        <v/>
      </c>
      <c r="AD212" t="str">
        <f>_xlfn.IFNA(INDEX(MTT_codes,MATCH(loaded!BM212,MTT,0)),"")</f>
        <v/>
      </c>
      <c r="AE212" t="e">
        <f>INDEX(liv_ar_codes,MATCH(loaded!BO212,liv_ar,0))</f>
        <v>#N/A</v>
      </c>
      <c r="AF212" t="str">
        <f>_xlfn.IFNA(INDEX(MTT_codes,MATCH(loaded!BQ212,MTT,0)),"")</f>
        <v/>
      </c>
      <c r="AG212">
        <f>_xlfn.IFNA(INDEX(mental_codes,MATCH(loaded!BS212,mental,0)),9)</f>
        <v>9</v>
      </c>
    </row>
    <row r="213" spans="1:33" x14ac:dyDescent="0.25">
      <c r="A213">
        <f>loaded!C213</f>
        <v>0</v>
      </c>
      <c r="B213">
        <f>loaded!I213</f>
        <v>0</v>
      </c>
      <c r="C213">
        <f>IF(loaded!K213="Male",1,IF(loaded!K213="Female",2,9))</f>
        <v>9</v>
      </c>
      <c r="D213" s="8">
        <f>loaded!M213</f>
        <v>0</v>
      </c>
      <c r="E213" t="str">
        <f>LEFT(loaded!O213,3)</f>
        <v/>
      </c>
      <c r="F213" t="e">
        <f>INDEX(cntry_codes,MATCH(loaded!Q213,countries,0))</f>
        <v>#N/A</v>
      </c>
      <c r="G213" t="e">
        <f>INDEX(atsi_codes,MATCH(loaded!S213,atsi,0))</f>
        <v>#N/A</v>
      </c>
      <c r="H213" t="e">
        <f>INDEX(lang_codes,MATCH(loaded!U213,lang,0))</f>
        <v>#N/A</v>
      </c>
      <c r="I213" s="8">
        <f>loaded!W213</f>
        <v>0</v>
      </c>
      <c r="J213" t="e">
        <f>INDEX(us_acc_codes,MATCH(loaded!Y213,us_acc,0))</f>
        <v>#N/A</v>
      </c>
      <c r="K213" t="e">
        <f>INDEX(client_codes,MATCH(loaded!AA213,client,0))</f>
        <v>#N/A</v>
      </c>
      <c r="L213" t="e">
        <f>INDEX(src_ref_codes,MATCH(loaded!AC213,src_ref,0))</f>
        <v>#N/A</v>
      </c>
      <c r="M213" s="8">
        <f>loaded!AE213</f>
        <v>0</v>
      </c>
      <c r="N213" s="8">
        <f>loaded!AG213</f>
        <v>0</v>
      </c>
      <c r="O213" t="e">
        <f>INDEX(reces_codes,MATCH(loaded!AI213,reason,0))</f>
        <v>#N/A</v>
      </c>
      <c r="P213" t="e">
        <f>INDEX(TDS_codes,MATCH(loaded!AK213,TDS,0))</f>
        <v>#N/A</v>
      </c>
      <c r="Q213" t="e">
        <f>IF(K213=2,"",INDEX(method_codes,MATCH(loaded!AM213,method,0)))</f>
        <v>#N/A</v>
      </c>
      <c r="R213" t="e">
        <f>IF(K213=2,"",INDEX(inj_codes,MATCH(loaded!AO213,inj,0)))</f>
        <v>#N/A</v>
      </c>
      <c r="S213" t="e">
        <f>IF(K213=2,"",INDEX(drug_codes,MATCH(loaded!AQ213,drug,0)))</f>
        <v>#N/A</v>
      </c>
      <c r="T213" t="e">
        <f>IF(K213=2,"",_xlfn.IFNA(INDEX(drug_codes,MATCH(loaded!AS213,drug,0)),""))</f>
        <v>#N/A</v>
      </c>
      <c r="U213" t="e">
        <f>IF(K213=2,"",_xlfn.IFNA(INDEX(drug_codes,MATCH(loaded!AU213,drug,0)),""))</f>
        <v>#N/A</v>
      </c>
      <c r="V213" t="e">
        <f>IF(K213=2,"",_xlfn.IFNA(INDEX(drug_codes,MATCH(loaded!AW213,drug,0)),""))</f>
        <v>#N/A</v>
      </c>
      <c r="W213" t="e">
        <f>IF(K213=2,"",_xlfn.IFNA(INDEX(drug_codes,MATCH(loaded!AY213,drug,0)),""))</f>
        <v>#N/A</v>
      </c>
      <c r="X213" t="e">
        <f>IF(K213=2,"",_xlfn.IFNA(INDEX(drug_codes,MATCH(loaded!BA213,drug,0)),""))</f>
        <v>#N/A</v>
      </c>
      <c r="Y213" t="e">
        <f>INDEX(MTT_codes,MATCH(loaded!BC213,MTT,0))</f>
        <v>#N/A</v>
      </c>
      <c r="Z213" t="str">
        <f>_xlfn.IFNA(INDEX(MTT_codes,MATCH(loaded!BE213,MTT,0)),"")</f>
        <v/>
      </c>
      <c r="AA213" t="str">
        <f>_xlfn.IFNA(INDEX(MTT_codes,MATCH(loaded!BG213,MTT,0)),"")</f>
        <v/>
      </c>
      <c r="AB213" t="str">
        <f>_xlfn.IFNA(INDEX(MTT_codes,MATCH(loaded!BI213,MTT,0)),"")</f>
        <v/>
      </c>
      <c r="AC213" t="str">
        <f>_xlfn.IFNA(INDEX(MTT_codes,MATCH(loaded!BK213,MTT,0)),"")</f>
        <v/>
      </c>
      <c r="AD213" t="str">
        <f>_xlfn.IFNA(INDEX(MTT_codes,MATCH(loaded!BM213,MTT,0)),"")</f>
        <v/>
      </c>
      <c r="AE213" t="e">
        <f>INDEX(liv_ar_codes,MATCH(loaded!BO213,liv_ar,0))</f>
        <v>#N/A</v>
      </c>
      <c r="AF213" t="str">
        <f>_xlfn.IFNA(INDEX(MTT_codes,MATCH(loaded!BQ213,MTT,0)),"")</f>
        <v/>
      </c>
      <c r="AG213">
        <f>_xlfn.IFNA(INDEX(mental_codes,MATCH(loaded!BS213,mental,0)),9)</f>
        <v>9</v>
      </c>
    </row>
    <row r="214" spans="1:33" x14ac:dyDescent="0.25">
      <c r="A214">
        <f>loaded!C214</f>
        <v>0</v>
      </c>
      <c r="B214">
        <f>loaded!I214</f>
        <v>0</v>
      </c>
      <c r="C214">
        <f>IF(loaded!K214="Male",1,IF(loaded!K214="Female",2,9))</f>
        <v>9</v>
      </c>
      <c r="D214" s="8">
        <f>loaded!M214</f>
        <v>0</v>
      </c>
      <c r="E214" t="str">
        <f>LEFT(loaded!O214,3)</f>
        <v/>
      </c>
      <c r="F214" t="e">
        <f>INDEX(cntry_codes,MATCH(loaded!Q214,countries,0))</f>
        <v>#N/A</v>
      </c>
      <c r="G214" t="e">
        <f>INDEX(atsi_codes,MATCH(loaded!S214,atsi,0))</f>
        <v>#N/A</v>
      </c>
      <c r="H214" t="e">
        <f>INDEX(lang_codes,MATCH(loaded!U214,lang,0))</f>
        <v>#N/A</v>
      </c>
      <c r="I214" s="8">
        <f>loaded!W214</f>
        <v>0</v>
      </c>
      <c r="J214" t="e">
        <f>INDEX(us_acc_codes,MATCH(loaded!Y214,us_acc,0))</f>
        <v>#N/A</v>
      </c>
      <c r="K214" t="e">
        <f>INDEX(client_codes,MATCH(loaded!AA214,client,0))</f>
        <v>#N/A</v>
      </c>
      <c r="L214" t="e">
        <f>INDEX(src_ref_codes,MATCH(loaded!AC214,src_ref,0))</f>
        <v>#N/A</v>
      </c>
      <c r="M214" s="8">
        <f>loaded!AE214</f>
        <v>0</v>
      </c>
      <c r="N214" s="8">
        <f>loaded!AG214</f>
        <v>0</v>
      </c>
      <c r="O214" t="e">
        <f>INDEX(reces_codes,MATCH(loaded!AI214,reason,0))</f>
        <v>#N/A</v>
      </c>
      <c r="P214" t="e">
        <f>INDEX(TDS_codes,MATCH(loaded!AK214,TDS,0))</f>
        <v>#N/A</v>
      </c>
      <c r="Q214" t="e">
        <f>IF(K214=2,"",INDEX(method_codes,MATCH(loaded!AM214,method,0)))</f>
        <v>#N/A</v>
      </c>
      <c r="R214" t="e">
        <f>IF(K214=2,"",INDEX(inj_codes,MATCH(loaded!AO214,inj,0)))</f>
        <v>#N/A</v>
      </c>
      <c r="S214" t="e">
        <f>IF(K214=2,"",INDEX(drug_codes,MATCH(loaded!AQ214,drug,0)))</f>
        <v>#N/A</v>
      </c>
      <c r="T214" t="e">
        <f>IF(K214=2,"",_xlfn.IFNA(INDEX(drug_codes,MATCH(loaded!AS214,drug,0)),""))</f>
        <v>#N/A</v>
      </c>
      <c r="U214" t="e">
        <f>IF(K214=2,"",_xlfn.IFNA(INDEX(drug_codes,MATCH(loaded!AU214,drug,0)),""))</f>
        <v>#N/A</v>
      </c>
      <c r="V214" t="e">
        <f>IF(K214=2,"",_xlfn.IFNA(INDEX(drug_codes,MATCH(loaded!AW214,drug,0)),""))</f>
        <v>#N/A</v>
      </c>
      <c r="W214" t="e">
        <f>IF(K214=2,"",_xlfn.IFNA(INDEX(drug_codes,MATCH(loaded!AY214,drug,0)),""))</f>
        <v>#N/A</v>
      </c>
      <c r="X214" t="e">
        <f>IF(K214=2,"",_xlfn.IFNA(INDEX(drug_codes,MATCH(loaded!BA214,drug,0)),""))</f>
        <v>#N/A</v>
      </c>
      <c r="Y214" t="e">
        <f>INDEX(MTT_codes,MATCH(loaded!BC214,MTT,0))</f>
        <v>#N/A</v>
      </c>
      <c r="Z214" t="str">
        <f>_xlfn.IFNA(INDEX(MTT_codes,MATCH(loaded!BE214,MTT,0)),"")</f>
        <v/>
      </c>
      <c r="AA214" t="str">
        <f>_xlfn.IFNA(INDEX(MTT_codes,MATCH(loaded!BG214,MTT,0)),"")</f>
        <v/>
      </c>
      <c r="AB214" t="str">
        <f>_xlfn.IFNA(INDEX(MTT_codes,MATCH(loaded!BI214,MTT,0)),"")</f>
        <v/>
      </c>
      <c r="AC214" t="str">
        <f>_xlfn.IFNA(INDEX(MTT_codes,MATCH(loaded!BK214,MTT,0)),"")</f>
        <v/>
      </c>
      <c r="AD214" t="str">
        <f>_xlfn.IFNA(INDEX(MTT_codes,MATCH(loaded!BM214,MTT,0)),"")</f>
        <v/>
      </c>
      <c r="AE214" t="e">
        <f>INDEX(liv_ar_codes,MATCH(loaded!BO214,liv_ar,0))</f>
        <v>#N/A</v>
      </c>
      <c r="AF214" t="str">
        <f>_xlfn.IFNA(INDEX(MTT_codes,MATCH(loaded!BQ214,MTT,0)),"")</f>
        <v/>
      </c>
      <c r="AG214">
        <f>_xlfn.IFNA(INDEX(mental_codes,MATCH(loaded!BS214,mental,0)),9)</f>
        <v>9</v>
      </c>
    </row>
    <row r="215" spans="1:33" x14ac:dyDescent="0.25">
      <c r="A215">
        <f>loaded!C215</f>
        <v>0</v>
      </c>
      <c r="B215">
        <f>loaded!I215</f>
        <v>0</v>
      </c>
      <c r="C215">
        <f>IF(loaded!K215="Male",1,IF(loaded!K215="Female",2,9))</f>
        <v>9</v>
      </c>
      <c r="D215" s="8">
        <f>loaded!M215</f>
        <v>0</v>
      </c>
      <c r="E215" t="str">
        <f>LEFT(loaded!O215,3)</f>
        <v/>
      </c>
      <c r="F215" t="e">
        <f>INDEX(cntry_codes,MATCH(loaded!Q215,countries,0))</f>
        <v>#N/A</v>
      </c>
      <c r="G215" t="e">
        <f>INDEX(atsi_codes,MATCH(loaded!S215,atsi,0))</f>
        <v>#N/A</v>
      </c>
      <c r="H215" t="e">
        <f>INDEX(lang_codes,MATCH(loaded!U215,lang,0))</f>
        <v>#N/A</v>
      </c>
      <c r="I215" s="8">
        <f>loaded!W215</f>
        <v>0</v>
      </c>
      <c r="J215" t="e">
        <f>INDEX(us_acc_codes,MATCH(loaded!Y215,us_acc,0))</f>
        <v>#N/A</v>
      </c>
      <c r="K215" t="e">
        <f>INDEX(client_codes,MATCH(loaded!AA215,client,0))</f>
        <v>#N/A</v>
      </c>
      <c r="L215" t="e">
        <f>INDEX(src_ref_codes,MATCH(loaded!AC215,src_ref,0))</f>
        <v>#N/A</v>
      </c>
      <c r="M215" s="8">
        <f>loaded!AE215</f>
        <v>0</v>
      </c>
      <c r="N215" s="8">
        <f>loaded!AG215</f>
        <v>0</v>
      </c>
      <c r="O215" t="e">
        <f>INDEX(reces_codes,MATCH(loaded!AI215,reason,0))</f>
        <v>#N/A</v>
      </c>
      <c r="P215" t="e">
        <f>INDEX(TDS_codes,MATCH(loaded!AK215,TDS,0))</f>
        <v>#N/A</v>
      </c>
      <c r="Q215" t="e">
        <f>IF(K215=2,"",INDEX(method_codes,MATCH(loaded!AM215,method,0)))</f>
        <v>#N/A</v>
      </c>
      <c r="R215" t="e">
        <f>IF(K215=2,"",INDEX(inj_codes,MATCH(loaded!AO215,inj,0)))</f>
        <v>#N/A</v>
      </c>
      <c r="S215" t="e">
        <f>IF(K215=2,"",INDEX(drug_codes,MATCH(loaded!AQ215,drug,0)))</f>
        <v>#N/A</v>
      </c>
      <c r="T215" t="e">
        <f>IF(K215=2,"",_xlfn.IFNA(INDEX(drug_codes,MATCH(loaded!AS215,drug,0)),""))</f>
        <v>#N/A</v>
      </c>
      <c r="U215" t="e">
        <f>IF(K215=2,"",_xlfn.IFNA(INDEX(drug_codes,MATCH(loaded!AU215,drug,0)),""))</f>
        <v>#N/A</v>
      </c>
      <c r="V215" t="e">
        <f>IF(K215=2,"",_xlfn.IFNA(INDEX(drug_codes,MATCH(loaded!AW215,drug,0)),""))</f>
        <v>#N/A</v>
      </c>
      <c r="W215" t="e">
        <f>IF(K215=2,"",_xlfn.IFNA(INDEX(drug_codes,MATCH(loaded!AY215,drug,0)),""))</f>
        <v>#N/A</v>
      </c>
      <c r="X215" t="e">
        <f>IF(K215=2,"",_xlfn.IFNA(INDEX(drug_codes,MATCH(loaded!BA215,drug,0)),""))</f>
        <v>#N/A</v>
      </c>
      <c r="Y215" t="e">
        <f>INDEX(MTT_codes,MATCH(loaded!BC215,MTT,0))</f>
        <v>#N/A</v>
      </c>
      <c r="Z215" t="str">
        <f>_xlfn.IFNA(INDEX(MTT_codes,MATCH(loaded!BE215,MTT,0)),"")</f>
        <v/>
      </c>
      <c r="AA215" t="str">
        <f>_xlfn.IFNA(INDEX(MTT_codes,MATCH(loaded!BG215,MTT,0)),"")</f>
        <v/>
      </c>
      <c r="AB215" t="str">
        <f>_xlfn.IFNA(INDEX(MTT_codes,MATCH(loaded!BI215,MTT,0)),"")</f>
        <v/>
      </c>
      <c r="AC215" t="str">
        <f>_xlfn.IFNA(INDEX(MTT_codes,MATCH(loaded!BK215,MTT,0)),"")</f>
        <v/>
      </c>
      <c r="AD215" t="str">
        <f>_xlfn.IFNA(INDEX(MTT_codes,MATCH(loaded!BM215,MTT,0)),"")</f>
        <v/>
      </c>
      <c r="AE215" t="e">
        <f>INDEX(liv_ar_codes,MATCH(loaded!BO215,liv_ar,0))</f>
        <v>#N/A</v>
      </c>
      <c r="AF215" t="str">
        <f>_xlfn.IFNA(INDEX(MTT_codes,MATCH(loaded!BQ215,MTT,0)),"")</f>
        <v/>
      </c>
      <c r="AG215">
        <f>_xlfn.IFNA(INDEX(mental_codes,MATCH(loaded!BS215,mental,0)),9)</f>
        <v>9</v>
      </c>
    </row>
    <row r="216" spans="1:33" x14ac:dyDescent="0.25">
      <c r="A216">
        <f>loaded!C216</f>
        <v>0</v>
      </c>
      <c r="B216">
        <f>loaded!I216</f>
        <v>0</v>
      </c>
      <c r="C216">
        <f>IF(loaded!K216="Male",1,IF(loaded!K216="Female",2,9))</f>
        <v>9</v>
      </c>
      <c r="D216" s="8">
        <f>loaded!M216</f>
        <v>0</v>
      </c>
      <c r="E216" t="str">
        <f>LEFT(loaded!O216,3)</f>
        <v/>
      </c>
      <c r="F216" t="e">
        <f>INDEX(cntry_codes,MATCH(loaded!Q216,countries,0))</f>
        <v>#N/A</v>
      </c>
      <c r="G216" t="e">
        <f>INDEX(atsi_codes,MATCH(loaded!S216,atsi,0))</f>
        <v>#N/A</v>
      </c>
      <c r="H216" t="e">
        <f>INDEX(lang_codes,MATCH(loaded!U216,lang,0))</f>
        <v>#N/A</v>
      </c>
      <c r="I216" s="8">
        <f>loaded!W216</f>
        <v>0</v>
      </c>
      <c r="J216" t="e">
        <f>INDEX(us_acc_codes,MATCH(loaded!Y216,us_acc,0))</f>
        <v>#N/A</v>
      </c>
      <c r="K216" t="e">
        <f>INDEX(client_codes,MATCH(loaded!AA216,client,0))</f>
        <v>#N/A</v>
      </c>
      <c r="L216" t="e">
        <f>INDEX(src_ref_codes,MATCH(loaded!AC216,src_ref,0))</f>
        <v>#N/A</v>
      </c>
      <c r="M216" s="8">
        <f>loaded!AE216</f>
        <v>0</v>
      </c>
      <c r="N216" s="8">
        <f>loaded!AG216</f>
        <v>0</v>
      </c>
      <c r="O216" t="e">
        <f>INDEX(reces_codes,MATCH(loaded!AI216,reason,0))</f>
        <v>#N/A</v>
      </c>
      <c r="P216" t="e">
        <f>INDEX(TDS_codes,MATCH(loaded!AK216,TDS,0))</f>
        <v>#N/A</v>
      </c>
      <c r="Q216" t="e">
        <f>IF(K216=2,"",INDEX(method_codes,MATCH(loaded!AM216,method,0)))</f>
        <v>#N/A</v>
      </c>
      <c r="R216" t="e">
        <f>IF(K216=2,"",INDEX(inj_codes,MATCH(loaded!AO216,inj,0)))</f>
        <v>#N/A</v>
      </c>
      <c r="S216" t="e">
        <f>IF(K216=2,"",INDEX(drug_codes,MATCH(loaded!AQ216,drug,0)))</f>
        <v>#N/A</v>
      </c>
      <c r="T216" t="e">
        <f>IF(K216=2,"",_xlfn.IFNA(INDEX(drug_codes,MATCH(loaded!AS216,drug,0)),""))</f>
        <v>#N/A</v>
      </c>
      <c r="U216" t="e">
        <f>IF(K216=2,"",_xlfn.IFNA(INDEX(drug_codes,MATCH(loaded!AU216,drug,0)),""))</f>
        <v>#N/A</v>
      </c>
      <c r="V216" t="e">
        <f>IF(K216=2,"",_xlfn.IFNA(INDEX(drug_codes,MATCH(loaded!AW216,drug,0)),""))</f>
        <v>#N/A</v>
      </c>
      <c r="W216" t="e">
        <f>IF(K216=2,"",_xlfn.IFNA(INDEX(drug_codes,MATCH(loaded!AY216,drug,0)),""))</f>
        <v>#N/A</v>
      </c>
      <c r="X216" t="e">
        <f>IF(K216=2,"",_xlfn.IFNA(INDEX(drug_codes,MATCH(loaded!BA216,drug,0)),""))</f>
        <v>#N/A</v>
      </c>
      <c r="Y216" t="e">
        <f>INDEX(MTT_codes,MATCH(loaded!BC216,MTT,0))</f>
        <v>#N/A</v>
      </c>
      <c r="Z216" t="str">
        <f>_xlfn.IFNA(INDEX(MTT_codes,MATCH(loaded!BE216,MTT,0)),"")</f>
        <v/>
      </c>
      <c r="AA216" t="str">
        <f>_xlfn.IFNA(INDEX(MTT_codes,MATCH(loaded!BG216,MTT,0)),"")</f>
        <v/>
      </c>
      <c r="AB216" t="str">
        <f>_xlfn.IFNA(INDEX(MTT_codes,MATCH(loaded!BI216,MTT,0)),"")</f>
        <v/>
      </c>
      <c r="AC216" t="str">
        <f>_xlfn.IFNA(INDEX(MTT_codes,MATCH(loaded!BK216,MTT,0)),"")</f>
        <v/>
      </c>
      <c r="AD216" t="str">
        <f>_xlfn.IFNA(INDEX(MTT_codes,MATCH(loaded!BM216,MTT,0)),"")</f>
        <v/>
      </c>
      <c r="AE216" t="e">
        <f>INDEX(liv_ar_codes,MATCH(loaded!BO216,liv_ar,0))</f>
        <v>#N/A</v>
      </c>
      <c r="AF216" t="str">
        <f>_xlfn.IFNA(INDEX(MTT_codes,MATCH(loaded!BQ216,MTT,0)),"")</f>
        <v/>
      </c>
      <c r="AG216">
        <f>_xlfn.IFNA(INDEX(mental_codes,MATCH(loaded!BS216,mental,0)),9)</f>
        <v>9</v>
      </c>
    </row>
    <row r="217" spans="1:33" x14ac:dyDescent="0.25">
      <c r="A217">
        <f>loaded!C217</f>
        <v>0</v>
      </c>
      <c r="B217">
        <f>loaded!I217</f>
        <v>0</v>
      </c>
      <c r="C217">
        <f>IF(loaded!K217="Male",1,IF(loaded!K217="Female",2,9))</f>
        <v>9</v>
      </c>
      <c r="D217" s="8">
        <f>loaded!M217</f>
        <v>0</v>
      </c>
      <c r="E217" t="str">
        <f>LEFT(loaded!O217,3)</f>
        <v/>
      </c>
      <c r="F217" t="e">
        <f>INDEX(cntry_codes,MATCH(loaded!Q217,countries,0))</f>
        <v>#N/A</v>
      </c>
      <c r="G217" t="e">
        <f>INDEX(atsi_codes,MATCH(loaded!S217,atsi,0))</f>
        <v>#N/A</v>
      </c>
      <c r="H217" t="e">
        <f>INDEX(lang_codes,MATCH(loaded!U217,lang,0))</f>
        <v>#N/A</v>
      </c>
      <c r="I217" s="8">
        <f>loaded!W217</f>
        <v>0</v>
      </c>
      <c r="J217" t="e">
        <f>INDEX(us_acc_codes,MATCH(loaded!Y217,us_acc,0))</f>
        <v>#N/A</v>
      </c>
      <c r="K217" t="e">
        <f>INDEX(client_codes,MATCH(loaded!AA217,client,0))</f>
        <v>#N/A</v>
      </c>
      <c r="L217" t="e">
        <f>INDEX(src_ref_codes,MATCH(loaded!AC217,src_ref,0))</f>
        <v>#N/A</v>
      </c>
      <c r="M217" s="8">
        <f>loaded!AE217</f>
        <v>0</v>
      </c>
      <c r="N217" s="8">
        <f>loaded!AG217</f>
        <v>0</v>
      </c>
      <c r="O217" t="e">
        <f>INDEX(reces_codes,MATCH(loaded!AI217,reason,0))</f>
        <v>#N/A</v>
      </c>
      <c r="P217" t="e">
        <f>INDEX(TDS_codes,MATCH(loaded!AK217,TDS,0))</f>
        <v>#N/A</v>
      </c>
      <c r="Q217" t="e">
        <f>IF(K217=2,"",INDEX(method_codes,MATCH(loaded!AM217,method,0)))</f>
        <v>#N/A</v>
      </c>
      <c r="R217" t="e">
        <f>IF(K217=2,"",INDEX(inj_codes,MATCH(loaded!AO217,inj,0)))</f>
        <v>#N/A</v>
      </c>
      <c r="S217" t="e">
        <f>IF(K217=2,"",INDEX(drug_codes,MATCH(loaded!AQ217,drug,0)))</f>
        <v>#N/A</v>
      </c>
      <c r="T217" t="e">
        <f>IF(K217=2,"",_xlfn.IFNA(INDEX(drug_codes,MATCH(loaded!AS217,drug,0)),""))</f>
        <v>#N/A</v>
      </c>
      <c r="U217" t="e">
        <f>IF(K217=2,"",_xlfn.IFNA(INDEX(drug_codes,MATCH(loaded!AU217,drug,0)),""))</f>
        <v>#N/A</v>
      </c>
      <c r="V217" t="e">
        <f>IF(K217=2,"",_xlfn.IFNA(INDEX(drug_codes,MATCH(loaded!AW217,drug,0)),""))</f>
        <v>#N/A</v>
      </c>
      <c r="W217" t="e">
        <f>IF(K217=2,"",_xlfn.IFNA(INDEX(drug_codes,MATCH(loaded!AY217,drug,0)),""))</f>
        <v>#N/A</v>
      </c>
      <c r="X217" t="e">
        <f>IF(K217=2,"",_xlfn.IFNA(INDEX(drug_codes,MATCH(loaded!BA217,drug,0)),""))</f>
        <v>#N/A</v>
      </c>
      <c r="Y217" t="e">
        <f>INDEX(MTT_codes,MATCH(loaded!BC217,MTT,0))</f>
        <v>#N/A</v>
      </c>
      <c r="Z217" t="str">
        <f>_xlfn.IFNA(INDEX(MTT_codes,MATCH(loaded!BE217,MTT,0)),"")</f>
        <v/>
      </c>
      <c r="AA217" t="str">
        <f>_xlfn.IFNA(INDEX(MTT_codes,MATCH(loaded!BG217,MTT,0)),"")</f>
        <v/>
      </c>
      <c r="AB217" t="str">
        <f>_xlfn.IFNA(INDEX(MTT_codes,MATCH(loaded!BI217,MTT,0)),"")</f>
        <v/>
      </c>
      <c r="AC217" t="str">
        <f>_xlfn.IFNA(INDEX(MTT_codes,MATCH(loaded!BK217,MTT,0)),"")</f>
        <v/>
      </c>
      <c r="AD217" t="str">
        <f>_xlfn.IFNA(INDEX(MTT_codes,MATCH(loaded!BM217,MTT,0)),"")</f>
        <v/>
      </c>
      <c r="AE217" t="e">
        <f>INDEX(liv_ar_codes,MATCH(loaded!BO217,liv_ar,0))</f>
        <v>#N/A</v>
      </c>
      <c r="AF217" t="str">
        <f>_xlfn.IFNA(INDEX(MTT_codes,MATCH(loaded!BQ217,MTT,0)),"")</f>
        <v/>
      </c>
      <c r="AG217">
        <f>_xlfn.IFNA(INDEX(mental_codes,MATCH(loaded!BS217,mental,0)),9)</f>
        <v>9</v>
      </c>
    </row>
    <row r="218" spans="1:33" x14ac:dyDescent="0.25">
      <c r="A218">
        <f>loaded!C218</f>
        <v>0</v>
      </c>
      <c r="B218">
        <f>loaded!I218</f>
        <v>0</v>
      </c>
      <c r="C218">
        <f>IF(loaded!K218="Male",1,IF(loaded!K218="Female",2,9))</f>
        <v>9</v>
      </c>
      <c r="D218" s="8">
        <f>loaded!M218</f>
        <v>0</v>
      </c>
      <c r="E218" t="str">
        <f>LEFT(loaded!O218,3)</f>
        <v/>
      </c>
      <c r="F218" t="e">
        <f>INDEX(cntry_codes,MATCH(loaded!Q218,countries,0))</f>
        <v>#N/A</v>
      </c>
      <c r="G218" t="e">
        <f>INDEX(atsi_codes,MATCH(loaded!S218,atsi,0))</f>
        <v>#N/A</v>
      </c>
      <c r="H218" t="e">
        <f>INDEX(lang_codes,MATCH(loaded!U218,lang,0))</f>
        <v>#N/A</v>
      </c>
      <c r="I218" s="8">
        <f>loaded!W218</f>
        <v>0</v>
      </c>
      <c r="J218" t="e">
        <f>INDEX(us_acc_codes,MATCH(loaded!Y218,us_acc,0))</f>
        <v>#N/A</v>
      </c>
      <c r="K218" t="e">
        <f>INDEX(client_codes,MATCH(loaded!AA218,client,0))</f>
        <v>#N/A</v>
      </c>
      <c r="L218" t="e">
        <f>INDEX(src_ref_codes,MATCH(loaded!AC218,src_ref,0))</f>
        <v>#N/A</v>
      </c>
      <c r="M218" s="8">
        <f>loaded!AE218</f>
        <v>0</v>
      </c>
      <c r="N218" s="8">
        <f>loaded!AG218</f>
        <v>0</v>
      </c>
      <c r="O218" t="e">
        <f>INDEX(reces_codes,MATCH(loaded!AI218,reason,0))</f>
        <v>#N/A</v>
      </c>
      <c r="P218" t="e">
        <f>INDEX(TDS_codes,MATCH(loaded!AK218,TDS,0))</f>
        <v>#N/A</v>
      </c>
      <c r="Q218" t="e">
        <f>IF(K218=2,"",INDEX(method_codes,MATCH(loaded!AM218,method,0)))</f>
        <v>#N/A</v>
      </c>
      <c r="R218" t="e">
        <f>IF(K218=2,"",INDEX(inj_codes,MATCH(loaded!AO218,inj,0)))</f>
        <v>#N/A</v>
      </c>
      <c r="S218" t="e">
        <f>IF(K218=2,"",INDEX(drug_codes,MATCH(loaded!AQ218,drug,0)))</f>
        <v>#N/A</v>
      </c>
      <c r="T218" t="e">
        <f>IF(K218=2,"",_xlfn.IFNA(INDEX(drug_codes,MATCH(loaded!AS218,drug,0)),""))</f>
        <v>#N/A</v>
      </c>
      <c r="U218" t="e">
        <f>IF(K218=2,"",_xlfn.IFNA(INDEX(drug_codes,MATCH(loaded!AU218,drug,0)),""))</f>
        <v>#N/A</v>
      </c>
      <c r="V218" t="e">
        <f>IF(K218=2,"",_xlfn.IFNA(INDEX(drug_codes,MATCH(loaded!AW218,drug,0)),""))</f>
        <v>#N/A</v>
      </c>
      <c r="W218" t="e">
        <f>IF(K218=2,"",_xlfn.IFNA(INDEX(drug_codes,MATCH(loaded!AY218,drug,0)),""))</f>
        <v>#N/A</v>
      </c>
      <c r="X218" t="e">
        <f>IF(K218=2,"",_xlfn.IFNA(INDEX(drug_codes,MATCH(loaded!BA218,drug,0)),""))</f>
        <v>#N/A</v>
      </c>
      <c r="Y218" t="e">
        <f>INDEX(MTT_codes,MATCH(loaded!BC218,MTT,0))</f>
        <v>#N/A</v>
      </c>
      <c r="Z218" t="str">
        <f>_xlfn.IFNA(INDEX(MTT_codes,MATCH(loaded!BE218,MTT,0)),"")</f>
        <v/>
      </c>
      <c r="AA218" t="str">
        <f>_xlfn.IFNA(INDEX(MTT_codes,MATCH(loaded!BG218,MTT,0)),"")</f>
        <v/>
      </c>
      <c r="AB218" t="str">
        <f>_xlfn.IFNA(INDEX(MTT_codes,MATCH(loaded!BI218,MTT,0)),"")</f>
        <v/>
      </c>
      <c r="AC218" t="str">
        <f>_xlfn.IFNA(INDEX(MTT_codes,MATCH(loaded!BK218,MTT,0)),"")</f>
        <v/>
      </c>
      <c r="AD218" t="str">
        <f>_xlfn.IFNA(INDEX(MTT_codes,MATCH(loaded!BM218,MTT,0)),"")</f>
        <v/>
      </c>
      <c r="AE218" t="e">
        <f>INDEX(liv_ar_codes,MATCH(loaded!BO218,liv_ar,0))</f>
        <v>#N/A</v>
      </c>
      <c r="AF218" t="str">
        <f>_xlfn.IFNA(INDEX(MTT_codes,MATCH(loaded!BQ218,MTT,0)),"")</f>
        <v/>
      </c>
      <c r="AG218">
        <f>_xlfn.IFNA(INDEX(mental_codes,MATCH(loaded!BS218,mental,0)),9)</f>
        <v>9</v>
      </c>
    </row>
    <row r="219" spans="1:33" x14ac:dyDescent="0.25">
      <c r="A219">
        <f>loaded!C219</f>
        <v>0</v>
      </c>
      <c r="B219">
        <f>loaded!I219</f>
        <v>0</v>
      </c>
      <c r="C219">
        <f>IF(loaded!K219="Male",1,IF(loaded!K219="Female",2,9))</f>
        <v>9</v>
      </c>
      <c r="D219" s="8">
        <f>loaded!M219</f>
        <v>0</v>
      </c>
      <c r="E219" t="str">
        <f>LEFT(loaded!O219,3)</f>
        <v/>
      </c>
      <c r="F219" t="e">
        <f>INDEX(cntry_codes,MATCH(loaded!Q219,countries,0))</f>
        <v>#N/A</v>
      </c>
      <c r="G219" t="e">
        <f>INDEX(atsi_codes,MATCH(loaded!S219,atsi,0))</f>
        <v>#N/A</v>
      </c>
      <c r="H219" t="e">
        <f>INDEX(lang_codes,MATCH(loaded!U219,lang,0))</f>
        <v>#N/A</v>
      </c>
      <c r="I219" s="8">
        <f>loaded!W219</f>
        <v>0</v>
      </c>
      <c r="J219" t="e">
        <f>INDEX(us_acc_codes,MATCH(loaded!Y219,us_acc,0))</f>
        <v>#N/A</v>
      </c>
      <c r="K219" t="e">
        <f>INDEX(client_codes,MATCH(loaded!AA219,client,0))</f>
        <v>#N/A</v>
      </c>
      <c r="L219" t="e">
        <f>INDEX(src_ref_codes,MATCH(loaded!AC219,src_ref,0))</f>
        <v>#N/A</v>
      </c>
      <c r="M219" s="8">
        <f>loaded!AE219</f>
        <v>0</v>
      </c>
      <c r="N219" s="8">
        <f>loaded!AG219</f>
        <v>0</v>
      </c>
      <c r="O219" t="e">
        <f>INDEX(reces_codes,MATCH(loaded!AI219,reason,0))</f>
        <v>#N/A</v>
      </c>
      <c r="P219" t="e">
        <f>INDEX(TDS_codes,MATCH(loaded!AK219,TDS,0))</f>
        <v>#N/A</v>
      </c>
      <c r="Q219" t="e">
        <f>IF(K219=2,"",INDEX(method_codes,MATCH(loaded!AM219,method,0)))</f>
        <v>#N/A</v>
      </c>
      <c r="R219" t="e">
        <f>IF(K219=2,"",INDEX(inj_codes,MATCH(loaded!AO219,inj,0)))</f>
        <v>#N/A</v>
      </c>
      <c r="S219" t="e">
        <f>IF(K219=2,"",INDEX(drug_codes,MATCH(loaded!AQ219,drug,0)))</f>
        <v>#N/A</v>
      </c>
      <c r="T219" t="e">
        <f>IF(K219=2,"",_xlfn.IFNA(INDEX(drug_codes,MATCH(loaded!AS219,drug,0)),""))</f>
        <v>#N/A</v>
      </c>
      <c r="U219" t="e">
        <f>IF(K219=2,"",_xlfn.IFNA(INDEX(drug_codes,MATCH(loaded!AU219,drug,0)),""))</f>
        <v>#N/A</v>
      </c>
      <c r="V219" t="e">
        <f>IF(K219=2,"",_xlfn.IFNA(INDEX(drug_codes,MATCH(loaded!AW219,drug,0)),""))</f>
        <v>#N/A</v>
      </c>
      <c r="W219" t="e">
        <f>IF(K219=2,"",_xlfn.IFNA(INDEX(drug_codes,MATCH(loaded!AY219,drug,0)),""))</f>
        <v>#N/A</v>
      </c>
      <c r="X219" t="e">
        <f>IF(K219=2,"",_xlfn.IFNA(INDEX(drug_codes,MATCH(loaded!BA219,drug,0)),""))</f>
        <v>#N/A</v>
      </c>
      <c r="Y219" t="e">
        <f>INDEX(MTT_codes,MATCH(loaded!BC219,MTT,0))</f>
        <v>#N/A</v>
      </c>
      <c r="Z219" t="str">
        <f>_xlfn.IFNA(INDEX(MTT_codes,MATCH(loaded!BE219,MTT,0)),"")</f>
        <v/>
      </c>
      <c r="AA219" t="str">
        <f>_xlfn.IFNA(INDEX(MTT_codes,MATCH(loaded!BG219,MTT,0)),"")</f>
        <v/>
      </c>
      <c r="AB219" t="str">
        <f>_xlfn.IFNA(INDEX(MTT_codes,MATCH(loaded!BI219,MTT,0)),"")</f>
        <v/>
      </c>
      <c r="AC219" t="str">
        <f>_xlfn.IFNA(INDEX(MTT_codes,MATCH(loaded!BK219,MTT,0)),"")</f>
        <v/>
      </c>
      <c r="AD219" t="str">
        <f>_xlfn.IFNA(INDEX(MTT_codes,MATCH(loaded!BM219,MTT,0)),"")</f>
        <v/>
      </c>
      <c r="AE219" t="e">
        <f>INDEX(liv_ar_codes,MATCH(loaded!BO219,liv_ar,0))</f>
        <v>#N/A</v>
      </c>
      <c r="AF219" t="str">
        <f>_xlfn.IFNA(INDEX(MTT_codes,MATCH(loaded!BQ219,MTT,0)),"")</f>
        <v/>
      </c>
      <c r="AG219">
        <f>_xlfn.IFNA(INDEX(mental_codes,MATCH(loaded!BS219,mental,0)),9)</f>
        <v>9</v>
      </c>
    </row>
    <row r="220" spans="1:33" x14ac:dyDescent="0.25">
      <c r="A220">
        <f>loaded!C220</f>
        <v>0</v>
      </c>
      <c r="B220">
        <f>loaded!I220</f>
        <v>0</v>
      </c>
      <c r="C220">
        <f>IF(loaded!K220="Male",1,IF(loaded!K220="Female",2,9))</f>
        <v>9</v>
      </c>
      <c r="D220" s="8">
        <f>loaded!M220</f>
        <v>0</v>
      </c>
      <c r="E220" t="str">
        <f>LEFT(loaded!O220,3)</f>
        <v/>
      </c>
      <c r="F220" t="e">
        <f>INDEX(cntry_codes,MATCH(loaded!Q220,countries,0))</f>
        <v>#N/A</v>
      </c>
      <c r="G220" t="e">
        <f>INDEX(atsi_codes,MATCH(loaded!S220,atsi,0))</f>
        <v>#N/A</v>
      </c>
      <c r="H220" t="e">
        <f>INDEX(lang_codes,MATCH(loaded!U220,lang,0))</f>
        <v>#N/A</v>
      </c>
      <c r="I220" s="8">
        <f>loaded!W220</f>
        <v>0</v>
      </c>
      <c r="J220" t="e">
        <f>INDEX(us_acc_codes,MATCH(loaded!Y220,us_acc,0))</f>
        <v>#N/A</v>
      </c>
      <c r="K220" t="e">
        <f>INDEX(client_codes,MATCH(loaded!AA220,client,0))</f>
        <v>#N/A</v>
      </c>
      <c r="L220" t="e">
        <f>INDEX(src_ref_codes,MATCH(loaded!AC220,src_ref,0))</f>
        <v>#N/A</v>
      </c>
      <c r="M220" s="8">
        <f>loaded!AE220</f>
        <v>0</v>
      </c>
      <c r="N220" s="8">
        <f>loaded!AG220</f>
        <v>0</v>
      </c>
      <c r="O220" t="e">
        <f>INDEX(reces_codes,MATCH(loaded!AI220,reason,0))</f>
        <v>#N/A</v>
      </c>
      <c r="P220" t="e">
        <f>INDEX(TDS_codes,MATCH(loaded!AK220,TDS,0))</f>
        <v>#N/A</v>
      </c>
      <c r="Q220" t="e">
        <f>IF(K220=2,"",INDEX(method_codes,MATCH(loaded!AM220,method,0)))</f>
        <v>#N/A</v>
      </c>
      <c r="R220" t="e">
        <f>IF(K220=2,"",INDEX(inj_codes,MATCH(loaded!AO220,inj,0)))</f>
        <v>#N/A</v>
      </c>
      <c r="S220" t="e">
        <f>IF(K220=2,"",INDEX(drug_codes,MATCH(loaded!AQ220,drug,0)))</f>
        <v>#N/A</v>
      </c>
      <c r="T220" t="e">
        <f>IF(K220=2,"",_xlfn.IFNA(INDEX(drug_codes,MATCH(loaded!AS220,drug,0)),""))</f>
        <v>#N/A</v>
      </c>
      <c r="U220" t="e">
        <f>IF(K220=2,"",_xlfn.IFNA(INDEX(drug_codes,MATCH(loaded!AU220,drug,0)),""))</f>
        <v>#N/A</v>
      </c>
      <c r="V220" t="e">
        <f>IF(K220=2,"",_xlfn.IFNA(INDEX(drug_codes,MATCH(loaded!AW220,drug,0)),""))</f>
        <v>#N/A</v>
      </c>
      <c r="W220" t="e">
        <f>IF(K220=2,"",_xlfn.IFNA(INDEX(drug_codes,MATCH(loaded!AY220,drug,0)),""))</f>
        <v>#N/A</v>
      </c>
      <c r="X220" t="e">
        <f>IF(K220=2,"",_xlfn.IFNA(INDEX(drug_codes,MATCH(loaded!BA220,drug,0)),""))</f>
        <v>#N/A</v>
      </c>
      <c r="Y220" t="e">
        <f>INDEX(MTT_codes,MATCH(loaded!BC220,MTT,0))</f>
        <v>#N/A</v>
      </c>
      <c r="Z220" t="str">
        <f>_xlfn.IFNA(INDEX(MTT_codes,MATCH(loaded!BE220,MTT,0)),"")</f>
        <v/>
      </c>
      <c r="AA220" t="str">
        <f>_xlfn.IFNA(INDEX(MTT_codes,MATCH(loaded!BG220,MTT,0)),"")</f>
        <v/>
      </c>
      <c r="AB220" t="str">
        <f>_xlfn.IFNA(INDEX(MTT_codes,MATCH(loaded!BI220,MTT,0)),"")</f>
        <v/>
      </c>
      <c r="AC220" t="str">
        <f>_xlfn.IFNA(INDEX(MTT_codes,MATCH(loaded!BK220,MTT,0)),"")</f>
        <v/>
      </c>
      <c r="AD220" t="str">
        <f>_xlfn.IFNA(INDEX(MTT_codes,MATCH(loaded!BM220,MTT,0)),"")</f>
        <v/>
      </c>
      <c r="AE220" t="e">
        <f>INDEX(liv_ar_codes,MATCH(loaded!BO220,liv_ar,0))</f>
        <v>#N/A</v>
      </c>
      <c r="AF220" t="str">
        <f>_xlfn.IFNA(INDEX(MTT_codes,MATCH(loaded!BQ220,MTT,0)),"")</f>
        <v/>
      </c>
      <c r="AG220">
        <f>_xlfn.IFNA(INDEX(mental_codes,MATCH(loaded!BS220,mental,0)),9)</f>
        <v>9</v>
      </c>
    </row>
    <row r="221" spans="1:33" x14ac:dyDescent="0.25">
      <c r="A221">
        <f>loaded!C221</f>
        <v>0</v>
      </c>
      <c r="B221">
        <f>loaded!I221</f>
        <v>0</v>
      </c>
      <c r="C221">
        <f>IF(loaded!K221="Male",1,IF(loaded!K221="Female",2,9))</f>
        <v>9</v>
      </c>
      <c r="D221" s="8">
        <f>loaded!M221</f>
        <v>0</v>
      </c>
      <c r="E221" t="str">
        <f>LEFT(loaded!O221,3)</f>
        <v/>
      </c>
      <c r="F221" t="e">
        <f>INDEX(cntry_codes,MATCH(loaded!Q221,countries,0))</f>
        <v>#N/A</v>
      </c>
      <c r="G221" t="e">
        <f>INDEX(atsi_codes,MATCH(loaded!S221,atsi,0))</f>
        <v>#N/A</v>
      </c>
      <c r="H221" t="e">
        <f>INDEX(lang_codes,MATCH(loaded!U221,lang,0))</f>
        <v>#N/A</v>
      </c>
      <c r="I221" s="8">
        <f>loaded!W221</f>
        <v>0</v>
      </c>
      <c r="J221" t="e">
        <f>INDEX(us_acc_codes,MATCH(loaded!Y221,us_acc,0))</f>
        <v>#N/A</v>
      </c>
      <c r="K221" t="e">
        <f>INDEX(client_codes,MATCH(loaded!AA221,client,0))</f>
        <v>#N/A</v>
      </c>
      <c r="L221" t="e">
        <f>INDEX(src_ref_codes,MATCH(loaded!AC221,src_ref,0))</f>
        <v>#N/A</v>
      </c>
      <c r="M221" s="8">
        <f>loaded!AE221</f>
        <v>0</v>
      </c>
      <c r="N221" s="8">
        <f>loaded!AG221</f>
        <v>0</v>
      </c>
      <c r="O221" t="e">
        <f>INDEX(reces_codes,MATCH(loaded!AI221,reason,0))</f>
        <v>#N/A</v>
      </c>
      <c r="P221" t="e">
        <f>INDEX(TDS_codes,MATCH(loaded!AK221,TDS,0))</f>
        <v>#N/A</v>
      </c>
      <c r="Q221" t="e">
        <f>IF(K221=2,"",INDEX(method_codes,MATCH(loaded!AM221,method,0)))</f>
        <v>#N/A</v>
      </c>
      <c r="R221" t="e">
        <f>IF(K221=2,"",INDEX(inj_codes,MATCH(loaded!AO221,inj,0)))</f>
        <v>#N/A</v>
      </c>
      <c r="S221" t="e">
        <f>IF(K221=2,"",INDEX(drug_codes,MATCH(loaded!AQ221,drug,0)))</f>
        <v>#N/A</v>
      </c>
      <c r="T221" t="e">
        <f>IF(K221=2,"",_xlfn.IFNA(INDEX(drug_codes,MATCH(loaded!AS221,drug,0)),""))</f>
        <v>#N/A</v>
      </c>
      <c r="U221" t="e">
        <f>IF(K221=2,"",_xlfn.IFNA(INDEX(drug_codes,MATCH(loaded!AU221,drug,0)),""))</f>
        <v>#N/A</v>
      </c>
      <c r="V221" t="e">
        <f>IF(K221=2,"",_xlfn.IFNA(INDEX(drug_codes,MATCH(loaded!AW221,drug,0)),""))</f>
        <v>#N/A</v>
      </c>
      <c r="W221" t="e">
        <f>IF(K221=2,"",_xlfn.IFNA(INDEX(drug_codes,MATCH(loaded!AY221,drug,0)),""))</f>
        <v>#N/A</v>
      </c>
      <c r="X221" t="e">
        <f>IF(K221=2,"",_xlfn.IFNA(INDEX(drug_codes,MATCH(loaded!BA221,drug,0)),""))</f>
        <v>#N/A</v>
      </c>
      <c r="Y221" t="e">
        <f>INDEX(MTT_codes,MATCH(loaded!BC221,MTT,0))</f>
        <v>#N/A</v>
      </c>
      <c r="Z221" t="str">
        <f>_xlfn.IFNA(INDEX(MTT_codes,MATCH(loaded!BE221,MTT,0)),"")</f>
        <v/>
      </c>
      <c r="AA221" t="str">
        <f>_xlfn.IFNA(INDEX(MTT_codes,MATCH(loaded!BG221,MTT,0)),"")</f>
        <v/>
      </c>
      <c r="AB221" t="str">
        <f>_xlfn.IFNA(INDEX(MTT_codes,MATCH(loaded!BI221,MTT,0)),"")</f>
        <v/>
      </c>
      <c r="AC221" t="str">
        <f>_xlfn.IFNA(INDEX(MTT_codes,MATCH(loaded!BK221,MTT,0)),"")</f>
        <v/>
      </c>
      <c r="AD221" t="str">
        <f>_xlfn.IFNA(INDEX(MTT_codes,MATCH(loaded!BM221,MTT,0)),"")</f>
        <v/>
      </c>
      <c r="AE221" t="e">
        <f>INDEX(liv_ar_codes,MATCH(loaded!BO221,liv_ar,0))</f>
        <v>#N/A</v>
      </c>
      <c r="AF221" t="str">
        <f>_xlfn.IFNA(INDEX(MTT_codes,MATCH(loaded!BQ221,MTT,0)),"")</f>
        <v/>
      </c>
      <c r="AG221">
        <f>_xlfn.IFNA(INDEX(mental_codes,MATCH(loaded!BS221,mental,0)),9)</f>
        <v>9</v>
      </c>
    </row>
    <row r="222" spans="1:33" x14ac:dyDescent="0.25">
      <c r="A222">
        <f>loaded!C222</f>
        <v>0</v>
      </c>
      <c r="B222">
        <f>loaded!I222</f>
        <v>0</v>
      </c>
      <c r="C222">
        <f>IF(loaded!K222="Male",1,IF(loaded!K222="Female",2,9))</f>
        <v>9</v>
      </c>
      <c r="D222" s="8">
        <f>loaded!M222</f>
        <v>0</v>
      </c>
      <c r="E222" t="str">
        <f>LEFT(loaded!O222,3)</f>
        <v/>
      </c>
      <c r="F222" t="e">
        <f>INDEX(cntry_codes,MATCH(loaded!Q222,countries,0))</f>
        <v>#N/A</v>
      </c>
      <c r="G222" t="e">
        <f>INDEX(atsi_codes,MATCH(loaded!S222,atsi,0))</f>
        <v>#N/A</v>
      </c>
      <c r="H222" t="e">
        <f>INDEX(lang_codes,MATCH(loaded!U222,lang,0))</f>
        <v>#N/A</v>
      </c>
      <c r="I222" s="8">
        <f>loaded!W222</f>
        <v>0</v>
      </c>
      <c r="J222" t="e">
        <f>INDEX(us_acc_codes,MATCH(loaded!Y222,us_acc,0))</f>
        <v>#N/A</v>
      </c>
      <c r="K222" t="e">
        <f>INDEX(client_codes,MATCH(loaded!AA222,client,0))</f>
        <v>#N/A</v>
      </c>
      <c r="L222" t="e">
        <f>INDEX(src_ref_codes,MATCH(loaded!AC222,src_ref,0))</f>
        <v>#N/A</v>
      </c>
      <c r="M222" s="8">
        <f>loaded!AE222</f>
        <v>0</v>
      </c>
      <c r="N222" s="8">
        <f>loaded!AG222</f>
        <v>0</v>
      </c>
      <c r="O222" t="e">
        <f>INDEX(reces_codes,MATCH(loaded!AI222,reason,0))</f>
        <v>#N/A</v>
      </c>
      <c r="P222" t="e">
        <f>INDEX(TDS_codes,MATCH(loaded!AK222,TDS,0))</f>
        <v>#N/A</v>
      </c>
      <c r="Q222" t="e">
        <f>IF(K222=2,"",INDEX(method_codes,MATCH(loaded!AM222,method,0)))</f>
        <v>#N/A</v>
      </c>
      <c r="R222" t="e">
        <f>IF(K222=2,"",INDEX(inj_codes,MATCH(loaded!AO222,inj,0)))</f>
        <v>#N/A</v>
      </c>
      <c r="S222" t="e">
        <f>IF(K222=2,"",INDEX(drug_codes,MATCH(loaded!AQ222,drug,0)))</f>
        <v>#N/A</v>
      </c>
      <c r="T222" t="e">
        <f>IF(K222=2,"",_xlfn.IFNA(INDEX(drug_codes,MATCH(loaded!AS222,drug,0)),""))</f>
        <v>#N/A</v>
      </c>
      <c r="U222" t="e">
        <f>IF(K222=2,"",_xlfn.IFNA(INDEX(drug_codes,MATCH(loaded!AU222,drug,0)),""))</f>
        <v>#N/A</v>
      </c>
      <c r="V222" t="e">
        <f>IF(K222=2,"",_xlfn.IFNA(INDEX(drug_codes,MATCH(loaded!AW222,drug,0)),""))</f>
        <v>#N/A</v>
      </c>
      <c r="W222" t="e">
        <f>IF(K222=2,"",_xlfn.IFNA(INDEX(drug_codes,MATCH(loaded!AY222,drug,0)),""))</f>
        <v>#N/A</v>
      </c>
      <c r="X222" t="e">
        <f>IF(K222=2,"",_xlfn.IFNA(INDEX(drug_codes,MATCH(loaded!BA222,drug,0)),""))</f>
        <v>#N/A</v>
      </c>
      <c r="Y222" t="e">
        <f>INDEX(MTT_codes,MATCH(loaded!BC222,MTT,0))</f>
        <v>#N/A</v>
      </c>
      <c r="Z222" t="str">
        <f>_xlfn.IFNA(INDEX(MTT_codes,MATCH(loaded!BE222,MTT,0)),"")</f>
        <v/>
      </c>
      <c r="AA222" t="str">
        <f>_xlfn.IFNA(INDEX(MTT_codes,MATCH(loaded!BG222,MTT,0)),"")</f>
        <v/>
      </c>
      <c r="AB222" t="str">
        <f>_xlfn.IFNA(INDEX(MTT_codes,MATCH(loaded!BI222,MTT,0)),"")</f>
        <v/>
      </c>
      <c r="AC222" t="str">
        <f>_xlfn.IFNA(INDEX(MTT_codes,MATCH(loaded!BK222,MTT,0)),"")</f>
        <v/>
      </c>
      <c r="AD222" t="str">
        <f>_xlfn.IFNA(INDEX(MTT_codes,MATCH(loaded!BM222,MTT,0)),"")</f>
        <v/>
      </c>
      <c r="AE222" t="e">
        <f>INDEX(liv_ar_codes,MATCH(loaded!BO222,liv_ar,0))</f>
        <v>#N/A</v>
      </c>
      <c r="AF222" t="str">
        <f>_xlfn.IFNA(INDEX(MTT_codes,MATCH(loaded!BQ222,MTT,0)),"")</f>
        <v/>
      </c>
      <c r="AG222">
        <f>_xlfn.IFNA(INDEX(mental_codes,MATCH(loaded!BS222,mental,0)),9)</f>
        <v>9</v>
      </c>
    </row>
    <row r="223" spans="1:33" x14ac:dyDescent="0.25">
      <c r="A223">
        <f>loaded!C223</f>
        <v>0</v>
      </c>
      <c r="B223">
        <f>loaded!I223</f>
        <v>0</v>
      </c>
      <c r="C223">
        <f>IF(loaded!K223="Male",1,IF(loaded!K223="Female",2,9))</f>
        <v>9</v>
      </c>
      <c r="D223" s="8">
        <f>loaded!M223</f>
        <v>0</v>
      </c>
      <c r="E223" t="str">
        <f>LEFT(loaded!O223,3)</f>
        <v/>
      </c>
      <c r="F223" t="e">
        <f>INDEX(cntry_codes,MATCH(loaded!Q223,countries,0))</f>
        <v>#N/A</v>
      </c>
      <c r="G223" t="e">
        <f>INDEX(atsi_codes,MATCH(loaded!S223,atsi,0))</f>
        <v>#N/A</v>
      </c>
      <c r="H223" t="e">
        <f>INDEX(lang_codes,MATCH(loaded!U223,lang,0))</f>
        <v>#N/A</v>
      </c>
      <c r="I223" s="8">
        <f>loaded!W223</f>
        <v>0</v>
      </c>
      <c r="J223" t="e">
        <f>INDEX(us_acc_codes,MATCH(loaded!Y223,us_acc,0))</f>
        <v>#N/A</v>
      </c>
      <c r="K223" t="e">
        <f>INDEX(client_codes,MATCH(loaded!AA223,client,0))</f>
        <v>#N/A</v>
      </c>
      <c r="L223" t="e">
        <f>INDEX(src_ref_codes,MATCH(loaded!AC223,src_ref,0))</f>
        <v>#N/A</v>
      </c>
      <c r="M223" s="8">
        <f>loaded!AE223</f>
        <v>0</v>
      </c>
      <c r="N223" s="8">
        <f>loaded!AG223</f>
        <v>0</v>
      </c>
      <c r="O223" t="e">
        <f>INDEX(reces_codes,MATCH(loaded!AI223,reason,0))</f>
        <v>#N/A</v>
      </c>
      <c r="P223" t="e">
        <f>INDEX(TDS_codes,MATCH(loaded!AK223,TDS,0))</f>
        <v>#N/A</v>
      </c>
      <c r="Q223" t="e">
        <f>IF(K223=2,"",INDEX(method_codes,MATCH(loaded!AM223,method,0)))</f>
        <v>#N/A</v>
      </c>
      <c r="R223" t="e">
        <f>IF(K223=2,"",INDEX(inj_codes,MATCH(loaded!AO223,inj,0)))</f>
        <v>#N/A</v>
      </c>
      <c r="S223" t="e">
        <f>IF(K223=2,"",INDEX(drug_codes,MATCH(loaded!AQ223,drug,0)))</f>
        <v>#N/A</v>
      </c>
      <c r="T223" t="e">
        <f>IF(K223=2,"",_xlfn.IFNA(INDEX(drug_codes,MATCH(loaded!AS223,drug,0)),""))</f>
        <v>#N/A</v>
      </c>
      <c r="U223" t="e">
        <f>IF(K223=2,"",_xlfn.IFNA(INDEX(drug_codes,MATCH(loaded!AU223,drug,0)),""))</f>
        <v>#N/A</v>
      </c>
      <c r="V223" t="e">
        <f>IF(K223=2,"",_xlfn.IFNA(INDEX(drug_codes,MATCH(loaded!AW223,drug,0)),""))</f>
        <v>#N/A</v>
      </c>
      <c r="W223" t="e">
        <f>IF(K223=2,"",_xlfn.IFNA(INDEX(drug_codes,MATCH(loaded!AY223,drug,0)),""))</f>
        <v>#N/A</v>
      </c>
      <c r="X223" t="e">
        <f>IF(K223=2,"",_xlfn.IFNA(INDEX(drug_codes,MATCH(loaded!BA223,drug,0)),""))</f>
        <v>#N/A</v>
      </c>
      <c r="Y223" t="e">
        <f>INDEX(MTT_codes,MATCH(loaded!BC223,MTT,0))</f>
        <v>#N/A</v>
      </c>
      <c r="Z223" t="str">
        <f>_xlfn.IFNA(INDEX(MTT_codes,MATCH(loaded!BE223,MTT,0)),"")</f>
        <v/>
      </c>
      <c r="AA223" t="str">
        <f>_xlfn.IFNA(INDEX(MTT_codes,MATCH(loaded!BG223,MTT,0)),"")</f>
        <v/>
      </c>
      <c r="AB223" t="str">
        <f>_xlfn.IFNA(INDEX(MTT_codes,MATCH(loaded!BI223,MTT,0)),"")</f>
        <v/>
      </c>
      <c r="AC223" t="str">
        <f>_xlfn.IFNA(INDEX(MTT_codes,MATCH(loaded!BK223,MTT,0)),"")</f>
        <v/>
      </c>
      <c r="AD223" t="str">
        <f>_xlfn.IFNA(INDEX(MTT_codes,MATCH(loaded!BM223,MTT,0)),"")</f>
        <v/>
      </c>
      <c r="AE223" t="e">
        <f>INDEX(liv_ar_codes,MATCH(loaded!BO223,liv_ar,0))</f>
        <v>#N/A</v>
      </c>
      <c r="AF223" t="str">
        <f>_xlfn.IFNA(INDEX(MTT_codes,MATCH(loaded!BQ223,MTT,0)),"")</f>
        <v/>
      </c>
      <c r="AG223">
        <f>_xlfn.IFNA(INDEX(mental_codes,MATCH(loaded!BS223,mental,0)),9)</f>
        <v>9</v>
      </c>
    </row>
    <row r="224" spans="1:33" x14ac:dyDescent="0.25">
      <c r="A224">
        <f>loaded!C224</f>
        <v>0</v>
      </c>
      <c r="B224">
        <f>loaded!I224</f>
        <v>0</v>
      </c>
      <c r="C224">
        <f>IF(loaded!K224="Male",1,IF(loaded!K224="Female",2,9))</f>
        <v>9</v>
      </c>
      <c r="D224" s="8">
        <f>loaded!M224</f>
        <v>0</v>
      </c>
      <c r="E224" t="str">
        <f>LEFT(loaded!O224,3)</f>
        <v/>
      </c>
      <c r="F224" t="e">
        <f>INDEX(cntry_codes,MATCH(loaded!Q224,countries,0))</f>
        <v>#N/A</v>
      </c>
      <c r="G224" t="e">
        <f>INDEX(atsi_codes,MATCH(loaded!S224,atsi,0))</f>
        <v>#N/A</v>
      </c>
      <c r="H224" t="e">
        <f>INDEX(lang_codes,MATCH(loaded!U224,lang,0))</f>
        <v>#N/A</v>
      </c>
      <c r="I224" s="8">
        <f>loaded!W224</f>
        <v>0</v>
      </c>
      <c r="J224" t="e">
        <f>INDEX(us_acc_codes,MATCH(loaded!Y224,us_acc,0))</f>
        <v>#N/A</v>
      </c>
      <c r="K224" t="e">
        <f>INDEX(client_codes,MATCH(loaded!AA224,client,0))</f>
        <v>#N/A</v>
      </c>
      <c r="L224" t="e">
        <f>INDEX(src_ref_codes,MATCH(loaded!AC224,src_ref,0))</f>
        <v>#N/A</v>
      </c>
      <c r="M224" s="8">
        <f>loaded!AE224</f>
        <v>0</v>
      </c>
      <c r="N224" s="8">
        <f>loaded!AG224</f>
        <v>0</v>
      </c>
      <c r="O224" t="e">
        <f>INDEX(reces_codes,MATCH(loaded!AI224,reason,0))</f>
        <v>#N/A</v>
      </c>
      <c r="P224" t="e">
        <f>INDEX(TDS_codes,MATCH(loaded!AK224,TDS,0))</f>
        <v>#N/A</v>
      </c>
      <c r="Q224" t="e">
        <f>IF(K224=2,"",INDEX(method_codes,MATCH(loaded!AM224,method,0)))</f>
        <v>#N/A</v>
      </c>
      <c r="R224" t="e">
        <f>IF(K224=2,"",INDEX(inj_codes,MATCH(loaded!AO224,inj,0)))</f>
        <v>#N/A</v>
      </c>
      <c r="S224" t="e">
        <f>IF(K224=2,"",INDEX(drug_codes,MATCH(loaded!AQ224,drug,0)))</f>
        <v>#N/A</v>
      </c>
      <c r="T224" t="e">
        <f>IF(K224=2,"",_xlfn.IFNA(INDEX(drug_codes,MATCH(loaded!AS224,drug,0)),""))</f>
        <v>#N/A</v>
      </c>
      <c r="U224" t="e">
        <f>IF(K224=2,"",_xlfn.IFNA(INDEX(drug_codes,MATCH(loaded!AU224,drug,0)),""))</f>
        <v>#N/A</v>
      </c>
      <c r="V224" t="e">
        <f>IF(K224=2,"",_xlfn.IFNA(INDEX(drug_codes,MATCH(loaded!AW224,drug,0)),""))</f>
        <v>#N/A</v>
      </c>
      <c r="W224" t="e">
        <f>IF(K224=2,"",_xlfn.IFNA(INDEX(drug_codes,MATCH(loaded!AY224,drug,0)),""))</f>
        <v>#N/A</v>
      </c>
      <c r="X224" t="e">
        <f>IF(K224=2,"",_xlfn.IFNA(INDEX(drug_codes,MATCH(loaded!BA224,drug,0)),""))</f>
        <v>#N/A</v>
      </c>
      <c r="Y224" t="e">
        <f>INDEX(MTT_codes,MATCH(loaded!BC224,MTT,0))</f>
        <v>#N/A</v>
      </c>
      <c r="Z224" t="str">
        <f>_xlfn.IFNA(INDEX(MTT_codes,MATCH(loaded!BE224,MTT,0)),"")</f>
        <v/>
      </c>
      <c r="AA224" t="str">
        <f>_xlfn.IFNA(INDEX(MTT_codes,MATCH(loaded!BG224,MTT,0)),"")</f>
        <v/>
      </c>
      <c r="AB224" t="str">
        <f>_xlfn.IFNA(INDEX(MTT_codes,MATCH(loaded!BI224,MTT,0)),"")</f>
        <v/>
      </c>
      <c r="AC224" t="str">
        <f>_xlfn.IFNA(INDEX(MTT_codes,MATCH(loaded!BK224,MTT,0)),"")</f>
        <v/>
      </c>
      <c r="AD224" t="str">
        <f>_xlfn.IFNA(INDEX(MTT_codes,MATCH(loaded!BM224,MTT,0)),"")</f>
        <v/>
      </c>
      <c r="AE224" t="e">
        <f>INDEX(liv_ar_codes,MATCH(loaded!BO224,liv_ar,0))</f>
        <v>#N/A</v>
      </c>
      <c r="AF224" t="str">
        <f>_xlfn.IFNA(INDEX(MTT_codes,MATCH(loaded!BQ224,MTT,0)),"")</f>
        <v/>
      </c>
      <c r="AG224">
        <f>_xlfn.IFNA(INDEX(mental_codes,MATCH(loaded!BS224,mental,0)),9)</f>
        <v>9</v>
      </c>
    </row>
    <row r="225" spans="1:33" x14ac:dyDescent="0.25">
      <c r="A225">
        <f>loaded!C225</f>
        <v>0</v>
      </c>
      <c r="B225">
        <f>loaded!I225</f>
        <v>0</v>
      </c>
      <c r="C225">
        <f>IF(loaded!K225="Male",1,IF(loaded!K225="Female",2,9))</f>
        <v>9</v>
      </c>
      <c r="D225" s="8">
        <f>loaded!M225</f>
        <v>0</v>
      </c>
      <c r="E225" t="str">
        <f>LEFT(loaded!O225,3)</f>
        <v/>
      </c>
      <c r="F225" t="e">
        <f>INDEX(cntry_codes,MATCH(loaded!Q225,countries,0))</f>
        <v>#N/A</v>
      </c>
      <c r="G225" t="e">
        <f>INDEX(atsi_codes,MATCH(loaded!S225,atsi,0))</f>
        <v>#N/A</v>
      </c>
      <c r="H225" t="e">
        <f>INDEX(lang_codes,MATCH(loaded!U225,lang,0))</f>
        <v>#N/A</v>
      </c>
      <c r="I225" s="8">
        <f>loaded!W225</f>
        <v>0</v>
      </c>
      <c r="J225" t="e">
        <f>INDEX(us_acc_codes,MATCH(loaded!Y225,us_acc,0))</f>
        <v>#N/A</v>
      </c>
      <c r="K225" t="e">
        <f>INDEX(client_codes,MATCH(loaded!AA225,client,0))</f>
        <v>#N/A</v>
      </c>
      <c r="L225" t="e">
        <f>INDEX(src_ref_codes,MATCH(loaded!AC225,src_ref,0))</f>
        <v>#N/A</v>
      </c>
      <c r="M225" s="8">
        <f>loaded!AE225</f>
        <v>0</v>
      </c>
      <c r="N225" s="8">
        <f>loaded!AG225</f>
        <v>0</v>
      </c>
      <c r="O225" t="e">
        <f>INDEX(reces_codes,MATCH(loaded!AI225,reason,0))</f>
        <v>#N/A</v>
      </c>
      <c r="P225" t="e">
        <f>INDEX(TDS_codes,MATCH(loaded!AK225,TDS,0))</f>
        <v>#N/A</v>
      </c>
      <c r="Q225" t="e">
        <f>IF(K225=2,"",INDEX(method_codes,MATCH(loaded!AM225,method,0)))</f>
        <v>#N/A</v>
      </c>
      <c r="R225" t="e">
        <f>IF(K225=2,"",INDEX(inj_codes,MATCH(loaded!AO225,inj,0)))</f>
        <v>#N/A</v>
      </c>
      <c r="S225" t="e">
        <f>IF(K225=2,"",INDEX(drug_codes,MATCH(loaded!AQ225,drug,0)))</f>
        <v>#N/A</v>
      </c>
      <c r="T225" t="e">
        <f>IF(K225=2,"",_xlfn.IFNA(INDEX(drug_codes,MATCH(loaded!AS225,drug,0)),""))</f>
        <v>#N/A</v>
      </c>
      <c r="U225" t="e">
        <f>IF(K225=2,"",_xlfn.IFNA(INDEX(drug_codes,MATCH(loaded!AU225,drug,0)),""))</f>
        <v>#N/A</v>
      </c>
      <c r="V225" t="e">
        <f>IF(K225=2,"",_xlfn.IFNA(INDEX(drug_codes,MATCH(loaded!AW225,drug,0)),""))</f>
        <v>#N/A</v>
      </c>
      <c r="W225" t="e">
        <f>IF(K225=2,"",_xlfn.IFNA(INDEX(drug_codes,MATCH(loaded!AY225,drug,0)),""))</f>
        <v>#N/A</v>
      </c>
      <c r="X225" t="e">
        <f>IF(K225=2,"",_xlfn.IFNA(INDEX(drug_codes,MATCH(loaded!BA225,drug,0)),""))</f>
        <v>#N/A</v>
      </c>
      <c r="Y225" t="e">
        <f>INDEX(MTT_codes,MATCH(loaded!BC225,MTT,0))</f>
        <v>#N/A</v>
      </c>
      <c r="Z225" t="str">
        <f>_xlfn.IFNA(INDEX(MTT_codes,MATCH(loaded!BE225,MTT,0)),"")</f>
        <v/>
      </c>
      <c r="AA225" t="str">
        <f>_xlfn.IFNA(INDEX(MTT_codes,MATCH(loaded!BG225,MTT,0)),"")</f>
        <v/>
      </c>
      <c r="AB225" t="str">
        <f>_xlfn.IFNA(INDEX(MTT_codes,MATCH(loaded!BI225,MTT,0)),"")</f>
        <v/>
      </c>
      <c r="AC225" t="str">
        <f>_xlfn.IFNA(INDEX(MTT_codes,MATCH(loaded!BK225,MTT,0)),"")</f>
        <v/>
      </c>
      <c r="AD225" t="str">
        <f>_xlfn.IFNA(INDEX(MTT_codes,MATCH(loaded!BM225,MTT,0)),"")</f>
        <v/>
      </c>
      <c r="AE225" t="e">
        <f>INDEX(liv_ar_codes,MATCH(loaded!BO225,liv_ar,0))</f>
        <v>#N/A</v>
      </c>
      <c r="AF225" t="str">
        <f>_xlfn.IFNA(INDEX(MTT_codes,MATCH(loaded!BQ225,MTT,0)),"")</f>
        <v/>
      </c>
      <c r="AG225">
        <f>_xlfn.IFNA(INDEX(mental_codes,MATCH(loaded!BS225,mental,0)),9)</f>
        <v>9</v>
      </c>
    </row>
    <row r="226" spans="1:33" x14ac:dyDescent="0.25">
      <c r="A226">
        <f>loaded!C226</f>
        <v>0</v>
      </c>
      <c r="B226">
        <f>loaded!I226</f>
        <v>0</v>
      </c>
      <c r="C226">
        <f>IF(loaded!K226="Male",1,IF(loaded!K226="Female",2,9))</f>
        <v>9</v>
      </c>
      <c r="D226" s="8">
        <f>loaded!M226</f>
        <v>0</v>
      </c>
      <c r="E226" t="str">
        <f>LEFT(loaded!O226,3)</f>
        <v/>
      </c>
      <c r="F226" t="e">
        <f>INDEX(cntry_codes,MATCH(loaded!Q226,countries,0))</f>
        <v>#N/A</v>
      </c>
      <c r="G226" t="e">
        <f>INDEX(atsi_codes,MATCH(loaded!S226,atsi,0))</f>
        <v>#N/A</v>
      </c>
      <c r="H226" t="e">
        <f>INDEX(lang_codes,MATCH(loaded!U226,lang,0))</f>
        <v>#N/A</v>
      </c>
      <c r="I226" s="8">
        <f>loaded!W226</f>
        <v>0</v>
      </c>
      <c r="J226" t="e">
        <f>INDEX(us_acc_codes,MATCH(loaded!Y226,us_acc,0))</f>
        <v>#N/A</v>
      </c>
      <c r="K226" t="e">
        <f>INDEX(client_codes,MATCH(loaded!AA226,client,0))</f>
        <v>#N/A</v>
      </c>
      <c r="L226" t="e">
        <f>INDEX(src_ref_codes,MATCH(loaded!AC226,src_ref,0))</f>
        <v>#N/A</v>
      </c>
      <c r="M226" s="8">
        <f>loaded!AE226</f>
        <v>0</v>
      </c>
      <c r="N226" s="8">
        <f>loaded!AG226</f>
        <v>0</v>
      </c>
      <c r="O226" t="e">
        <f>INDEX(reces_codes,MATCH(loaded!AI226,reason,0))</f>
        <v>#N/A</v>
      </c>
      <c r="P226" t="e">
        <f>INDEX(TDS_codes,MATCH(loaded!AK226,TDS,0))</f>
        <v>#N/A</v>
      </c>
      <c r="Q226" t="e">
        <f>IF(K226=2,"",INDEX(method_codes,MATCH(loaded!AM226,method,0)))</f>
        <v>#N/A</v>
      </c>
      <c r="R226" t="e">
        <f>IF(K226=2,"",INDEX(inj_codes,MATCH(loaded!AO226,inj,0)))</f>
        <v>#N/A</v>
      </c>
      <c r="S226" t="e">
        <f>IF(K226=2,"",INDEX(drug_codes,MATCH(loaded!AQ226,drug,0)))</f>
        <v>#N/A</v>
      </c>
      <c r="T226" t="e">
        <f>IF(K226=2,"",_xlfn.IFNA(INDEX(drug_codes,MATCH(loaded!AS226,drug,0)),""))</f>
        <v>#N/A</v>
      </c>
      <c r="U226" t="e">
        <f>IF(K226=2,"",_xlfn.IFNA(INDEX(drug_codes,MATCH(loaded!AU226,drug,0)),""))</f>
        <v>#N/A</v>
      </c>
      <c r="V226" t="e">
        <f>IF(K226=2,"",_xlfn.IFNA(INDEX(drug_codes,MATCH(loaded!AW226,drug,0)),""))</f>
        <v>#N/A</v>
      </c>
      <c r="W226" t="e">
        <f>IF(K226=2,"",_xlfn.IFNA(INDEX(drug_codes,MATCH(loaded!AY226,drug,0)),""))</f>
        <v>#N/A</v>
      </c>
      <c r="X226" t="e">
        <f>IF(K226=2,"",_xlfn.IFNA(INDEX(drug_codes,MATCH(loaded!BA226,drug,0)),""))</f>
        <v>#N/A</v>
      </c>
      <c r="Y226" t="e">
        <f>INDEX(MTT_codes,MATCH(loaded!BC226,MTT,0))</f>
        <v>#N/A</v>
      </c>
      <c r="Z226" t="str">
        <f>_xlfn.IFNA(INDEX(MTT_codes,MATCH(loaded!BE226,MTT,0)),"")</f>
        <v/>
      </c>
      <c r="AA226" t="str">
        <f>_xlfn.IFNA(INDEX(MTT_codes,MATCH(loaded!BG226,MTT,0)),"")</f>
        <v/>
      </c>
      <c r="AB226" t="str">
        <f>_xlfn.IFNA(INDEX(MTT_codes,MATCH(loaded!BI226,MTT,0)),"")</f>
        <v/>
      </c>
      <c r="AC226" t="str">
        <f>_xlfn.IFNA(INDEX(MTT_codes,MATCH(loaded!BK226,MTT,0)),"")</f>
        <v/>
      </c>
      <c r="AD226" t="str">
        <f>_xlfn.IFNA(INDEX(MTT_codes,MATCH(loaded!BM226,MTT,0)),"")</f>
        <v/>
      </c>
      <c r="AE226" t="e">
        <f>INDEX(liv_ar_codes,MATCH(loaded!BO226,liv_ar,0))</f>
        <v>#N/A</v>
      </c>
      <c r="AF226" t="str">
        <f>_xlfn.IFNA(INDEX(MTT_codes,MATCH(loaded!BQ226,MTT,0)),"")</f>
        <v/>
      </c>
      <c r="AG226">
        <f>_xlfn.IFNA(INDEX(mental_codes,MATCH(loaded!BS226,mental,0)),9)</f>
        <v>9</v>
      </c>
    </row>
    <row r="227" spans="1:33" x14ac:dyDescent="0.25">
      <c r="A227">
        <f>loaded!C227</f>
        <v>0</v>
      </c>
      <c r="B227">
        <f>loaded!I227</f>
        <v>0</v>
      </c>
      <c r="C227">
        <f>IF(loaded!K227="Male",1,IF(loaded!K227="Female",2,9))</f>
        <v>9</v>
      </c>
      <c r="D227" s="8">
        <f>loaded!M227</f>
        <v>0</v>
      </c>
      <c r="E227" t="str">
        <f>LEFT(loaded!O227,3)</f>
        <v/>
      </c>
      <c r="F227" t="e">
        <f>INDEX(cntry_codes,MATCH(loaded!Q227,countries,0))</f>
        <v>#N/A</v>
      </c>
      <c r="G227" t="e">
        <f>INDEX(atsi_codes,MATCH(loaded!S227,atsi,0))</f>
        <v>#N/A</v>
      </c>
      <c r="H227" t="e">
        <f>INDEX(lang_codes,MATCH(loaded!U227,lang,0))</f>
        <v>#N/A</v>
      </c>
      <c r="I227" s="8">
        <f>loaded!W227</f>
        <v>0</v>
      </c>
      <c r="J227" t="e">
        <f>INDEX(us_acc_codes,MATCH(loaded!Y227,us_acc,0))</f>
        <v>#N/A</v>
      </c>
      <c r="K227" t="e">
        <f>INDEX(client_codes,MATCH(loaded!AA227,client,0))</f>
        <v>#N/A</v>
      </c>
      <c r="L227" t="e">
        <f>INDEX(src_ref_codes,MATCH(loaded!AC227,src_ref,0))</f>
        <v>#N/A</v>
      </c>
      <c r="M227" s="8">
        <f>loaded!AE227</f>
        <v>0</v>
      </c>
      <c r="N227" s="8">
        <f>loaded!AG227</f>
        <v>0</v>
      </c>
      <c r="O227" t="e">
        <f>INDEX(reces_codes,MATCH(loaded!AI227,reason,0))</f>
        <v>#N/A</v>
      </c>
      <c r="P227" t="e">
        <f>INDEX(TDS_codes,MATCH(loaded!AK227,TDS,0))</f>
        <v>#N/A</v>
      </c>
      <c r="Q227" t="e">
        <f>IF(K227=2,"",INDEX(method_codes,MATCH(loaded!AM227,method,0)))</f>
        <v>#N/A</v>
      </c>
      <c r="R227" t="e">
        <f>IF(K227=2,"",INDEX(inj_codes,MATCH(loaded!AO227,inj,0)))</f>
        <v>#N/A</v>
      </c>
      <c r="S227" t="e">
        <f>IF(K227=2,"",INDEX(drug_codes,MATCH(loaded!AQ227,drug,0)))</f>
        <v>#N/A</v>
      </c>
      <c r="T227" t="e">
        <f>IF(K227=2,"",_xlfn.IFNA(INDEX(drug_codes,MATCH(loaded!AS227,drug,0)),""))</f>
        <v>#N/A</v>
      </c>
      <c r="U227" t="e">
        <f>IF(K227=2,"",_xlfn.IFNA(INDEX(drug_codes,MATCH(loaded!AU227,drug,0)),""))</f>
        <v>#N/A</v>
      </c>
      <c r="V227" t="e">
        <f>IF(K227=2,"",_xlfn.IFNA(INDEX(drug_codes,MATCH(loaded!AW227,drug,0)),""))</f>
        <v>#N/A</v>
      </c>
      <c r="W227" t="e">
        <f>IF(K227=2,"",_xlfn.IFNA(INDEX(drug_codes,MATCH(loaded!AY227,drug,0)),""))</f>
        <v>#N/A</v>
      </c>
      <c r="X227" t="e">
        <f>IF(K227=2,"",_xlfn.IFNA(INDEX(drug_codes,MATCH(loaded!BA227,drug,0)),""))</f>
        <v>#N/A</v>
      </c>
      <c r="Y227" t="e">
        <f>INDEX(MTT_codes,MATCH(loaded!BC227,MTT,0))</f>
        <v>#N/A</v>
      </c>
      <c r="Z227" t="str">
        <f>_xlfn.IFNA(INDEX(MTT_codes,MATCH(loaded!BE227,MTT,0)),"")</f>
        <v/>
      </c>
      <c r="AA227" t="str">
        <f>_xlfn.IFNA(INDEX(MTT_codes,MATCH(loaded!BG227,MTT,0)),"")</f>
        <v/>
      </c>
      <c r="AB227" t="str">
        <f>_xlfn.IFNA(INDEX(MTT_codes,MATCH(loaded!BI227,MTT,0)),"")</f>
        <v/>
      </c>
      <c r="AC227" t="str">
        <f>_xlfn.IFNA(INDEX(MTT_codes,MATCH(loaded!BK227,MTT,0)),"")</f>
        <v/>
      </c>
      <c r="AD227" t="str">
        <f>_xlfn.IFNA(INDEX(MTT_codes,MATCH(loaded!BM227,MTT,0)),"")</f>
        <v/>
      </c>
      <c r="AE227" t="e">
        <f>INDEX(liv_ar_codes,MATCH(loaded!BO227,liv_ar,0))</f>
        <v>#N/A</v>
      </c>
      <c r="AF227" t="str">
        <f>_xlfn.IFNA(INDEX(MTT_codes,MATCH(loaded!BQ227,MTT,0)),"")</f>
        <v/>
      </c>
      <c r="AG227">
        <f>_xlfn.IFNA(INDEX(mental_codes,MATCH(loaded!BS227,mental,0)),9)</f>
        <v>9</v>
      </c>
    </row>
    <row r="228" spans="1:33" x14ac:dyDescent="0.25">
      <c r="A228">
        <f>loaded!C228</f>
        <v>0</v>
      </c>
      <c r="B228">
        <f>loaded!I228</f>
        <v>0</v>
      </c>
      <c r="C228">
        <f>IF(loaded!K228="Male",1,IF(loaded!K228="Female",2,9))</f>
        <v>9</v>
      </c>
      <c r="D228" s="8">
        <f>loaded!M228</f>
        <v>0</v>
      </c>
      <c r="E228" t="str">
        <f>LEFT(loaded!O228,3)</f>
        <v/>
      </c>
      <c r="F228" t="e">
        <f>INDEX(cntry_codes,MATCH(loaded!Q228,countries,0))</f>
        <v>#N/A</v>
      </c>
      <c r="G228" t="e">
        <f>INDEX(atsi_codes,MATCH(loaded!S228,atsi,0))</f>
        <v>#N/A</v>
      </c>
      <c r="H228" t="e">
        <f>INDEX(lang_codes,MATCH(loaded!U228,lang,0))</f>
        <v>#N/A</v>
      </c>
      <c r="I228" s="8">
        <f>loaded!W228</f>
        <v>0</v>
      </c>
      <c r="J228" t="e">
        <f>INDEX(us_acc_codes,MATCH(loaded!Y228,us_acc,0))</f>
        <v>#N/A</v>
      </c>
      <c r="K228" t="e">
        <f>INDEX(client_codes,MATCH(loaded!AA228,client,0))</f>
        <v>#N/A</v>
      </c>
      <c r="L228" t="e">
        <f>INDEX(src_ref_codes,MATCH(loaded!AC228,src_ref,0))</f>
        <v>#N/A</v>
      </c>
      <c r="M228" s="8">
        <f>loaded!AE228</f>
        <v>0</v>
      </c>
      <c r="N228" s="8">
        <f>loaded!AG228</f>
        <v>0</v>
      </c>
      <c r="O228" t="e">
        <f>INDEX(reces_codes,MATCH(loaded!AI228,reason,0))</f>
        <v>#N/A</v>
      </c>
      <c r="P228" t="e">
        <f>INDEX(TDS_codes,MATCH(loaded!AK228,TDS,0))</f>
        <v>#N/A</v>
      </c>
      <c r="Q228" t="e">
        <f>IF(K228=2,"",INDEX(method_codes,MATCH(loaded!AM228,method,0)))</f>
        <v>#N/A</v>
      </c>
      <c r="R228" t="e">
        <f>IF(K228=2,"",INDEX(inj_codes,MATCH(loaded!AO228,inj,0)))</f>
        <v>#N/A</v>
      </c>
      <c r="S228" t="e">
        <f>IF(K228=2,"",INDEX(drug_codes,MATCH(loaded!AQ228,drug,0)))</f>
        <v>#N/A</v>
      </c>
      <c r="T228" t="e">
        <f>IF(K228=2,"",_xlfn.IFNA(INDEX(drug_codes,MATCH(loaded!AS228,drug,0)),""))</f>
        <v>#N/A</v>
      </c>
      <c r="U228" t="e">
        <f>IF(K228=2,"",_xlfn.IFNA(INDEX(drug_codes,MATCH(loaded!AU228,drug,0)),""))</f>
        <v>#N/A</v>
      </c>
      <c r="V228" t="e">
        <f>IF(K228=2,"",_xlfn.IFNA(INDEX(drug_codes,MATCH(loaded!AW228,drug,0)),""))</f>
        <v>#N/A</v>
      </c>
      <c r="W228" t="e">
        <f>IF(K228=2,"",_xlfn.IFNA(INDEX(drug_codes,MATCH(loaded!AY228,drug,0)),""))</f>
        <v>#N/A</v>
      </c>
      <c r="X228" t="e">
        <f>IF(K228=2,"",_xlfn.IFNA(INDEX(drug_codes,MATCH(loaded!BA228,drug,0)),""))</f>
        <v>#N/A</v>
      </c>
      <c r="Y228" t="e">
        <f>INDEX(MTT_codes,MATCH(loaded!BC228,MTT,0))</f>
        <v>#N/A</v>
      </c>
      <c r="Z228" t="str">
        <f>_xlfn.IFNA(INDEX(MTT_codes,MATCH(loaded!BE228,MTT,0)),"")</f>
        <v/>
      </c>
      <c r="AA228" t="str">
        <f>_xlfn.IFNA(INDEX(MTT_codes,MATCH(loaded!BG228,MTT,0)),"")</f>
        <v/>
      </c>
      <c r="AB228" t="str">
        <f>_xlfn.IFNA(INDEX(MTT_codes,MATCH(loaded!BI228,MTT,0)),"")</f>
        <v/>
      </c>
      <c r="AC228" t="str">
        <f>_xlfn.IFNA(INDEX(MTT_codes,MATCH(loaded!BK228,MTT,0)),"")</f>
        <v/>
      </c>
      <c r="AD228" t="str">
        <f>_xlfn.IFNA(INDEX(MTT_codes,MATCH(loaded!BM228,MTT,0)),"")</f>
        <v/>
      </c>
      <c r="AE228" t="e">
        <f>INDEX(liv_ar_codes,MATCH(loaded!BO228,liv_ar,0))</f>
        <v>#N/A</v>
      </c>
      <c r="AF228" t="str">
        <f>_xlfn.IFNA(INDEX(MTT_codes,MATCH(loaded!BQ228,MTT,0)),"")</f>
        <v/>
      </c>
      <c r="AG228">
        <f>_xlfn.IFNA(INDEX(mental_codes,MATCH(loaded!BS228,mental,0)),9)</f>
        <v>9</v>
      </c>
    </row>
    <row r="229" spans="1:33" x14ac:dyDescent="0.25">
      <c r="A229">
        <f>loaded!C229</f>
        <v>0</v>
      </c>
      <c r="B229">
        <f>loaded!I229</f>
        <v>0</v>
      </c>
      <c r="C229">
        <f>IF(loaded!K229="Male",1,IF(loaded!K229="Female",2,9))</f>
        <v>9</v>
      </c>
      <c r="D229" s="8">
        <f>loaded!M229</f>
        <v>0</v>
      </c>
      <c r="E229" t="str">
        <f>LEFT(loaded!O229,3)</f>
        <v/>
      </c>
      <c r="F229" t="e">
        <f>INDEX(cntry_codes,MATCH(loaded!Q229,countries,0))</f>
        <v>#N/A</v>
      </c>
      <c r="G229" t="e">
        <f>INDEX(atsi_codes,MATCH(loaded!S229,atsi,0))</f>
        <v>#N/A</v>
      </c>
      <c r="H229" t="e">
        <f>INDEX(lang_codes,MATCH(loaded!U229,lang,0))</f>
        <v>#N/A</v>
      </c>
      <c r="I229" s="8">
        <f>loaded!W229</f>
        <v>0</v>
      </c>
      <c r="J229" t="e">
        <f>INDEX(us_acc_codes,MATCH(loaded!Y229,us_acc,0))</f>
        <v>#N/A</v>
      </c>
      <c r="K229" t="e">
        <f>INDEX(client_codes,MATCH(loaded!AA229,client,0))</f>
        <v>#N/A</v>
      </c>
      <c r="L229" t="e">
        <f>INDEX(src_ref_codes,MATCH(loaded!AC229,src_ref,0))</f>
        <v>#N/A</v>
      </c>
      <c r="M229" s="8">
        <f>loaded!AE229</f>
        <v>0</v>
      </c>
      <c r="N229" s="8">
        <f>loaded!AG229</f>
        <v>0</v>
      </c>
      <c r="O229" t="e">
        <f>INDEX(reces_codes,MATCH(loaded!AI229,reason,0))</f>
        <v>#N/A</v>
      </c>
      <c r="P229" t="e">
        <f>INDEX(TDS_codes,MATCH(loaded!AK229,TDS,0))</f>
        <v>#N/A</v>
      </c>
      <c r="Q229" t="e">
        <f>IF(K229=2,"",INDEX(method_codes,MATCH(loaded!AM229,method,0)))</f>
        <v>#N/A</v>
      </c>
      <c r="R229" t="e">
        <f>IF(K229=2,"",INDEX(inj_codes,MATCH(loaded!AO229,inj,0)))</f>
        <v>#N/A</v>
      </c>
      <c r="S229" t="e">
        <f>IF(K229=2,"",INDEX(drug_codes,MATCH(loaded!AQ229,drug,0)))</f>
        <v>#N/A</v>
      </c>
      <c r="T229" t="e">
        <f>IF(K229=2,"",_xlfn.IFNA(INDEX(drug_codes,MATCH(loaded!AS229,drug,0)),""))</f>
        <v>#N/A</v>
      </c>
      <c r="U229" t="e">
        <f>IF(K229=2,"",_xlfn.IFNA(INDEX(drug_codes,MATCH(loaded!AU229,drug,0)),""))</f>
        <v>#N/A</v>
      </c>
      <c r="V229" t="e">
        <f>IF(K229=2,"",_xlfn.IFNA(INDEX(drug_codes,MATCH(loaded!AW229,drug,0)),""))</f>
        <v>#N/A</v>
      </c>
      <c r="W229" t="e">
        <f>IF(K229=2,"",_xlfn.IFNA(INDEX(drug_codes,MATCH(loaded!AY229,drug,0)),""))</f>
        <v>#N/A</v>
      </c>
      <c r="X229" t="e">
        <f>IF(K229=2,"",_xlfn.IFNA(INDEX(drug_codes,MATCH(loaded!BA229,drug,0)),""))</f>
        <v>#N/A</v>
      </c>
      <c r="Y229" t="e">
        <f>INDEX(MTT_codes,MATCH(loaded!BC229,MTT,0))</f>
        <v>#N/A</v>
      </c>
      <c r="Z229" t="str">
        <f>_xlfn.IFNA(INDEX(MTT_codes,MATCH(loaded!BE229,MTT,0)),"")</f>
        <v/>
      </c>
      <c r="AA229" t="str">
        <f>_xlfn.IFNA(INDEX(MTT_codes,MATCH(loaded!BG229,MTT,0)),"")</f>
        <v/>
      </c>
      <c r="AB229" t="str">
        <f>_xlfn.IFNA(INDEX(MTT_codes,MATCH(loaded!BI229,MTT,0)),"")</f>
        <v/>
      </c>
      <c r="AC229" t="str">
        <f>_xlfn.IFNA(INDEX(MTT_codes,MATCH(loaded!BK229,MTT,0)),"")</f>
        <v/>
      </c>
      <c r="AD229" t="str">
        <f>_xlfn.IFNA(INDEX(MTT_codes,MATCH(loaded!BM229,MTT,0)),"")</f>
        <v/>
      </c>
      <c r="AE229" t="e">
        <f>INDEX(liv_ar_codes,MATCH(loaded!BO229,liv_ar,0))</f>
        <v>#N/A</v>
      </c>
      <c r="AF229" t="str">
        <f>_xlfn.IFNA(INDEX(MTT_codes,MATCH(loaded!BQ229,MTT,0)),"")</f>
        <v/>
      </c>
      <c r="AG229">
        <f>_xlfn.IFNA(INDEX(mental_codes,MATCH(loaded!BS229,mental,0)),9)</f>
        <v>9</v>
      </c>
    </row>
    <row r="230" spans="1:33" x14ac:dyDescent="0.25">
      <c r="A230">
        <f>loaded!C230</f>
        <v>0</v>
      </c>
      <c r="B230">
        <f>loaded!I230</f>
        <v>0</v>
      </c>
      <c r="C230">
        <f>IF(loaded!K230="Male",1,IF(loaded!K230="Female",2,9))</f>
        <v>9</v>
      </c>
      <c r="D230" s="8">
        <f>loaded!M230</f>
        <v>0</v>
      </c>
      <c r="E230" t="str">
        <f>LEFT(loaded!O230,3)</f>
        <v/>
      </c>
      <c r="F230" t="e">
        <f>INDEX(cntry_codes,MATCH(loaded!Q230,countries,0))</f>
        <v>#N/A</v>
      </c>
      <c r="G230" t="e">
        <f>INDEX(atsi_codes,MATCH(loaded!S230,atsi,0))</f>
        <v>#N/A</v>
      </c>
      <c r="H230" t="e">
        <f>INDEX(lang_codes,MATCH(loaded!U230,lang,0))</f>
        <v>#N/A</v>
      </c>
      <c r="I230" s="8">
        <f>loaded!W230</f>
        <v>0</v>
      </c>
      <c r="J230" t="e">
        <f>INDEX(us_acc_codes,MATCH(loaded!Y230,us_acc,0))</f>
        <v>#N/A</v>
      </c>
      <c r="K230" t="e">
        <f>INDEX(client_codes,MATCH(loaded!AA230,client,0))</f>
        <v>#N/A</v>
      </c>
      <c r="L230" t="e">
        <f>INDEX(src_ref_codes,MATCH(loaded!AC230,src_ref,0))</f>
        <v>#N/A</v>
      </c>
      <c r="M230" s="8">
        <f>loaded!AE230</f>
        <v>0</v>
      </c>
      <c r="N230" s="8">
        <f>loaded!AG230</f>
        <v>0</v>
      </c>
      <c r="O230" t="e">
        <f>INDEX(reces_codes,MATCH(loaded!AI230,reason,0))</f>
        <v>#N/A</v>
      </c>
      <c r="P230" t="e">
        <f>INDEX(TDS_codes,MATCH(loaded!AK230,TDS,0))</f>
        <v>#N/A</v>
      </c>
      <c r="Q230" t="e">
        <f>IF(K230=2,"",INDEX(method_codes,MATCH(loaded!AM230,method,0)))</f>
        <v>#N/A</v>
      </c>
      <c r="R230" t="e">
        <f>IF(K230=2,"",INDEX(inj_codes,MATCH(loaded!AO230,inj,0)))</f>
        <v>#N/A</v>
      </c>
      <c r="S230" t="e">
        <f>IF(K230=2,"",INDEX(drug_codes,MATCH(loaded!AQ230,drug,0)))</f>
        <v>#N/A</v>
      </c>
      <c r="T230" t="e">
        <f>IF(K230=2,"",_xlfn.IFNA(INDEX(drug_codes,MATCH(loaded!AS230,drug,0)),""))</f>
        <v>#N/A</v>
      </c>
      <c r="U230" t="e">
        <f>IF(K230=2,"",_xlfn.IFNA(INDEX(drug_codes,MATCH(loaded!AU230,drug,0)),""))</f>
        <v>#N/A</v>
      </c>
      <c r="V230" t="e">
        <f>IF(K230=2,"",_xlfn.IFNA(INDEX(drug_codes,MATCH(loaded!AW230,drug,0)),""))</f>
        <v>#N/A</v>
      </c>
      <c r="W230" t="e">
        <f>IF(K230=2,"",_xlfn.IFNA(INDEX(drug_codes,MATCH(loaded!AY230,drug,0)),""))</f>
        <v>#N/A</v>
      </c>
      <c r="X230" t="e">
        <f>IF(K230=2,"",_xlfn.IFNA(INDEX(drug_codes,MATCH(loaded!BA230,drug,0)),""))</f>
        <v>#N/A</v>
      </c>
      <c r="Y230" t="e">
        <f>INDEX(MTT_codes,MATCH(loaded!BC230,MTT,0))</f>
        <v>#N/A</v>
      </c>
      <c r="Z230" t="str">
        <f>_xlfn.IFNA(INDEX(MTT_codes,MATCH(loaded!BE230,MTT,0)),"")</f>
        <v/>
      </c>
      <c r="AA230" t="str">
        <f>_xlfn.IFNA(INDEX(MTT_codes,MATCH(loaded!BG230,MTT,0)),"")</f>
        <v/>
      </c>
      <c r="AB230" t="str">
        <f>_xlfn.IFNA(INDEX(MTT_codes,MATCH(loaded!BI230,MTT,0)),"")</f>
        <v/>
      </c>
      <c r="AC230" t="str">
        <f>_xlfn.IFNA(INDEX(MTT_codes,MATCH(loaded!BK230,MTT,0)),"")</f>
        <v/>
      </c>
      <c r="AD230" t="str">
        <f>_xlfn.IFNA(INDEX(MTT_codes,MATCH(loaded!BM230,MTT,0)),"")</f>
        <v/>
      </c>
      <c r="AE230" t="e">
        <f>INDEX(liv_ar_codes,MATCH(loaded!BO230,liv_ar,0))</f>
        <v>#N/A</v>
      </c>
      <c r="AF230" t="str">
        <f>_xlfn.IFNA(INDEX(MTT_codes,MATCH(loaded!BQ230,MTT,0)),"")</f>
        <v/>
      </c>
      <c r="AG230">
        <f>_xlfn.IFNA(INDEX(mental_codes,MATCH(loaded!BS230,mental,0)),9)</f>
        <v>9</v>
      </c>
    </row>
    <row r="231" spans="1:33" x14ac:dyDescent="0.25">
      <c r="A231">
        <f>loaded!C231</f>
        <v>0</v>
      </c>
      <c r="B231">
        <f>loaded!I231</f>
        <v>0</v>
      </c>
      <c r="C231">
        <f>IF(loaded!K231="Male",1,IF(loaded!K231="Female",2,9))</f>
        <v>9</v>
      </c>
      <c r="D231" s="8">
        <f>loaded!M231</f>
        <v>0</v>
      </c>
      <c r="E231" t="str">
        <f>LEFT(loaded!O231,3)</f>
        <v/>
      </c>
      <c r="F231" t="e">
        <f>INDEX(cntry_codes,MATCH(loaded!Q231,countries,0))</f>
        <v>#N/A</v>
      </c>
      <c r="G231" t="e">
        <f>INDEX(atsi_codes,MATCH(loaded!S231,atsi,0))</f>
        <v>#N/A</v>
      </c>
      <c r="H231" t="e">
        <f>INDEX(lang_codes,MATCH(loaded!U231,lang,0))</f>
        <v>#N/A</v>
      </c>
      <c r="I231" s="8">
        <f>loaded!W231</f>
        <v>0</v>
      </c>
      <c r="J231" t="e">
        <f>INDEX(us_acc_codes,MATCH(loaded!Y231,us_acc,0))</f>
        <v>#N/A</v>
      </c>
      <c r="K231" t="e">
        <f>INDEX(client_codes,MATCH(loaded!AA231,client,0))</f>
        <v>#N/A</v>
      </c>
      <c r="L231" t="e">
        <f>INDEX(src_ref_codes,MATCH(loaded!AC231,src_ref,0))</f>
        <v>#N/A</v>
      </c>
      <c r="M231" s="8">
        <f>loaded!AE231</f>
        <v>0</v>
      </c>
      <c r="N231" s="8">
        <f>loaded!AG231</f>
        <v>0</v>
      </c>
      <c r="O231" t="e">
        <f>INDEX(reces_codes,MATCH(loaded!AI231,reason,0))</f>
        <v>#N/A</v>
      </c>
      <c r="P231" t="e">
        <f>INDEX(TDS_codes,MATCH(loaded!AK231,TDS,0))</f>
        <v>#N/A</v>
      </c>
      <c r="Q231" t="e">
        <f>IF(K231=2,"",INDEX(method_codes,MATCH(loaded!AM231,method,0)))</f>
        <v>#N/A</v>
      </c>
      <c r="R231" t="e">
        <f>IF(K231=2,"",INDEX(inj_codes,MATCH(loaded!AO231,inj,0)))</f>
        <v>#N/A</v>
      </c>
      <c r="S231" t="e">
        <f>IF(K231=2,"",INDEX(drug_codes,MATCH(loaded!AQ231,drug,0)))</f>
        <v>#N/A</v>
      </c>
      <c r="T231" t="e">
        <f>IF(K231=2,"",_xlfn.IFNA(INDEX(drug_codes,MATCH(loaded!AS231,drug,0)),""))</f>
        <v>#N/A</v>
      </c>
      <c r="U231" t="e">
        <f>IF(K231=2,"",_xlfn.IFNA(INDEX(drug_codes,MATCH(loaded!AU231,drug,0)),""))</f>
        <v>#N/A</v>
      </c>
      <c r="V231" t="e">
        <f>IF(K231=2,"",_xlfn.IFNA(INDEX(drug_codes,MATCH(loaded!AW231,drug,0)),""))</f>
        <v>#N/A</v>
      </c>
      <c r="W231" t="e">
        <f>IF(K231=2,"",_xlfn.IFNA(INDEX(drug_codes,MATCH(loaded!AY231,drug,0)),""))</f>
        <v>#N/A</v>
      </c>
      <c r="X231" t="e">
        <f>IF(K231=2,"",_xlfn.IFNA(INDEX(drug_codes,MATCH(loaded!BA231,drug,0)),""))</f>
        <v>#N/A</v>
      </c>
      <c r="Y231" t="e">
        <f>INDEX(MTT_codes,MATCH(loaded!BC231,MTT,0))</f>
        <v>#N/A</v>
      </c>
      <c r="Z231" t="str">
        <f>_xlfn.IFNA(INDEX(MTT_codes,MATCH(loaded!BE231,MTT,0)),"")</f>
        <v/>
      </c>
      <c r="AA231" t="str">
        <f>_xlfn.IFNA(INDEX(MTT_codes,MATCH(loaded!BG231,MTT,0)),"")</f>
        <v/>
      </c>
      <c r="AB231" t="str">
        <f>_xlfn.IFNA(INDEX(MTT_codes,MATCH(loaded!BI231,MTT,0)),"")</f>
        <v/>
      </c>
      <c r="AC231" t="str">
        <f>_xlfn.IFNA(INDEX(MTT_codes,MATCH(loaded!BK231,MTT,0)),"")</f>
        <v/>
      </c>
      <c r="AD231" t="str">
        <f>_xlfn.IFNA(INDEX(MTT_codes,MATCH(loaded!BM231,MTT,0)),"")</f>
        <v/>
      </c>
      <c r="AE231" t="e">
        <f>INDEX(liv_ar_codes,MATCH(loaded!BO231,liv_ar,0))</f>
        <v>#N/A</v>
      </c>
      <c r="AF231" t="str">
        <f>_xlfn.IFNA(INDEX(MTT_codes,MATCH(loaded!BQ231,MTT,0)),"")</f>
        <v/>
      </c>
      <c r="AG231">
        <f>_xlfn.IFNA(INDEX(mental_codes,MATCH(loaded!BS231,mental,0)),9)</f>
        <v>9</v>
      </c>
    </row>
    <row r="232" spans="1:33" x14ac:dyDescent="0.25">
      <c r="A232">
        <f>loaded!C232</f>
        <v>0</v>
      </c>
      <c r="B232">
        <f>loaded!I232</f>
        <v>0</v>
      </c>
      <c r="C232">
        <f>IF(loaded!K232="Male",1,IF(loaded!K232="Female",2,9))</f>
        <v>9</v>
      </c>
      <c r="D232" s="8">
        <f>loaded!M232</f>
        <v>0</v>
      </c>
      <c r="E232" t="str">
        <f>LEFT(loaded!O232,3)</f>
        <v/>
      </c>
      <c r="F232" t="e">
        <f>INDEX(cntry_codes,MATCH(loaded!Q232,countries,0))</f>
        <v>#N/A</v>
      </c>
      <c r="G232" t="e">
        <f>INDEX(atsi_codes,MATCH(loaded!S232,atsi,0))</f>
        <v>#N/A</v>
      </c>
      <c r="H232" t="e">
        <f>INDEX(lang_codes,MATCH(loaded!U232,lang,0))</f>
        <v>#N/A</v>
      </c>
      <c r="I232" s="8">
        <f>loaded!W232</f>
        <v>0</v>
      </c>
      <c r="J232" t="e">
        <f>INDEX(us_acc_codes,MATCH(loaded!Y232,us_acc,0))</f>
        <v>#N/A</v>
      </c>
      <c r="K232" t="e">
        <f>INDEX(client_codes,MATCH(loaded!AA232,client,0))</f>
        <v>#N/A</v>
      </c>
      <c r="L232" t="e">
        <f>INDEX(src_ref_codes,MATCH(loaded!AC232,src_ref,0))</f>
        <v>#N/A</v>
      </c>
      <c r="M232" s="8">
        <f>loaded!AE232</f>
        <v>0</v>
      </c>
      <c r="N232" s="8">
        <f>loaded!AG232</f>
        <v>0</v>
      </c>
      <c r="O232" t="e">
        <f>INDEX(reces_codes,MATCH(loaded!AI232,reason,0))</f>
        <v>#N/A</v>
      </c>
      <c r="P232" t="e">
        <f>INDEX(TDS_codes,MATCH(loaded!AK232,TDS,0))</f>
        <v>#N/A</v>
      </c>
      <c r="Q232" t="e">
        <f>IF(K232=2,"",INDEX(method_codes,MATCH(loaded!AM232,method,0)))</f>
        <v>#N/A</v>
      </c>
      <c r="R232" t="e">
        <f>IF(K232=2,"",INDEX(inj_codes,MATCH(loaded!AO232,inj,0)))</f>
        <v>#N/A</v>
      </c>
      <c r="S232" t="e">
        <f>IF(K232=2,"",INDEX(drug_codes,MATCH(loaded!AQ232,drug,0)))</f>
        <v>#N/A</v>
      </c>
      <c r="T232" t="e">
        <f>IF(K232=2,"",_xlfn.IFNA(INDEX(drug_codes,MATCH(loaded!AS232,drug,0)),""))</f>
        <v>#N/A</v>
      </c>
      <c r="U232" t="e">
        <f>IF(K232=2,"",_xlfn.IFNA(INDEX(drug_codes,MATCH(loaded!AU232,drug,0)),""))</f>
        <v>#N/A</v>
      </c>
      <c r="V232" t="e">
        <f>IF(K232=2,"",_xlfn.IFNA(INDEX(drug_codes,MATCH(loaded!AW232,drug,0)),""))</f>
        <v>#N/A</v>
      </c>
      <c r="W232" t="e">
        <f>IF(K232=2,"",_xlfn.IFNA(INDEX(drug_codes,MATCH(loaded!AY232,drug,0)),""))</f>
        <v>#N/A</v>
      </c>
      <c r="X232" t="e">
        <f>IF(K232=2,"",_xlfn.IFNA(INDEX(drug_codes,MATCH(loaded!BA232,drug,0)),""))</f>
        <v>#N/A</v>
      </c>
      <c r="Y232" t="e">
        <f>INDEX(MTT_codes,MATCH(loaded!BC232,MTT,0))</f>
        <v>#N/A</v>
      </c>
      <c r="Z232" t="str">
        <f>_xlfn.IFNA(INDEX(MTT_codes,MATCH(loaded!BE232,MTT,0)),"")</f>
        <v/>
      </c>
      <c r="AA232" t="str">
        <f>_xlfn.IFNA(INDEX(MTT_codes,MATCH(loaded!BG232,MTT,0)),"")</f>
        <v/>
      </c>
      <c r="AB232" t="str">
        <f>_xlfn.IFNA(INDEX(MTT_codes,MATCH(loaded!BI232,MTT,0)),"")</f>
        <v/>
      </c>
      <c r="AC232" t="str">
        <f>_xlfn.IFNA(INDEX(MTT_codes,MATCH(loaded!BK232,MTT,0)),"")</f>
        <v/>
      </c>
      <c r="AD232" t="str">
        <f>_xlfn.IFNA(INDEX(MTT_codes,MATCH(loaded!BM232,MTT,0)),"")</f>
        <v/>
      </c>
      <c r="AE232" t="e">
        <f>INDEX(liv_ar_codes,MATCH(loaded!BO232,liv_ar,0))</f>
        <v>#N/A</v>
      </c>
      <c r="AF232" t="str">
        <f>_xlfn.IFNA(INDEX(MTT_codes,MATCH(loaded!BQ232,MTT,0)),"")</f>
        <v/>
      </c>
      <c r="AG232">
        <f>_xlfn.IFNA(INDEX(mental_codes,MATCH(loaded!BS232,mental,0)),9)</f>
        <v>9</v>
      </c>
    </row>
    <row r="233" spans="1:33" x14ac:dyDescent="0.25">
      <c r="A233">
        <f>loaded!C233</f>
        <v>0</v>
      </c>
      <c r="B233">
        <f>loaded!I233</f>
        <v>0</v>
      </c>
      <c r="C233">
        <f>IF(loaded!K233="Male",1,IF(loaded!K233="Female",2,9))</f>
        <v>9</v>
      </c>
      <c r="D233" s="8">
        <f>loaded!M233</f>
        <v>0</v>
      </c>
      <c r="E233" t="str">
        <f>LEFT(loaded!O233,3)</f>
        <v/>
      </c>
      <c r="F233" t="e">
        <f>INDEX(cntry_codes,MATCH(loaded!Q233,countries,0))</f>
        <v>#N/A</v>
      </c>
      <c r="G233" t="e">
        <f>INDEX(atsi_codes,MATCH(loaded!S233,atsi,0))</f>
        <v>#N/A</v>
      </c>
      <c r="H233" t="e">
        <f>INDEX(lang_codes,MATCH(loaded!U233,lang,0))</f>
        <v>#N/A</v>
      </c>
      <c r="I233" s="8">
        <f>loaded!W233</f>
        <v>0</v>
      </c>
      <c r="J233" t="e">
        <f>INDEX(us_acc_codes,MATCH(loaded!Y233,us_acc,0))</f>
        <v>#N/A</v>
      </c>
      <c r="K233" t="e">
        <f>INDEX(client_codes,MATCH(loaded!AA233,client,0))</f>
        <v>#N/A</v>
      </c>
      <c r="L233" t="e">
        <f>INDEX(src_ref_codes,MATCH(loaded!AC233,src_ref,0))</f>
        <v>#N/A</v>
      </c>
      <c r="M233" s="8">
        <f>loaded!AE233</f>
        <v>0</v>
      </c>
      <c r="N233" s="8">
        <f>loaded!AG233</f>
        <v>0</v>
      </c>
      <c r="O233" t="e">
        <f>INDEX(reces_codes,MATCH(loaded!AI233,reason,0))</f>
        <v>#N/A</v>
      </c>
      <c r="P233" t="e">
        <f>INDEX(TDS_codes,MATCH(loaded!AK233,TDS,0))</f>
        <v>#N/A</v>
      </c>
      <c r="Q233" t="e">
        <f>IF(K233=2,"",INDEX(method_codes,MATCH(loaded!AM233,method,0)))</f>
        <v>#N/A</v>
      </c>
      <c r="R233" t="e">
        <f>IF(K233=2,"",INDEX(inj_codes,MATCH(loaded!AO233,inj,0)))</f>
        <v>#N/A</v>
      </c>
      <c r="S233" t="e">
        <f>IF(K233=2,"",INDEX(drug_codes,MATCH(loaded!AQ233,drug,0)))</f>
        <v>#N/A</v>
      </c>
      <c r="T233" t="e">
        <f>IF(K233=2,"",_xlfn.IFNA(INDEX(drug_codes,MATCH(loaded!AS233,drug,0)),""))</f>
        <v>#N/A</v>
      </c>
      <c r="U233" t="e">
        <f>IF(K233=2,"",_xlfn.IFNA(INDEX(drug_codes,MATCH(loaded!AU233,drug,0)),""))</f>
        <v>#N/A</v>
      </c>
      <c r="V233" t="e">
        <f>IF(K233=2,"",_xlfn.IFNA(INDEX(drug_codes,MATCH(loaded!AW233,drug,0)),""))</f>
        <v>#N/A</v>
      </c>
      <c r="W233" t="e">
        <f>IF(K233=2,"",_xlfn.IFNA(INDEX(drug_codes,MATCH(loaded!AY233,drug,0)),""))</f>
        <v>#N/A</v>
      </c>
      <c r="X233" t="e">
        <f>IF(K233=2,"",_xlfn.IFNA(INDEX(drug_codes,MATCH(loaded!BA233,drug,0)),""))</f>
        <v>#N/A</v>
      </c>
      <c r="Y233" t="e">
        <f>INDEX(MTT_codes,MATCH(loaded!BC233,MTT,0))</f>
        <v>#N/A</v>
      </c>
      <c r="Z233" t="str">
        <f>_xlfn.IFNA(INDEX(MTT_codes,MATCH(loaded!BE233,MTT,0)),"")</f>
        <v/>
      </c>
      <c r="AA233" t="str">
        <f>_xlfn.IFNA(INDEX(MTT_codes,MATCH(loaded!BG233,MTT,0)),"")</f>
        <v/>
      </c>
      <c r="AB233" t="str">
        <f>_xlfn.IFNA(INDEX(MTT_codes,MATCH(loaded!BI233,MTT,0)),"")</f>
        <v/>
      </c>
      <c r="AC233" t="str">
        <f>_xlfn.IFNA(INDEX(MTT_codes,MATCH(loaded!BK233,MTT,0)),"")</f>
        <v/>
      </c>
      <c r="AD233" t="str">
        <f>_xlfn.IFNA(INDEX(MTT_codes,MATCH(loaded!BM233,MTT,0)),"")</f>
        <v/>
      </c>
      <c r="AE233" t="e">
        <f>INDEX(liv_ar_codes,MATCH(loaded!BO233,liv_ar,0))</f>
        <v>#N/A</v>
      </c>
      <c r="AF233" t="str">
        <f>_xlfn.IFNA(INDEX(MTT_codes,MATCH(loaded!BQ233,MTT,0)),"")</f>
        <v/>
      </c>
      <c r="AG233">
        <f>_xlfn.IFNA(INDEX(mental_codes,MATCH(loaded!BS233,mental,0)),9)</f>
        <v>9</v>
      </c>
    </row>
    <row r="234" spans="1:33" x14ac:dyDescent="0.25">
      <c r="A234">
        <f>loaded!C234</f>
        <v>0</v>
      </c>
      <c r="B234">
        <f>loaded!I234</f>
        <v>0</v>
      </c>
      <c r="C234">
        <f>IF(loaded!K234="Male",1,IF(loaded!K234="Female",2,9))</f>
        <v>9</v>
      </c>
      <c r="D234" s="8">
        <f>loaded!M234</f>
        <v>0</v>
      </c>
      <c r="E234" t="str">
        <f>LEFT(loaded!O234,3)</f>
        <v/>
      </c>
      <c r="F234" t="e">
        <f>INDEX(cntry_codes,MATCH(loaded!Q234,countries,0))</f>
        <v>#N/A</v>
      </c>
      <c r="G234" t="e">
        <f>INDEX(atsi_codes,MATCH(loaded!S234,atsi,0))</f>
        <v>#N/A</v>
      </c>
      <c r="H234" t="e">
        <f>INDEX(lang_codes,MATCH(loaded!U234,lang,0))</f>
        <v>#N/A</v>
      </c>
      <c r="I234" s="8">
        <f>loaded!W234</f>
        <v>0</v>
      </c>
      <c r="J234" t="e">
        <f>INDEX(us_acc_codes,MATCH(loaded!Y234,us_acc,0))</f>
        <v>#N/A</v>
      </c>
      <c r="K234" t="e">
        <f>INDEX(client_codes,MATCH(loaded!AA234,client,0))</f>
        <v>#N/A</v>
      </c>
      <c r="L234" t="e">
        <f>INDEX(src_ref_codes,MATCH(loaded!AC234,src_ref,0))</f>
        <v>#N/A</v>
      </c>
      <c r="M234" s="8">
        <f>loaded!AE234</f>
        <v>0</v>
      </c>
      <c r="N234" s="8">
        <f>loaded!AG234</f>
        <v>0</v>
      </c>
      <c r="O234" t="e">
        <f>INDEX(reces_codes,MATCH(loaded!AI234,reason,0))</f>
        <v>#N/A</v>
      </c>
      <c r="P234" t="e">
        <f>INDEX(TDS_codes,MATCH(loaded!AK234,TDS,0))</f>
        <v>#N/A</v>
      </c>
      <c r="Q234" t="e">
        <f>IF(K234=2,"",INDEX(method_codes,MATCH(loaded!AM234,method,0)))</f>
        <v>#N/A</v>
      </c>
      <c r="R234" t="e">
        <f>IF(K234=2,"",INDEX(inj_codes,MATCH(loaded!AO234,inj,0)))</f>
        <v>#N/A</v>
      </c>
      <c r="S234" t="e">
        <f>IF(K234=2,"",INDEX(drug_codes,MATCH(loaded!AQ234,drug,0)))</f>
        <v>#N/A</v>
      </c>
      <c r="T234" t="e">
        <f>IF(K234=2,"",_xlfn.IFNA(INDEX(drug_codes,MATCH(loaded!AS234,drug,0)),""))</f>
        <v>#N/A</v>
      </c>
      <c r="U234" t="e">
        <f>IF(K234=2,"",_xlfn.IFNA(INDEX(drug_codes,MATCH(loaded!AU234,drug,0)),""))</f>
        <v>#N/A</v>
      </c>
      <c r="V234" t="e">
        <f>IF(K234=2,"",_xlfn.IFNA(INDEX(drug_codes,MATCH(loaded!AW234,drug,0)),""))</f>
        <v>#N/A</v>
      </c>
      <c r="W234" t="e">
        <f>IF(K234=2,"",_xlfn.IFNA(INDEX(drug_codes,MATCH(loaded!AY234,drug,0)),""))</f>
        <v>#N/A</v>
      </c>
      <c r="X234" t="e">
        <f>IF(K234=2,"",_xlfn.IFNA(INDEX(drug_codes,MATCH(loaded!BA234,drug,0)),""))</f>
        <v>#N/A</v>
      </c>
      <c r="Y234" t="e">
        <f>INDEX(MTT_codes,MATCH(loaded!BC234,MTT,0))</f>
        <v>#N/A</v>
      </c>
      <c r="Z234" t="str">
        <f>_xlfn.IFNA(INDEX(MTT_codes,MATCH(loaded!BE234,MTT,0)),"")</f>
        <v/>
      </c>
      <c r="AA234" t="str">
        <f>_xlfn.IFNA(INDEX(MTT_codes,MATCH(loaded!BG234,MTT,0)),"")</f>
        <v/>
      </c>
      <c r="AB234" t="str">
        <f>_xlfn.IFNA(INDEX(MTT_codes,MATCH(loaded!BI234,MTT,0)),"")</f>
        <v/>
      </c>
      <c r="AC234" t="str">
        <f>_xlfn.IFNA(INDEX(MTT_codes,MATCH(loaded!BK234,MTT,0)),"")</f>
        <v/>
      </c>
      <c r="AD234" t="str">
        <f>_xlfn.IFNA(INDEX(MTT_codes,MATCH(loaded!BM234,MTT,0)),"")</f>
        <v/>
      </c>
      <c r="AE234" t="e">
        <f>INDEX(liv_ar_codes,MATCH(loaded!BO234,liv_ar,0))</f>
        <v>#N/A</v>
      </c>
      <c r="AF234" t="str">
        <f>_xlfn.IFNA(INDEX(MTT_codes,MATCH(loaded!BQ234,MTT,0)),"")</f>
        <v/>
      </c>
      <c r="AG234">
        <f>_xlfn.IFNA(INDEX(mental_codes,MATCH(loaded!BS234,mental,0)),9)</f>
        <v>9</v>
      </c>
    </row>
    <row r="235" spans="1:33" x14ac:dyDescent="0.25">
      <c r="A235">
        <f>loaded!C235</f>
        <v>0</v>
      </c>
      <c r="B235">
        <f>loaded!I235</f>
        <v>0</v>
      </c>
      <c r="C235">
        <f>IF(loaded!K235="Male",1,IF(loaded!K235="Female",2,9))</f>
        <v>9</v>
      </c>
      <c r="D235" s="8">
        <f>loaded!M235</f>
        <v>0</v>
      </c>
      <c r="E235" t="str">
        <f>LEFT(loaded!O235,3)</f>
        <v/>
      </c>
      <c r="F235" t="e">
        <f>INDEX(cntry_codes,MATCH(loaded!Q235,countries,0))</f>
        <v>#N/A</v>
      </c>
      <c r="G235" t="e">
        <f>INDEX(atsi_codes,MATCH(loaded!S235,atsi,0))</f>
        <v>#N/A</v>
      </c>
      <c r="H235" t="e">
        <f>INDEX(lang_codes,MATCH(loaded!U235,lang,0))</f>
        <v>#N/A</v>
      </c>
      <c r="I235" s="8">
        <f>loaded!W235</f>
        <v>0</v>
      </c>
      <c r="J235" t="e">
        <f>INDEX(us_acc_codes,MATCH(loaded!Y235,us_acc,0))</f>
        <v>#N/A</v>
      </c>
      <c r="K235" t="e">
        <f>INDEX(client_codes,MATCH(loaded!AA235,client,0))</f>
        <v>#N/A</v>
      </c>
      <c r="L235" t="e">
        <f>INDEX(src_ref_codes,MATCH(loaded!AC235,src_ref,0))</f>
        <v>#N/A</v>
      </c>
      <c r="M235" s="8">
        <f>loaded!AE235</f>
        <v>0</v>
      </c>
      <c r="N235" s="8">
        <f>loaded!AG235</f>
        <v>0</v>
      </c>
      <c r="O235" t="e">
        <f>INDEX(reces_codes,MATCH(loaded!AI235,reason,0))</f>
        <v>#N/A</v>
      </c>
      <c r="P235" t="e">
        <f>INDEX(TDS_codes,MATCH(loaded!AK235,TDS,0))</f>
        <v>#N/A</v>
      </c>
      <c r="Q235" t="e">
        <f>IF(K235=2,"",INDEX(method_codes,MATCH(loaded!AM235,method,0)))</f>
        <v>#N/A</v>
      </c>
      <c r="R235" t="e">
        <f>IF(K235=2,"",INDEX(inj_codes,MATCH(loaded!AO235,inj,0)))</f>
        <v>#N/A</v>
      </c>
      <c r="S235" t="e">
        <f>IF(K235=2,"",INDEX(drug_codes,MATCH(loaded!AQ235,drug,0)))</f>
        <v>#N/A</v>
      </c>
      <c r="T235" t="e">
        <f>IF(K235=2,"",_xlfn.IFNA(INDEX(drug_codes,MATCH(loaded!AS235,drug,0)),""))</f>
        <v>#N/A</v>
      </c>
      <c r="U235" t="e">
        <f>IF(K235=2,"",_xlfn.IFNA(INDEX(drug_codes,MATCH(loaded!AU235,drug,0)),""))</f>
        <v>#N/A</v>
      </c>
      <c r="V235" t="e">
        <f>IF(K235=2,"",_xlfn.IFNA(INDEX(drug_codes,MATCH(loaded!AW235,drug,0)),""))</f>
        <v>#N/A</v>
      </c>
      <c r="W235" t="e">
        <f>IF(K235=2,"",_xlfn.IFNA(INDEX(drug_codes,MATCH(loaded!AY235,drug,0)),""))</f>
        <v>#N/A</v>
      </c>
      <c r="X235" t="e">
        <f>IF(K235=2,"",_xlfn.IFNA(INDEX(drug_codes,MATCH(loaded!BA235,drug,0)),""))</f>
        <v>#N/A</v>
      </c>
      <c r="Y235" t="e">
        <f>INDEX(MTT_codes,MATCH(loaded!BC235,MTT,0))</f>
        <v>#N/A</v>
      </c>
      <c r="Z235" t="str">
        <f>_xlfn.IFNA(INDEX(MTT_codes,MATCH(loaded!BE235,MTT,0)),"")</f>
        <v/>
      </c>
      <c r="AA235" t="str">
        <f>_xlfn.IFNA(INDEX(MTT_codes,MATCH(loaded!BG235,MTT,0)),"")</f>
        <v/>
      </c>
      <c r="AB235" t="str">
        <f>_xlfn.IFNA(INDEX(MTT_codes,MATCH(loaded!BI235,MTT,0)),"")</f>
        <v/>
      </c>
      <c r="AC235" t="str">
        <f>_xlfn.IFNA(INDEX(MTT_codes,MATCH(loaded!BK235,MTT,0)),"")</f>
        <v/>
      </c>
      <c r="AD235" t="str">
        <f>_xlfn.IFNA(INDEX(MTT_codes,MATCH(loaded!BM235,MTT,0)),"")</f>
        <v/>
      </c>
      <c r="AE235" t="e">
        <f>INDEX(liv_ar_codes,MATCH(loaded!BO235,liv_ar,0))</f>
        <v>#N/A</v>
      </c>
      <c r="AF235" t="str">
        <f>_xlfn.IFNA(INDEX(MTT_codes,MATCH(loaded!BQ235,MTT,0)),"")</f>
        <v/>
      </c>
      <c r="AG235">
        <f>_xlfn.IFNA(INDEX(mental_codes,MATCH(loaded!BS235,mental,0)),9)</f>
        <v>9</v>
      </c>
    </row>
    <row r="236" spans="1:33" x14ac:dyDescent="0.25">
      <c r="A236">
        <f>loaded!C236</f>
        <v>0</v>
      </c>
      <c r="B236">
        <f>loaded!I236</f>
        <v>0</v>
      </c>
      <c r="C236">
        <f>IF(loaded!K236="Male",1,IF(loaded!K236="Female",2,9))</f>
        <v>9</v>
      </c>
      <c r="D236" s="8">
        <f>loaded!M236</f>
        <v>0</v>
      </c>
      <c r="E236" t="str">
        <f>LEFT(loaded!O236,3)</f>
        <v/>
      </c>
      <c r="F236" t="e">
        <f>INDEX(cntry_codes,MATCH(loaded!Q236,countries,0))</f>
        <v>#N/A</v>
      </c>
      <c r="G236" t="e">
        <f>INDEX(atsi_codes,MATCH(loaded!S236,atsi,0))</f>
        <v>#N/A</v>
      </c>
      <c r="H236" t="e">
        <f>INDEX(lang_codes,MATCH(loaded!U236,lang,0))</f>
        <v>#N/A</v>
      </c>
      <c r="I236" s="8">
        <f>loaded!W236</f>
        <v>0</v>
      </c>
      <c r="J236" t="e">
        <f>INDEX(us_acc_codes,MATCH(loaded!Y236,us_acc,0))</f>
        <v>#N/A</v>
      </c>
      <c r="K236" t="e">
        <f>INDEX(client_codes,MATCH(loaded!AA236,client,0))</f>
        <v>#N/A</v>
      </c>
      <c r="L236" t="e">
        <f>INDEX(src_ref_codes,MATCH(loaded!AC236,src_ref,0))</f>
        <v>#N/A</v>
      </c>
      <c r="M236" s="8">
        <f>loaded!AE236</f>
        <v>0</v>
      </c>
      <c r="N236" s="8">
        <f>loaded!AG236</f>
        <v>0</v>
      </c>
      <c r="O236" t="e">
        <f>INDEX(reces_codes,MATCH(loaded!AI236,reason,0))</f>
        <v>#N/A</v>
      </c>
      <c r="P236" t="e">
        <f>INDEX(TDS_codes,MATCH(loaded!AK236,TDS,0))</f>
        <v>#N/A</v>
      </c>
      <c r="Q236" t="e">
        <f>IF(K236=2,"",INDEX(method_codes,MATCH(loaded!AM236,method,0)))</f>
        <v>#N/A</v>
      </c>
      <c r="R236" t="e">
        <f>IF(K236=2,"",INDEX(inj_codes,MATCH(loaded!AO236,inj,0)))</f>
        <v>#N/A</v>
      </c>
      <c r="S236" t="e">
        <f>IF(K236=2,"",INDEX(drug_codes,MATCH(loaded!AQ236,drug,0)))</f>
        <v>#N/A</v>
      </c>
      <c r="T236" t="e">
        <f>IF(K236=2,"",_xlfn.IFNA(INDEX(drug_codes,MATCH(loaded!AS236,drug,0)),""))</f>
        <v>#N/A</v>
      </c>
      <c r="U236" t="e">
        <f>IF(K236=2,"",_xlfn.IFNA(INDEX(drug_codes,MATCH(loaded!AU236,drug,0)),""))</f>
        <v>#N/A</v>
      </c>
      <c r="V236" t="e">
        <f>IF(K236=2,"",_xlfn.IFNA(INDEX(drug_codes,MATCH(loaded!AW236,drug,0)),""))</f>
        <v>#N/A</v>
      </c>
      <c r="W236" t="e">
        <f>IF(K236=2,"",_xlfn.IFNA(INDEX(drug_codes,MATCH(loaded!AY236,drug,0)),""))</f>
        <v>#N/A</v>
      </c>
      <c r="X236" t="e">
        <f>IF(K236=2,"",_xlfn.IFNA(INDEX(drug_codes,MATCH(loaded!BA236,drug,0)),""))</f>
        <v>#N/A</v>
      </c>
      <c r="Y236" t="e">
        <f>INDEX(MTT_codes,MATCH(loaded!BC236,MTT,0))</f>
        <v>#N/A</v>
      </c>
      <c r="Z236" t="str">
        <f>_xlfn.IFNA(INDEX(MTT_codes,MATCH(loaded!BE236,MTT,0)),"")</f>
        <v/>
      </c>
      <c r="AA236" t="str">
        <f>_xlfn.IFNA(INDEX(MTT_codes,MATCH(loaded!BG236,MTT,0)),"")</f>
        <v/>
      </c>
      <c r="AB236" t="str">
        <f>_xlfn.IFNA(INDEX(MTT_codes,MATCH(loaded!BI236,MTT,0)),"")</f>
        <v/>
      </c>
      <c r="AC236" t="str">
        <f>_xlfn.IFNA(INDEX(MTT_codes,MATCH(loaded!BK236,MTT,0)),"")</f>
        <v/>
      </c>
      <c r="AD236" t="str">
        <f>_xlfn.IFNA(INDEX(MTT_codes,MATCH(loaded!BM236,MTT,0)),"")</f>
        <v/>
      </c>
      <c r="AE236" t="e">
        <f>INDEX(liv_ar_codes,MATCH(loaded!BO236,liv_ar,0))</f>
        <v>#N/A</v>
      </c>
      <c r="AF236" t="str">
        <f>_xlfn.IFNA(INDEX(MTT_codes,MATCH(loaded!BQ236,MTT,0)),"")</f>
        <v/>
      </c>
      <c r="AG236">
        <f>_xlfn.IFNA(INDEX(mental_codes,MATCH(loaded!BS236,mental,0)),9)</f>
        <v>9</v>
      </c>
    </row>
    <row r="237" spans="1:33" x14ac:dyDescent="0.25">
      <c r="A237">
        <f>loaded!C237</f>
        <v>0</v>
      </c>
      <c r="B237">
        <f>loaded!I237</f>
        <v>0</v>
      </c>
      <c r="C237">
        <f>IF(loaded!K237="Male",1,IF(loaded!K237="Female",2,9))</f>
        <v>9</v>
      </c>
      <c r="D237" s="8">
        <f>loaded!M237</f>
        <v>0</v>
      </c>
      <c r="E237" t="str">
        <f>LEFT(loaded!O237,3)</f>
        <v/>
      </c>
      <c r="F237" t="e">
        <f>INDEX(cntry_codes,MATCH(loaded!Q237,countries,0))</f>
        <v>#N/A</v>
      </c>
      <c r="G237" t="e">
        <f>INDEX(atsi_codes,MATCH(loaded!S237,atsi,0))</f>
        <v>#N/A</v>
      </c>
      <c r="H237" t="e">
        <f>INDEX(lang_codes,MATCH(loaded!U237,lang,0))</f>
        <v>#N/A</v>
      </c>
      <c r="I237" s="8">
        <f>loaded!W237</f>
        <v>0</v>
      </c>
      <c r="J237" t="e">
        <f>INDEX(us_acc_codes,MATCH(loaded!Y237,us_acc,0))</f>
        <v>#N/A</v>
      </c>
      <c r="K237" t="e">
        <f>INDEX(client_codes,MATCH(loaded!AA237,client,0))</f>
        <v>#N/A</v>
      </c>
      <c r="L237" t="e">
        <f>INDEX(src_ref_codes,MATCH(loaded!AC237,src_ref,0))</f>
        <v>#N/A</v>
      </c>
      <c r="M237" s="8">
        <f>loaded!AE237</f>
        <v>0</v>
      </c>
      <c r="N237" s="8">
        <f>loaded!AG237</f>
        <v>0</v>
      </c>
      <c r="O237" t="e">
        <f>INDEX(reces_codes,MATCH(loaded!AI237,reason,0))</f>
        <v>#N/A</v>
      </c>
      <c r="P237" t="e">
        <f>INDEX(TDS_codes,MATCH(loaded!AK237,TDS,0))</f>
        <v>#N/A</v>
      </c>
      <c r="Q237" t="e">
        <f>IF(K237=2,"",INDEX(method_codes,MATCH(loaded!AM237,method,0)))</f>
        <v>#N/A</v>
      </c>
      <c r="R237" t="e">
        <f>IF(K237=2,"",INDEX(inj_codes,MATCH(loaded!AO237,inj,0)))</f>
        <v>#N/A</v>
      </c>
      <c r="S237" t="e">
        <f>IF(K237=2,"",INDEX(drug_codes,MATCH(loaded!AQ237,drug,0)))</f>
        <v>#N/A</v>
      </c>
      <c r="T237" t="e">
        <f>IF(K237=2,"",_xlfn.IFNA(INDEX(drug_codes,MATCH(loaded!AS237,drug,0)),""))</f>
        <v>#N/A</v>
      </c>
      <c r="U237" t="e">
        <f>IF(K237=2,"",_xlfn.IFNA(INDEX(drug_codes,MATCH(loaded!AU237,drug,0)),""))</f>
        <v>#N/A</v>
      </c>
      <c r="V237" t="e">
        <f>IF(K237=2,"",_xlfn.IFNA(INDEX(drug_codes,MATCH(loaded!AW237,drug,0)),""))</f>
        <v>#N/A</v>
      </c>
      <c r="W237" t="e">
        <f>IF(K237=2,"",_xlfn.IFNA(INDEX(drug_codes,MATCH(loaded!AY237,drug,0)),""))</f>
        <v>#N/A</v>
      </c>
      <c r="X237" t="e">
        <f>IF(K237=2,"",_xlfn.IFNA(INDEX(drug_codes,MATCH(loaded!BA237,drug,0)),""))</f>
        <v>#N/A</v>
      </c>
      <c r="Y237" t="e">
        <f>INDEX(MTT_codes,MATCH(loaded!BC237,MTT,0))</f>
        <v>#N/A</v>
      </c>
      <c r="Z237" t="str">
        <f>_xlfn.IFNA(INDEX(MTT_codes,MATCH(loaded!BE237,MTT,0)),"")</f>
        <v/>
      </c>
      <c r="AA237" t="str">
        <f>_xlfn.IFNA(INDEX(MTT_codes,MATCH(loaded!BG237,MTT,0)),"")</f>
        <v/>
      </c>
      <c r="AB237" t="str">
        <f>_xlfn.IFNA(INDEX(MTT_codes,MATCH(loaded!BI237,MTT,0)),"")</f>
        <v/>
      </c>
      <c r="AC237" t="str">
        <f>_xlfn.IFNA(INDEX(MTT_codes,MATCH(loaded!BK237,MTT,0)),"")</f>
        <v/>
      </c>
      <c r="AD237" t="str">
        <f>_xlfn.IFNA(INDEX(MTT_codes,MATCH(loaded!BM237,MTT,0)),"")</f>
        <v/>
      </c>
      <c r="AE237" t="e">
        <f>INDEX(liv_ar_codes,MATCH(loaded!BO237,liv_ar,0))</f>
        <v>#N/A</v>
      </c>
      <c r="AF237" t="str">
        <f>_xlfn.IFNA(INDEX(MTT_codes,MATCH(loaded!BQ237,MTT,0)),"")</f>
        <v/>
      </c>
      <c r="AG237">
        <f>_xlfn.IFNA(INDEX(mental_codes,MATCH(loaded!BS237,mental,0)),9)</f>
        <v>9</v>
      </c>
    </row>
    <row r="238" spans="1:33" x14ac:dyDescent="0.25">
      <c r="A238">
        <f>loaded!C238</f>
        <v>0</v>
      </c>
      <c r="B238">
        <f>loaded!I238</f>
        <v>0</v>
      </c>
      <c r="C238">
        <f>IF(loaded!K238="Male",1,IF(loaded!K238="Female",2,9))</f>
        <v>9</v>
      </c>
      <c r="D238" s="8">
        <f>loaded!M238</f>
        <v>0</v>
      </c>
      <c r="E238" t="str">
        <f>LEFT(loaded!O238,3)</f>
        <v/>
      </c>
      <c r="F238" t="e">
        <f>INDEX(cntry_codes,MATCH(loaded!Q238,countries,0))</f>
        <v>#N/A</v>
      </c>
      <c r="G238" t="e">
        <f>INDEX(atsi_codes,MATCH(loaded!S238,atsi,0))</f>
        <v>#N/A</v>
      </c>
      <c r="H238" t="e">
        <f>INDEX(lang_codes,MATCH(loaded!U238,lang,0))</f>
        <v>#N/A</v>
      </c>
      <c r="I238" s="8">
        <f>loaded!W238</f>
        <v>0</v>
      </c>
      <c r="J238" t="e">
        <f>INDEX(us_acc_codes,MATCH(loaded!Y238,us_acc,0))</f>
        <v>#N/A</v>
      </c>
      <c r="K238" t="e">
        <f>INDEX(client_codes,MATCH(loaded!AA238,client,0))</f>
        <v>#N/A</v>
      </c>
      <c r="L238" t="e">
        <f>INDEX(src_ref_codes,MATCH(loaded!AC238,src_ref,0))</f>
        <v>#N/A</v>
      </c>
      <c r="M238" s="8">
        <f>loaded!AE238</f>
        <v>0</v>
      </c>
      <c r="N238" s="8">
        <f>loaded!AG238</f>
        <v>0</v>
      </c>
      <c r="O238" t="e">
        <f>INDEX(reces_codes,MATCH(loaded!AI238,reason,0))</f>
        <v>#N/A</v>
      </c>
      <c r="P238" t="e">
        <f>INDEX(TDS_codes,MATCH(loaded!AK238,TDS,0))</f>
        <v>#N/A</v>
      </c>
      <c r="Q238" t="e">
        <f>IF(K238=2,"",INDEX(method_codes,MATCH(loaded!AM238,method,0)))</f>
        <v>#N/A</v>
      </c>
      <c r="R238" t="e">
        <f>IF(K238=2,"",INDEX(inj_codes,MATCH(loaded!AO238,inj,0)))</f>
        <v>#N/A</v>
      </c>
      <c r="S238" t="e">
        <f>IF(K238=2,"",INDEX(drug_codes,MATCH(loaded!AQ238,drug,0)))</f>
        <v>#N/A</v>
      </c>
      <c r="T238" t="e">
        <f>IF(K238=2,"",_xlfn.IFNA(INDEX(drug_codes,MATCH(loaded!AS238,drug,0)),""))</f>
        <v>#N/A</v>
      </c>
      <c r="U238" t="e">
        <f>IF(K238=2,"",_xlfn.IFNA(INDEX(drug_codes,MATCH(loaded!AU238,drug,0)),""))</f>
        <v>#N/A</v>
      </c>
      <c r="V238" t="e">
        <f>IF(K238=2,"",_xlfn.IFNA(INDEX(drug_codes,MATCH(loaded!AW238,drug,0)),""))</f>
        <v>#N/A</v>
      </c>
      <c r="W238" t="e">
        <f>IF(K238=2,"",_xlfn.IFNA(INDEX(drug_codes,MATCH(loaded!AY238,drug,0)),""))</f>
        <v>#N/A</v>
      </c>
      <c r="X238" t="e">
        <f>IF(K238=2,"",_xlfn.IFNA(INDEX(drug_codes,MATCH(loaded!BA238,drug,0)),""))</f>
        <v>#N/A</v>
      </c>
      <c r="Y238" t="e">
        <f>INDEX(MTT_codes,MATCH(loaded!BC238,MTT,0))</f>
        <v>#N/A</v>
      </c>
      <c r="Z238" t="str">
        <f>_xlfn.IFNA(INDEX(MTT_codes,MATCH(loaded!BE238,MTT,0)),"")</f>
        <v/>
      </c>
      <c r="AA238" t="str">
        <f>_xlfn.IFNA(INDEX(MTT_codes,MATCH(loaded!BG238,MTT,0)),"")</f>
        <v/>
      </c>
      <c r="AB238" t="str">
        <f>_xlfn.IFNA(INDEX(MTT_codes,MATCH(loaded!BI238,MTT,0)),"")</f>
        <v/>
      </c>
      <c r="AC238" t="str">
        <f>_xlfn.IFNA(INDEX(MTT_codes,MATCH(loaded!BK238,MTT,0)),"")</f>
        <v/>
      </c>
      <c r="AD238" t="str">
        <f>_xlfn.IFNA(INDEX(MTT_codes,MATCH(loaded!BM238,MTT,0)),"")</f>
        <v/>
      </c>
      <c r="AE238" t="e">
        <f>INDEX(liv_ar_codes,MATCH(loaded!BO238,liv_ar,0))</f>
        <v>#N/A</v>
      </c>
      <c r="AF238" t="str">
        <f>_xlfn.IFNA(INDEX(MTT_codes,MATCH(loaded!BQ238,MTT,0)),"")</f>
        <v/>
      </c>
      <c r="AG238">
        <f>_xlfn.IFNA(INDEX(mental_codes,MATCH(loaded!BS238,mental,0)),9)</f>
        <v>9</v>
      </c>
    </row>
    <row r="239" spans="1:33" x14ac:dyDescent="0.25">
      <c r="A239">
        <f>loaded!C239</f>
        <v>0</v>
      </c>
      <c r="B239">
        <f>loaded!I239</f>
        <v>0</v>
      </c>
      <c r="C239">
        <f>IF(loaded!K239="Male",1,IF(loaded!K239="Female",2,9))</f>
        <v>9</v>
      </c>
      <c r="D239" s="8">
        <f>loaded!M239</f>
        <v>0</v>
      </c>
      <c r="E239" t="str">
        <f>LEFT(loaded!O239,3)</f>
        <v/>
      </c>
      <c r="F239" t="e">
        <f>INDEX(cntry_codes,MATCH(loaded!Q239,countries,0))</f>
        <v>#N/A</v>
      </c>
      <c r="G239" t="e">
        <f>INDEX(atsi_codes,MATCH(loaded!S239,atsi,0))</f>
        <v>#N/A</v>
      </c>
      <c r="H239" t="e">
        <f>INDEX(lang_codes,MATCH(loaded!U239,lang,0))</f>
        <v>#N/A</v>
      </c>
      <c r="I239" s="8">
        <f>loaded!W239</f>
        <v>0</v>
      </c>
      <c r="J239" t="e">
        <f>INDEX(us_acc_codes,MATCH(loaded!Y239,us_acc,0))</f>
        <v>#N/A</v>
      </c>
      <c r="K239" t="e">
        <f>INDEX(client_codes,MATCH(loaded!AA239,client,0))</f>
        <v>#N/A</v>
      </c>
      <c r="L239" t="e">
        <f>INDEX(src_ref_codes,MATCH(loaded!AC239,src_ref,0))</f>
        <v>#N/A</v>
      </c>
      <c r="M239" s="8">
        <f>loaded!AE239</f>
        <v>0</v>
      </c>
      <c r="N239" s="8">
        <f>loaded!AG239</f>
        <v>0</v>
      </c>
      <c r="O239" t="e">
        <f>INDEX(reces_codes,MATCH(loaded!AI239,reason,0))</f>
        <v>#N/A</v>
      </c>
      <c r="P239" t="e">
        <f>INDEX(TDS_codes,MATCH(loaded!AK239,TDS,0))</f>
        <v>#N/A</v>
      </c>
      <c r="Q239" t="e">
        <f>IF(K239=2,"",INDEX(method_codes,MATCH(loaded!AM239,method,0)))</f>
        <v>#N/A</v>
      </c>
      <c r="R239" t="e">
        <f>IF(K239=2,"",INDEX(inj_codes,MATCH(loaded!AO239,inj,0)))</f>
        <v>#N/A</v>
      </c>
      <c r="S239" t="e">
        <f>IF(K239=2,"",INDEX(drug_codes,MATCH(loaded!AQ239,drug,0)))</f>
        <v>#N/A</v>
      </c>
      <c r="T239" t="e">
        <f>IF(K239=2,"",_xlfn.IFNA(INDEX(drug_codes,MATCH(loaded!AS239,drug,0)),""))</f>
        <v>#N/A</v>
      </c>
      <c r="U239" t="e">
        <f>IF(K239=2,"",_xlfn.IFNA(INDEX(drug_codes,MATCH(loaded!AU239,drug,0)),""))</f>
        <v>#N/A</v>
      </c>
      <c r="V239" t="e">
        <f>IF(K239=2,"",_xlfn.IFNA(INDEX(drug_codes,MATCH(loaded!AW239,drug,0)),""))</f>
        <v>#N/A</v>
      </c>
      <c r="W239" t="e">
        <f>IF(K239=2,"",_xlfn.IFNA(INDEX(drug_codes,MATCH(loaded!AY239,drug,0)),""))</f>
        <v>#N/A</v>
      </c>
      <c r="X239" t="e">
        <f>IF(K239=2,"",_xlfn.IFNA(INDEX(drug_codes,MATCH(loaded!BA239,drug,0)),""))</f>
        <v>#N/A</v>
      </c>
      <c r="Y239" t="e">
        <f>INDEX(MTT_codes,MATCH(loaded!BC239,MTT,0))</f>
        <v>#N/A</v>
      </c>
      <c r="Z239" t="str">
        <f>_xlfn.IFNA(INDEX(MTT_codes,MATCH(loaded!BE239,MTT,0)),"")</f>
        <v/>
      </c>
      <c r="AA239" t="str">
        <f>_xlfn.IFNA(INDEX(MTT_codes,MATCH(loaded!BG239,MTT,0)),"")</f>
        <v/>
      </c>
      <c r="AB239" t="str">
        <f>_xlfn.IFNA(INDEX(MTT_codes,MATCH(loaded!BI239,MTT,0)),"")</f>
        <v/>
      </c>
      <c r="AC239" t="str">
        <f>_xlfn.IFNA(INDEX(MTT_codes,MATCH(loaded!BK239,MTT,0)),"")</f>
        <v/>
      </c>
      <c r="AD239" t="str">
        <f>_xlfn.IFNA(INDEX(MTT_codes,MATCH(loaded!BM239,MTT,0)),"")</f>
        <v/>
      </c>
      <c r="AE239" t="e">
        <f>INDEX(liv_ar_codes,MATCH(loaded!BO239,liv_ar,0))</f>
        <v>#N/A</v>
      </c>
      <c r="AF239" t="str">
        <f>_xlfn.IFNA(INDEX(MTT_codes,MATCH(loaded!BQ239,MTT,0)),"")</f>
        <v/>
      </c>
      <c r="AG239">
        <f>_xlfn.IFNA(INDEX(mental_codes,MATCH(loaded!BS239,mental,0)),9)</f>
        <v>9</v>
      </c>
    </row>
    <row r="240" spans="1:33" x14ac:dyDescent="0.25">
      <c r="A240">
        <f>loaded!C240</f>
        <v>0</v>
      </c>
      <c r="B240">
        <f>loaded!I240</f>
        <v>0</v>
      </c>
      <c r="C240">
        <f>IF(loaded!K240="Male",1,IF(loaded!K240="Female",2,9))</f>
        <v>9</v>
      </c>
      <c r="D240" s="8">
        <f>loaded!M240</f>
        <v>0</v>
      </c>
      <c r="E240" t="str">
        <f>LEFT(loaded!O240,3)</f>
        <v/>
      </c>
      <c r="F240" t="e">
        <f>INDEX(cntry_codes,MATCH(loaded!Q240,countries,0))</f>
        <v>#N/A</v>
      </c>
      <c r="G240" t="e">
        <f>INDEX(atsi_codes,MATCH(loaded!S240,atsi,0))</f>
        <v>#N/A</v>
      </c>
      <c r="H240" t="e">
        <f>INDEX(lang_codes,MATCH(loaded!U240,lang,0))</f>
        <v>#N/A</v>
      </c>
      <c r="I240" s="8">
        <f>loaded!W240</f>
        <v>0</v>
      </c>
      <c r="J240" t="e">
        <f>INDEX(us_acc_codes,MATCH(loaded!Y240,us_acc,0))</f>
        <v>#N/A</v>
      </c>
      <c r="K240" t="e">
        <f>INDEX(client_codes,MATCH(loaded!AA240,client,0))</f>
        <v>#N/A</v>
      </c>
      <c r="L240" t="e">
        <f>INDEX(src_ref_codes,MATCH(loaded!AC240,src_ref,0))</f>
        <v>#N/A</v>
      </c>
      <c r="M240" s="8">
        <f>loaded!AE240</f>
        <v>0</v>
      </c>
      <c r="N240" s="8">
        <f>loaded!AG240</f>
        <v>0</v>
      </c>
      <c r="O240" t="e">
        <f>INDEX(reces_codes,MATCH(loaded!AI240,reason,0))</f>
        <v>#N/A</v>
      </c>
      <c r="P240" t="e">
        <f>INDEX(TDS_codes,MATCH(loaded!AK240,TDS,0))</f>
        <v>#N/A</v>
      </c>
      <c r="Q240" t="e">
        <f>IF(K240=2,"",INDEX(method_codes,MATCH(loaded!AM240,method,0)))</f>
        <v>#N/A</v>
      </c>
      <c r="R240" t="e">
        <f>IF(K240=2,"",INDEX(inj_codes,MATCH(loaded!AO240,inj,0)))</f>
        <v>#N/A</v>
      </c>
      <c r="S240" t="e">
        <f>IF(K240=2,"",INDEX(drug_codes,MATCH(loaded!AQ240,drug,0)))</f>
        <v>#N/A</v>
      </c>
      <c r="T240" t="e">
        <f>IF(K240=2,"",_xlfn.IFNA(INDEX(drug_codes,MATCH(loaded!AS240,drug,0)),""))</f>
        <v>#N/A</v>
      </c>
      <c r="U240" t="e">
        <f>IF(K240=2,"",_xlfn.IFNA(INDEX(drug_codes,MATCH(loaded!AU240,drug,0)),""))</f>
        <v>#N/A</v>
      </c>
      <c r="V240" t="e">
        <f>IF(K240=2,"",_xlfn.IFNA(INDEX(drug_codes,MATCH(loaded!AW240,drug,0)),""))</f>
        <v>#N/A</v>
      </c>
      <c r="W240" t="e">
        <f>IF(K240=2,"",_xlfn.IFNA(INDEX(drug_codes,MATCH(loaded!AY240,drug,0)),""))</f>
        <v>#N/A</v>
      </c>
      <c r="X240" t="e">
        <f>IF(K240=2,"",_xlfn.IFNA(INDEX(drug_codes,MATCH(loaded!BA240,drug,0)),""))</f>
        <v>#N/A</v>
      </c>
      <c r="Y240" t="e">
        <f>INDEX(MTT_codes,MATCH(loaded!BC240,MTT,0))</f>
        <v>#N/A</v>
      </c>
      <c r="Z240" t="str">
        <f>_xlfn.IFNA(INDEX(MTT_codes,MATCH(loaded!BE240,MTT,0)),"")</f>
        <v/>
      </c>
      <c r="AA240" t="str">
        <f>_xlfn.IFNA(INDEX(MTT_codes,MATCH(loaded!BG240,MTT,0)),"")</f>
        <v/>
      </c>
      <c r="AB240" t="str">
        <f>_xlfn.IFNA(INDEX(MTT_codes,MATCH(loaded!BI240,MTT,0)),"")</f>
        <v/>
      </c>
      <c r="AC240" t="str">
        <f>_xlfn.IFNA(INDEX(MTT_codes,MATCH(loaded!BK240,MTT,0)),"")</f>
        <v/>
      </c>
      <c r="AD240" t="str">
        <f>_xlfn.IFNA(INDEX(MTT_codes,MATCH(loaded!BM240,MTT,0)),"")</f>
        <v/>
      </c>
      <c r="AE240" t="e">
        <f>INDEX(liv_ar_codes,MATCH(loaded!BO240,liv_ar,0))</f>
        <v>#N/A</v>
      </c>
      <c r="AF240" t="str">
        <f>_xlfn.IFNA(INDEX(MTT_codes,MATCH(loaded!BQ240,MTT,0)),"")</f>
        <v/>
      </c>
      <c r="AG240">
        <f>_xlfn.IFNA(INDEX(mental_codes,MATCH(loaded!BS240,mental,0)),9)</f>
        <v>9</v>
      </c>
    </row>
    <row r="241" spans="1:33" x14ac:dyDescent="0.25">
      <c r="A241">
        <f>loaded!C241</f>
        <v>0</v>
      </c>
      <c r="B241">
        <f>loaded!I241</f>
        <v>0</v>
      </c>
      <c r="C241">
        <f>IF(loaded!K241="Male",1,IF(loaded!K241="Female",2,9))</f>
        <v>9</v>
      </c>
      <c r="D241" s="8">
        <f>loaded!M241</f>
        <v>0</v>
      </c>
      <c r="E241" t="str">
        <f>LEFT(loaded!O241,3)</f>
        <v/>
      </c>
      <c r="F241" t="e">
        <f>INDEX(cntry_codes,MATCH(loaded!Q241,countries,0))</f>
        <v>#N/A</v>
      </c>
      <c r="G241" t="e">
        <f>INDEX(atsi_codes,MATCH(loaded!S241,atsi,0))</f>
        <v>#N/A</v>
      </c>
      <c r="H241" t="e">
        <f>INDEX(lang_codes,MATCH(loaded!U241,lang,0))</f>
        <v>#N/A</v>
      </c>
      <c r="I241" s="8">
        <f>loaded!W241</f>
        <v>0</v>
      </c>
      <c r="J241" t="e">
        <f>INDEX(us_acc_codes,MATCH(loaded!Y241,us_acc,0))</f>
        <v>#N/A</v>
      </c>
      <c r="K241" t="e">
        <f>INDEX(client_codes,MATCH(loaded!AA241,client,0))</f>
        <v>#N/A</v>
      </c>
      <c r="L241" t="e">
        <f>INDEX(src_ref_codes,MATCH(loaded!AC241,src_ref,0))</f>
        <v>#N/A</v>
      </c>
      <c r="M241" s="8">
        <f>loaded!AE241</f>
        <v>0</v>
      </c>
      <c r="N241" s="8">
        <f>loaded!AG241</f>
        <v>0</v>
      </c>
      <c r="O241" t="e">
        <f>INDEX(reces_codes,MATCH(loaded!AI241,reason,0))</f>
        <v>#N/A</v>
      </c>
      <c r="P241" t="e">
        <f>INDEX(TDS_codes,MATCH(loaded!AK241,TDS,0))</f>
        <v>#N/A</v>
      </c>
      <c r="Q241" t="e">
        <f>IF(K241=2,"",INDEX(method_codes,MATCH(loaded!AM241,method,0)))</f>
        <v>#N/A</v>
      </c>
      <c r="R241" t="e">
        <f>IF(K241=2,"",INDEX(inj_codes,MATCH(loaded!AO241,inj,0)))</f>
        <v>#N/A</v>
      </c>
      <c r="S241" t="e">
        <f>IF(K241=2,"",INDEX(drug_codes,MATCH(loaded!AQ241,drug,0)))</f>
        <v>#N/A</v>
      </c>
      <c r="T241" t="e">
        <f>IF(K241=2,"",_xlfn.IFNA(INDEX(drug_codes,MATCH(loaded!AS241,drug,0)),""))</f>
        <v>#N/A</v>
      </c>
      <c r="U241" t="e">
        <f>IF(K241=2,"",_xlfn.IFNA(INDEX(drug_codes,MATCH(loaded!AU241,drug,0)),""))</f>
        <v>#N/A</v>
      </c>
      <c r="V241" t="e">
        <f>IF(K241=2,"",_xlfn.IFNA(INDEX(drug_codes,MATCH(loaded!AW241,drug,0)),""))</f>
        <v>#N/A</v>
      </c>
      <c r="W241" t="e">
        <f>IF(K241=2,"",_xlfn.IFNA(INDEX(drug_codes,MATCH(loaded!AY241,drug,0)),""))</f>
        <v>#N/A</v>
      </c>
      <c r="X241" t="e">
        <f>IF(K241=2,"",_xlfn.IFNA(INDEX(drug_codes,MATCH(loaded!BA241,drug,0)),""))</f>
        <v>#N/A</v>
      </c>
      <c r="Y241" t="e">
        <f>INDEX(MTT_codes,MATCH(loaded!BC241,MTT,0))</f>
        <v>#N/A</v>
      </c>
      <c r="Z241" t="str">
        <f>_xlfn.IFNA(INDEX(MTT_codes,MATCH(loaded!BE241,MTT,0)),"")</f>
        <v/>
      </c>
      <c r="AA241" t="str">
        <f>_xlfn.IFNA(INDEX(MTT_codes,MATCH(loaded!BG241,MTT,0)),"")</f>
        <v/>
      </c>
      <c r="AB241" t="str">
        <f>_xlfn.IFNA(INDEX(MTT_codes,MATCH(loaded!BI241,MTT,0)),"")</f>
        <v/>
      </c>
      <c r="AC241" t="str">
        <f>_xlfn.IFNA(INDEX(MTT_codes,MATCH(loaded!BK241,MTT,0)),"")</f>
        <v/>
      </c>
      <c r="AD241" t="str">
        <f>_xlfn.IFNA(INDEX(MTT_codes,MATCH(loaded!BM241,MTT,0)),"")</f>
        <v/>
      </c>
      <c r="AE241" t="e">
        <f>INDEX(liv_ar_codes,MATCH(loaded!BO241,liv_ar,0))</f>
        <v>#N/A</v>
      </c>
      <c r="AF241" t="str">
        <f>_xlfn.IFNA(INDEX(MTT_codes,MATCH(loaded!BQ241,MTT,0)),"")</f>
        <v/>
      </c>
      <c r="AG241">
        <f>_xlfn.IFNA(INDEX(mental_codes,MATCH(loaded!BS241,mental,0)),9)</f>
        <v>9</v>
      </c>
    </row>
    <row r="242" spans="1:33" x14ac:dyDescent="0.25">
      <c r="A242">
        <f>loaded!C242</f>
        <v>0</v>
      </c>
      <c r="B242">
        <f>loaded!I242</f>
        <v>0</v>
      </c>
      <c r="C242">
        <f>IF(loaded!K242="Male",1,IF(loaded!K242="Female",2,9))</f>
        <v>9</v>
      </c>
      <c r="D242" s="8">
        <f>loaded!M242</f>
        <v>0</v>
      </c>
      <c r="E242" t="str">
        <f>LEFT(loaded!O242,3)</f>
        <v/>
      </c>
      <c r="F242" t="e">
        <f>INDEX(cntry_codes,MATCH(loaded!Q242,countries,0))</f>
        <v>#N/A</v>
      </c>
      <c r="G242" t="e">
        <f>INDEX(atsi_codes,MATCH(loaded!S242,atsi,0))</f>
        <v>#N/A</v>
      </c>
      <c r="H242" t="e">
        <f>INDEX(lang_codes,MATCH(loaded!U242,lang,0))</f>
        <v>#N/A</v>
      </c>
      <c r="I242" s="8">
        <f>loaded!W242</f>
        <v>0</v>
      </c>
      <c r="J242" t="e">
        <f>INDEX(us_acc_codes,MATCH(loaded!Y242,us_acc,0))</f>
        <v>#N/A</v>
      </c>
      <c r="K242" t="e">
        <f>INDEX(client_codes,MATCH(loaded!AA242,client,0))</f>
        <v>#N/A</v>
      </c>
      <c r="L242" t="e">
        <f>INDEX(src_ref_codes,MATCH(loaded!AC242,src_ref,0))</f>
        <v>#N/A</v>
      </c>
      <c r="M242" s="8">
        <f>loaded!AE242</f>
        <v>0</v>
      </c>
      <c r="N242" s="8">
        <f>loaded!AG242</f>
        <v>0</v>
      </c>
      <c r="O242" t="e">
        <f>INDEX(reces_codes,MATCH(loaded!AI242,reason,0))</f>
        <v>#N/A</v>
      </c>
      <c r="P242" t="e">
        <f>INDEX(TDS_codes,MATCH(loaded!AK242,TDS,0))</f>
        <v>#N/A</v>
      </c>
      <c r="Q242" t="e">
        <f>IF(K242=2,"",INDEX(method_codes,MATCH(loaded!AM242,method,0)))</f>
        <v>#N/A</v>
      </c>
      <c r="R242" t="e">
        <f>IF(K242=2,"",INDEX(inj_codes,MATCH(loaded!AO242,inj,0)))</f>
        <v>#N/A</v>
      </c>
      <c r="S242" t="e">
        <f>IF(K242=2,"",INDEX(drug_codes,MATCH(loaded!AQ242,drug,0)))</f>
        <v>#N/A</v>
      </c>
      <c r="T242" t="e">
        <f>IF(K242=2,"",_xlfn.IFNA(INDEX(drug_codes,MATCH(loaded!AS242,drug,0)),""))</f>
        <v>#N/A</v>
      </c>
      <c r="U242" t="e">
        <f>IF(K242=2,"",_xlfn.IFNA(INDEX(drug_codes,MATCH(loaded!AU242,drug,0)),""))</f>
        <v>#N/A</v>
      </c>
      <c r="V242" t="e">
        <f>IF(K242=2,"",_xlfn.IFNA(INDEX(drug_codes,MATCH(loaded!AW242,drug,0)),""))</f>
        <v>#N/A</v>
      </c>
      <c r="W242" t="e">
        <f>IF(K242=2,"",_xlfn.IFNA(INDEX(drug_codes,MATCH(loaded!AY242,drug,0)),""))</f>
        <v>#N/A</v>
      </c>
      <c r="X242" t="e">
        <f>IF(K242=2,"",_xlfn.IFNA(INDEX(drug_codes,MATCH(loaded!BA242,drug,0)),""))</f>
        <v>#N/A</v>
      </c>
      <c r="Y242" t="e">
        <f>INDEX(MTT_codes,MATCH(loaded!BC242,MTT,0))</f>
        <v>#N/A</v>
      </c>
      <c r="Z242" t="str">
        <f>_xlfn.IFNA(INDEX(MTT_codes,MATCH(loaded!BE242,MTT,0)),"")</f>
        <v/>
      </c>
      <c r="AA242" t="str">
        <f>_xlfn.IFNA(INDEX(MTT_codes,MATCH(loaded!BG242,MTT,0)),"")</f>
        <v/>
      </c>
      <c r="AB242" t="str">
        <f>_xlfn.IFNA(INDEX(MTT_codes,MATCH(loaded!BI242,MTT,0)),"")</f>
        <v/>
      </c>
      <c r="AC242" t="str">
        <f>_xlfn.IFNA(INDEX(MTT_codes,MATCH(loaded!BK242,MTT,0)),"")</f>
        <v/>
      </c>
      <c r="AD242" t="str">
        <f>_xlfn.IFNA(INDEX(MTT_codes,MATCH(loaded!BM242,MTT,0)),"")</f>
        <v/>
      </c>
      <c r="AE242" t="e">
        <f>INDEX(liv_ar_codes,MATCH(loaded!BO242,liv_ar,0))</f>
        <v>#N/A</v>
      </c>
      <c r="AF242" t="str">
        <f>_xlfn.IFNA(INDEX(MTT_codes,MATCH(loaded!BQ242,MTT,0)),"")</f>
        <v/>
      </c>
      <c r="AG242">
        <f>_xlfn.IFNA(INDEX(mental_codes,MATCH(loaded!BS242,mental,0)),9)</f>
        <v>9</v>
      </c>
    </row>
    <row r="243" spans="1:33" x14ac:dyDescent="0.25">
      <c r="A243">
        <f>loaded!C243</f>
        <v>0</v>
      </c>
      <c r="B243">
        <f>loaded!I243</f>
        <v>0</v>
      </c>
      <c r="C243">
        <f>IF(loaded!K243="Male",1,IF(loaded!K243="Female",2,9))</f>
        <v>9</v>
      </c>
      <c r="D243" s="8">
        <f>loaded!M243</f>
        <v>0</v>
      </c>
      <c r="E243" t="str">
        <f>LEFT(loaded!O243,3)</f>
        <v/>
      </c>
      <c r="F243" t="e">
        <f>INDEX(cntry_codes,MATCH(loaded!Q243,countries,0))</f>
        <v>#N/A</v>
      </c>
      <c r="G243" t="e">
        <f>INDEX(atsi_codes,MATCH(loaded!S243,atsi,0))</f>
        <v>#N/A</v>
      </c>
      <c r="H243" t="e">
        <f>INDEX(lang_codes,MATCH(loaded!U243,lang,0))</f>
        <v>#N/A</v>
      </c>
      <c r="I243" s="8">
        <f>loaded!W243</f>
        <v>0</v>
      </c>
      <c r="J243" t="e">
        <f>INDEX(us_acc_codes,MATCH(loaded!Y243,us_acc,0))</f>
        <v>#N/A</v>
      </c>
      <c r="K243" t="e">
        <f>INDEX(client_codes,MATCH(loaded!AA243,client,0))</f>
        <v>#N/A</v>
      </c>
      <c r="L243" t="e">
        <f>INDEX(src_ref_codes,MATCH(loaded!AC243,src_ref,0))</f>
        <v>#N/A</v>
      </c>
      <c r="M243" s="8">
        <f>loaded!AE243</f>
        <v>0</v>
      </c>
      <c r="N243" s="8">
        <f>loaded!AG243</f>
        <v>0</v>
      </c>
      <c r="O243" t="e">
        <f>INDEX(reces_codes,MATCH(loaded!AI243,reason,0))</f>
        <v>#N/A</v>
      </c>
      <c r="P243" t="e">
        <f>INDEX(TDS_codes,MATCH(loaded!AK243,TDS,0))</f>
        <v>#N/A</v>
      </c>
      <c r="Q243" t="e">
        <f>IF(K243=2,"",INDEX(method_codes,MATCH(loaded!AM243,method,0)))</f>
        <v>#N/A</v>
      </c>
      <c r="R243" t="e">
        <f>IF(K243=2,"",INDEX(inj_codes,MATCH(loaded!AO243,inj,0)))</f>
        <v>#N/A</v>
      </c>
      <c r="S243" t="e">
        <f>IF(K243=2,"",INDEX(drug_codes,MATCH(loaded!AQ243,drug,0)))</f>
        <v>#N/A</v>
      </c>
      <c r="T243" t="e">
        <f>IF(K243=2,"",_xlfn.IFNA(INDEX(drug_codes,MATCH(loaded!AS243,drug,0)),""))</f>
        <v>#N/A</v>
      </c>
      <c r="U243" t="e">
        <f>IF(K243=2,"",_xlfn.IFNA(INDEX(drug_codes,MATCH(loaded!AU243,drug,0)),""))</f>
        <v>#N/A</v>
      </c>
      <c r="V243" t="e">
        <f>IF(K243=2,"",_xlfn.IFNA(INDEX(drug_codes,MATCH(loaded!AW243,drug,0)),""))</f>
        <v>#N/A</v>
      </c>
      <c r="W243" t="e">
        <f>IF(K243=2,"",_xlfn.IFNA(INDEX(drug_codes,MATCH(loaded!AY243,drug,0)),""))</f>
        <v>#N/A</v>
      </c>
      <c r="X243" t="e">
        <f>IF(K243=2,"",_xlfn.IFNA(INDEX(drug_codes,MATCH(loaded!BA243,drug,0)),""))</f>
        <v>#N/A</v>
      </c>
      <c r="Y243" t="e">
        <f>INDEX(MTT_codes,MATCH(loaded!BC243,MTT,0))</f>
        <v>#N/A</v>
      </c>
      <c r="Z243" t="str">
        <f>_xlfn.IFNA(INDEX(MTT_codes,MATCH(loaded!BE243,MTT,0)),"")</f>
        <v/>
      </c>
      <c r="AA243" t="str">
        <f>_xlfn.IFNA(INDEX(MTT_codes,MATCH(loaded!BG243,MTT,0)),"")</f>
        <v/>
      </c>
      <c r="AB243" t="str">
        <f>_xlfn.IFNA(INDEX(MTT_codes,MATCH(loaded!BI243,MTT,0)),"")</f>
        <v/>
      </c>
      <c r="AC243" t="str">
        <f>_xlfn.IFNA(INDEX(MTT_codes,MATCH(loaded!BK243,MTT,0)),"")</f>
        <v/>
      </c>
      <c r="AD243" t="str">
        <f>_xlfn.IFNA(INDEX(MTT_codes,MATCH(loaded!BM243,MTT,0)),"")</f>
        <v/>
      </c>
      <c r="AE243" t="e">
        <f>INDEX(liv_ar_codes,MATCH(loaded!BO243,liv_ar,0))</f>
        <v>#N/A</v>
      </c>
      <c r="AF243" t="str">
        <f>_xlfn.IFNA(INDEX(MTT_codes,MATCH(loaded!BQ243,MTT,0)),"")</f>
        <v/>
      </c>
      <c r="AG243">
        <f>_xlfn.IFNA(INDEX(mental_codes,MATCH(loaded!BS243,mental,0)),9)</f>
        <v>9</v>
      </c>
    </row>
    <row r="244" spans="1:33" x14ac:dyDescent="0.25">
      <c r="A244">
        <f>loaded!C244</f>
        <v>0</v>
      </c>
      <c r="B244">
        <f>loaded!I244</f>
        <v>0</v>
      </c>
      <c r="C244">
        <f>IF(loaded!K244="Male",1,IF(loaded!K244="Female",2,9))</f>
        <v>9</v>
      </c>
      <c r="D244" s="8">
        <f>loaded!M244</f>
        <v>0</v>
      </c>
      <c r="E244" t="str">
        <f>LEFT(loaded!O244,3)</f>
        <v/>
      </c>
      <c r="F244" t="e">
        <f>INDEX(cntry_codes,MATCH(loaded!Q244,countries,0))</f>
        <v>#N/A</v>
      </c>
      <c r="G244" t="e">
        <f>INDEX(atsi_codes,MATCH(loaded!S244,atsi,0))</f>
        <v>#N/A</v>
      </c>
      <c r="H244" t="e">
        <f>INDEX(lang_codes,MATCH(loaded!U244,lang,0))</f>
        <v>#N/A</v>
      </c>
      <c r="I244" s="8">
        <f>loaded!W244</f>
        <v>0</v>
      </c>
      <c r="J244" t="e">
        <f>INDEX(us_acc_codes,MATCH(loaded!Y244,us_acc,0))</f>
        <v>#N/A</v>
      </c>
      <c r="K244" t="e">
        <f>INDEX(client_codes,MATCH(loaded!AA244,client,0))</f>
        <v>#N/A</v>
      </c>
      <c r="L244" t="e">
        <f>INDEX(src_ref_codes,MATCH(loaded!AC244,src_ref,0))</f>
        <v>#N/A</v>
      </c>
      <c r="M244" s="8">
        <f>loaded!AE244</f>
        <v>0</v>
      </c>
      <c r="N244" s="8">
        <f>loaded!AG244</f>
        <v>0</v>
      </c>
      <c r="O244" t="e">
        <f>INDEX(reces_codes,MATCH(loaded!AI244,reason,0))</f>
        <v>#N/A</v>
      </c>
      <c r="P244" t="e">
        <f>INDEX(TDS_codes,MATCH(loaded!AK244,TDS,0))</f>
        <v>#N/A</v>
      </c>
      <c r="Q244" t="e">
        <f>IF(K244=2,"",INDEX(method_codes,MATCH(loaded!AM244,method,0)))</f>
        <v>#N/A</v>
      </c>
      <c r="R244" t="e">
        <f>IF(K244=2,"",INDEX(inj_codes,MATCH(loaded!AO244,inj,0)))</f>
        <v>#N/A</v>
      </c>
      <c r="S244" t="e">
        <f>IF(K244=2,"",INDEX(drug_codes,MATCH(loaded!AQ244,drug,0)))</f>
        <v>#N/A</v>
      </c>
      <c r="T244" t="e">
        <f>IF(K244=2,"",_xlfn.IFNA(INDEX(drug_codes,MATCH(loaded!AS244,drug,0)),""))</f>
        <v>#N/A</v>
      </c>
      <c r="U244" t="e">
        <f>IF(K244=2,"",_xlfn.IFNA(INDEX(drug_codes,MATCH(loaded!AU244,drug,0)),""))</f>
        <v>#N/A</v>
      </c>
      <c r="V244" t="e">
        <f>IF(K244=2,"",_xlfn.IFNA(INDEX(drug_codes,MATCH(loaded!AW244,drug,0)),""))</f>
        <v>#N/A</v>
      </c>
      <c r="W244" t="e">
        <f>IF(K244=2,"",_xlfn.IFNA(INDEX(drug_codes,MATCH(loaded!AY244,drug,0)),""))</f>
        <v>#N/A</v>
      </c>
      <c r="X244" t="e">
        <f>IF(K244=2,"",_xlfn.IFNA(INDEX(drug_codes,MATCH(loaded!BA244,drug,0)),""))</f>
        <v>#N/A</v>
      </c>
      <c r="Y244" t="e">
        <f>INDEX(MTT_codes,MATCH(loaded!BC244,MTT,0))</f>
        <v>#N/A</v>
      </c>
      <c r="Z244" t="str">
        <f>_xlfn.IFNA(INDEX(MTT_codes,MATCH(loaded!BE244,MTT,0)),"")</f>
        <v/>
      </c>
      <c r="AA244" t="str">
        <f>_xlfn.IFNA(INDEX(MTT_codes,MATCH(loaded!BG244,MTT,0)),"")</f>
        <v/>
      </c>
      <c r="AB244" t="str">
        <f>_xlfn.IFNA(INDEX(MTT_codes,MATCH(loaded!BI244,MTT,0)),"")</f>
        <v/>
      </c>
      <c r="AC244" t="str">
        <f>_xlfn.IFNA(INDEX(MTT_codes,MATCH(loaded!BK244,MTT,0)),"")</f>
        <v/>
      </c>
      <c r="AD244" t="str">
        <f>_xlfn.IFNA(INDEX(MTT_codes,MATCH(loaded!BM244,MTT,0)),"")</f>
        <v/>
      </c>
      <c r="AE244" t="e">
        <f>INDEX(liv_ar_codes,MATCH(loaded!BO244,liv_ar,0))</f>
        <v>#N/A</v>
      </c>
      <c r="AF244" t="str">
        <f>_xlfn.IFNA(INDEX(MTT_codes,MATCH(loaded!BQ244,MTT,0)),"")</f>
        <v/>
      </c>
      <c r="AG244">
        <f>_xlfn.IFNA(INDEX(mental_codes,MATCH(loaded!BS244,mental,0)),9)</f>
        <v>9</v>
      </c>
    </row>
    <row r="245" spans="1:33" x14ac:dyDescent="0.25">
      <c r="A245">
        <f>loaded!C245</f>
        <v>0</v>
      </c>
      <c r="B245">
        <f>loaded!I245</f>
        <v>0</v>
      </c>
      <c r="C245">
        <f>IF(loaded!K245="Male",1,IF(loaded!K245="Female",2,9))</f>
        <v>9</v>
      </c>
      <c r="D245" s="8">
        <f>loaded!M245</f>
        <v>0</v>
      </c>
      <c r="E245" t="str">
        <f>LEFT(loaded!O245,3)</f>
        <v/>
      </c>
      <c r="F245" t="e">
        <f>INDEX(cntry_codes,MATCH(loaded!Q245,countries,0))</f>
        <v>#N/A</v>
      </c>
      <c r="G245" t="e">
        <f>INDEX(atsi_codes,MATCH(loaded!S245,atsi,0))</f>
        <v>#N/A</v>
      </c>
      <c r="H245" t="e">
        <f>INDEX(lang_codes,MATCH(loaded!U245,lang,0))</f>
        <v>#N/A</v>
      </c>
      <c r="I245" s="8">
        <f>loaded!W245</f>
        <v>0</v>
      </c>
      <c r="J245" t="e">
        <f>INDEX(us_acc_codes,MATCH(loaded!Y245,us_acc,0))</f>
        <v>#N/A</v>
      </c>
      <c r="K245" t="e">
        <f>INDEX(client_codes,MATCH(loaded!AA245,client,0))</f>
        <v>#N/A</v>
      </c>
      <c r="L245" t="e">
        <f>INDEX(src_ref_codes,MATCH(loaded!AC245,src_ref,0))</f>
        <v>#N/A</v>
      </c>
      <c r="M245" s="8">
        <f>loaded!AE245</f>
        <v>0</v>
      </c>
      <c r="N245" s="8">
        <f>loaded!AG245</f>
        <v>0</v>
      </c>
      <c r="O245" t="e">
        <f>INDEX(reces_codes,MATCH(loaded!AI245,reason,0))</f>
        <v>#N/A</v>
      </c>
      <c r="P245" t="e">
        <f>INDEX(TDS_codes,MATCH(loaded!AK245,TDS,0))</f>
        <v>#N/A</v>
      </c>
      <c r="Q245" t="e">
        <f>IF(K245=2,"",INDEX(method_codes,MATCH(loaded!AM245,method,0)))</f>
        <v>#N/A</v>
      </c>
      <c r="R245" t="e">
        <f>IF(K245=2,"",INDEX(inj_codes,MATCH(loaded!AO245,inj,0)))</f>
        <v>#N/A</v>
      </c>
      <c r="S245" t="e">
        <f>IF(K245=2,"",INDEX(drug_codes,MATCH(loaded!AQ245,drug,0)))</f>
        <v>#N/A</v>
      </c>
      <c r="T245" t="e">
        <f>IF(K245=2,"",_xlfn.IFNA(INDEX(drug_codes,MATCH(loaded!AS245,drug,0)),""))</f>
        <v>#N/A</v>
      </c>
      <c r="U245" t="e">
        <f>IF(K245=2,"",_xlfn.IFNA(INDEX(drug_codes,MATCH(loaded!AU245,drug,0)),""))</f>
        <v>#N/A</v>
      </c>
      <c r="V245" t="e">
        <f>IF(K245=2,"",_xlfn.IFNA(INDEX(drug_codes,MATCH(loaded!AW245,drug,0)),""))</f>
        <v>#N/A</v>
      </c>
      <c r="W245" t="e">
        <f>IF(K245=2,"",_xlfn.IFNA(INDEX(drug_codes,MATCH(loaded!AY245,drug,0)),""))</f>
        <v>#N/A</v>
      </c>
      <c r="X245" t="e">
        <f>IF(K245=2,"",_xlfn.IFNA(INDEX(drug_codes,MATCH(loaded!BA245,drug,0)),""))</f>
        <v>#N/A</v>
      </c>
      <c r="Y245" t="e">
        <f>INDEX(MTT_codes,MATCH(loaded!BC245,MTT,0))</f>
        <v>#N/A</v>
      </c>
      <c r="Z245" t="str">
        <f>_xlfn.IFNA(INDEX(MTT_codes,MATCH(loaded!BE245,MTT,0)),"")</f>
        <v/>
      </c>
      <c r="AA245" t="str">
        <f>_xlfn.IFNA(INDEX(MTT_codes,MATCH(loaded!BG245,MTT,0)),"")</f>
        <v/>
      </c>
      <c r="AB245" t="str">
        <f>_xlfn.IFNA(INDEX(MTT_codes,MATCH(loaded!BI245,MTT,0)),"")</f>
        <v/>
      </c>
      <c r="AC245" t="str">
        <f>_xlfn.IFNA(INDEX(MTT_codes,MATCH(loaded!BK245,MTT,0)),"")</f>
        <v/>
      </c>
      <c r="AD245" t="str">
        <f>_xlfn.IFNA(INDEX(MTT_codes,MATCH(loaded!BM245,MTT,0)),"")</f>
        <v/>
      </c>
      <c r="AE245" t="e">
        <f>INDEX(liv_ar_codes,MATCH(loaded!BO245,liv_ar,0))</f>
        <v>#N/A</v>
      </c>
      <c r="AF245" t="str">
        <f>_xlfn.IFNA(INDEX(MTT_codes,MATCH(loaded!BQ245,MTT,0)),"")</f>
        <v/>
      </c>
      <c r="AG245">
        <f>_xlfn.IFNA(INDEX(mental_codes,MATCH(loaded!BS245,mental,0)),9)</f>
        <v>9</v>
      </c>
    </row>
    <row r="246" spans="1:33" x14ac:dyDescent="0.25">
      <c r="A246">
        <f>loaded!C246</f>
        <v>0</v>
      </c>
      <c r="B246">
        <f>loaded!I246</f>
        <v>0</v>
      </c>
      <c r="C246">
        <f>IF(loaded!K246="Male",1,IF(loaded!K246="Female",2,9))</f>
        <v>9</v>
      </c>
      <c r="D246" s="8">
        <f>loaded!M246</f>
        <v>0</v>
      </c>
      <c r="E246" t="str">
        <f>LEFT(loaded!O246,3)</f>
        <v/>
      </c>
      <c r="F246" t="e">
        <f>INDEX(cntry_codes,MATCH(loaded!Q246,countries,0))</f>
        <v>#N/A</v>
      </c>
      <c r="G246" t="e">
        <f>INDEX(atsi_codes,MATCH(loaded!S246,atsi,0))</f>
        <v>#N/A</v>
      </c>
      <c r="H246" t="e">
        <f>INDEX(lang_codes,MATCH(loaded!U246,lang,0))</f>
        <v>#N/A</v>
      </c>
      <c r="I246" s="8">
        <f>loaded!W246</f>
        <v>0</v>
      </c>
      <c r="J246" t="e">
        <f>INDEX(us_acc_codes,MATCH(loaded!Y246,us_acc,0))</f>
        <v>#N/A</v>
      </c>
      <c r="K246" t="e">
        <f>INDEX(client_codes,MATCH(loaded!AA246,client,0))</f>
        <v>#N/A</v>
      </c>
      <c r="L246" t="e">
        <f>INDEX(src_ref_codes,MATCH(loaded!AC246,src_ref,0))</f>
        <v>#N/A</v>
      </c>
      <c r="M246" s="8">
        <f>loaded!AE246</f>
        <v>0</v>
      </c>
      <c r="N246" s="8">
        <f>loaded!AG246</f>
        <v>0</v>
      </c>
      <c r="O246" t="e">
        <f>INDEX(reces_codes,MATCH(loaded!AI246,reason,0))</f>
        <v>#N/A</v>
      </c>
      <c r="P246" t="e">
        <f>INDEX(TDS_codes,MATCH(loaded!AK246,TDS,0))</f>
        <v>#N/A</v>
      </c>
      <c r="Q246" t="e">
        <f>IF(K246=2,"",INDEX(method_codes,MATCH(loaded!AM246,method,0)))</f>
        <v>#N/A</v>
      </c>
      <c r="R246" t="e">
        <f>IF(K246=2,"",INDEX(inj_codes,MATCH(loaded!AO246,inj,0)))</f>
        <v>#N/A</v>
      </c>
      <c r="S246" t="e">
        <f>IF(K246=2,"",INDEX(drug_codes,MATCH(loaded!AQ246,drug,0)))</f>
        <v>#N/A</v>
      </c>
      <c r="T246" t="e">
        <f>IF(K246=2,"",_xlfn.IFNA(INDEX(drug_codes,MATCH(loaded!AS246,drug,0)),""))</f>
        <v>#N/A</v>
      </c>
      <c r="U246" t="e">
        <f>IF(K246=2,"",_xlfn.IFNA(INDEX(drug_codes,MATCH(loaded!AU246,drug,0)),""))</f>
        <v>#N/A</v>
      </c>
      <c r="V246" t="e">
        <f>IF(K246=2,"",_xlfn.IFNA(INDEX(drug_codes,MATCH(loaded!AW246,drug,0)),""))</f>
        <v>#N/A</v>
      </c>
      <c r="W246" t="e">
        <f>IF(K246=2,"",_xlfn.IFNA(INDEX(drug_codes,MATCH(loaded!AY246,drug,0)),""))</f>
        <v>#N/A</v>
      </c>
      <c r="X246" t="e">
        <f>IF(K246=2,"",_xlfn.IFNA(INDEX(drug_codes,MATCH(loaded!BA246,drug,0)),""))</f>
        <v>#N/A</v>
      </c>
      <c r="Y246" t="e">
        <f>INDEX(MTT_codes,MATCH(loaded!BC246,MTT,0))</f>
        <v>#N/A</v>
      </c>
      <c r="Z246" t="str">
        <f>_xlfn.IFNA(INDEX(MTT_codes,MATCH(loaded!BE246,MTT,0)),"")</f>
        <v/>
      </c>
      <c r="AA246" t="str">
        <f>_xlfn.IFNA(INDEX(MTT_codes,MATCH(loaded!BG246,MTT,0)),"")</f>
        <v/>
      </c>
      <c r="AB246" t="str">
        <f>_xlfn.IFNA(INDEX(MTT_codes,MATCH(loaded!BI246,MTT,0)),"")</f>
        <v/>
      </c>
      <c r="AC246" t="str">
        <f>_xlfn.IFNA(INDEX(MTT_codes,MATCH(loaded!BK246,MTT,0)),"")</f>
        <v/>
      </c>
      <c r="AD246" t="str">
        <f>_xlfn.IFNA(INDEX(MTT_codes,MATCH(loaded!BM246,MTT,0)),"")</f>
        <v/>
      </c>
      <c r="AE246" t="e">
        <f>INDEX(liv_ar_codes,MATCH(loaded!BO246,liv_ar,0))</f>
        <v>#N/A</v>
      </c>
      <c r="AF246" t="str">
        <f>_xlfn.IFNA(INDEX(MTT_codes,MATCH(loaded!BQ246,MTT,0)),"")</f>
        <v/>
      </c>
      <c r="AG246">
        <f>_xlfn.IFNA(INDEX(mental_codes,MATCH(loaded!BS246,mental,0)),9)</f>
        <v>9</v>
      </c>
    </row>
    <row r="247" spans="1:33" x14ac:dyDescent="0.25">
      <c r="A247">
        <f>loaded!C247</f>
        <v>0</v>
      </c>
      <c r="B247">
        <f>loaded!I247</f>
        <v>0</v>
      </c>
      <c r="C247">
        <f>IF(loaded!K247="Male",1,IF(loaded!K247="Female",2,9))</f>
        <v>9</v>
      </c>
      <c r="D247" s="8">
        <f>loaded!M247</f>
        <v>0</v>
      </c>
      <c r="E247" t="str">
        <f>LEFT(loaded!O247,3)</f>
        <v/>
      </c>
      <c r="F247" t="e">
        <f>INDEX(cntry_codes,MATCH(loaded!Q247,countries,0))</f>
        <v>#N/A</v>
      </c>
      <c r="G247" t="e">
        <f>INDEX(atsi_codes,MATCH(loaded!S247,atsi,0))</f>
        <v>#N/A</v>
      </c>
      <c r="H247" t="e">
        <f>INDEX(lang_codes,MATCH(loaded!U247,lang,0))</f>
        <v>#N/A</v>
      </c>
      <c r="I247" s="8">
        <f>loaded!W247</f>
        <v>0</v>
      </c>
      <c r="J247" t="e">
        <f>INDEX(us_acc_codes,MATCH(loaded!Y247,us_acc,0))</f>
        <v>#N/A</v>
      </c>
      <c r="K247" t="e">
        <f>INDEX(client_codes,MATCH(loaded!AA247,client,0))</f>
        <v>#N/A</v>
      </c>
      <c r="L247" t="e">
        <f>INDEX(src_ref_codes,MATCH(loaded!AC247,src_ref,0))</f>
        <v>#N/A</v>
      </c>
      <c r="M247" s="8">
        <f>loaded!AE247</f>
        <v>0</v>
      </c>
      <c r="N247" s="8">
        <f>loaded!AG247</f>
        <v>0</v>
      </c>
      <c r="O247" t="e">
        <f>INDEX(reces_codes,MATCH(loaded!AI247,reason,0))</f>
        <v>#N/A</v>
      </c>
      <c r="P247" t="e">
        <f>INDEX(TDS_codes,MATCH(loaded!AK247,TDS,0))</f>
        <v>#N/A</v>
      </c>
      <c r="Q247" t="e">
        <f>IF(K247=2,"",INDEX(method_codes,MATCH(loaded!AM247,method,0)))</f>
        <v>#N/A</v>
      </c>
      <c r="R247" t="e">
        <f>IF(K247=2,"",INDEX(inj_codes,MATCH(loaded!AO247,inj,0)))</f>
        <v>#N/A</v>
      </c>
      <c r="S247" t="e">
        <f>IF(K247=2,"",INDEX(drug_codes,MATCH(loaded!AQ247,drug,0)))</f>
        <v>#N/A</v>
      </c>
      <c r="T247" t="e">
        <f>IF(K247=2,"",_xlfn.IFNA(INDEX(drug_codes,MATCH(loaded!AS247,drug,0)),""))</f>
        <v>#N/A</v>
      </c>
      <c r="U247" t="e">
        <f>IF(K247=2,"",_xlfn.IFNA(INDEX(drug_codes,MATCH(loaded!AU247,drug,0)),""))</f>
        <v>#N/A</v>
      </c>
      <c r="V247" t="e">
        <f>IF(K247=2,"",_xlfn.IFNA(INDEX(drug_codes,MATCH(loaded!AW247,drug,0)),""))</f>
        <v>#N/A</v>
      </c>
      <c r="W247" t="e">
        <f>IF(K247=2,"",_xlfn.IFNA(INDEX(drug_codes,MATCH(loaded!AY247,drug,0)),""))</f>
        <v>#N/A</v>
      </c>
      <c r="X247" t="e">
        <f>IF(K247=2,"",_xlfn.IFNA(INDEX(drug_codes,MATCH(loaded!BA247,drug,0)),""))</f>
        <v>#N/A</v>
      </c>
      <c r="Y247" t="e">
        <f>INDEX(MTT_codes,MATCH(loaded!BC247,MTT,0))</f>
        <v>#N/A</v>
      </c>
      <c r="Z247" t="str">
        <f>_xlfn.IFNA(INDEX(MTT_codes,MATCH(loaded!BE247,MTT,0)),"")</f>
        <v/>
      </c>
      <c r="AA247" t="str">
        <f>_xlfn.IFNA(INDEX(MTT_codes,MATCH(loaded!BG247,MTT,0)),"")</f>
        <v/>
      </c>
      <c r="AB247" t="str">
        <f>_xlfn.IFNA(INDEX(MTT_codes,MATCH(loaded!BI247,MTT,0)),"")</f>
        <v/>
      </c>
      <c r="AC247" t="str">
        <f>_xlfn.IFNA(INDEX(MTT_codes,MATCH(loaded!BK247,MTT,0)),"")</f>
        <v/>
      </c>
      <c r="AD247" t="str">
        <f>_xlfn.IFNA(INDEX(MTT_codes,MATCH(loaded!BM247,MTT,0)),"")</f>
        <v/>
      </c>
      <c r="AE247" t="e">
        <f>INDEX(liv_ar_codes,MATCH(loaded!BO247,liv_ar,0))</f>
        <v>#N/A</v>
      </c>
      <c r="AF247" t="str">
        <f>_xlfn.IFNA(INDEX(MTT_codes,MATCH(loaded!BQ247,MTT,0)),"")</f>
        <v/>
      </c>
      <c r="AG247">
        <f>_xlfn.IFNA(INDEX(mental_codes,MATCH(loaded!BS247,mental,0)),9)</f>
        <v>9</v>
      </c>
    </row>
    <row r="248" spans="1:33" x14ac:dyDescent="0.25">
      <c r="A248">
        <f>loaded!C248</f>
        <v>0</v>
      </c>
      <c r="B248">
        <f>loaded!I248</f>
        <v>0</v>
      </c>
      <c r="C248">
        <f>IF(loaded!K248="Male",1,IF(loaded!K248="Female",2,9))</f>
        <v>9</v>
      </c>
      <c r="D248" s="8">
        <f>loaded!M248</f>
        <v>0</v>
      </c>
      <c r="E248" t="str">
        <f>LEFT(loaded!O248,3)</f>
        <v/>
      </c>
      <c r="F248" t="e">
        <f>INDEX(cntry_codes,MATCH(loaded!Q248,countries,0))</f>
        <v>#N/A</v>
      </c>
      <c r="G248" t="e">
        <f>INDEX(atsi_codes,MATCH(loaded!S248,atsi,0))</f>
        <v>#N/A</v>
      </c>
      <c r="H248" t="e">
        <f>INDEX(lang_codes,MATCH(loaded!U248,lang,0))</f>
        <v>#N/A</v>
      </c>
      <c r="I248" s="8">
        <f>loaded!W248</f>
        <v>0</v>
      </c>
      <c r="J248" t="e">
        <f>INDEX(us_acc_codes,MATCH(loaded!Y248,us_acc,0))</f>
        <v>#N/A</v>
      </c>
      <c r="K248" t="e">
        <f>INDEX(client_codes,MATCH(loaded!AA248,client,0))</f>
        <v>#N/A</v>
      </c>
      <c r="L248" t="e">
        <f>INDEX(src_ref_codes,MATCH(loaded!AC248,src_ref,0))</f>
        <v>#N/A</v>
      </c>
      <c r="M248" s="8">
        <f>loaded!AE248</f>
        <v>0</v>
      </c>
      <c r="N248" s="8">
        <f>loaded!AG248</f>
        <v>0</v>
      </c>
      <c r="O248" t="e">
        <f>INDEX(reces_codes,MATCH(loaded!AI248,reason,0))</f>
        <v>#N/A</v>
      </c>
      <c r="P248" t="e">
        <f>INDEX(TDS_codes,MATCH(loaded!AK248,TDS,0))</f>
        <v>#N/A</v>
      </c>
      <c r="Q248" t="e">
        <f>IF(K248=2,"",INDEX(method_codes,MATCH(loaded!AM248,method,0)))</f>
        <v>#N/A</v>
      </c>
      <c r="R248" t="e">
        <f>IF(K248=2,"",INDEX(inj_codes,MATCH(loaded!AO248,inj,0)))</f>
        <v>#N/A</v>
      </c>
      <c r="S248" t="e">
        <f>IF(K248=2,"",INDEX(drug_codes,MATCH(loaded!AQ248,drug,0)))</f>
        <v>#N/A</v>
      </c>
      <c r="T248" t="e">
        <f>IF(K248=2,"",_xlfn.IFNA(INDEX(drug_codes,MATCH(loaded!AS248,drug,0)),""))</f>
        <v>#N/A</v>
      </c>
      <c r="U248" t="e">
        <f>IF(K248=2,"",_xlfn.IFNA(INDEX(drug_codes,MATCH(loaded!AU248,drug,0)),""))</f>
        <v>#N/A</v>
      </c>
      <c r="V248" t="e">
        <f>IF(K248=2,"",_xlfn.IFNA(INDEX(drug_codes,MATCH(loaded!AW248,drug,0)),""))</f>
        <v>#N/A</v>
      </c>
      <c r="W248" t="e">
        <f>IF(K248=2,"",_xlfn.IFNA(INDEX(drug_codes,MATCH(loaded!AY248,drug,0)),""))</f>
        <v>#N/A</v>
      </c>
      <c r="X248" t="e">
        <f>IF(K248=2,"",_xlfn.IFNA(INDEX(drug_codes,MATCH(loaded!BA248,drug,0)),""))</f>
        <v>#N/A</v>
      </c>
      <c r="Y248" t="e">
        <f>INDEX(MTT_codes,MATCH(loaded!BC248,MTT,0))</f>
        <v>#N/A</v>
      </c>
      <c r="Z248" t="str">
        <f>_xlfn.IFNA(INDEX(MTT_codes,MATCH(loaded!BE248,MTT,0)),"")</f>
        <v/>
      </c>
      <c r="AA248" t="str">
        <f>_xlfn.IFNA(INDEX(MTT_codes,MATCH(loaded!BG248,MTT,0)),"")</f>
        <v/>
      </c>
      <c r="AB248" t="str">
        <f>_xlfn.IFNA(INDEX(MTT_codes,MATCH(loaded!BI248,MTT,0)),"")</f>
        <v/>
      </c>
      <c r="AC248" t="str">
        <f>_xlfn.IFNA(INDEX(MTT_codes,MATCH(loaded!BK248,MTT,0)),"")</f>
        <v/>
      </c>
      <c r="AD248" t="str">
        <f>_xlfn.IFNA(INDEX(MTT_codes,MATCH(loaded!BM248,MTT,0)),"")</f>
        <v/>
      </c>
      <c r="AE248" t="e">
        <f>INDEX(liv_ar_codes,MATCH(loaded!BO248,liv_ar,0))</f>
        <v>#N/A</v>
      </c>
      <c r="AF248" t="str">
        <f>_xlfn.IFNA(INDEX(MTT_codes,MATCH(loaded!BQ248,MTT,0)),"")</f>
        <v/>
      </c>
      <c r="AG248">
        <f>_xlfn.IFNA(INDEX(mental_codes,MATCH(loaded!BS248,mental,0)),9)</f>
        <v>9</v>
      </c>
    </row>
    <row r="249" spans="1:33" x14ac:dyDescent="0.25">
      <c r="A249">
        <f>loaded!C249</f>
        <v>0</v>
      </c>
      <c r="B249">
        <f>loaded!I249</f>
        <v>0</v>
      </c>
      <c r="C249">
        <f>IF(loaded!K249="Male",1,IF(loaded!K249="Female",2,9))</f>
        <v>9</v>
      </c>
      <c r="D249" s="8">
        <f>loaded!M249</f>
        <v>0</v>
      </c>
      <c r="E249" t="str">
        <f>LEFT(loaded!O249,3)</f>
        <v/>
      </c>
      <c r="F249" t="e">
        <f>INDEX(cntry_codes,MATCH(loaded!Q249,countries,0))</f>
        <v>#N/A</v>
      </c>
      <c r="G249" t="e">
        <f>INDEX(atsi_codes,MATCH(loaded!S249,atsi,0))</f>
        <v>#N/A</v>
      </c>
      <c r="H249" t="e">
        <f>INDEX(lang_codes,MATCH(loaded!U249,lang,0))</f>
        <v>#N/A</v>
      </c>
      <c r="I249" s="8">
        <f>loaded!W249</f>
        <v>0</v>
      </c>
      <c r="J249" t="e">
        <f>INDEX(us_acc_codes,MATCH(loaded!Y249,us_acc,0))</f>
        <v>#N/A</v>
      </c>
      <c r="K249" t="e">
        <f>INDEX(client_codes,MATCH(loaded!AA249,client,0))</f>
        <v>#N/A</v>
      </c>
      <c r="L249" t="e">
        <f>INDEX(src_ref_codes,MATCH(loaded!AC249,src_ref,0))</f>
        <v>#N/A</v>
      </c>
      <c r="M249" s="8">
        <f>loaded!AE249</f>
        <v>0</v>
      </c>
      <c r="N249" s="8">
        <f>loaded!AG249</f>
        <v>0</v>
      </c>
      <c r="O249" t="e">
        <f>INDEX(reces_codes,MATCH(loaded!AI249,reason,0))</f>
        <v>#N/A</v>
      </c>
      <c r="P249" t="e">
        <f>INDEX(TDS_codes,MATCH(loaded!AK249,TDS,0))</f>
        <v>#N/A</v>
      </c>
      <c r="Q249" t="e">
        <f>IF(K249=2,"",INDEX(method_codes,MATCH(loaded!AM249,method,0)))</f>
        <v>#N/A</v>
      </c>
      <c r="R249" t="e">
        <f>IF(K249=2,"",INDEX(inj_codes,MATCH(loaded!AO249,inj,0)))</f>
        <v>#N/A</v>
      </c>
      <c r="S249" t="e">
        <f>IF(K249=2,"",INDEX(drug_codes,MATCH(loaded!AQ249,drug,0)))</f>
        <v>#N/A</v>
      </c>
      <c r="T249" t="e">
        <f>IF(K249=2,"",_xlfn.IFNA(INDEX(drug_codes,MATCH(loaded!AS249,drug,0)),""))</f>
        <v>#N/A</v>
      </c>
      <c r="U249" t="e">
        <f>IF(K249=2,"",_xlfn.IFNA(INDEX(drug_codes,MATCH(loaded!AU249,drug,0)),""))</f>
        <v>#N/A</v>
      </c>
      <c r="V249" t="e">
        <f>IF(K249=2,"",_xlfn.IFNA(INDEX(drug_codes,MATCH(loaded!AW249,drug,0)),""))</f>
        <v>#N/A</v>
      </c>
      <c r="W249" t="e">
        <f>IF(K249=2,"",_xlfn.IFNA(INDEX(drug_codes,MATCH(loaded!AY249,drug,0)),""))</f>
        <v>#N/A</v>
      </c>
      <c r="X249" t="e">
        <f>IF(K249=2,"",_xlfn.IFNA(INDEX(drug_codes,MATCH(loaded!BA249,drug,0)),""))</f>
        <v>#N/A</v>
      </c>
      <c r="Y249" t="e">
        <f>INDEX(MTT_codes,MATCH(loaded!BC249,MTT,0))</f>
        <v>#N/A</v>
      </c>
      <c r="Z249" t="str">
        <f>_xlfn.IFNA(INDEX(MTT_codes,MATCH(loaded!BE249,MTT,0)),"")</f>
        <v/>
      </c>
      <c r="AA249" t="str">
        <f>_xlfn.IFNA(INDEX(MTT_codes,MATCH(loaded!BG249,MTT,0)),"")</f>
        <v/>
      </c>
      <c r="AB249" t="str">
        <f>_xlfn.IFNA(INDEX(MTT_codes,MATCH(loaded!BI249,MTT,0)),"")</f>
        <v/>
      </c>
      <c r="AC249" t="str">
        <f>_xlfn.IFNA(INDEX(MTT_codes,MATCH(loaded!BK249,MTT,0)),"")</f>
        <v/>
      </c>
      <c r="AD249" t="str">
        <f>_xlfn.IFNA(INDEX(MTT_codes,MATCH(loaded!BM249,MTT,0)),"")</f>
        <v/>
      </c>
      <c r="AE249" t="e">
        <f>INDEX(liv_ar_codes,MATCH(loaded!BO249,liv_ar,0))</f>
        <v>#N/A</v>
      </c>
      <c r="AF249" t="str">
        <f>_xlfn.IFNA(INDEX(MTT_codes,MATCH(loaded!BQ249,MTT,0)),"")</f>
        <v/>
      </c>
      <c r="AG249">
        <f>_xlfn.IFNA(INDEX(mental_codes,MATCH(loaded!BS249,mental,0)),9)</f>
        <v>9</v>
      </c>
    </row>
    <row r="250" spans="1:33" x14ac:dyDescent="0.25">
      <c r="A250">
        <f>loaded!C250</f>
        <v>0</v>
      </c>
      <c r="B250">
        <f>loaded!I250</f>
        <v>0</v>
      </c>
      <c r="C250">
        <f>IF(loaded!K250="Male",1,IF(loaded!K250="Female",2,9))</f>
        <v>9</v>
      </c>
      <c r="D250" s="8">
        <f>loaded!M250</f>
        <v>0</v>
      </c>
      <c r="E250" t="str">
        <f>LEFT(loaded!O250,3)</f>
        <v/>
      </c>
      <c r="F250" t="e">
        <f>INDEX(cntry_codes,MATCH(loaded!Q250,countries,0))</f>
        <v>#N/A</v>
      </c>
      <c r="G250" t="e">
        <f>INDEX(atsi_codes,MATCH(loaded!S250,atsi,0))</f>
        <v>#N/A</v>
      </c>
      <c r="H250" t="e">
        <f>INDEX(lang_codes,MATCH(loaded!U250,lang,0))</f>
        <v>#N/A</v>
      </c>
      <c r="I250" s="8">
        <f>loaded!W250</f>
        <v>0</v>
      </c>
      <c r="J250" t="e">
        <f>INDEX(us_acc_codes,MATCH(loaded!Y250,us_acc,0))</f>
        <v>#N/A</v>
      </c>
      <c r="K250" t="e">
        <f>INDEX(client_codes,MATCH(loaded!AA250,client,0))</f>
        <v>#N/A</v>
      </c>
      <c r="L250" t="e">
        <f>INDEX(src_ref_codes,MATCH(loaded!AC250,src_ref,0))</f>
        <v>#N/A</v>
      </c>
      <c r="M250" s="8">
        <f>loaded!AE250</f>
        <v>0</v>
      </c>
      <c r="N250" s="8">
        <f>loaded!AG250</f>
        <v>0</v>
      </c>
      <c r="O250" t="e">
        <f>INDEX(reces_codes,MATCH(loaded!AI250,reason,0))</f>
        <v>#N/A</v>
      </c>
      <c r="P250" t="e">
        <f>INDEX(TDS_codes,MATCH(loaded!AK250,TDS,0))</f>
        <v>#N/A</v>
      </c>
      <c r="Q250" t="e">
        <f>IF(K250=2,"",INDEX(method_codes,MATCH(loaded!AM250,method,0)))</f>
        <v>#N/A</v>
      </c>
      <c r="R250" t="e">
        <f>IF(K250=2,"",INDEX(inj_codes,MATCH(loaded!AO250,inj,0)))</f>
        <v>#N/A</v>
      </c>
      <c r="S250" t="e">
        <f>IF(K250=2,"",INDEX(drug_codes,MATCH(loaded!AQ250,drug,0)))</f>
        <v>#N/A</v>
      </c>
      <c r="T250" t="e">
        <f>IF(K250=2,"",_xlfn.IFNA(INDEX(drug_codes,MATCH(loaded!AS250,drug,0)),""))</f>
        <v>#N/A</v>
      </c>
      <c r="U250" t="e">
        <f>IF(K250=2,"",_xlfn.IFNA(INDEX(drug_codes,MATCH(loaded!AU250,drug,0)),""))</f>
        <v>#N/A</v>
      </c>
      <c r="V250" t="e">
        <f>IF(K250=2,"",_xlfn.IFNA(INDEX(drug_codes,MATCH(loaded!AW250,drug,0)),""))</f>
        <v>#N/A</v>
      </c>
      <c r="W250" t="e">
        <f>IF(K250=2,"",_xlfn.IFNA(INDEX(drug_codes,MATCH(loaded!AY250,drug,0)),""))</f>
        <v>#N/A</v>
      </c>
      <c r="X250" t="e">
        <f>IF(K250=2,"",_xlfn.IFNA(INDEX(drug_codes,MATCH(loaded!BA250,drug,0)),""))</f>
        <v>#N/A</v>
      </c>
      <c r="Y250" t="e">
        <f>INDEX(MTT_codes,MATCH(loaded!BC250,MTT,0))</f>
        <v>#N/A</v>
      </c>
      <c r="Z250" t="str">
        <f>_xlfn.IFNA(INDEX(MTT_codes,MATCH(loaded!BE250,MTT,0)),"")</f>
        <v/>
      </c>
      <c r="AA250" t="str">
        <f>_xlfn.IFNA(INDEX(MTT_codes,MATCH(loaded!BG250,MTT,0)),"")</f>
        <v/>
      </c>
      <c r="AB250" t="str">
        <f>_xlfn.IFNA(INDEX(MTT_codes,MATCH(loaded!BI250,MTT,0)),"")</f>
        <v/>
      </c>
      <c r="AC250" t="str">
        <f>_xlfn.IFNA(INDEX(MTT_codes,MATCH(loaded!BK250,MTT,0)),"")</f>
        <v/>
      </c>
      <c r="AD250" t="str">
        <f>_xlfn.IFNA(INDEX(MTT_codes,MATCH(loaded!BM250,MTT,0)),"")</f>
        <v/>
      </c>
      <c r="AE250" t="e">
        <f>INDEX(liv_ar_codes,MATCH(loaded!BO250,liv_ar,0))</f>
        <v>#N/A</v>
      </c>
      <c r="AF250" t="str">
        <f>_xlfn.IFNA(INDEX(MTT_codes,MATCH(loaded!BQ250,MTT,0)),"")</f>
        <v/>
      </c>
      <c r="AG250">
        <f>_xlfn.IFNA(INDEX(mental_codes,MATCH(loaded!BS250,mental,0)),9)</f>
        <v>9</v>
      </c>
    </row>
    <row r="251" spans="1:33" x14ac:dyDescent="0.25">
      <c r="A251">
        <f>loaded!C251</f>
        <v>0</v>
      </c>
      <c r="B251">
        <f>loaded!I251</f>
        <v>0</v>
      </c>
      <c r="C251">
        <f>IF(loaded!K251="Male",1,IF(loaded!K251="Female",2,9))</f>
        <v>9</v>
      </c>
      <c r="D251" s="8">
        <f>loaded!M251</f>
        <v>0</v>
      </c>
      <c r="E251" t="str">
        <f>LEFT(loaded!O251,3)</f>
        <v/>
      </c>
      <c r="F251" t="e">
        <f>INDEX(cntry_codes,MATCH(loaded!Q251,countries,0))</f>
        <v>#N/A</v>
      </c>
      <c r="G251" t="e">
        <f>INDEX(atsi_codes,MATCH(loaded!S251,atsi,0))</f>
        <v>#N/A</v>
      </c>
      <c r="H251" t="e">
        <f>INDEX(lang_codes,MATCH(loaded!U251,lang,0))</f>
        <v>#N/A</v>
      </c>
      <c r="I251" s="8">
        <f>loaded!W251</f>
        <v>0</v>
      </c>
      <c r="J251" t="e">
        <f>INDEX(us_acc_codes,MATCH(loaded!Y251,us_acc,0))</f>
        <v>#N/A</v>
      </c>
      <c r="K251" t="e">
        <f>INDEX(client_codes,MATCH(loaded!AA251,client,0))</f>
        <v>#N/A</v>
      </c>
      <c r="L251" t="e">
        <f>INDEX(src_ref_codes,MATCH(loaded!AC251,src_ref,0))</f>
        <v>#N/A</v>
      </c>
      <c r="M251" s="8">
        <f>loaded!AE251</f>
        <v>0</v>
      </c>
      <c r="N251" s="8">
        <f>loaded!AG251</f>
        <v>0</v>
      </c>
      <c r="O251" t="e">
        <f>INDEX(reces_codes,MATCH(loaded!AI251,reason,0))</f>
        <v>#N/A</v>
      </c>
      <c r="P251" t="e">
        <f>INDEX(TDS_codes,MATCH(loaded!AK251,TDS,0))</f>
        <v>#N/A</v>
      </c>
      <c r="Q251" t="e">
        <f>IF(K251=2,"",INDEX(method_codes,MATCH(loaded!AM251,method,0)))</f>
        <v>#N/A</v>
      </c>
      <c r="R251" t="e">
        <f>IF(K251=2,"",INDEX(inj_codes,MATCH(loaded!AO251,inj,0)))</f>
        <v>#N/A</v>
      </c>
      <c r="S251" t="e">
        <f>IF(K251=2,"",INDEX(drug_codes,MATCH(loaded!AQ251,drug,0)))</f>
        <v>#N/A</v>
      </c>
      <c r="T251" t="e">
        <f>IF(K251=2,"",_xlfn.IFNA(INDEX(drug_codes,MATCH(loaded!AS251,drug,0)),""))</f>
        <v>#N/A</v>
      </c>
      <c r="U251" t="e">
        <f>IF(K251=2,"",_xlfn.IFNA(INDEX(drug_codes,MATCH(loaded!AU251,drug,0)),""))</f>
        <v>#N/A</v>
      </c>
      <c r="V251" t="e">
        <f>IF(K251=2,"",_xlfn.IFNA(INDEX(drug_codes,MATCH(loaded!AW251,drug,0)),""))</f>
        <v>#N/A</v>
      </c>
      <c r="W251" t="e">
        <f>IF(K251=2,"",_xlfn.IFNA(INDEX(drug_codes,MATCH(loaded!AY251,drug,0)),""))</f>
        <v>#N/A</v>
      </c>
      <c r="X251" t="e">
        <f>IF(K251=2,"",_xlfn.IFNA(INDEX(drug_codes,MATCH(loaded!BA251,drug,0)),""))</f>
        <v>#N/A</v>
      </c>
      <c r="Y251" t="e">
        <f>INDEX(MTT_codes,MATCH(loaded!BC251,MTT,0))</f>
        <v>#N/A</v>
      </c>
      <c r="Z251" t="str">
        <f>_xlfn.IFNA(INDEX(MTT_codes,MATCH(loaded!BE251,MTT,0)),"")</f>
        <v/>
      </c>
      <c r="AA251" t="str">
        <f>_xlfn.IFNA(INDEX(MTT_codes,MATCH(loaded!BG251,MTT,0)),"")</f>
        <v/>
      </c>
      <c r="AB251" t="str">
        <f>_xlfn.IFNA(INDEX(MTT_codes,MATCH(loaded!BI251,MTT,0)),"")</f>
        <v/>
      </c>
      <c r="AC251" t="str">
        <f>_xlfn.IFNA(INDEX(MTT_codes,MATCH(loaded!BK251,MTT,0)),"")</f>
        <v/>
      </c>
      <c r="AD251" t="str">
        <f>_xlfn.IFNA(INDEX(MTT_codes,MATCH(loaded!BM251,MTT,0)),"")</f>
        <v/>
      </c>
      <c r="AE251" t="e">
        <f>INDEX(liv_ar_codes,MATCH(loaded!BO251,liv_ar,0))</f>
        <v>#N/A</v>
      </c>
      <c r="AF251" t="str">
        <f>_xlfn.IFNA(INDEX(MTT_codes,MATCH(loaded!BQ251,MTT,0)),"")</f>
        <v/>
      </c>
      <c r="AG251">
        <f>_xlfn.IFNA(INDEX(mental_codes,MATCH(loaded!BS251,mental,0)),9)</f>
        <v>9</v>
      </c>
    </row>
    <row r="252" spans="1:33" x14ac:dyDescent="0.25">
      <c r="A252">
        <f>loaded!C252</f>
        <v>0</v>
      </c>
      <c r="B252">
        <f>loaded!I252</f>
        <v>0</v>
      </c>
      <c r="C252">
        <f>IF(loaded!K252="Male",1,IF(loaded!K252="Female",2,9))</f>
        <v>9</v>
      </c>
      <c r="D252" s="8">
        <f>loaded!M252</f>
        <v>0</v>
      </c>
      <c r="E252" t="str">
        <f>LEFT(loaded!O252,3)</f>
        <v/>
      </c>
      <c r="F252" t="e">
        <f>INDEX(cntry_codes,MATCH(loaded!Q252,countries,0))</f>
        <v>#N/A</v>
      </c>
      <c r="G252" t="e">
        <f>INDEX(atsi_codes,MATCH(loaded!S252,atsi,0))</f>
        <v>#N/A</v>
      </c>
      <c r="H252" t="e">
        <f>INDEX(lang_codes,MATCH(loaded!U252,lang,0))</f>
        <v>#N/A</v>
      </c>
      <c r="I252" s="8">
        <f>loaded!W252</f>
        <v>0</v>
      </c>
      <c r="J252" t="e">
        <f>INDEX(us_acc_codes,MATCH(loaded!Y252,us_acc,0))</f>
        <v>#N/A</v>
      </c>
      <c r="K252" t="e">
        <f>INDEX(client_codes,MATCH(loaded!AA252,client,0))</f>
        <v>#N/A</v>
      </c>
      <c r="L252" t="e">
        <f>INDEX(src_ref_codes,MATCH(loaded!AC252,src_ref,0))</f>
        <v>#N/A</v>
      </c>
      <c r="M252" s="8">
        <f>loaded!AE252</f>
        <v>0</v>
      </c>
      <c r="N252" s="8">
        <f>loaded!AG252</f>
        <v>0</v>
      </c>
      <c r="O252" t="e">
        <f>INDEX(reces_codes,MATCH(loaded!AI252,reason,0))</f>
        <v>#N/A</v>
      </c>
      <c r="P252" t="e">
        <f>INDEX(TDS_codes,MATCH(loaded!AK252,TDS,0))</f>
        <v>#N/A</v>
      </c>
      <c r="Q252" t="e">
        <f>IF(K252=2,"",INDEX(method_codes,MATCH(loaded!AM252,method,0)))</f>
        <v>#N/A</v>
      </c>
      <c r="R252" t="e">
        <f>IF(K252=2,"",INDEX(inj_codes,MATCH(loaded!AO252,inj,0)))</f>
        <v>#N/A</v>
      </c>
      <c r="S252" t="e">
        <f>IF(K252=2,"",INDEX(drug_codes,MATCH(loaded!AQ252,drug,0)))</f>
        <v>#N/A</v>
      </c>
      <c r="T252" t="e">
        <f>IF(K252=2,"",_xlfn.IFNA(INDEX(drug_codes,MATCH(loaded!AS252,drug,0)),""))</f>
        <v>#N/A</v>
      </c>
      <c r="U252" t="e">
        <f>IF(K252=2,"",_xlfn.IFNA(INDEX(drug_codes,MATCH(loaded!AU252,drug,0)),""))</f>
        <v>#N/A</v>
      </c>
      <c r="V252" t="e">
        <f>IF(K252=2,"",_xlfn.IFNA(INDEX(drug_codes,MATCH(loaded!AW252,drug,0)),""))</f>
        <v>#N/A</v>
      </c>
      <c r="W252" t="e">
        <f>IF(K252=2,"",_xlfn.IFNA(INDEX(drug_codes,MATCH(loaded!AY252,drug,0)),""))</f>
        <v>#N/A</v>
      </c>
      <c r="X252" t="e">
        <f>IF(K252=2,"",_xlfn.IFNA(INDEX(drug_codes,MATCH(loaded!BA252,drug,0)),""))</f>
        <v>#N/A</v>
      </c>
      <c r="Y252" t="e">
        <f>INDEX(MTT_codes,MATCH(loaded!BC252,MTT,0))</f>
        <v>#N/A</v>
      </c>
      <c r="Z252" t="str">
        <f>_xlfn.IFNA(INDEX(MTT_codes,MATCH(loaded!BE252,MTT,0)),"")</f>
        <v/>
      </c>
      <c r="AA252" t="str">
        <f>_xlfn.IFNA(INDEX(MTT_codes,MATCH(loaded!BG252,MTT,0)),"")</f>
        <v/>
      </c>
      <c r="AB252" t="str">
        <f>_xlfn.IFNA(INDEX(MTT_codes,MATCH(loaded!BI252,MTT,0)),"")</f>
        <v/>
      </c>
      <c r="AC252" t="str">
        <f>_xlfn.IFNA(INDEX(MTT_codes,MATCH(loaded!BK252,MTT,0)),"")</f>
        <v/>
      </c>
      <c r="AD252" t="str">
        <f>_xlfn.IFNA(INDEX(MTT_codes,MATCH(loaded!BM252,MTT,0)),"")</f>
        <v/>
      </c>
      <c r="AE252" t="e">
        <f>INDEX(liv_ar_codes,MATCH(loaded!BO252,liv_ar,0))</f>
        <v>#N/A</v>
      </c>
      <c r="AF252" t="str">
        <f>_xlfn.IFNA(INDEX(MTT_codes,MATCH(loaded!BQ252,MTT,0)),"")</f>
        <v/>
      </c>
      <c r="AG252">
        <f>_xlfn.IFNA(INDEX(mental_codes,MATCH(loaded!BS252,mental,0)),9)</f>
        <v>9</v>
      </c>
    </row>
    <row r="253" spans="1:33" x14ac:dyDescent="0.25">
      <c r="A253">
        <f>loaded!C253</f>
        <v>0</v>
      </c>
      <c r="B253">
        <f>loaded!I253</f>
        <v>0</v>
      </c>
      <c r="C253">
        <f>IF(loaded!K253="Male",1,IF(loaded!K253="Female",2,9))</f>
        <v>9</v>
      </c>
      <c r="D253" s="8">
        <f>loaded!M253</f>
        <v>0</v>
      </c>
      <c r="E253" t="str">
        <f>LEFT(loaded!O253,3)</f>
        <v/>
      </c>
      <c r="F253" t="e">
        <f>INDEX(cntry_codes,MATCH(loaded!Q253,countries,0))</f>
        <v>#N/A</v>
      </c>
      <c r="G253" t="e">
        <f>INDEX(atsi_codes,MATCH(loaded!S253,atsi,0))</f>
        <v>#N/A</v>
      </c>
      <c r="H253" t="e">
        <f>INDEX(lang_codes,MATCH(loaded!U253,lang,0))</f>
        <v>#N/A</v>
      </c>
      <c r="I253" s="8">
        <f>loaded!W253</f>
        <v>0</v>
      </c>
      <c r="J253" t="e">
        <f>INDEX(us_acc_codes,MATCH(loaded!Y253,us_acc,0))</f>
        <v>#N/A</v>
      </c>
      <c r="K253" t="e">
        <f>INDEX(client_codes,MATCH(loaded!AA253,client,0))</f>
        <v>#N/A</v>
      </c>
      <c r="L253" t="e">
        <f>INDEX(src_ref_codes,MATCH(loaded!AC253,src_ref,0))</f>
        <v>#N/A</v>
      </c>
      <c r="M253" s="8">
        <f>loaded!AE253</f>
        <v>0</v>
      </c>
      <c r="N253" s="8">
        <f>loaded!AG253</f>
        <v>0</v>
      </c>
      <c r="O253" t="e">
        <f>INDEX(reces_codes,MATCH(loaded!AI253,reason,0))</f>
        <v>#N/A</v>
      </c>
      <c r="P253" t="e">
        <f>INDEX(TDS_codes,MATCH(loaded!AK253,TDS,0))</f>
        <v>#N/A</v>
      </c>
      <c r="Q253" t="e">
        <f>IF(K253=2,"",INDEX(method_codes,MATCH(loaded!AM253,method,0)))</f>
        <v>#N/A</v>
      </c>
      <c r="R253" t="e">
        <f>IF(K253=2,"",INDEX(inj_codes,MATCH(loaded!AO253,inj,0)))</f>
        <v>#N/A</v>
      </c>
      <c r="S253" t="e">
        <f>IF(K253=2,"",INDEX(drug_codes,MATCH(loaded!AQ253,drug,0)))</f>
        <v>#N/A</v>
      </c>
      <c r="T253" t="e">
        <f>IF(K253=2,"",_xlfn.IFNA(INDEX(drug_codes,MATCH(loaded!AS253,drug,0)),""))</f>
        <v>#N/A</v>
      </c>
      <c r="U253" t="e">
        <f>IF(K253=2,"",_xlfn.IFNA(INDEX(drug_codes,MATCH(loaded!AU253,drug,0)),""))</f>
        <v>#N/A</v>
      </c>
      <c r="V253" t="e">
        <f>IF(K253=2,"",_xlfn.IFNA(INDEX(drug_codes,MATCH(loaded!AW253,drug,0)),""))</f>
        <v>#N/A</v>
      </c>
      <c r="W253" t="e">
        <f>IF(K253=2,"",_xlfn.IFNA(INDEX(drug_codes,MATCH(loaded!AY253,drug,0)),""))</f>
        <v>#N/A</v>
      </c>
      <c r="X253" t="e">
        <f>IF(K253=2,"",_xlfn.IFNA(INDEX(drug_codes,MATCH(loaded!BA253,drug,0)),""))</f>
        <v>#N/A</v>
      </c>
      <c r="Y253" t="e">
        <f>INDEX(MTT_codes,MATCH(loaded!BC253,MTT,0))</f>
        <v>#N/A</v>
      </c>
      <c r="Z253" t="str">
        <f>_xlfn.IFNA(INDEX(MTT_codes,MATCH(loaded!BE253,MTT,0)),"")</f>
        <v/>
      </c>
      <c r="AA253" t="str">
        <f>_xlfn.IFNA(INDEX(MTT_codes,MATCH(loaded!BG253,MTT,0)),"")</f>
        <v/>
      </c>
      <c r="AB253" t="str">
        <f>_xlfn.IFNA(INDEX(MTT_codes,MATCH(loaded!BI253,MTT,0)),"")</f>
        <v/>
      </c>
      <c r="AC253" t="str">
        <f>_xlfn.IFNA(INDEX(MTT_codes,MATCH(loaded!BK253,MTT,0)),"")</f>
        <v/>
      </c>
      <c r="AD253" t="str">
        <f>_xlfn.IFNA(INDEX(MTT_codes,MATCH(loaded!BM253,MTT,0)),"")</f>
        <v/>
      </c>
      <c r="AE253" t="e">
        <f>INDEX(liv_ar_codes,MATCH(loaded!BO253,liv_ar,0))</f>
        <v>#N/A</v>
      </c>
      <c r="AF253" t="str">
        <f>_xlfn.IFNA(INDEX(MTT_codes,MATCH(loaded!BQ253,MTT,0)),"")</f>
        <v/>
      </c>
      <c r="AG253">
        <f>_xlfn.IFNA(INDEX(mental_codes,MATCH(loaded!BS253,mental,0)),9)</f>
        <v>9</v>
      </c>
    </row>
    <row r="254" spans="1:33" x14ac:dyDescent="0.25">
      <c r="A254">
        <f>loaded!C254</f>
        <v>0</v>
      </c>
      <c r="B254">
        <f>loaded!I254</f>
        <v>0</v>
      </c>
      <c r="C254">
        <f>IF(loaded!K254="Male",1,IF(loaded!K254="Female",2,9))</f>
        <v>9</v>
      </c>
      <c r="D254" s="8">
        <f>loaded!M254</f>
        <v>0</v>
      </c>
      <c r="E254" t="str">
        <f>LEFT(loaded!O254,3)</f>
        <v/>
      </c>
      <c r="F254" t="e">
        <f>INDEX(cntry_codes,MATCH(loaded!Q254,countries,0))</f>
        <v>#N/A</v>
      </c>
      <c r="G254" t="e">
        <f>INDEX(atsi_codes,MATCH(loaded!S254,atsi,0))</f>
        <v>#N/A</v>
      </c>
      <c r="H254" t="e">
        <f>INDEX(lang_codes,MATCH(loaded!U254,lang,0))</f>
        <v>#N/A</v>
      </c>
      <c r="I254" s="8">
        <f>loaded!W254</f>
        <v>0</v>
      </c>
      <c r="J254" t="e">
        <f>INDEX(us_acc_codes,MATCH(loaded!Y254,us_acc,0))</f>
        <v>#N/A</v>
      </c>
      <c r="K254" t="e">
        <f>INDEX(client_codes,MATCH(loaded!AA254,client,0))</f>
        <v>#N/A</v>
      </c>
      <c r="L254" t="e">
        <f>INDEX(src_ref_codes,MATCH(loaded!AC254,src_ref,0))</f>
        <v>#N/A</v>
      </c>
      <c r="M254" s="8">
        <f>loaded!AE254</f>
        <v>0</v>
      </c>
      <c r="N254" s="8">
        <f>loaded!AG254</f>
        <v>0</v>
      </c>
      <c r="O254" t="e">
        <f>INDEX(reces_codes,MATCH(loaded!AI254,reason,0))</f>
        <v>#N/A</v>
      </c>
      <c r="P254" t="e">
        <f>INDEX(TDS_codes,MATCH(loaded!AK254,TDS,0))</f>
        <v>#N/A</v>
      </c>
      <c r="Q254" t="e">
        <f>IF(K254=2,"",INDEX(method_codes,MATCH(loaded!AM254,method,0)))</f>
        <v>#N/A</v>
      </c>
      <c r="R254" t="e">
        <f>IF(K254=2,"",INDEX(inj_codes,MATCH(loaded!AO254,inj,0)))</f>
        <v>#N/A</v>
      </c>
      <c r="S254" t="e">
        <f>IF(K254=2,"",INDEX(drug_codes,MATCH(loaded!AQ254,drug,0)))</f>
        <v>#N/A</v>
      </c>
      <c r="T254" t="e">
        <f>IF(K254=2,"",_xlfn.IFNA(INDEX(drug_codes,MATCH(loaded!AS254,drug,0)),""))</f>
        <v>#N/A</v>
      </c>
      <c r="U254" t="e">
        <f>IF(K254=2,"",_xlfn.IFNA(INDEX(drug_codes,MATCH(loaded!AU254,drug,0)),""))</f>
        <v>#N/A</v>
      </c>
      <c r="V254" t="e">
        <f>IF(K254=2,"",_xlfn.IFNA(INDEX(drug_codes,MATCH(loaded!AW254,drug,0)),""))</f>
        <v>#N/A</v>
      </c>
      <c r="W254" t="e">
        <f>IF(K254=2,"",_xlfn.IFNA(INDEX(drug_codes,MATCH(loaded!AY254,drug,0)),""))</f>
        <v>#N/A</v>
      </c>
      <c r="X254" t="e">
        <f>IF(K254=2,"",_xlfn.IFNA(INDEX(drug_codes,MATCH(loaded!BA254,drug,0)),""))</f>
        <v>#N/A</v>
      </c>
      <c r="Y254" t="e">
        <f>INDEX(MTT_codes,MATCH(loaded!BC254,MTT,0))</f>
        <v>#N/A</v>
      </c>
      <c r="Z254" t="str">
        <f>_xlfn.IFNA(INDEX(MTT_codes,MATCH(loaded!BE254,MTT,0)),"")</f>
        <v/>
      </c>
      <c r="AA254" t="str">
        <f>_xlfn.IFNA(INDEX(MTT_codes,MATCH(loaded!BG254,MTT,0)),"")</f>
        <v/>
      </c>
      <c r="AB254" t="str">
        <f>_xlfn.IFNA(INDEX(MTT_codes,MATCH(loaded!BI254,MTT,0)),"")</f>
        <v/>
      </c>
      <c r="AC254" t="str">
        <f>_xlfn.IFNA(INDEX(MTT_codes,MATCH(loaded!BK254,MTT,0)),"")</f>
        <v/>
      </c>
      <c r="AD254" t="str">
        <f>_xlfn.IFNA(INDEX(MTT_codes,MATCH(loaded!BM254,MTT,0)),"")</f>
        <v/>
      </c>
      <c r="AE254" t="e">
        <f>INDEX(liv_ar_codes,MATCH(loaded!BO254,liv_ar,0))</f>
        <v>#N/A</v>
      </c>
      <c r="AF254" t="str">
        <f>_xlfn.IFNA(INDEX(MTT_codes,MATCH(loaded!BQ254,MTT,0)),"")</f>
        <v/>
      </c>
      <c r="AG254">
        <f>_xlfn.IFNA(INDEX(mental_codes,MATCH(loaded!BS254,mental,0)),9)</f>
        <v>9</v>
      </c>
    </row>
    <row r="255" spans="1:33" x14ac:dyDescent="0.25">
      <c r="A255">
        <f>loaded!C255</f>
        <v>0</v>
      </c>
      <c r="B255">
        <f>loaded!I255</f>
        <v>0</v>
      </c>
      <c r="C255">
        <f>IF(loaded!K255="Male",1,IF(loaded!K255="Female",2,9))</f>
        <v>9</v>
      </c>
      <c r="D255" s="8">
        <f>loaded!M255</f>
        <v>0</v>
      </c>
      <c r="E255" t="str">
        <f>LEFT(loaded!O255,3)</f>
        <v/>
      </c>
      <c r="F255" t="e">
        <f>INDEX(cntry_codes,MATCH(loaded!Q255,countries,0))</f>
        <v>#N/A</v>
      </c>
      <c r="G255" t="e">
        <f>INDEX(atsi_codes,MATCH(loaded!S255,atsi,0))</f>
        <v>#N/A</v>
      </c>
      <c r="H255" t="e">
        <f>INDEX(lang_codes,MATCH(loaded!U255,lang,0))</f>
        <v>#N/A</v>
      </c>
      <c r="I255" s="8">
        <f>loaded!W255</f>
        <v>0</v>
      </c>
      <c r="J255" t="e">
        <f>INDEX(us_acc_codes,MATCH(loaded!Y255,us_acc,0))</f>
        <v>#N/A</v>
      </c>
      <c r="K255" t="e">
        <f>INDEX(client_codes,MATCH(loaded!AA255,client,0))</f>
        <v>#N/A</v>
      </c>
      <c r="L255" t="e">
        <f>INDEX(src_ref_codes,MATCH(loaded!AC255,src_ref,0))</f>
        <v>#N/A</v>
      </c>
      <c r="M255" s="8">
        <f>loaded!AE255</f>
        <v>0</v>
      </c>
      <c r="N255" s="8">
        <f>loaded!AG255</f>
        <v>0</v>
      </c>
      <c r="O255" t="e">
        <f>INDEX(reces_codes,MATCH(loaded!AI255,reason,0))</f>
        <v>#N/A</v>
      </c>
      <c r="P255" t="e">
        <f>INDEX(TDS_codes,MATCH(loaded!AK255,TDS,0))</f>
        <v>#N/A</v>
      </c>
      <c r="Q255" t="e">
        <f>IF(K255=2,"",INDEX(method_codes,MATCH(loaded!AM255,method,0)))</f>
        <v>#N/A</v>
      </c>
      <c r="R255" t="e">
        <f>IF(K255=2,"",INDEX(inj_codes,MATCH(loaded!AO255,inj,0)))</f>
        <v>#N/A</v>
      </c>
      <c r="S255" t="e">
        <f>IF(K255=2,"",INDEX(drug_codes,MATCH(loaded!AQ255,drug,0)))</f>
        <v>#N/A</v>
      </c>
      <c r="T255" t="e">
        <f>IF(K255=2,"",_xlfn.IFNA(INDEX(drug_codes,MATCH(loaded!AS255,drug,0)),""))</f>
        <v>#N/A</v>
      </c>
      <c r="U255" t="e">
        <f>IF(K255=2,"",_xlfn.IFNA(INDEX(drug_codes,MATCH(loaded!AU255,drug,0)),""))</f>
        <v>#N/A</v>
      </c>
      <c r="V255" t="e">
        <f>IF(K255=2,"",_xlfn.IFNA(INDEX(drug_codes,MATCH(loaded!AW255,drug,0)),""))</f>
        <v>#N/A</v>
      </c>
      <c r="W255" t="e">
        <f>IF(K255=2,"",_xlfn.IFNA(INDEX(drug_codes,MATCH(loaded!AY255,drug,0)),""))</f>
        <v>#N/A</v>
      </c>
      <c r="X255" t="e">
        <f>IF(K255=2,"",_xlfn.IFNA(INDEX(drug_codes,MATCH(loaded!BA255,drug,0)),""))</f>
        <v>#N/A</v>
      </c>
      <c r="Y255" t="e">
        <f>INDEX(MTT_codes,MATCH(loaded!BC255,MTT,0))</f>
        <v>#N/A</v>
      </c>
      <c r="Z255" t="str">
        <f>_xlfn.IFNA(INDEX(MTT_codes,MATCH(loaded!BE255,MTT,0)),"")</f>
        <v/>
      </c>
      <c r="AA255" t="str">
        <f>_xlfn.IFNA(INDEX(MTT_codes,MATCH(loaded!BG255,MTT,0)),"")</f>
        <v/>
      </c>
      <c r="AB255" t="str">
        <f>_xlfn.IFNA(INDEX(MTT_codes,MATCH(loaded!BI255,MTT,0)),"")</f>
        <v/>
      </c>
      <c r="AC255" t="str">
        <f>_xlfn.IFNA(INDEX(MTT_codes,MATCH(loaded!BK255,MTT,0)),"")</f>
        <v/>
      </c>
      <c r="AD255" t="str">
        <f>_xlfn.IFNA(INDEX(MTT_codes,MATCH(loaded!BM255,MTT,0)),"")</f>
        <v/>
      </c>
      <c r="AE255" t="e">
        <f>INDEX(liv_ar_codes,MATCH(loaded!BO255,liv_ar,0))</f>
        <v>#N/A</v>
      </c>
      <c r="AF255" t="str">
        <f>_xlfn.IFNA(INDEX(MTT_codes,MATCH(loaded!BQ255,MTT,0)),"")</f>
        <v/>
      </c>
      <c r="AG255">
        <f>_xlfn.IFNA(INDEX(mental_codes,MATCH(loaded!BS255,mental,0)),9)</f>
        <v>9</v>
      </c>
    </row>
    <row r="256" spans="1:33" x14ac:dyDescent="0.25">
      <c r="A256">
        <f>loaded!C256</f>
        <v>0</v>
      </c>
      <c r="B256">
        <f>loaded!I256</f>
        <v>0</v>
      </c>
      <c r="C256">
        <f>IF(loaded!K256="Male",1,IF(loaded!K256="Female",2,9))</f>
        <v>9</v>
      </c>
      <c r="D256" s="8">
        <f>loaded!M256</f>
        <v>0</v>
      </c>
      <c r="E256" t="str">
        <f>LEFT(loaded!O256,3)</f>
        <v/>
      </c>
      <c r="F256" t="e">
        <f>INDEX(cntry_codes,MATCH(loaded!Q256,countries,0))</f>
        <v>#N/A</v>
      </c>
      <c r="G256" t="e">
        <f>INDEX(atsi_codes,MATCH(loaded!S256,atsi,0))</f>
        <v>#N/A</v>
      </c>
      <c r="H256" t="e">
        <f>INDEX(lang_codes,MATCH(loaded!U256,lang,0))</f>
        <v>#N/A</v>
      </c>
      <c r="I256" s="8">
        <f>loaded!W256</f>
        <v>0</v>
      </c>
      <c r="J256" t="e">
        <f>INDEX(us_acc_codes,MATCH(loaded!Y256,us_acc,0))</f>
        <v>#N/A</v>
      </c>
      <c r="K256" t="e">
        <f>INDEX(client_codes,MATCH(loaded!AA256,client,0))</f>
        <v>#N/A</v>
      </c>
      <c r="L256" t="e">
        <f>INDEX(src_ref_codes,MATCH(loaded!AC256,src_ref,0))</f>
        <v>#N/A</v>
      </c>
      <c r="M256" s="8">
        <f>loaded!AE256</f>
        <v>0</v>
      </c>
      <c r="N256" s="8">
        <f>loaded!AG256</f>
        <v>0</v>
      </c>
      <c r="O256" t="e">
        <f>INDEX(reces_codes,MATCH(loaded!AI256,reason,0))</f>
        <v>#N/A</v>
      </c>
      <c r="P256" t="e">
        <f>INDEX(TDS_codes,MATCH(loaded!AK256,TDS,0))</f>
        <v>#N/A</v>
      </c>
      <c r="Q256" t="e">
        <f>IF(K256=2,"",INDEX(method_codes,MATCH(loaded!AM256,method,0)))</f>
        <v>#N/A</v>
      </c>
      <c r="R256" t="e">
        <f>IF(K256=2,"",INDEX(inj_codes,MATCH(loaded!AO256,inj,0)))</f>
        <v>#N/A</v>
      </c>
      <c r="S256" t="e">
        <f>IF(K256=2,"",INDEX(drug_codes,MATCH(loaded!AQ256,drug,0)))</f>
        <v>#N/A</v>
      </c>
      <c r="T256" t="e">
        <f>IF(K256=2,"",_xlfn.IFNA(INDEX(drug_codes,MATCH(loaded!AS256,drug,0)),""))</f>
        <v>#N/A</v>
      </c>
      <c r="U256" t="e">
        <f>IF(K256=2,"",_xlfn.IFNA(INDEX(drug_codes,MATCH(loaded!AU256,drug,0)),""))</f>
        <v>#N/A</v>
      </c>
      <c r="V256" t="e">
        <f>IF(K256=2,"",_xlfn.IFNA(INDEX(drug_codes,MATCH(loaded!AW256,drug,0)),""))</f>
        <v>#N/A</v>
      </c>
      <c r="W256" t="e">
        <f>IF(K256=2,"",_xlfn.IFNA(INDEX(drug_codes,MATCH(loaded!AY256,drug,0)),""))</f>
        <v>#N/A</v>
      </c>
      <c r="X256" t="e">
        <f>IF(K256=2,"",_xlfn.IFNA(INDEX(drug_codes,MATCH(loaded!BA256,drug,0)),""))</f>
        <v>#N/A</v>
      </c>
      <c r="Y256" t="e">
        <f>INDEX(MTT_codes,MATCH(loaded!BC256,MTT,0))</f>
        <v>#N/A</v>
      </c>
      <c r="Z256" t="str">
        <f>_xlfn.IFNA(INDEX(MTT_codes,MATCH(loaded!BE256,MTT,0)),"")</f>
        <v/>
      </c>
      <c r="AA256" t="str">
        <f>_xlfn.IFNA(INDEX(MTT_codes,MATCH(loaded!BG256,MTT,0)),"")</f>
        <v/>
      </c>
      <c r="AB256" t="str">
        <f>_xlfn.IFNA(INDEX(MTT_codes,MATCH(loaded!BI256,MTT,0)),"")</f>
        <v/>
      </c>
      <c r="AC256" t="str">
        <f>_xlfn.IFNA(INDEX(MTT_codes,MATCH(loaded!BK256,MTT,0)),"")</f>
        <v/>
      </c>
      <c r="AD256" t="str">
        <f>_xlfn.IFNA(INDEX(MTT_codes,MATCH(loaded!BM256,MTT,0)),"")</f>
        <v/>
      </c>
      <c r="AE256" t="e">
        <f>INDEX(liv_ar_codes,MATCH(loaded!BO256,liv_ar,0))</f>
        <v>#N/A</v>
      </c>
      <c r="AF256" t="str">
        <f>_xlfn.IFNA(INDEX(MTT_codes,MATCH(loaded!BQ256,MTT,0)),"")</f>
        <v/>
      </c>
      <c r="AG256">
        <f>_xlfn.IFNA(INDEX(mental_codes,MATCH(loaded!BS256,mental,0)),9)</f>
        <v>9</v>
      </c>
    </row>
    <row r="257" spans="1:33" x14ac:dyDescent="0.25">
      <c r="A257">
        <f>loaded!C257</f>
        <v>0</v>
      </c>
      <c r="B257">
        <f>loaded!I257</f>
        <v>0</v>
      </c>
      <c r="C257">
        <f>IF(loaded!K257="Male",1,IF(loaded!K257="Female",2,9))</f>
        <v>9</v>
      </c>
      <c r="D257" s="8">
        <f>loaded!M257</f>
        <v>0</v>
      </c>
      <c r="E257" t="str">
        <f>LEFT(loaded!O257,3)</f>
        <v/>
      </c>
      <c r="F257" t="e">
        <f>INDEX(cntry_codes,MATCH(loaded!Q257,countries,0))</f>
        <v>#N/A</v>
      </c>
      <c r="G257" t="e">
        <f>INDEX(atsi_codes,MATCH(loaded!S257,atsi,0))</f>
        <v>#N/A</v>
      </c>
      <c r="H257" t="e">
        <f>INDEX(lang_codes,MATCH(loaded!U257,lang,0))</f>
        <v>#N/A</v>
      </c>
      <c r="I257" s="8">
        <f>loaded!W257</f>
        <v>0</v>
      </c>
      <c r="J257" t="e">
        <f>INDEX(us_acc_codes,MATCH(loaded!Y257,us_acc,0))</f>
        <v>#N/A</v>
      </c>
      <c r="K257" t="e">
        <f>INDEX(client_codes,MATCH(loaded!AA257,client,0))</f>
        <v>#N/A</v>
      </c>
      <c r="L257" t="e">
        <f>INDEX(src_ref_codes,MATCH(loaded!AC257,src_ref,0))</f>
        <v>#N/A</v>
      </c>
      <c r="M257" s="8">
        <f>loaded!AE257</f>
        <v>0</v>
      </c>
      <c r="N257" s="8">
        <f>loaded!AG257</f>
        <v>0</v>
      </c>
      <c r="O257" t="e">
        <f>INDEX(reces_codes,MATCH(loaded!AI257,reason,0))</f>
        <v>#N/A</v>
      </c>
      <c r="P257" t="e">
        <f>INDEX(TDS_codes,MATCH(loaded!AK257,TDS,0))</f>
        <v>#N/A</v>
      </c>
      <c r="Q257" t="e">
        <f>IF(K257=2,"",INDEX(method_codes,MATCH(loaded!AM257,method,0)))</f>
        <v>#N/A</v>
      </c>
      <c r="R257" t="e">
        <f>IF(K257=2,"",INDEX(inj_codes,MATCH(loaded!AO257,inj,0)))</f>
        <v>#N/A</v>
      </c>
      <c r="S257" t="e">
        <f>IF(K257=2,"",INDEX(drug_codes,MATCH(loaded!AQ257,drug,0)))</f>
        <v>#N/A</v>
      </c>
      <c r="T257" t="e">
        <f>IF(K257=2,"",_xlfn.IFNA(INDEX(drug_codes,MATCH(loaded!AS257,drug,0)),""))</f>
        <v>#N/A</v>
      </c>
      <c r="U257" t="e">
        <f>IF(K257=2,"",_xlfn.IFNA(INDEX(drug_codes,MATCH(loaded!AU257,drug,0)),""))</f>
        <v>#N/A</v>
      </c>
      <c r="V257" t="e">
        <f>IF(K257=2,"",_xlfn.IFNA(INDEX(drug_codes,MATCH(loaded!AW257,drug,0)),""))</f>
        <v>#N/A</v>
      </c>
      <c r="W257" t="e">
        <f>IF(K257=2,"",_xlfn.IFNA(INDEX(drug_codes,MATCH(loaded!AY257,drug,0)),""))</f>
        <v>#N/A</v>
      </c>
      <c r="X257" t="e">
        <f>IF(K257=2,"",_xlfn.IFNA(INDEX(drug_codes,MATCH(loaded!BA257,drug,0)),""))</f>
        <v>#N/A</v>
      </c>
      <c r="Y257" t="e">
        <f>INDEX(MTT_codes,MATCH(loaded!BC257,MTT,0))</f>
        <v>#N/A</v>
      </c>
      <c r="Z257" t="str">
        <f>_xlfn.IFNA(INDEX(MTT_codes,MATCH(loaded!BE257,MTT,0)),"")</f>
        <v/>
      </c>
      <c r="AA257" t="str">
        <f>_xlfn.IFNA(INDEX(MTT_codes,MATCH(loaded!BG257,MTT,0)),"")</f>
        <v/>
      </c>
      <c r="AB257" t="str">
        <f>_xlfn.IFNA(INDEX(MTT_codes,MATCH(loaded!BI257,MTT,0)),"")</f>
        <v/>
      </c>
      <c r="AC257" t="str">
        <f>_xlfn.IFNA(INDEX(MTT_codes,MATCH(loaded!BK257,MTT,0)),"")</f>
        <v/>
      </c>
      <c r="AD257" t="str">
        <f>_xlfn.IFNA(INDEX(MTT_codes,MATCH(loaded!BM257,MTT,0)),"")</f>
        <v/>
      </c>
      <c r="AE257" t="e">
        <f>INDEX(liv_ar_codes,MATCH(loaded!BO257,liv_ar,0))</f>
        <v>#N/A</v>
      </c>
      <c r="AF257" t="str">
        <f>_xlfn.IFNA(INDEX(MTT_codes,MATCH(loaded!BQ257,MTT,0)),"")</f>
        <v/>
      </c>
      <c r="AG257">
        <f>_xlfn.IFNA(INDEX(mental_codes,MATCH(loaded!BS257,mental,0)),9)</f>
        <v>9</v>
      </c>
    </row>
    <row r="258" spans="1:33" x14ac:dyDescent="0.25">
      <c r="A258">
        <f>loaded!C258</f>
        <v>0</v>
      </c>
      <c r="B258">
        <f>loaded!I258</f>
        <v>0</v>
      </c>
      <c r="C258">
        <f>IF(loaded!K258="Male",1,IF(loaded!K258="Female",2,9))</f>
        <v>9</v>
      </c>
      <c r="D258" s="8">
        <f>loaded!M258</f>
        <v>0</v>
      </c>
      <c r="E258" t="str">
        <f>LEFT(loaded!O258,3)</f>
        <v/>
      </c>
      <c r="F258" t="e">
        <f>INDEX(cntry_codes,MATCH(loaded!Q258,countries,0))</f>
        <v>#N/A</v>
      </c>
      <c r="G258" t="e">
        <f>INDEX(atsi_codes,MATCH(loaded!S258,atsi,0))</f>
        <v>#N/A</v>
      </c>
      <c r="H258" t="e">
        <f>INDEX(lang_codes,MATCH(loaded!U258,lang,0))</f>
        <v>#N/A</v>
      </c>
      <c r="I258" s="8">
        <f>loaded!W258</f>
        <v>0</v>
      </c>
      <c r="J258" t="e">
        <f>INDEX(us_acc_codes,MATCH(loaded!Y258,us_acc,0))</f>
        <v>#N/A</v>
      </c>
      <c r="K258" t="e">
        <f>INDEX(client_codes,MATCH(loaded!AA258,client,0))</f>
        <v>#N/A</v>
      </c>
      <c r="L258" t="e">
        <f>INDEX(src_ref_codes,MATCH(loaded!AC258,src_ref,0))</f>
        <v>#N/A</v>
      </c>
      <c r="M258" s="8">
        <f>loaded!AE258</f>
        <v>0</v>
      </c>
      <c r="N258" s="8">
        <f>loaded!AG258</f>
        <v>0</v>
      </c>
      <c r="O258" t="e">
        <f>INDEX(reces_codes,MATCH(loaded!AI258,reason,0))</f>
        <v>#N/A</v>
      </c>
      <c r="P258" t="e">
        <f>INDEX(TDS_codes,MATCH(loaded!AK258,TDS,0))</f>
        <v>#N/A</v>
      </c>
      <c r="Q258" t="e">
        <f>IF(K258=2,"",INDEX(method_codes,MATCH(loaded!AM258,method,0)))</f>
        <v>#N/A</v>
      </c>
      <c r="R258" t="e">
        <f>IF(K258=2,"",INDEX(inj_codes,MATCH(loaded!AO258,inj,0)))</f>
        <v>#N/A</v>
      </c>
      <c r="S258" t="e">
        <f>IF(K258=2,"",INDEX(drug_codes,MATCH(loaded!AQ258,drug,0)))</f>
        <v>#N/A</v>
      </c>
      <c r="T258" t="e">
        <f>IF(K258=2,"",_xlfn.IFNA(INDEX(drug_codes,MATCH(loaded!AS258,drug,0)),""))</f>
        <v>#N/A</v>
      </c>
      <c r="U258" t="e">
        <f>IF(K258=2,"",_xlfn.IFNA(INDEX(drug_codes,MATCH(loaded!AU258,drug,0)),""))</f>
        <v>#N/A</v>
      </c>
      <c r="V258" t="e">
        <f>IF(K258=2,"",_xlfn.IFNA(INDEX(drug_codes,MATCH(loaded!AW258,drug,0)),""))</f>
        <v>#N/A</v>
      </c>
      <c r="W258" t="e">
        <f>IF(K258=2,"",_xlfn.IFNA(INDEX(drug_codes,MATCH(loaded!AY258,drug,0)),""))</f>
        <v>#N/A</v>
      </c>
      <c r="X258" t="e">
        <f>IF(K258=2,"",_xlfn.IFNA(INDEX(drug_codes,MATCH(loaded!BA258,drug,0)),""))</f>
        <v>#N/A</v>
      </c>
      <c r="Y258" t="e">
        <f>INDEX(MTT_codes,MATCH(loaded!BC258,MTT,0))</f>
        <v>#N/A</v>
      </c>
      <c r="Z258" t="str">
        <f>_xlfn.IFNA(INDEX(MTT_codes,MATCH(loaded!BE258,MTT,0)),"")</f>
        <v/>
      </c>
      <c r="AA258" t="str">
        <f>_xlfn.IFNA(INDEX(MTT_codes,MATCH(loaded!BG258,MTT,0)),"")</f>
        <v/>
      </c>
      <c r="AB258" t="str">
        <f>_xlfn.IFNA(INDEX(MTT_codes,MATCH(loaded!BI258,MTT,0)),"")</f>
        <v/>
      </c>
      <c r="AC258" t="str">
        <f>_xlfn.IFNA(INDEX(MTT_codes,MATCH(loaded!BK258,MTT,0)),"")</f>
        <v/>
      </c>
      <c r="AD258" t="str">
        <f>_xlfn.IFNA(INDEX(MTT_codes,MATCH(loaded!BM258,MTT,0)),"")</f>
        <v/>
      </c>
      <c r="AE258" t="e">
        <f>INDEX(liv_ar_codes,MATCH(loaded!BO258,liv_ar,0))</f>
        <v>#N/A</v>
      </c>
      <c r="AF258" t="str">
        <f>_xlfn.IFNA(INDEX(MTT_codes,MATCH(loaded!BQ258,MTT,0)),"")</f>
        <v/>
      </c>
      <c r="AG258">
        <f>_xlfn.IFNA(INDEX(mental_codes,MATCH(loaded!BS258,mental,0)),9)</f>
        <v>9</v>
      </c>
    </row>
    <row r="259" spans="1:33" x14ac:dyDescent="0.25">
      <c r="A259">
        <f>loaded!C259</f>
        <v>0</v>
      </c>
      <c r="B259">
        <f>loaded!I259</f>
        <v>0</v>
      </c>
      <c r="C259">
        <f>IF(loaded!K259="Male",1,IF(loaded!K259="Female",2,9))</f>
        <v>9</v>
      </c>
      <c r="D259" s="8">
        <f>loaded!M259</f>
        <v>0</v>
      </c>
      <c r="E259" t="str">
        <f>LEFT(loaded!O259,3)</f>
        <v/>
      </c>
      <c r="F259" t="e">
        <f>INDEX(cntry_codes,MATCH(loaded!Q259,countries,0))</f>
        <v>#N/A</v>
      </c>
      <c r="G259" t="e">
        <f>INDEX(atsi_codes,MATCH(loaded!S259,atsi,0))</f>
        <v>#N/A</v>
      </c>
      <c r="H259" t="e">
        <f>INDEX(lang_codes,MATCH(loaded!U259,lang,0))</f>
        <v>#N/A</v>
      </c>
      <c r="I259" s="8">
        <f>loaded!W259</f>
        <v>0</v>
      </c>
      <c r="J259" t="e">
        <f>INDEX(us_acc_codes,MATCH(loaded!Y259,us_acc,0))</f>
        <v>#N/A</v>
      </c>
      <c r="K259" t="e">
        <f>INDEX(client_codes,MATCH(loaded!AA259,client,0))</f>
        <v>#N/A</v>
      </c>
      <c r="L259" t="e">
        <f>INDEX(src_ref_codes,MATCH(loaded!AC259,src_ref,0))</f>
        <v>#N/A</v>
      </c>
      <c r="M259" s="8">
        <f>loaded!AE259</f>
        <v>0</v>
      </c>
      <c r="N259" s="8">
        <f>loaded!AG259</f>
        <v>0</v>
      </c>
      <c r="O259" t="e">
        <f>INDEX(reces_codes,MATCH(loaded!AI259,reason,0))</f>
        <v>#N/A</v>
      </c>
      <c r="P259" t="e">
        <f>INDEX(TDS_codes,MATCH(loaded!AK259,TDS,0))</f>
        <v>#N/A</v>
      </c>
      <c r="Q259" t="e">
        <f>IF(K259=2,"",INDEX(method_codes,MATCH(loaded!AM259,method,0)))</f>
        <v>#N/A</v>
      </c>
      <c r="R259" t="e">
        <f>IF(K259=2,"",INDEX(inj_codes,MATCH(loaded!AO259,inj,0)))</f>
        <v>#N/A</v>
      </c>
      <c r="S259" t="e">
        <f>IF(K259=2,"",INDEX(drug_codes,MATCH(loaded!AQ259,drug,0)))</f>
        <v>#N/A</v>
      </c>
      <c r="T259" t="e">
        <f>IF(K259=2,"",_xlfn.IFNA(INDEX(drug_codes,MATCH(loaded!AS259,drug,0)),""))</f>
        <v>#N/A</v>
      </c>
      <c r="U259" t="e">
        <f>IF(K259=2,"",_xlfn.IFNA(INDEX(drug_codes,MATCH(loaded!AU259,drug,0)),""))</f>
        <v>#N/A</v>
      </c>
      <c r="V259" t="e">
        <f>IF(K259=2,"",_xlfn.IFNA(INDEX(drug_codes,MATCH(loaded!AW259,drug,0)),""))</f>
        <v>#N/A</v>
      </c>
      <c r="W259" t="e">
        <f>IF(K259=2,"",_xlfn.IFNA(INDEX(drug_codes,MATCH(loaded!AY259,drug,0)),""))</f>
        <v>#N/A</v>
      </c>
      <c r="X259" t="e">
        <f>IF(K259=2,"",_xlfn.IFNA(INDEX(drug_codes,MATCH(loaded!BA259,drug,0)),""))</f>
        <v>#N/A</v>
      </c>
      <c r="Y259" t="e">
        <f>INDEX(MTT_codes,MATCH(loaded!BC259,MTT,0))</f>
        <v>#N/A</v>
      </c>
      <c r="Z259" t="str">
        <f>_xlfn.IFNA(INDEX(MTT_codes,MATCH(loaded!BE259,MTT,0)),"")</f>
        <v/>
      </c>
      <c r="AA259" t="str">
        <f>_xlfn.IFNA(INDEX(MTT_codes,MATCH(loaded!BG259,MTT,0)),"")</f>
        <v/>
      </c>
      <c r="AB259" t="str">
        <f>_xlfn.IFNA(INDEX(MTT_codes,MATCH(loaded!BI259,MTT,0)),"")</f>
        <v/>
      </c>
      <c r="AC259" t="str">
        <f>_xlfn.IFNA(INDEX(MTT_codes,MATCH(loaded!BK259,MTT,0)),"")</f>
        <v/>
      </c>
      <c r="AD259" t="str">
        <f>_xlfn.IFNA(INDEX(MTT_codes,MATCH(loaded!BM259,MTT,0)),"")</f>
        <v/>
      </c>
      <c r="AE259" t="e">
        <f>INDEX(liv_ar_codes,MATCH(loaded!BO259,liv_ar,0))</f>
        <v>#N/A</v>
      </c>
      <c r="AF259" t="str">
        <f>_xlfn.IFNA(INDEX(MTT_codes,MATCH(loaded!BQ259,MTT,0)),"")</f>
        <v/>
      </c>
      <c r="AG259">
        <f>_xlfn.IFNA(INDEX(mental_codes,MATCH(loaded!BS259,mental,0)),9)</f>
        <v>9</v>
      </c>
    </row>
    <row r="260" spans="1:33" x14ac:dyDescent="0.25">
      <c r="A260">
        <f>loaded!C260</f>
        <v>0</v>
      </c>
      <c r="B260">
        <f>loaded!I260</f>
        <v>0</v>
      </c>
      <c r="C260">
        <f>IF(loaded!K260="Male",1,IF(loaded!K260="Female",2,9))</f>
        <v>9</v>
      </c>
      <c r="D260" s="8">
        <f>loaded!M260</f>
        <v>0</v>
      </c>
      <c r="E260" t="str">
        <f>LEFT(loaded!O260,3)</f>
        <v/>
      </c>
      <c r="F260" t="e">
        <f>INDEX(cntry_codes,MATCH(loaded!Q260,countries,0))</f>
        <v>#N/A</v>
      </c>
      <c r="G260" t="e">
        <f>INDEX(atsi_codes,MATCH(loaded!S260,atsi,0))</f>
        <v>#N/A</v>
      </c>
      <c r="H260" t="e">
        <f>INDEX(lang_codes,MATCH(loaded!U260,lang,0))</f>
        <v>#N/A</v>
      </c>
      <c r="I260" s="8">
        <f>loaded!W260</f>
        <v>0</v>
      </c>
      <c r="J260" t="e">
        <f>INDEX(us_acc_codes,MATCH(loaded!Y260,us_acc,0))</f>
        <v>#N/A</v>
      </c>
      <c r="K260" t="e">
        <f>INDEX(client_codes,MATCH(loaded!AA260,client,0))</f>
        <v>#N/A</v>
      </c>
      <c r="L260" t="e">
        <f>INDEX(src_ref_codes,MATCH(loaded!AC260,src_ref,0))</f>
        <v>#N/A</v>
      </c>
      <c r="M260" s="8">
        <f>loaded!AE260</f>
        <v>0</v>
      </c>
      <c r="N260" s="8">
        <f>loaded!AG260</f>
        <v>0</v>
      </c>
      <c r="O260" t="e">
        <f>INDEX(reces_codes,MATCH(loaded!AI260,reason,0))</f>
        <v>#N/A</v>
      </c>
      <c r="P260" t="e">
        <f>INDEX(TDS_codes,MATCH(loaded!AK260,TDS,0))</f>
        <v>#N/A</v>
      </c>
      <c r="Q260" t="e">
        <f>IF(K260=2,"",INDEX(method_codes,MATCH(loaded!AM260,method,0)))</f>
        <v>#N/A</v>
      </c>
      <c r="R260" t="e">
        <f>IF(K260=2,"",INDEX(inj_codes,MATCH(loaded!AO260,inj,0)))</f>
        <v>#N/A</v>
      </c>
      <c r="S260" t="e">
        <f>IF(K260=2,"",INDEX(drug_codes,MATCH(loaded!AQ260,drug,0)))</f>
        <v>#N/A</v>
      </c>
      <c r="T260" t="e">
        <f>IF(K260=2,"",_xlfn.IFNA(INDEX(drug_codes,MATCH(loaded!AS260,drug,0)),""))</f>
        <v>#N/A</v>
      </c>
      <c r="U260" t="e">
        <f>IF(K260=2,"",_xlfn.IFNA(INDEX(drug_codes,MATCH(loaded!AU260,drug,0)),""))</f>
        <v>#N/A</v>
      </c>
      <c r="V260" t="e">
        <f>IF(K260=2,"",_xlfn.IFNA(INDEX(drug_codes,MATCH(loaded!AW260,drug,0)),""))</f>
        <v>#N/A</v>
      </c>
      <c r="W260" t="e">
        <f>IF(K260=2,"",_xlfn.IFNA(INDEX(drug_codes,MATCH(loaded!AY260,drug,0)),""))</f>
        <v>#N/A</v>
      </c>
      <c r="X260" t="e">
        <f>IF(K260=2,"",_xlfn.IFNA(INDEX(drug_codes,MATCH(loaded!BA260,drug,0)),""))</f>
        <v>#N/A</v>
      </c>
      <c r="Y260" t="e">
        <f>INDEX(MTT_codes,MATCH(loaded!BC260,MTT,0))</f>
        <v>#N/A</v>
      </c>
      <c r="Z260" t="str">
        <f>_xlfn.IFNA(INDEX(MTT_codes,MATCH(loaded!BE260,MTT,0)),"")</f>
        <v/>
      </c>
      <c r="AA260" t="str">
        <f>_xlfn.IFNA(INDEX(MTT_codes,MATCH(loaded!BG260,MTT,0)),"")</f>
        <v/>
      </c>
      <c r="AB260" t="str">
        <f>_xlfn.IFNA(INDEX(MTT_codes,MATCH(loaded!BI260,MTT,0)),"")</f>
        <v/>
      </c>
      <c r="AC260" t="str">
        <f>_xlfn.IFNA(INDEX(MTT_codes,MATCH(loaded!BK260,MTT,0)),"")</f>
        <v/>
      </c>
      <c r="AD260" t="str">
        <f>_xlfn.IFNA(INDEX(MTT_codes,MATCH(loaded!BM260,MTT,0)),"")</f>
        <v/>
      </c>
      <c r="AE260" t="e">
        <f>INDEX(liv_ar_codes,MATCH(loaded!BO260,liv_ar,0))</f>
        <v>#N/A</v>
      </c>
      <c r="AF260" t="str">
        <f>_xlfn.IFNA(INDEX(MTT_codes,MATCH(loaded!BQ260,MTT,0)),"")</f>
        <v/>
      </c>
      <c r="AG260">
        <f>_xlfn.IFNA(INDEX(mental_codes,MATCH(loaded!BS260,mental,0)),9)</f>
        <v>9</v>
      </c>
    </row>
    <row r="261" spans="1:33" x14ac:dyDescent="0.25">
      <c r="A261">
        <f>loaded!C261</f>
        <v>0</v>
      </c>
      <c r="B261">
        <f>loaded!I261</f>
        <v>0</v>
      </c>
      <c r="C261">
        <f>IF(loaded!K261="Male",1,IF(loaded!K261="Female",2,9))</f>
        <v>9</v>
      </c>
      <c r="D261" s="8">
        <f>loaded!M261</f>
        <v>0</v>
      </c>
      <c r="E261" t="str">
        <f>LEFT(loaded!O261,3)</f>
        <v/>
      </c>
      <c r="F261" t="e">
        <f>INDEX(cntry_codes,MATCH(loaded!Q261,countries,0))</f>
        <v>#N/A</v>
      </c>
      <c r="G261" t="e">
        <f>INDEX(atsi_codes,MATCH(loaded!S261,atsi,0))</f>
        <v>#N/A</v>
      </c>
      <c r="H261" t="e">
        <f>INDEX(lang_codes,MATCH(loaded!U261,lang,0))</f>
        <v>#N/A</v>
      </c>
      <c r="I261" s="8">
        <f>loaded!W261</f>
        <v>0</v>
      </c>
      <c r="J261" t="e">
        <f>INDEX(us_acc_codes,MATCH(loaded!Y261,us_acc,0))</f>
        <v>#N/A</v>
      </c>
      <c r="K261" t="e">
        <f>INDEX(client_codes,MATCH(loaded!AA261,client,0))</f>
        <v>#N/A</v>
      </c>
      <c r="L261" t="e">
        <f>INDEX(src_ref_codes,MATCH(loaded!AC261,src_ref,0))</f>
        <v>#N/A</v>
      </c>
      <c r="M261" s="8">
        <f>loaded!AE261</f>
        <v>0</v>
      </c>
      <c r="N261" s="8">
        <f>loaded!AG261</f>
        <v>0</v>
      </c>
      <c r="O261" t="e">
        <f>INDEX(reces_codes,MATCH(loaded!AI261,reason,0))</f>
        <v>#N/A</v>
      </c>
      <c r="P261" t="e">
        <f>INDEX(TDS_codes,MATCH(loaded!AK261,TDS,0))</f>
        <v>#N/A</v>
      </c>
      <c r="Q261" t="e">
        <f>IF(K261=2,"",INDEX(method_codes,MATCH(loaded!AM261,method,0)))</f>
        <v>#N/A</v>
      </c>
      <c r="R261" t="e">
        <f>IF(K261=2,"",INDEX(inj_codes,MATCH(loaded!AO261,inj,0)))</f>
        <v>#N/A</v>
      </c>
      <c r="S261" t="e">
        <f>IF(K261=2,"",INDEX(drug_codes,MATCH(loaded!AQ261,drug,0)))</f>
        <v>#N/A</v>
      </c>
      <c r="T261" t="e">
        <f>IF(K261=2,"",_xlfn.IFNA(INDEX(drug_codes,MATCH(loaded!AS261,drug,0)),""))</f>
        <v>#N/A</v>
      </c>
      <c r="U261" t="e">
        <f>IF(K261=2,"",_xlfn.IFNA(INDEX(drug_codes,MATCH(loaded!AU261,drug,0)),""))</f>
        <v>#N/A</v>
      </c>
      <c r="V261" t="e">
        <f>IF(K261=2,"",_xlfn.IFNA(INDEX(drug_codes,MATCH(loaded!AW261,drug,0)),""))</f>
        <v>#N/A</v>
      </c>
      <c r="W261" t="e">
        <f>IF(K261=2,"",_xlfn.IFNA(INDEX(drug_codes,MATCH(loaded!AY261,drug,0)),""))</f>
        <v>#N/A</v>
      </c>
      <c r="X261" t="e">
        <f>IF(K261=2,"",_xlfn.IFNA(INDEX(drug_codes,MATCH(loaded!BA261,drug,0)),""))</f>
        <v>#N/A</v>
      </c>
      <c r="Y261" t="e">
        <f>INDEX(MTT_codes,MATCH(loaded!BC261,MTT,0))</f>
        <v>#N/A</v>
      </c>
      <c r="Z261" t="str">
        <f>_xlfn.IFNA(INDEX(MTT_codes,MATCH(loaded!BE261,MTT,0)),"")</f>
        <v/>
      </c>
      <c r="AA261" t="str">
        <f>_xlfn.IFNA(INDEX(MTT_codes,MATCH(loaded!BG261,MTT,0)),"")</f>
        <v/>
      </c>
      <c r="AB261" t="str">
        <f>_xlfn.IFNA(INDEX(MTT_codes,MATCH(loaded!BI261,MTT,0)),"")</f>
        <v/>
      </c>
      <c r="AC261" t="str">
        <f>_xlfn.IFNA(INDEX(MTT_codes,MATCH(loaded!BK261,MTT,0)),"")</f>
        <v/>
      </c>
      <c r="AD261" t="str">
        <f>_xlfn.IFNA(INDEX(MTT_codes,MATCH(loaded!BM261,MTT,0)),"")</f>
        <v/>
      </c>
      <c r="AE261" t="e">
        <f>INDEX(liv_ar_codes,MATCH(loaded!BO261,liv_ar,0))</f>
        <v>#N/A</v>
      </c>
      <c r="AF261" t="str">
        <f>_xlfn.IFNA(INDEX(MTT_codes,MATCH(loaded!BQ261,MTT,0)),"")</f>
        <v/>
      </c>
      <c r="AG261">
        <f>_xlfn.IFNA(INDEX(mental_codes,MATCH(loaded!BS261,mental,0)),9)</f>
        <v>9</v>
      </c>
    </row>
    <row r="262" spans="1:33" x14ac:dyDescent="0.25">
      <c r="A262">
        <f>loaded!C262</f>
        <v>0</v>
      </c>
      <c r="B262">
        <f>loaded!I262</f>
        <v>0</v>
      </c>
      <c r="C262">
        <f>IF(loaded!K262="Male",1,IF(loaded!K262="Female",2,9))</f>
        <v>9</v>
      </c>
      <c r="D262" s="8">
        <f>loaded!M262</f>
        <v>0</v>
      </c>
      <c r="E262" t="str">
        <f>LEFT(loaded!O262,3)</f>
        <v/>
      </c>
      <c r="F262" t="e">
        <f>INDEX(cntry_codes,MATCH(loaded!Q262,countries,0))</f>
        <v>#N/A</v>
      </c>
      <c r="G262" t="e">
        <f>INDEX(atsi_codes,MATCH(loaded!S262,atsi,0))</f>
        <v>#N/A</v>
      </c>
      <c r="H262" t="e">
        <f>INDEX(lang_codes,MATCH(loaded!U262,lang,0))</f>
        <v>#N/A</v>
      </c>
      <c r="I262" s="8">
        <f>loaded!W262</f>
        <v>0</v>
      </c>
      <c r="J262" t="e">
        <f>INDEX(us_acc_codes,MATCH(loaded!Y262,us_acc,0))</f>
        <v>#N/A</v>
      </c>
      <c r="K262" t="e">
        <f>INDEX(client_codes,MATCH(loaded!AA262,client,0))</f>
        <v>#N/A</v>
      </c>
      <c r="L262" t="e">
        <f>INDEX(src_ref_codes,MATCH(loaded!AC262,src_ref,0))</f>
        <v>#N/A</v>
      </c>
      <c r="M262" s="8">
        <f>loaded!AE262</f>
        <v>0</v>
      </c>
      <c r="N262" s="8">
        <f>loaded!AG262</f>
        <v>0</v>
      </c>
      <c r="O262" t="e">
        <f>INDEX(reces_codes,MATCH(loaded!AI262,reason,0))</f>
        <v>#N/A</v>
      </c>
      <c r="P262" t="e">
        <f>INDEX(TDS_codes,MATCH(loaded!AK262,TDS,0))</f>
        <v>#N/A</v>
      </c>
      <c r="Q262" t="e">
        <f>IF(K262=2,"",INDEX(method_codes,MATCH(loaded!AM262,method,0)))</f>
        <v>#N/A</v>
      </c>
      <c r="R262" t="e">
        <f>IF(K262=2,"",INDEX(inj_codes,MATCH(loaded!AO262,inj,0)))</f>
        <v>#N/A</v>
      </c>
      <c r="S262" t="e">
        <f>IF(K262=2,"",INDEX(drug_codes,MATCH(loaded!AQ262,drug,0)))</f>
        <v>#N/A</v>
      </c>
      <c r="T262" t="e">
        <f>IF(K262=2,"",_xlfn.IFNA(INDEX(drug_codes,MATCH(loaded!AS262,drug,0)),""))</f>
        <v>#N/A</v>
      </c>
      <c r="U262" t="e">
        <f>IF(K262=2,"",_xlfn.IFNA(INDEX(drug_codes,MATCH(loaded!AU262,drug,0)),""))</f>
        <v>#N/A</v>
      </c>
      <c r="V262" t="e">
        <f>IF(K262=2,"",_xlfn.IFNA(INDEX(drug_codes,MATCH(loaded!AW262,drug,0)),""))</f>
        <v>#N/A</v>
      </c>
      <c r="W262" t="e">
        <f>IF(K262=2,"",_xlfn.IFNA(INDEX(drug_codes,MATCH(loaded!AY262,drug,0)),""))</f>
        <v>#N/A</v>
      </c>
      <c r="X262" t="e">
        <f>IF(K262=2,"",_xlfn.IFNA(INDEX(drug_codes,MATCH(loaded!BA262,drug,0)),""))</f>
        <v>#N/A</v>
      </c>
      <c r="Y262" t="e">
        <f>INDEX(MTT_codes,MATCH(loaded!BC262,MTT,0))</f>
        <v>#N/A</v>
      </c>
      <c r="Z262" t="str">
        <f>_xlfn.IFNA(INDEX(MTT_codes,MATCH(loaded!BE262,MTT,0)),"")</f>
        <v/>
      </c>
      <c r="AA262" t="str">
        <f>_xlfn.IFNA(INDEX(MTT_codes,MATCH(loaded!BG262,MTT,0)),"")</f>
        <v/>
      </c>
      <c r="AB262" t="str">
        <f>_xlfn.IFNA(INDEX(MTT_codes,MATCH(loaded!BI262,MTT,0)),"")</f>
        <v/>
      </c>
      <c r="AC262" t="str">
        <f>_xlfn.IFNA(INDEX(MTT_codes,MATCH(loaded!BK262,MTT,0)),"")</f>
        <v/>
      </c>
      <c r="AD262" t="str">
        <f>_xlfn.IFNA(INDEX(MTT_codes,MATCH(loaded!BM262,MTT,0)),"")</f>
        <v/>
      </c>
      <c r="AE262" t="e">
        <f>INDEX(liv_ar_codes,MATCH(loaded!BO262,liv_ar,0))</f>
        <v>#N/A</v>
      </c>
      <c r="AF262" t="str">
        <f>_xlfn.IFNA(INDEX(MTT_codes,MATCH(loaded!BQ262,MTT,0)),"")</f>
        <v/>
      </c>
      <c r="AG262">
        <f>_xlfn.IFNA(INDEX(mental_codes,MATCH(loaded!BS262,mental,0)),9)</f>
        <v>9</v>
      </c>
    </row>
    <row r="263" spans="1:33" x14ac:dyDescent="0.25">
      <c r="A263">
        <f>loaded!C263</f>
        <v>0</v>
      </c>
      <c r="B263">
        <f>loaded!I263</f>
        <v>0</v>
      </c>
      <c r="C263">
        <f>IF(loaded!K263="Male",1,IF(loaded!K263="Female",2,9))</f>
        <v>9</v>
      </c>
      <c r="D263" s="8">
        <f>loaded!M263</f>
        <v>0</v>
      </c>
      <c r="E263" t="str">
        <f>LEFT(loaded!O263,3)</f>
        <v/>
      </c>
      <c r="F263" t="e">
        <f>INDEX(cntry_codes,MATCH(loaded!Q263,countries,0))</f>
        <v>#N/A</v>
      </c>
      <c r="G263" t="e">
        <f>INDEX(atsi_codes,MATCH(loaded!S263,atsi,0))</f>
        <v>#N/A</v>
      </c>
      <c r="H263" t="e">
        <f>INDEX(lang_codes,MATCH(loaded!U263,lang,0))</f>
        <v>#N/A</v>
      </c>
      <c r="I263" s="8">
        <f>loaded!W263</f>
        <v>0</v>
      </c>
      <c r="J263" t="e">
        <f>INDEX(us_acc_codes,MATCH(loaded!Y263,us_acc,0))</f>
        <v>#N/A</v>
      </c>
      <c r="K263" t="e">
        <f>INDEX(client_codes,MATCH(loaded!AA263,client,0))</f>
        <v>#N/A</v>
      </c>
      <c r="L263" t="e">
        <f>INDEX(src_ref_codes,MATCH(loaded!AC263,src_ref,0))</f>
        <v>#N/A</v>
      </c>
      <c r="M263" s="8">
        <f>loaded!AE263</f>
        <v>0</v>
      </c>
      <c r="N263" s="8">
        <f>loaded!AG263</f>
        <v>0</v>
      </c>
      <c r="O263" t="e">
        <f>INDEX(reces_codes,MATCH(loaded!AI263,reason,0))</f>
        <v>#N/A</v>
      </c>
      <c r="P263" t="e">
        <f>INDEX(TDS_codes,MATCH(loaded!AK263,TDS,0))</f>
        <v>#N/A</v>
      </c>
      <c r="Q263" t="e">
        <f>IF(K263=2,"",INDEX(method_codes,MATCH(loaded!AM263,method,0)))</f>
        <v>#N/A</v>
      </c>
      <c r="R263" t="e">
        <f>IF(K263=2,"",INDEX(inj_codes,MATCH(loaded!AO263,inj,0)))</f>
        <v>#N/A</v>
      </c>
      <c r="S263" t="e">
        <f>IF(K263=2,"",INDEX(drug_codes,MATCH(loaded!AQ263,drug,0)))</f>
        <v>#N/A</v>
      </c>
      <c r="T263" t="e">
        <f>IF(K263=2,"",_xlfn.IFNA(INDEX(drug_codes,MATCH(loaded!AS263,drug,0)),""))</f>
        <v>#N/A</v>
      </c>
      <c r="U263" t="e">
        <f>IF(K263=2,"",_xlfn.IFNA(INDEX(drug_codes,MATCH(loaded!AU263,drug,0)),""))</f>
        <v>#N/A</v>
      </c>
      <c r="V263" t="e">
        <f>IF(K263=2,"",_xlfn.IFNA(INDEX(drug_codes,MATCH(loaded!AW263,drug,0)),""))</f>
        <v>#N/A</v>
      </c>
      <c r="W263" t="e">
        <f>IF(K263=2,"",_xlfn.IFNA(INDEX(drug_codes,MATCH(loaded!AY263,drug,0)),""))</f>
        <v>#N/A</v>
      </c>
      <c r="X263" t="e">
        <f>IF(K263=2,"",_xlfn.IFNA(INDEX(drug_codes,MATCH(loaded!BA263,drug,0)),""))</f>
        <v>#N/A</v>
      </c>
      <c r="Y263" t="e">
        <f>INDEX(MTT_codes,MATCH(loaded!BC263,MTT,0))</f>
        <v>#N/A</v>
      </c>
      <c r="Z263" t="str">
        <f>_xlfn.IFNA(INDEX(MTT_codes,MATCH(loaded!BE263,MTT,0)),"")</f>
        <v/>
      </c>
      <c r="AA263" t="str">
        <f>_xlfn.IFNA(INDEX(MTT_codes,MATCH(loaded!BG263,MTT,0)),"")</f>
        <v/>
      </c>
      <c r="AB263" t="str">
        <f>_xlfn.IFNA(INDEX(MTT_codes,MATCH(loaded!BI263,MTT,0)),"")</f>
        <v/>
      </c>
      <c r="AC263" t="str">
        <f>_xlfn.IFNA(INDEX(MTT_codes,MATCH(loaded!BK263,MTT,0)),"")</f>
        <v/>
      </c>
      <c r="AD263" t="str">
        <f>_xlfn.IFNA(INDEX(MTT_codes,MATCH(loaded!BM263,MTT,0)),"")</f>
        <v/>
      </c>
      <c r="AE263" t="e">
        <f>INDEX(liv_ar_codes,MATCH(loaded!BO263,liv_ar,0))</f>
        <v>#N/A</v>
      </c>
      <c r="AF263" t="str">
        <f>_xlfn.IFNA(INDEX(MTT_codes,MATCH(loaded!BQ263,MTT,0)),"")</f>
        <v/>
      </c>
      <c r="AG263">
        <f>_xlfn.IFNA(INDEX(mental_codes,MATCH(loaded!BS263,mental,0)),9)</f>
        <v>9</v>
      </c>
    </row>
    <row r="264" spans="1:33" x14ac:dyDescent="0.25">
      <c r="A264">
        <f>loaded!C264</f>
        <v>0</v>
      </c>
      <c r="B264">
        <f>loaded!I264</f>
        <v>0</v>
      </c>
      <c r="C264">
        <f>IF(loaded!K264="Male",1,IF(loaded!K264="Female",2,9))</f>
        <v>9</v>
      </c>
      <c r="D264" s="8">
        <f>loaded!M264</f>
        <v>0</v>
      </c>
      <c r="E264" t="str">
        <f>LEFT(loaded!O264,3)</f>
        <v/>
      </c>
      <c r="F264" t="e">
        <f>INDEX(cntry_codes,MATCH(loaded!Q264,countries,0))</f>
        <v>#N/A</v>
      </c>
      <c r="G264" t="e">
        <f>INDEX(atsi_codes,MATCH(loaded!S264,atsi,0))</f>
        <v>#N/A</v>
      </c>
      <c r="H264" t="e">
        <f>INDEX(lang_codes,MATCH(loaded!U264,lang,0))</f>
        <v>#N/A</v>
      </c>
      <c r="I264" s="8">
        <f>loaded!W264</f>
        <v>0</v>
      </c>
      <c r="J264" t="e">
        <f>INDEX(us_acc_codes,MATCH(loaded!Y264,us_acc,0))</f>
        <v>#N/A</v>
      </c>
      <c r="K264" t="e">
        <f>INDEX(client_codes,MATCH(loaded!AA264,client,0))</f>
        <v>#N/A</v>
      </c>
      <c r="L264" t="e">
        <f>INDEX(src_ref_codes,MATCH(loaded!AC264,src_ref,0))</f>
        <v>#N/A</v>
      </c>
      <c r="M264" s="8">
        <f>loaded!AE264</f>
        <v>0</v>
      </c>
      <c r="N264" s="8">
        <f>loaded!AG264</f>
        <v>0</v>
      </c>
      <c r="O264" t="e">
        <f>INDEX(reces_codes,MATCH(loaded!AI264,reason,0))</f>
        <v>#N/A</v>
      </c>
      <c r="P264" t="e">
        <f>INDEX(TDS_codes,MATCH(loaded!AK264,TDS,0))</f>
        <v>#N/A</v>
      </c>
      <c r="Q264" t="e">
        <f>IF(K264=2,"",INDEX(method_codes,MATCH(loaded!AM264,method,0)))</f>
        <v>#N/A</v>
      </c>
      <c r="R264" t="e">
        <f>IF(K264=2,"",INDEX(inj_codes,MATCH(loaded!AO264,inj,0)))</f>
        <v>#N/A</v>
      </c>
      <c r="S264" t="e">
        <f>IF(K264=2,"",INDEX(drug_codes,MATCH(loaded!AQ264,drug,0)))</f>
        <v>#N/A</v>
      </c>
      <c r="T264" t="e">
        <f>IF(K264=2,"",_xlfn.IFNA(INDEX(drug_codes,MATCH(loaded!AS264,drug,0)),""))</f>
        <v>#N/A</v>
      </c>
      <c r="U264" t="e">
        <f>IF(K264=2,"",_xlfn.IFNA(INDEX(drug_codes,MATCH(loaded!AU264,drug,0)),""))</f>
        <v>#N/A</v>
      </c>
      <c r="V264" t="e">
        <f>IF(K264=2,"",_xlfn.IFNA(INDEX(drug_codes,MATCH(loaded!AW264,drug,0)),""))</f>
        <v>#N/A</v>
      </c>
      <c r="W264" t="e">
        <f>IF(K264=2,"",_xlfn.IFNA(INDEX(drug_codes,MATCH(loaded!AY264,drug,0)),""))</f>
        <v>#N/A</v>
      </c>
      <c r="X264" t="e">
        <f>IF(K264=2,"",_xlfn.IFNA(INDEX(drug_codes,MATCH(loaded!BA264,drug,0)),""))</f>
        <v>#N/A</v>
      </c>
      <c r="Y264" t="e">
        <f>INDEX(MTT_codes,MATCH(loaded!BC264,MTT,0))</f>
        <v>#N/A</v>
      </c>
      <c r="Z264" t="str">
        <f>_xlfn.IFNA(INDEX(MTT_codes,MATCH(loaded!BE264,MTT,0)),"")</f>
        <v/>
      </c>
      <c r="AA264" t="str">
        <f>_xlfn.IFNA(INDEX(MTT_codes,MATCH(loaded!BG264,MTT,0)),"")</f>
        <v/>
      </c>
      <c r="AB264" t="str">
        <f>_xlfn.IFNA(INDEX(MTT_codes,MATCH(loaded!BI264,MTT,0)),"")</f>
        <v/>
      </c>
      <c r="AC264" t="str">
        <f>_xlfn.IFNA(INDEX(MTT_codes,MATCH(loaded!BK264,MTT,0)),"")</f>
        <v/>
      </c>
      <c r="AD264" t="str">
        <f>_xlfn.IFNA(INDEX(MTT_codes,MATCH(loaded!BM264,MTT,0)),"")</f>
        <v/>
      </c>
      <c r="AE264" t="e">
        <f>INDEX(liv_ar_codes,MATCH(loaded!BO264,liv_ar,0))</f>
        <v>#N/A</v>
      </c>
      <c r="AF264" t="str">
        <f>_xlfn.IFNA(INDEX(MTT_codes,MATCH(loaded!BQ264,MTT,0)),"")</f>
        <v/>
      </c>
      <c r="AG264">
        <f>_xlfn.IFNA(INDEX(mental_codes,MATCH(loaded!BS264,mental,0)),9)</f>
        <v>9</v>
      </c>
    </row>
    <row r="265" spans="1:33" x14ac:dyDescent="0.25">
      <c r="A265">
        <f>loaded!C265</f>
        <v>0</v>
      </c>
      <c r="B265">
        <f>loaded!I265</f>
        <v>0</v>
      </c>
      <c r="C265">
        <f>IF(loaded!K265="Male",1,IF(loaded!K265="Female",2,9))</f>
        <v>9</v>
      </c>
      <c r="D265" s="8">
        <f>loaded!M265</f>
        <v>0</v>
      </c>
      <c r="E265" t="str">
        <f>LEFT(loaded!O265,3)</f>
        <v/>
      </c>
      <c r="F265" t="e">
        <f>INDEX(cntry_codes,MATCH(loaded!Q265,countries,0))</f>
        <v>#N/A</v>
      </c>
      <c r="G265" t="e">
        <f>INDEX(atsi_codes,MATCH(loaded!S265,atsi,0))</f>
        <v>#N/A</v>
      </c>
      <c r="H265" t="e">
        <f>INDEX(lang_codes,MATCH(loaded!U265,lang,0))</f>
        <v>#N/A</v>
      </c>
      <c r="I265" s="8">
        <f>loaded!W265</f>
        <v>0</v>
      </c>
      <c r="J265" t="e">
        <f>INDEX(us_acc_codes,MATCH(loaded!Y265,us_acc,0))</f>
        <v>#N/A</v>
      </c>
      <c r="K265" t="e">
        <f>INDEX(client_codes,MATCH(loaded!AA265,client,0))</f>
        <v>#N/A</v>
      </c>
      <c r="L265" t="e">
        <f>INDEX(src_ref_codes,MATCH(loaded!AC265,src_ref,0))</f>
        <v>#N/A</v>
      </c>
      <c r="M265" s="8">
        <f>loaded!AE265</f>
        <v>0</v>
      </c>
      <c r="N265" s="8">
        <f>loaded!AG265</f>
        <v>0</v>
      </c>
      <c r="O265" t="e">
        <f>INDEX(reces_codes,MATCH(loaded!AI265,reason,0))</f>
        <v>#N/A</v>
      </c>
      <c r="P265" t="e">
        <f>INDEX(TDS_codes,MATCH(loaded!AK265,TDS,0))</f>
        <v>#N/A</v>
      </c>
      <c r="Q265" t="e">
        <f>IF(K265=2,"",INDEX(method_codes,MATCH(loaded!AM265,method,0)))</f>
        <v>#N/A</v>
      </c>
      <c r="R265" t="e">
        <f>IF(K265=2,"",INDEX(inj_codes,MATCH(loaded!AO265,inj,0)))</f>
        <v>#N/A</v>
      </c>
      <c r="S265" t="e">
        <f>IF(K265=2,"",INDEX(drug_codes,MATCH(loaded!AQ265,drug,0)))</f>
        <v>#N/A</v>
      </c>
      <c r="T265" t="e">
        <f>IF(K265=2,"",_xlfn.IFNA(INDEX(drug_codes,MATCH(loaded!AS265,drug,0)),""))</f>
        <v>#N/A</v>
      </c>
      <c r="U265" t="e">
        <f>IF(K265=2,"",_xlfn.IFNA(INDEX(drug_codes,MATCH(loaded!AU265,drug,0)),""))</f>
        <v>#N/A</v>
      </c>
      <c r="V265" t="e">
        <f>IF(K265=2,"",_xlfn.IFNA(INDEX(drug_codes,MATCH(loaded!AW265,drug,0)),""))</f>
        <v>#N/A</v>
      </c>
      <c r="W265" t="e">
        <f>IF(K265=2,"",_xlfn.IFNA(INDEX(drug_codes,MATCH(loaded!AY265,drug,0)),""))</f>
        <v>#N/A</v>
      </c>
      <c r="X265" t="e">
        <f>IF(K265=2,"",_xlfn.IFNA(INDEX(drug_codes,MATCH(loaded!BA265,drug,0)),""))</f>
        <v>#N/A</v>
      </c>
      <c r="Y265" t="e">
        <f>INDEX(MTT_codes,MATCH(loaded!BC265,MTT,0))</f>
        <v>#N/A</v>
      </c>
      <c r="Z265" t="str">
        <f>_xlfn.IFNA(INDEX(MTT_codes,MATCH(loaded!BE265,MTT,0)),"")</f>
        <v/>
      </c>
      <c r="AA265" t="str">
        <f>_xlfn.IFNA(INDEX(MTT_codes,MATCH(loaded!BG265,MTT,0)),"")</f>
        <v/>
      </c>
      <c r="AB265" t="str">
        <f>_xlfn.IFNA(INDEX(MTT_codes,MATCH(loaded!BI265,MTT,0)),"")</f>
        <v/>
      </c>
      <c r="AC265" t="str">
        <f>_xlfn.IFNA(INDEX(MTT_codes,MATCH(loaded!BK265,MTT,0)),"")</f>
        <v/>
      </c>
      <c r="AD265" t="str">
        <f>_xlfn.IFNA(INDEX(MTT_codes,MATCH(loaded!BM265,MTT,0)),"")</f>
        <v/>
      </c>
      <c r="AE265" t="e">
        <f>INDEX(liv_ar_codes,MATCH(loaded!BO265,liv_ar,0))</f>
        <v>#N/A</v>
      </c>
      <c r="AF265" t="str">
        <f>_xlfn.IFNA(INDEX(MTT_codes,MATCH(loaded!BQ265,MTT,0)),"")</f>
        <v/>
      </c>
      <c r="AG265">
        <f>_xlfn.IFNA(INDEX(mental_codes,MATCH(loaded!BS265,mental,0)),9)</f>
        <v>9</v>
      </c>
    </row>
    <row r="266" spans="1:33" x14ac:dyDescent="0.25">
      <c r="A266">
        <f>loaded!C266</f>
        <v>0</v>
      </c>
      <c r="B266">
        <f>loaded!I266</f>
        <v>0</v>
      </c>
      <c r="C266">
        <f>IF(loaded!K266="Male",1,IF(loaded!K266="Female",2,9))</f>
        <v>9</v>
      </c>
      <c r="D266" s="8">
        <f>loaded!M266</f>
        <v>0</v>
      </c>
      <c r="E266" t="str">
        <f>LEFT(loaded!O266,3)</f>
        <v/>
      </c>
      <c r="F266" t="e">
        <f>INDEX(cntry_codes,MATCH(loaded!Q266,countries,0))</f>
        <v>#N/A</v>
      </c>
      <c r="G266" t="e">
        <f>INDEX(atsi_codes,MATCH(loaded!S266,atsi,0))</f>
        <v>#N/A</v>
      </c>
      <c r="H266" t="e">
        <f>INDEX(lang_codes,MATCH(loaded!U266,lang,0))</f>
        <v>#N/A</v>
      </c>
      <c r="I266" s="8">
        <f>loaded!W266</f>
        <v>0</v>
      </c>
      <c r="J266" t="e">
        <f>INDEX(us_acc_codes,MATCH(loaded!Y266,us_acc,0))</f>
        <v>#N/A</v>
      </c>
      <c r="K266" t="e">
        <f>INDEX(client_codes,MATCH(loaded!AA266,client,0))</f>
        <v>#N/A</v>
      </c>
      <c r="L266" t="e">
        <f>INDEX(src_ref_codes,MATCH(loaded!AC266,src_ref,0))</f>
        <v>#N/A</v>
      </c>
      <c r="M266" s="8">
        <f>loaded!AE266</f>
        <v>0</v>
      </c>
      <c r="N266" s="8">
        <f>loaded!AG266</f>
        <v>0</v>
      </c>
      <c r="O266" t="e">
        <f>INDEX(reces_codes,MATCH(loaded!AI266,reason,0))</f>
        <v>#N/A</v>
      </c>
      <c r="P266" t="e">
        <f>INDEX(TDS_codes,MATCH(loaded!AK266,TDS,0))</f>
        <v>#N/A</v>
      </c>
      <c r="Q266" t="e">
        <f>IF(K266=2,"",INDEX(method_codes,MATCH(loaded!AM266,method,0)))</f>
        <v>#N/A</v>
      </c>
      <c r="R266" t="e">
        <f>IF(K266=2,"",INDEX(inj_codes,MATCH(loaded!AO266,inj,0)))</f>
        <v>#N/A</v>
      </c>
      <c r="S266" t="e">
        <f>IF(K266=2,"",INDEX(drug_codes,MATCH(loaded!AQ266,drug,0)))</f>
        <v>#N/A</v>
      </c>
      <c r="T266" t="e">
        <f>IF(K266=2,"",_xlfn.IFNA(INDEX(drug_codes,MATCH(loaded!AS266,drug,0)),""))</f>
        <v>#N/A</v>
      </c>
      <c r="U266" t="e">
        <f>IF(K266=2,"",_xlfn.IFNA(INDEX(drug_codes,MATCH(loaded!AU266,drug,0)),""))</f>
        <v>#N/A</v>
      </c>
      <c r="V266" t="e">
        <f>IF(K266=2,"",_xlfn.IFNA(INDEX(drug_codes,MATCH(loaded!AW266,drug,0)),""))</f>
        <v>#N/A</v>
      </c>
      <c r="W266" t="e">
        <f>IF(K266=2,"",_xlfn.IFNA(INDEX(drug_codes,MATCH(loaded!AY266,drug,0)),""))</f>
        <v>#N/A</v>
      </c>
      <c r="X266" t="e">
        <f>IF(K266=2,"",_xlfn.IFNA(INDEX(drug_codes,MATCH(loaded!BA266,drug,0)),""))</f>
        <v>#N/A</v>
      </c>
      <c r="Y266" t="e">
        <f>INDEX(MTT_codes,MATCH(loaded!BC266,MTT,0))</f>
        <v>#N/A</v>
      </c>
      <c r="Z266" t="str">
        <f>_xlfn.IFNA(INDEX(MTT_codes,MATCH(loaded!BE266,MTT,0)),"")</f>
        <v/>
      </c>
      <c r="AA266" t="str">
        <f>_xlfn.IFNA(INDEX(MTT_codes,MATCH(loaded!BG266,MTT,0)),"")</f>
        <v/>
      </c>
      <c r="AB266" t="str">
        <f>_xlfn.IFNA(INDEX(MTT_codes,MATCH(loaded!BI266,MTT,0)),"")</f>
        <v/>
      </c>
      <c r="AC266" t="str">
        <f>_xlfn.IFNA(INDEX(MTT_codes,MATCH(loaded!BK266,MTT,0)),"")</f>
        <v/>
      </c>
      <c r="AD266" t="str">
        <f>_xlfn.IFNA(INDEX(MTT_codes,MATCH(loaded!BM266,MTT,0)),"")</f>
        <v/>
      </c>
      <c r="AE266" t="e">
        <f>INDEX(liv_ar_codes,MATCH(loaded!BO266,liv_ar,0))</f>
        <v>#N/A</v>
      </c>
      <c r="AF266" t="str">
        <f>_xlfn.IFNA(INDEX(MTT_codes,MATCH(loaded!BQ266,MTT,0)),"")</f>
        <v/>
      </c>
      <c r="AG266">
        <f>_xlfn.IFNA(INDEX(mental_codes,MATCH(loaded!BS266,mental,0)),9)</f>
        <v>9</v>
      </c>
    </row>
    <row r="267" spans="1:33" x14ac:dyDescent="0.25">
      <c r="A267">
        <f>loaded!C267</f>
        <v>0</v>
      </c>
      <c r="B267">
        <f>loaded!I267</f>
        <v>0</v>
      </c>
      <c r="C267">
        <f>IF(loaded!K267="Male",1,IF(loaded!K267="Female",2,9))</f>
        <v>9</v>
      </c>
      <c r="D267" s="8">
        <f>loaded!M267</f>
        <v>0</v>
      </c>
      <c r="E267" t="str">
        <f>LEFT(loaded!O267,3)</f>
        <v/>
      </c>
      <c r="F267" t="e">
        <f>INDEX(cntry_codes,MATCH(loaded!Q267,countries,0))</f>
        <v>#N/A</v>
      </c>
      <c r="G267" t="e">
        <f>INDEX(atsi_codes,MATCH(loaded!S267,atsi,0))</f>
        <v>#N/A</v>
      </c>
      <c r="H267" t="e">
        <f>INDEX(lang_codes,MATCH(loaded!U267,lang,0))</f>
        <v>#N/A</v>
      </c>
      <c r="I267" s="8">
        <f>loaded!W267</f>
        <v>0</v>
      </c>
      <c r="J267" t="e">
        <f>INDEX(us_acc_codes,MATCH(loaded!Y267,us_acc,0))</f>
        <v>#N/A</v>
      </c>
      <c r="K267" t="e">
        <f>INDEX(client_codes,MATCH(loaded!AA267,client,0))</f>
        <v>#N/A</v>
      </c>
      <c r="L267" t="e">
        <f>INDEX(src_ref_codes,MATCH(loaded!AC267,src_ref,0))</f>
        <v>#N/A</v>
      </c>
      <c r="M267" s="8">
        <f>loaded!AE267</f>
        <v>0</v>
      </c>
      <c r="N267" s="8">
        <f>loaded!AG267</f>
        <v>0</v>
      </c>
      <c r="O267" t="e">
        <f>INDEX(reces_codes,MATCH(loaded!AI267,reason,0))</f>
        <v>#N/A</v>
      </c>
      <c r="P267" t="e">
        <f>INDEX(TDS_codes,MATCH(loaded!AK267,TDS,0))</f>
        <v>#N/A</v>
      </c>
      <c r="Q267" t="e">
        <f>IF(K267=2,"",INDEX(method_codes,MATCH(loaded!AM267,method,0)))</f>
        <v>#N/A</v>
      </c>
      <c r="R267" t="e">
        <f>IF(K267=2,"",INDEX(inj_codes,MATCH(loaded!AO267,inj,0)))</f>
        <v>#N/A</v>
      </c>
      <c r="S267" t="e">
        <f>IF(K267=2,"",INDEX(drug_codes,MATCH(loaded!AQ267,drug,0)))</f>
        <v>#N/A</v>
      </c>
      <c r="T267" t="e">
        <f>IF(K267=2,"",_xlfn.IFNA(INDEX(drug_codes,MATCH(loaded!AS267,drug,0)),""))</f>
        <v>#N/A</v>
      </c>
      <c r="U267" t="e">
        <f>IF(K267=2,"",_xlfn.IFNA(INDEX(drug_codes,MATCH(loaded!AU267,drug,0)),""))</f>
        <v>#N/A</v>
      </c>
      <c r="V267" t="e">
        <f>IF(K267=2,"",_xlfn.IFNA(INDEX(drug_codes,MATCH(loaded!AW267,drug,0)),""))</f>
        <v>#N/A</v>
      </c>
      <c r="W267" t="e">
        <f>IF(K267=2,"",_xlfn.IFNA(INDEX(drug_codes,MATCH(loaded!AY267,drug,0)),""))</f>
        <v>#N/A</v>
      </c>
      <c r="X267" t="e">
        <f>IF(K267=2,"",_xlfn.IFNA(INDEX(drug_codes,MATCH(loaded!BA267,drug,0)),""))</f>
        <v>#N/A</v>
      </c>
      <c r="Y267" t="e">
        <f>INDEX(MTT_codes,MATCH(loaded!BC267,MTT,0))</f>
        <v>#N/A</v>
      </c>
      <c r="Z267" t="str">
        <f>_xlfn.IFNA(INDEX(MTT_codes,MATCH(loaded!BE267,MTT,0)),"")</f>
        <v/>
      </c>
      <c r="AA267" t="str">
        <f>_xlfn.IFNA(INDEX(MTT_codes,MATCH(loaded!BG267,MTT,0)),"")</f>
        <v/>
      </c>
      <c r="AB267" t="str">
        <f>_xlfn.IFNA(INDEX(MTT_codes,MATCH(loaded!BI267,MTT,0)),"")</f>
        <v/>
      </c>
      <c r="AC267" t="str">
        <f>_xlfn.IFNA(INDEX(MTT_codes,MATCH(loaded!BK267,MTT,0)),"")</f>
        <v/>
      </c>
      <c r="AD267" t="str">
        <f>_xlfn.IFNA(INDEX(MTT_codes,MATCH(loaded!BM267,MTT,0)),"")</f>
        <v/>
      </c>
      <c r="AE267" t="e">
        <f>INDEX(liv_ar_codes,MATCH(loaded!BO267,liv_ar,0))</f>
        <v>#N/A</v>
      </c>
      <c r="AF267" t="str">
        <f>_xlfn.IFNA(INDEX(MTT_codes,MATCH(loaded!BQ267,MTT,0)),"")</f>
        <v/>
      </c>
      <c r="AG267">
        <f>_xlfn.IFNA(INDEX(mental_codes,MATCH(loaded!BS267,mental,0)),9)</f>
        <v>9</v>
      </c>
    </row>
    <row r="268" spans="1:33" x14ac:dyDescent="0.25">
      <c r="A268">
        <f>loaded!C268</f>
        <v>0</v>
      </c>
      <c r="B268">
        <f>loaded!I268</f>
        <v>0</v>
      </c>
      <c r="C268">
        <f>IF(loaded!K268="Male",1,IF(loaded!K268="Female",2,9))</f>
        <v>9</v>
      </c>
      <c r="D268" s="8">
        <f>loaded!M268</f>
        <v>0</v>
      </c>
      <c r="E268" t="str">
        <f>LEFT(loaded!O268,3)</f>
        <v/>
      </c>
      <c r="F268" t="e">
        <f>INDEX(cntry_codes,MATCH(loaded!Q268,countries,0))</f>
        <v>#N/A</v>
      </c>
      <c r="G268" t="e">
        <f>INDEX(atsi_codes,MATCH(loaded!S268,atsi,0))</f>
        <v>#N/A</v>
      </c>
      <c r="H268" t="e">
        <f>INDEX(lang_codes,MATCH(loaded!U268,lang,0))</f>
        <v>#N/A</v>
      </c>
      <c r="I268" s="8">
        <f>loaded!W268</f>
        <v>0</v>
      </c>
      <c r="J268" t="e">
        <f>INDEX(us_acc_codes,MATCH(loaded!Y268,us_acc,0))</f>
        <v>#N/A</v>
      </c>
      <c r="K268" t="e">
        <f>INDEX(client_codes,MATCH(loaded!AA268,client,0))</f>
        <v>#N/A</v>
      </c>
      <c r="L268" t="e">
        <f>INDEX(src_ref_codes,MATCH(loaded!AC268,src_ref,0))</f>
        <v>#N/A</v>
      </c>
      <c r="M268" s="8">
        <f>loaded!AE268</f>
        <v>0</v>
      </c>
      <c r="N268" s="8">
        <f>loaded!AG268</f>
        <v>0</v>
      </c>
      <c r="O268" t="e">
        <f>INDEX(reces_codes,MATCH(loaded!AI268,reason,0))</f>
        <v>#N/A</v>
      </c>
      <c r="P268" t="e">
        <f>INDEX(TDS_codes,MATCH(loaded!AK268,TDS,0))</f>
        <v>#N/A</v>
      </c>
      <c r="Q268" t="e">
        <f>IF(K268=2,"",INDEX(method_codes,MATCH(loaded!AM268,method,0)))</f>
        <v>#N/A</v>
      </c>
      <c r="R268" t="e">
        <f>IF(K268=2,"",INDEX(inj_codes,MATCH(loaded!AO268,inj,0)))</f>
        <v>#N/A</v>
      </c>
      <c r="S268" t="e">
        <f>IF(K268=2,"",INDEX(drug_codes,MATCH(loaded!AQ268,drug,0)))</f>
        <v>#N/A</v>
      </c>
      <c r="T268" t="e">
        <f>IF(K268=2,"",_xlfn.IFNA(INDEX(drug_codes,MATCH(loaded!AS268,drug,0)),""))</f>
        <v>#N/A</v>
      </c>
      <c r="U268" t="e">
        <f>IF(K268=2,"",_xlfn.IFNA(INDEX(drug_codes,MATCH(loaded!AU268,drug,0)),""))</f>
        <v>#N/A</v>
      </c>
      <c r="V268" t="e">
        <f>IF(K268=2,"",_xlfn.IFNA(INDEX(drug_codes,MATCH(loaded!AW268,drug,0)),""))</f>
        <v>#N/A</v>
      </c>
      <c r="W268" t="e">
        <f>IF(K268=2,"",_xlfn.IFNA(INDEX(drug_codes,MATCH(loaded!AY268,drug,0)),""))</f>
        <v>#N/A</v>
      </c>
      <c r="X268" t="e">
        <f>IF(K268=2,"",_xlfn.IFNA(INDEX(drug_codes,MATCH(loaded!BA268,drug,0)),""))</f>
        <v>#N/A</v>
      </c>
      <c r="Y268" t="e">
        <f>INDEX(MTT_codes,MATCH(loaded!BC268,MTT,0))</f>
        <v>#N/A</v>
      </c>
      <c r="Z268" t="str">
        <f>_xlfn.IFNA(INDEX(MTT_codes,MATCH(loaded!BE268,MTT,0)),"")</f>
        <v/>
      </c>
      <c r="AA268" t="str">
        <f>_xlfn.IFNA(INDEX(MTT_codes,MATCH(loaded!BG268,MTT,0)),"")</f>
        <v/>
      </c>
      <c r="AB268" t="str">
        <f>_xlfn.IFNA(INDEX(MTT_codes,MATCH(loaded!BI268,MTT,0)),"")</f>
        <v/>
      </c>
      <c r="AC268" t="str">
        <f>_xlfn.IFNA(INDEX(MTT_codes,MATCH(loaded!BK268,MTT,0)),"")</f>
        <v/>
      </c>
      <c r="AD268" t="str">
        <f>_xlfn.IFNA(INDEX(MTT_codes,MATCH(loaded!BM268,MTT,0)),"")</f>
        <v/>
      </c>
      <c r="AE268" t="e">
        <f>INDEX(liv_ar_codes,MATCH(loaded!BO268,liv_ar,0))</f>
        <v>#N/A</v>
      </c>
      <c r="AF268" t="str">
        <f>_xlfn.IFNA(INDEX(MTT_codes,MATCH(loaded!BQ268,MTT,0)),"")</f>
        <v/>
      </c>
      <c r="AG268">
        <f>_xlfn.IFNA(INDEX(mental_codes,MATCH(loaded!BS268,mental,0)),9)</f>
        <v>9</v>
      </c>
    </row>
    <row r="269" spans="1:33" x14ac:dyDescent="0.25">
      <c r="A269">
        <f>loaded!C269</f>
        <v>0</v>
      </c>
      <c r="B269">
        <f>loaded!I269</f>
        <v>0</v>
      </c>
      <c r="C269">
        <f>IF(loaded!K269="Male",1,IF(loaded!K269="Female",2,9))</f>
        <v>9</v>
      </c>
      <c r="D269" s="8">
        <f>loaded!M269</f>
        <v>0</v>
      </c>
      <c r="E269" t="str">
        <f>LEFT(loaded!O269,3)</f>
        <v/>
      </c>
      <c r="F269" t="e">
        <f>INDEX(cntry_codes,MATCH(loaded!Q269,countries,0))</f>
        <v>#N/A</v>
      </c>
      <c r="G269" t="e">
        <f>INDEX(atsi_codes,MATCH(loaded!S269,atsi,0))</f>
        <v>#N/A</v>
      </c>
      <c r="H269" t="e">
        <f>INDEX(lang_codes,MATCH(loaded!U269,lang,0))</f>
        <v>#N/A</v>
      </c>
      <c r="I269" s="8">
        <f>loaded!W269</f>
        <v>0</v>
      </c>
      <c r="J269" t="e">
        <f>INDEX(us_acc_codes,MATCH(loaded!Y269,us_acc,0))</f>
        <v>#N/A</v>
      </c>
      <c r="K269" t="e">
        <f>INDEX(client_codes,MATCH(loaded!AA269,client,0))</f>
        <v>#N/A</v>
      </c>
      <c r="L269" t="e">
        <f>INDEX(src_ref_codes,MATCH(loaded!AC269,src_ref,0))</f>
        <v>#N/A</v>
      </c>
      <c r="M269" s="8">
        <f>loaded!AE269</f>
        <v>0</v>
      </c>
      <c r="N269" s="8">
        <f>loaded!AG269</f>
        <v>0</v>
      </c>
      <c r="O269" t="e">
        <f>INDEX(reces_codes,MATCH(loaded!AI269,reason,0))</f>
        <v>#N/A</v>
      </c>
      <c r="P269" t="e">
        <f>INDEX(TDS_codes,MATCH(loaded!AK269,TDS,0))</f>
        <v>#N/A</v>
      </c>
      <c r="Q269" t="e">
        <f>IF(K269=2,"",INDEX(method_codes,MATCH(loaded!AM269,method,0)))</f>
        <v>#N/A</v>
      </c>
      <c r="R269" t="e">
        <f>IF(K269=2,"",INDEX(inj_codes,MATCH(loaded!AO269,inj,0)))</f>
        <v>#N/A</v>
      </c>
      <c r="S269" t="e">
        <f>IF(K269=2,"",INDEX(drug_codes,MATCH(loaded!AQ269,drug,0)))</f>
        <v>#N/A</v>
      </c>
      <c r="T269" t="e">
        <f>IF(K269=2,"",_xlfn.IFNA(INDEX(drug_codes,MATCH(loaded!AS269,drug,0)),""))</f>
        <v>#N/A</v>
      </c>
      <c r="U269" t="e">
        <f>IF(K269=2,"",_xlfn.IFNA(INDEX(drug_codes,MATCH(loaded!AU269,drug,0)),""))</f>
        <v>#N/A</v>
      </c>
      <c r="V269" t="e">
        <f>IF(K269=2,"",_xlfn.IFNA(INDEX(drug_codes,MATCH(loaded!AW269,drug,0)),""))</f>
        <v>#N/A</v>
      </c>
      <c r="W269" t="e">
        <f>IF(K269=2,"",_xlfn.IFNA(INDEX(drug_codes,MATCH(loaded!AY269,drug,0)),""))</f>
        <v>#N/A</v>
      </c>
      <c r="X269" t="e">
        <f>IF(K269=2,"",_xlfn.IFNA(INDEX(drug_codes,MATCH(loaded!BA269,drug,0)),""))</f>
        <v>#N/A</v>
      </c>
      <c r="Y269" t="e">
        <f>INDEX(MTT_codes,MATCH(loaded!BC269,MTT,0))</f>
        <v>#N/A</v>
      </c>
      <c r="Z269" t="str">
        <f>_xlfn.IFNA(INDEX(MTT_codes,MATCH(loaded!BE269,MTT,0)),"")</f>
        <v/>
      </c>
      <c r="AA269" t="str">
        <f>_xlfn.IFNA(INDEX(MTT_codes,MATCH(loaded!BG269,MTT,0)),"")</f>
        <v/>
      </c>
      <c r="AB269" t="str">
        <f>_xlfn.IFNA(INDEX(MTT_codes,MATCH(loaded!BI269,MTT,0)),"")</f>
        <v/>
      </c>
      <c r="AC269" t="str">
        <f>_xlfn.IFNA(INDEX(MTT_codes,MATCH(loaded!BK269,MTT,0)),"")</f>
        <v/>
      </c>
      <c r="AD269" t="str">
        <f>_xlfn.IFNA(INDEX(MTT_codes,MATCH(loaded!BM269,MTT,0)),"")</f>
        <v/>
      </c>
      <c r="AE269" t="e">
        <f>INDEX(liv_ar_codes,MATCH(loaded!BO269,liv_ar,0))</f>
        <v>#N/A</v>
      </c>
      <c r="AF269" t="str">
        <f>_xlfn.IFNA(INDEX(MTT_codes,MATCH(loaded!BQ269,MTT,0)),"")</f>
        <v/>
      </c>
      <c r="AG269">
        <f>_xlfn.IFNA(INDEX(mental_codes,MATCH(loaded!BS269,mental,0)),9)</f>
        <v>9</v>
      </c>
    </row>
    <row r="270" spans="1:33" x14ac:dyDescent="0.25">
      <c r="A270">
        <f>loaded!C270</f>
        <v>0</v>
      </c>
      <c r="B270">
        <f>loaded!I270</f>
        <v>0</v>
      </c>
      <c r="C270">
        <f>IF(loaded!K270="Male",1,IF(loaded!K270="Female",2,9))</f>
        <v>9</v>
      </c>
      <c r="D270" s="8">
        <f>loaded!M270</f>
        <v>0</v>
      </c>
      <c r="E270" t="str">
        <f>LEFT(loaded!O270,3)</f>
        <v/>
      </c>
      <c r="F270" t="e">
        <f>INDEX(cntry_codes,MATCH(loaded!Q270,countries,0))</f>
        <v>#N/A</v>
      </c>
      <c r="G270" t="e">
        <f>INDEX(atsi_codes,MATCH(loaded!S270,atsi,0))</f>
        <v>#N/A</v>
      </c>
      <c r="H270" t="e">
        <f>INDEX(lang_codes,MATCH(loaded!U270,lang,0))</f>
        <v>#N/A</v>
      </c>
      <c r="I270" s="8">
        <f>loaded!W270</f>
        <v>0</v>
      </c>
      <c r="J270" t="e">
        <f>INDEX(us_acc_codes,MATCH(loaded!Y270,us_acc,0))</f>
        <v>#N/A</v>
      </c>
      <c r="K270" t="e">
        <f>INDEX(client_codes,MATCH(loaded!AA270,client,0))</f>
        <v>#N/A</v>
      </c>
      <c r="L270" t="e">
        <f>INDEX(src_ref_codes,MATCH(loaded!AC270,src_ref,0))</f>
        <v>#N/A</v>
      </c>
      <c r="M270" s="8">
        <f>loaded!AE270</f>
        <v>0</v>
      </c>
      <c r="N270" s="8">
        <f>loaded!AG270</f>
        <v>0</v>
      </c>
      <c r="O270" t="e">
        <f>INDEX(reces_codes,MATCH(loaded!AI270,reason,0))</f>
        <v>#N/A</v>
      </c>
      <c r="P270" t="e">
        <f>INDEX(TDS_codes,MATCH(loaded!AK270,TDS,0))</f>
        <v>#N/A</v>
      </c>
      <c r="Q270" t="e">
        <f>IF(K270=2,"",INDEX(method_codes,MATCH(loaded!AM270,method,0)))</f>
        <v>#N/A</v>
      </c>
      <c r="R270" t="e">
        <f>IF(K270=2,"",INDEX(inj_codes,MATCH(loaded!AO270,inj,0)))</f>
        <v>#N/A</v>
      </c>
      <c r="S270" t="e">
        <f>IF(K270=2,"",INDEX(drug_codes,MATCH(loaded!AQ270,drug,0)))</f>
        <v>#N/A</v>
      </c>
      <c r="T270" t="e">
        <f>IF(K270=2,"",_xlfn.IFNA(INDEX(drug_codes,MATCH(loaded!AS270,drug,0)),""))</f>
        <v>#N/A</v>
      </c>
      <c r="U270" t="e">
        <f>IF(K270=2,"",_xlfn.IFNA(INDEX(drug_codes,MATCH(loaded!AU270,drug,0)),""))</f>
        <v>#N/A</v>
      </c>
      <c r="V270" t="e">
        <f>IF(K270=2,"",_xlfn.IFNA(INDEX(drug_codes,MATCH(loaded!AW270,drug,0)),""))</f>
        <v>#N/A</v>
      </c>
      <c r="W270" t="e">
        <f>IF(K270=2,"",_xlfn.IFNA(INDEX(drug_codes,MATCH(loaded!AY270,drug,0)),""))</f>
        <v>#N/A</v>
      </c>
      <c r="X270" t="e">
        <f>IF(K270=2,"",_xlfn.IFNA(INDEX(drug_codes,MATCH(loaded!BA270,drug,0)),""))</f>
        <v>#N/A</v>
      </c>
      <c r="Y270" t="e">
        <f>INDEX(MTT_codes,MATCH(loaded!BC270,MTT,0))</f>
        <v>#N/A</v>
      </c>
      <c r="Z270" t="str">
        <f>_xlfn.IFNA(INDEX(MTT_codes,MATCH(loaded!BE270,MTT,0)),"")</f>
        <v/>
      </c>
      <c r="AA270" t="str">
        <f>_xlfn.IFNA(INDEX(MTT_codes,MATCH(loaded!BG270,MTT,0)),"")</f>
        <v/>
      </c>
      <c r="AB270" t="str">
        <f>_xlfn.IFNA(INDEX(MTT_codes,MATCH(loaded!BI270,MTT,0)),"")</f>
        <v/>
      </c>
      <c r="AC270" t="str">
        <f>_xlfn.IFNA(INDEX(MTT_codes,MATCH(loaded!BK270,MTT,0)),"")</f>
        <v/>
      </c>
      <c r="AD270" t="str">
        <f>_xlfn.IFNA(INDEX(MTT_codes,MATCH(loaded!BM270,MTT,0)),"")</f>
        <v/>
      </c>
      <c r="AE270" t="e">
        <f>INDEX(liv_ar_codes,MATCH(loaded!BO270,liv_ar,0))</f>
        <v>#N/A</v>
      </c>
      <c r="AF270" t="str">
        <f>_xlfn.IFNA(INDEX(MTT_codes,MATCH(loaded!BQ270,MTT,0)),"")</f>
        <v/>
      </c>
      <c r="AG270">
        <f>_xlfn.IFNA(INDEX(mental_codes,MATCH(loaded!BS270,mental,0)),9)</f>
        <v>9</v>
      </c>
    </row>
    <row r="271" spans="1:33" x14ac:dyDescent="0.25">
      <c r="A271">
        <f>loaded!C271</f>
        <v>0</v>
      </c>
      <c r="B271">
        <f>loaded!I271</f>
        <v>0</v>
      </c>
      <c r="C271">
        <f>IF(loaded!K271="Male",1,IF(loaded!K271="Female",2,9))</f>
        <v>9</v>
      </c>
      <c r="D271" s="8">
        <f>loaded!M271</f>
        <v>0</v>
      </c>
      <c r="E271" t="str">
        <f>LEFT(loaded!O271,3)</f>
        <v/>
      </c>
      <c r="F271" t="e">
        <f>INDEX(cntry_codes,MATCH(loaded!Q271,countries,0))</f>
        <v>#N/A</v>
      </c>
      <c r="G271" t="e">
        <f>INDEX(atsi_codes,MATCH(loaded!S271,atsi,0))</f>
        <v>#N/A</v>
      </c>
      <c r="H271" t="e">
        <f>INDEX(lang_codes,MATCH(loaded!U271,lang,0))</f>
        <v>#N/A</v>
      </c>
      <c r="I271" s="8">
        <f>loaded!W271</f>
        <v>0</v>
      </c>
      <c r="J271" t="e">
        <f>INDEX(us_acc_codes,MATCH(loaded!Y271,us_acc,0))</f>
        <v>#N/A</v>
      </c>
      <c r="K271" t="e">
        <f>INDEX(client_codes,MATCH(loaded!AA271,client,0))</f>
        <v>#N/A</v>
      </c>
      <c r="L271" t="e">
        <f>INDEX(src_ref_codes,MATCH(loaded!AC271,src_ref,0))</f>
        <v>#N/A</v>
      </c>
      <c r="M271" s="8">
        <f>loaded!AE271</f>
        <v>0</v>
      </c>
      <c r="N271" s="8">
        <f>loaded!AG271</f>
        <v>0</v>
      </c>
      <c r="O271" t="e">
        <f>INDEX(reces_codes,MATCH(loaded!AI271,reason,0))</f>
        <v>#N/A</v>
      </c>
      <c r="P271" t="e">
        <f>INDEX(TDS_codes,MATCH(loaded!AK271,TDS,0))</f>
        <v>#N/A</v>
      </c>
      <c r="Q271" t="e">
        <f>IF(K271=2,"",INDEX(method_codes,MATCH(loaded!AM271,method,0)))</f>
        <v>#N/A</v>
      </c>
      <c r="R271" t="e">
        <f>IF(K271=2,"",INDEX(inj_codes,MATCH(loaded!AO271,inj,0)))</f>
        <v>#N/A</v>
      </c>
      <c r="S271" t="e">
        <f>IF(K271=2,"",INDEX(drug_codes,MATCH(loaded!AQ271,drug,0)))</f>
        <v>#N/A</v>
      </c>
      <c r="T271" t="e">
        <f>IF(K271=2,"",_xlfn.IFNA(INDEX(drug_codes,MATCH(loaded!AS271,drug,0)),""))</f>
        <v>#N/A</v>
      </c>
      <c r="U271" t="e">
        <f>IF(K271=2,"",_xlfn.IFNA(INDEX(drug_codes,MATCH(loaded!AU271,drug,0)),""))</f>
        <v>#N/A</v>
      </c>
      <c r="V271" t="e">
        <f>IF(K271=2,"",_xlfn.IFNA(INDEX(drug_codes,MATCH(loaded!AW271,drug,0)),""))</f>
        <v>#N/A</v>
      </c>
      <c r="W271" t="e">
        <f>IF(K271=2,"",_xlfn.IFNA(INDEX(drug_codes,MATCH(loaded!AY271,drug,0)),""))</f>
        <v>#N/A</v>
      </c>
      <c r="X271" t="e">
        <f>IF(K271=2,"",_xlfn.IFNA(INDEX(drug_codes,MATCH(loaded!BA271,drug,0)),""))</f>
        <v>#N/A</v>
      </c>
      <c r="Y271" t="e">
        <f>INDEX(MTT_codes,MATCH(loaded!BC271,MTT,0))</f>
        <v>#N/A</v>
      </c>
      <c r="Z271" t="str">
        <f>_xlfn.IFNA(INDEX(MTT_codes,MATCH(loaded!BE271,MTT,0)),"")</f>
        <v/>
      </c>
      <c r="AA271" t="str">
        <f>_xlfn.IFNA(INDEX(MTT_codes,MATCH(loaded!BG271,MTT,0)),"")</f>
        <v/>
      </c>
      <c r="AB271" t="str">
        <f>_xlfn.IFNA(INDEX(MTT_codes,MATCH(loaded!BI271,MTT,0)),"")</f>
        <v/>
      </c>
      <c r="AC271" t="str">
        <f>_xlfn.IFNA(INDEX(MTT_codes,MATCH(loaded!BK271,MTT,0)),"")</f>
        <v/>
      </c>
      <c r="AD271" t="str">
        <f>_xlfn.IFNA(INDEX(MTT_codes,MATCH(loaded!BM271,MTT,0)),"")</f>
        <v/>
      </c>
      <c r="AE271" t="e">
        <f>INDEX(liv_ar_codes,MATCH(loaded!BO271,liv_ar,0))</f>
        <v>#N/A</v>
      </c>
      <c r="AF271" t="str">
        <f>_xlfn.IFNA(INDEX(MTT_codes,MATCH(loaded!BQ271,MTT,0)),"")</f>
        <v/>
      </c>
      <c r="AG271">
        <f>_xlfn.IFNA(INDEX(mental_codes,MATCH(loaded!BS271,mental,0)),9)</f>
        <v>9</v>
      </c>
    </row>
    <row r="272" spans="1:33" x14ac:dyDescent="0.25">
      <c r="A272">
        <f>loaded!C272</f>
        <v>0</v>
      </c>
      <c r="B272">
        <f>loaded!I272</f>
        <v>0</v>
      </c>
      <c r="C272">
        <f>IF(loaded!K272="Male",1,IF(loaded!K272="Female",2,9))</f>
        <v>9</v>
      </c>
      <c r="D272" s="8">
        <f>loaded!M272</f>
        <v>0</v>
      </c>
      <c r="E272" t="str">
        <f>LEFT(loaded!O272,3)</f>
        <v/>
      </c>
      <c r="F272" t="e">
        <f>INDEX(cntry_codes,MATCH(loaded!Q272,countries,0))</f>
        <v>#N/A</v>
      </c>
      <c r="G272" t="e">
        <f>INDEX(atsi_codes,MATCH(loaded!S272,atsi,0))</f>
        <v>#N/A</v>
      </c>
      <c r="H272" t="e">
        <f>INDEX(lang_codes,MATCH(loaded!U272,lang,0))</f>
        <v>#N/A</v>
      </c>
      <c r="I272" s="8">
        <f>loaded!W272</f>
        <v>0</v>
      </c>
      <c r="J272" t="e">
        <f>INDEX(us_acc_codes,MATCH(loaded!Y272,us_acc,0))</f>
        <v>#N/A</v>
      </c>
      <c r="K272" t="e">
        <f>INDEX(client_codes,MATCH(loaded!AA272,client,0))</f>
        <v>#N/A</v>
      </c>
      <c r="L272" t="e">
        <f>INDEX(src_ref_codes,MATCH(loaded!AC272,src_ref,0))</f>
        <v>#N/A</v>
      </c>
      <c r="M272" s="8">
        <f>loaded!AE272</f>
        <v>0</v>
      </c>
      <c r="N272" s="8">
        <f>loaded!AG272</f>
        <v>0</v>
      </c>
      <c r="O272" t="e">
        <f>INDEX(reces_codes,MATCH(loaded!AI272,reason,0))</f>
        <v>#N/A</v>
      </c>
      <c r="P272" t="e">
        <f>INDEX(TDS_codes,MATCH(loaded!AK272,TDS,0))</f>
        <v>#N/A</v>
      </c>
      <c r="Q272" t="e">
        <f>IF(K272=2,"",INDEX(method_codes,MATCH(loaded!AM272,method,0)))</f>
        <v>#N/A</v>
      </c>
      <c r="R272" t="e">
        <f>IF(K272=2,"",INDEX(inj_codes,MATCH(loaded!AO272,inj,0)))</f>
        <v>#N/A</v>
      </c>
      <c r="S272" t="e">
        <f>IF(K272=2,"",INDEX(drug_codes,MATCH(loaded!AQ272,drug,0)))</f>
        <v>#N/A</v>
      </c>
      <c r="T272" t="e">
        <f>IF(K272=2,"",_xlfn.IFNA(INDEX(drug_codes,MATCH(loaded!AS272,drug,0)),""))</f>
        <v>#N/A</v>
      </c>
      <c r="U272" t="e">
        <f>IF(K272=2,"",_xlfn.IFNA(INDEX(drug_codes,MATCH(loaded!AU272,drug,0)),""))</f>
        <v>#N/A</v>
      </c>
      <c r="V272" t="e">
        <f>IF(K272=2,"",_xlfn.IFNA(INDEX(drug_codes,MATCH(loaded!AW272,drug,0)),""))</f>
        <v>#N/A</v>
      </c>
      <c r="W272" t="e">
        <f>IF(K272=2,"",_xlfn.IFNA(INDEX(drug_codes,MATCH(loaded!AY272,drug,0)),""))</f>
        <v>#N/A</v>
      </c>
      <c r="X272" t="e">
        <f>IF(K272=2,"",_xlfn.IFNA(INDEX(drug_codes,MATCH(loaded!BA272,drug,0)),""))</f>
        <v>#N/A</v>
      </c>
      <c r="Y272" t="e">
        <f>INDEX(MTT_codes,MATCH(loaded!BC272,MTT,0))</f>
        <v>#N/A</v>
      </c>
      <c r="Z272" t="str">
        <f>_xlfn.IFNA(INDEX(MTT_codes,MATCH(loaded!BE272,MTT,0)),"")</f>
        <v/>
      </c>
      <c r="AA272" t="str">
        <f>_xlfn.IFNA(INDEX(MTT_codes,MATCH(loaded!BG272,MTT,0)),"")</f>
        <v/>
      </c>
      <c r="AB272" t="str">
        <f>_xlfn.IFNA(INDEX(MTT_codes,MATCH(loaded!BI272,MTT,0)),"")</f>
        <v/>
      </c>
      <c r="AC272" t="str">
        <f>_xlfn.IFNA(INDEX(MTT_codes,MATCH(loaded!BK272,MTT,0)),"")</f>
        <v/>
      </c>
      <c r="AD272" t="str">
        <f>_xlfn.IFNA(INDEX(MTT_codes,MATCH(loaded!BM272,MTT,0)),"")</f>
        <v/>
      </c>
      <c r="AE272" t="e">
        <f>INDEX(liv_ar_codes,MATCH(loaded!BO272,liv_ar,0))</f>
        <v>#N/A</v>
      </c>
      <c r="AF272" t="str">
        <f>_xlfn.IFNA(INDEX(MTT_codes,MATCH(loaded!BQ272,MTT,0)),"")</f>
        <v/>
      </c>
      <c r="AG272">
        <f>_xlfn.IFNA(INDEX(mental_codes,MATCH(loaded!BS272,mental,0)),9)</f>
        <v>9</v>
      </c>
    </row>
    <row r="273" spans="1:33" x14ac:dyDescent="0.25">
      <c r="A273">
        <f>loaded!C273</f>
        <v>0</v>
      </c>
      <c r="B273">
        <f>loaded!I273</f>
        <v>0</v>
      </c>
      <c r="C273">
        <f>IF(loaded!K273="Male",1,IF(loaded!K273="Female",2,9))</f>
        <v>9</v>
      </c>
      <c r="D273" s="8">
        <f>loaded!M273</f>
        <v>0</v>
      </c>
      <c r="E273" t="str">
        <f>LEFT(loaded!O273,3)</f>
        <v/>
      </c>
      <c r="F273" t="e">
        <f>INDEX(cntry_codes,MATCH(loaded!Q273,countries,0))</f>
        <v>#N/A</v>
      </c>
      <c r="G273" t="e">
        <f>INDEX(atsi_codes,MATCH(loaded!S273,atsi,0))</f>
        <v>#N/A</v>
      </c>
      <c r="H273" t="e">
        <f>INDEX(lang_codes,MATCH(loaded!U273,lang,0))</f>
        <v>#N/A</v>
      </c>
      <c r="I273" s="8">
        <f>loaded!W273</f>
        <v>0</v>
      </c>
      <c r="J273" t="e">
        <f>INDEX(us_acc_codes,MATCH(loaded!Y273,us_acc,0))</f>
        <v>#N/A</v>
      </c>
      <c r="K273" t="e">
        <f>INDEX(client_codes,MATCH(loaded!AA273,client,0))</f>
        <v>#N/A</v>
      </c>
      <c r="L273" t="e">
        <f>INDEX(src_ref_codes,MATCH(loaded!AC273,src_ref,0))</f>
        <v>#N/A</v>
      </c>
      <c r="M273" s="8">
        <f>loaded!AE273</f>
        <v>0</v>
      </c>
      <c r="N273" s="8">
        <f>loaded!AG273</f>
        <v>0</v>
      </c>
      <c r="O273" t="e">
        <f>INDEX(reces_codes,MATCH(loaded!AI273,reason,0))</f>
        <v>#N/A</v>
      </c>
      <c r="P273" t="e">
        <f>INDEX(TDS_codes,MATCH(loaded!AK273,TDS,0))</f>
        <v>#N/A</v>
      </c>
      <c r="Q273" t="e">
        <f>IF(K273=2,"",INDEX(method_codes,MATCH(loaded!AM273,method,0)))</f>
        <v>#N/A</v>
      </c>
      <c r="R273" t="e">
        <f>IF(K273=2,"",INDEX(inj_codes,MATCH(loaded!AO273,inj,0)))</f>
        <v>#N/A</v>
      </c>
      <c r="S273" t="e">
        <f>IF(K273=2,"",INDEX(drug_codes,MATCH(loaded!AQ273,drug,0)))</f>
        <v>#N/A</v>
      </c>
      <c r="T273" t="e">
        <f>IF(K273=2,"",_xlfn.IFNA(INDEX(drug_codes,MATCH(loaded!AS273,drug,0)),""))</f>
        <v>#N/A</v>
      </c>
      <c r="U273" t="e">
        <f>IF(K273=2,"",_xlfn.IFNA(INDEX(drug_codes,MATCH(loaded!AU273,drug,0)),""))</f>
        <v>#N/A</v>
      </c>
      <c r="V273" t="e">
        <f>IF(K273=2,"",_xlfn.IFNA(INDEX(drug_codes,MATCH(loaded!AW273,drug,0)),""))</f>
        <v>#N/A</v>
      </c>
      <c r="W273" t="e">
        <f>IF(K273=2,"",_xlfn.IFNA(INDEX(drug_codes,MATCH(loaded!AY273,drug,0)),""))</f>
        <v>#N/A</v>
      </c>
      <c r="X273" t="e">
        <f>IF(K273=2,"",_xlfn.IFNA(INDEX(drug_codes,MATCH(loaded!BA273,drug,0)),""))</f>
        <v>#N/A</v>
      </c>
      <c r="Y273" t="e">
        <f>INDEX(MTT_codes,MATCH(loaded!BC273,MTT,0))</f>
        <v>#N/A</v>
      </c>
      <c r="Z273" t="str">
        <f>_xlfn.IFNA(INDEX(MTT_codes,MATCH(loaded!BE273,MTT,0)),"")</f>
        <v/>
      </c>
      <c r="AA273" t="str">
        <f>_xlfn.IFNA(INDEX(MTT_codes,MATCH(loaded!BG273,MTT,0)),"")</f>
        <v/>
      </c>
      <c r="AB273" t="str">
        <f>_xlfn.IFNA(INDEX(MTT_codes,MATCH(loaded!BI273,MTT,0)),"")</f>
        <v/>
      </c>
      <c r="AC273" t="str">
        <f>_xlfn.IFNA(INDEX(MTT_codes,MATCH(loaded!BK273,MTT,0)),"")</f>
        <v/>
      </c>
      <c r="AD273" t="str">
        <f>_xlfn.IFNA(INDEX(MTT_codes,MATCH(loaded!BM273,MTT,0)),"")</f>
        <v/>
      </c>
      <c r="AE273" t="e">
        <f>INDEX(liv_ar_codes,MATCH(loaded!BO273,liv_ar,0))</f>
        <v>#N/A</v>
      </c>
      <c r="AF273" t="str">
        <f>_xlfn.IFNA(INDEX(MTT_codes,MATCH(loaded!BQ273,MTT,0)),"")</f>
        <v/>
      </c>
      <c r="AG273">
        <f>_xlfn.IFNA(INDEX(mental_codes,MATCH(loaded!BS273,mental,0)),9)</f>
        <v>9</v>
      </c>
    </row>
    <row r="274" spans="1:33" x14ac:dyDescent="0.25">
      <c r="A274">
        <f>loaded!C274</f>
        <v>0</v>
      </c>
      <c r="B274">
        <f>loaded!I274</f>
        <v>0</v>
      </c>
      <c r="C274">
        <f>IF(loaded!K274="Male",1,IF(loaded!K274="Female",2,9))</f>
        <v>9</v>
      </c>
      <c r="D274" s="8">
        <f>loaded!M274</f>
        <v>0</v>
      </c>
      <c r="E274" t="str">
        <f>LEFT(loaded!O274,3)</f>
        <v/>
      </c>
      <c r="F274" t="e">
        <f>INDEX(cntry_codes,MATCH(loaded!Q274,countries,0))</f>
        <v>#N/A</v>
      </c>
      <c r="G274" t="e">
        <f>INDEX(atsi_codes,MATCH(loaded!S274,atsi,0))</f>
        <v>#N/A</v>
      </c>
      <c r="H274" t="e">
        <f>INDEX(lang_codes,MATCH(loaded!U274,lang,0))</f>
        <v>#N/A</v>
      </c>
      <c r="I274" s="8">
        <f>loaded!W274</f>
        <v>0</v>
      </c>
      <c r="J274" t="e">
        <f>INDEX(us_acc_codes,MATCH(loaded!Y274,us_acc,0))</f>
        <v>#N/A</v>
      </c>
      <c r="K274" t="e">
        <f>INDEX(client_codes,MATCH(loaded!AA274,client,0))</f>
        <v>#N/A</v>
      </c>
      <c r="L274" t="e">
        <f>INDEX(src_ref_codes,MATCH(loaded!AC274,src_ref,0))</f>
        <v>#N/A</v>
      </c>
      <c r="M274" s="8">
        <f>loaded!AE274</f>
        <v>0</v>
      </c>
      <c r="N274" s="8">
        <f>loaded!AG274</f>
        <v>0</v>
      </c>
      <c r="O274" t="e">
        <f>INDEX(reces_codes,MATCH(loaded!AI274,reason,0))</f>
        <v>#N/A</v>
      </c>
      <c r="P274" t="e">
        <f>INDEX(TDS_codes,MATCH(loaded!AK274,TDS,0))</f>
        <v>#N/A</v>
      </c>
      <c r="Q274" t="e">
        <f>IF(K274=2,"",INDEX(method_codes,MATCH(loaded!AM274,method,0)))</f>
        <v>#N/A</v>
      </c>
      <c r="R274" t="e">
        <f>IF(K274=2,"",INDEX(inj_codes,MATCH(loaded!AO274,inj,0)))</f>
        <v>#N/A</v>
      </c>
      <c r="S274" t="e">
        <f>IF(K274=2,"",INDEX(drug_codes,MATCH(loaded!AQ274,drug,0)))</f>
        <v>#N/A</v>
      </c>
      <c r="T274" t="e">
        <f>IF(K274=2,"",_xlfn.IFNA(INDEX(drug_codes,MATCH(loaded!AS274,drug,0)),""))</f>
        <v>#N/A</v>
      </c>
      <c r="U274" t="e">
        <f>IF(K274=2,"",_xlfn.IFNA(INDEX(drug_codes,MATCH(loaded!AU274,drug,0)),""))</f>
        <v>#N/A</v>
      </c>
      <c r="V274" t="e">
        <f>IF(K274=2,"",_xlfn.IFNA(INDEX(drug_codes,MATCH(loaded!AW274,drug,0)),""))</f>
        <v>#N/A</v>
      </c>
      <c r="W274" t="e">
        <f>IF(K274=2,"",_xlfn.IFNA(INDEX(drug_codes,MATCH(loaded!AY274,drug,0)),""))</f>
        <v>#N/A</v>
      </c>
      <c r="X274" t="e">
        <f>IF(K274=2,"",_xlfn.IFNA(INDEX(drug_codes,MATCH(loaded!BA274,drug,0)),""))</f>
        <v>#N/A</v>
      </c>
      <c r="Y274" t="e">
        <f>INDEX(MTT_codes,MATCH(loaded!BC274,MTT,0))</f>
        <v>#N/A</v>
      </c>
      <c r="Z274" t="str">
        <f>_xlfn.IFNA(INDEX(MTT_codes,MATCH(loaded!BE274,MTT,0)),"")</f>
        <v/>
      </c>
      <c r="AA274" t="str">
        <f>_xlfn.IFNA(INDEX(MTT_codes,MATCH(loaded!BG274,MTT,0)),"")</f>
        <v/>
      </c>
      <c r="AB274" t="str">
        <f>_xlfn.IFNA(INDEX(MTT_codes,MATCH(loaded!BI274,MTT,0)),"")</f>
        <v/>
      </c>
      <c r="AC274" t="str">
        <f>_xlfn.IFNA(INDEX(MTT_codes,MATCH(loaded!BK274,MTT,0)),"")</f>
        <v/>
      </c>
      <c r="AD274" t="str">
        <f>_xlfn.IFNA(INDEX(MTT_codes,MATCH(loaded!BM274,MTT,0)),"")</f>
        <v/>
      </c>
      <c r="AE274" t="e">
        <f>INDEX(liv_ar_codes,MATCH(loaded!BO274,liv_ar,0))</f>
        <v>#N/A</v>
      </c>
      <c r="AF274" t="str">
        <f>_xlfn.IFNA(INDEX(MTT_codes,MATCH(loaded!BQ274,MTT,0)),"")</f>
        <v/>
      </c>
      <c r="AG274">
        <f>_xlfn.IFNA(INDEX(mental_codes,MATCH(loaded!BS274,mental,0)),9)</f>
        <v>9</v>
      </c>
    </row>
    <row r="275" spans="1:33" x14ac:dyDescent="0.25">
      <c r="A275">
        <f>loaded!C275</f>
        <v>0</v>
      </c>
      <c r="B275">
        <f>loaded!I275</f>
        <v>0</v>
      </c>
      <c r="C275">
        <f>IF(loaded!K275="Male",1,IF(loaded!K275="Female",2,9))</f>
        <v>9</v>
      </c>
      <c r="D275" s="8">
        <f>loaded!M275</f>
        <v>0</v>
      </c>
      <c r="E275" t="str">
        <f>LEFT(loaded!O275,3)</f>
        <v/>
      </c>
      <c r="F275" t="e">
        <f>INDEX(cntry_codes,MATCH(loaded!Q275,countries,0))</f>
        <v>#N/A</v>
      </c>
      <c r="G275" t="e">
        <f>INDEX(atsi_codes,MATCH(loaded!S275,atsi,0))</f>
        <v>#N/A</v>
      </c>
      <c r="H275" t="e">
        <f>INDEX(lang_codes,MATCH(loaded!U275,lang,0))</f>
        <v>#N/A</v>
      </c>
      <c r="I275" s="8">
        <f>loaded!W275</f>
        <v>0</v>
      </c>
      <c r="J275" t="e">
        <f>INDEX(us_acc_codes,MATCH(loaded!Y275,us_acc,0))</f>
        <v>#N/A</v>
      </c>
      <c r="K275" t="e">
        <f>INDEX(client_codes,MATCH(loaded!AA275,client,0))</f>
        <v>#N/A</v>
      </c>
      <c r="L275" t="e">
        <f>INDEX(src_ref_codes,MATCH(loaded!AC275,src_ref,0))</f>
        <v>#N/A</v>
      </c>
      <c r="M275" s="8">
        <f>loaded!AE275</f>
        <v>0</v>
      </c>
      <c r="N275" s="8">
        <f>loaded!AG275</f>
        <v>0</v>
      </c>
      <c r="O275" t="e">
        <f>INDEX(reces_codes,MATCH(loaded!AI275,reason,0))</f>
        <v>#N/A</v>
      </c>
      <c r="P275" t="e">
        <f>INDEX(TDS_codes,MATCH(loaded!AK275,TDS,0))</f>
        <v>#N/A</v>
      </c>
      <c r="Q275" t="e">
        <f>IF(K275=2,"",INDEX(method_codes,MATCH(loaded!AM275,method,0)))</f>
        <v>#N/A</v>
      </c>
      <c r="R275" t="e">
        <f>IF(K275=2,"",INDEX(inj_codes,MATCH(loaded!AO275,inj,0)))</f>
        <v>#N/A</v>
      </c>
      <c r="S275" t="e">
        <f>IF(K275=2,"",INDEX(drug_codes,MATCH(loaded!AQ275,drug,0)))</f>
        <v>#N/A</v>
      </c>
      <c r="T275" t="e">
        <f>IF(K275=2,"",_xlfn.IFNA(INDEX(drug_codes,MATCH(loaded!AS275,drug,0)),""))</f>
        <v>#N/A</v>
      </c>
      <c r="U275" t="e">
        <f>IF(K275=2,"",_xlfn.IFNA(INDEX(drug_codes,MATCH(loaded!AU275,drug,0)),""))</f>
        <v>#N/A</v>
      </c>
      <c r="V275" t="e">
        <f>IF(K275=2,"",_xlfn.IFNA(INDEX(drug_codes,MATCH(loaded!AW275,drug,0)),""))</f>
        <v>#N/A</v>
      </c>
      <c r="W275" t="e">
        <f>IF(K275=2,"",_xlfn.IFNA(INDEX(drug_codes,MATCH(loaded!AY275,drug,0)),""))</f>
        <v>#N/A</v>
      </c>
      <c r="X275" t="e">
        <f>IF(K275=2,"",_xlfn.IFNA(INDEX(drug_codes,MATCH(loaded!BA275,drug,0)),""))</f>
        <v>#N/A</v>
      </c>
      <c r="Y275" t="e">
        <f>INDEX(MTT_codes,MATCH(loaded!BC275,MTT,0))</f>
        <v>#N/A</v>
      </c>
      <c r="Z275" t="str">
        <f>_xlfn.IFNA(INDEX(MTT_codes,MATCH(loaded!BE275,MTT,0)),"")</f>
        <v/>
      </c>
      <c r="AA275" t="str">
        <f>_xlfn.IFNA(INDEX(MTT_codes,MATCH(loaded!BG275,MTT,0)),"")</f>
        <v/>
      </c>
      <c r="AB275" t="str">
        <f>_xlfn.IFNA(INDEX(MTT_codes,MATCH(loaded!BI275,MTT,0)),"")</f>
        <v/>
      </c>
      <c r="AC275" t="str">
        <f>_xlfn.IFNA(INDEX(MTT_codes,MATCH(loaded!BK275,MTT,0)),"")</f>
        <v/>
      </c>
      <c r="AD275" t="str">
        <f>_xlfn.IFNA(INDEX(MTT_codes,MATCH(loaded!BM275,MTT,0)),"")</f>
        <v/>
      </c>
      <c r="AE275" t="e">
        <f>INDEX(liv_ar_codes,MATCH(loaded!BO275,liv_ar,0))</f>
        <v>#N/A</v>
      </c>
      <c r="AF275" t="str">
        <f>_xlfn.IFNA(INDEX(MTT_codes,MATCH(loaded!BQ275,MTT,0)),"")</f>
        <v/>
      </c>
      <c r="AG275">
        <f>_xlfn.IFNA(INDEX(mental_codes,MATCH(loaded!BS275,mental,0)),9)</f>
        <v>9</v>
      </c>
    </row>
    <row r="276" spans="1:33" x14ac:dyDescent="0.25">
      <c r="A276">
        <f>loaded!C276</f>
        <v>0</v>
      </c>
      <c r="B276">
        <f>loaded!I276</f>
        <v>0</v>
      </c>
      <c r="C276">
        <f>IF(loaded!K276="Male",1,IF(loaded!K276="Female",2,9))</f>
        <v>9</v>
      </c>
      <c r="D276" s="8">
        <f>loaded!M276</f>
        <v>0</v>
      </c>
      <c r="E276" t="str">
        <f>LEFT(loaded!O276,3)</f>
        <v/>
      </c>
      <c r="F276" t="e">
        <f>INDEX(cntry_codes,MATCH(loaded!Q276,countries,0))</f>
        <v>#N/A</v>
      </c>
      <c r="G276" t="e">
        <f>INDEX(atsi_codes,MATCH(loaded!S276,atsi,0))</f>
        <v>#N/A</v>
      </c>
      <c r="H276" t="e">
        <f>INDEX(lang_codes,MATCH(loaded!U276,lang,0))</f>
        <v>#N/A</v>
      </c>
      <c r="I276" s="8">
        <f>loaded!W276</f>
        <v>0</v>
      </c>
      <c r="J276" t="e">
        <f>INDEX(us_acc_codes,MATCH(loaded!Y276,us_acc,0))</f>
        <v>#N/A</v>
      </c>
      <c r="K276" t="e">
        <f>INDEX(client_codes,MATCH(loaded!AA276,client,0))</f>
        <v>#N/A</v>
      </c>
      <c r="L276" t="e">
        <f>INDEX(src_ref_codes,MATCH(loaded!AC276,src_ref,0))</f>
        <v>#N/A</v>
      </c>
      <c r="M276" s="8">
        <f>loaded!AE276</f>
        <v>0</v>
      </c>
      <c r="N276" s="8">
        <f>loaded!AG276</f>
        <v>0</v>
      </c>
      <c r="O276" t="e">
        <f>INDEX(reces_codes,MATCH(loaded!AI276,reason,0))</f>
        <v>#N/A</v>
      </c>
      <c r="P276" t="e">
        <f>INDEX(TDS_codes,MATCH(loaded!AK276,TDS,0))</f>
        <v>#N/A</v>
      </c>
      <c r="Q276" t="e">
        <f>IF(K276=2,"",INDEX(method_codes,MATCH(loaded!AM276,method,0)))</f>
        <v>#N/A</v>
      </c>
      <c r="R276" t="e">
        <f>IF(K276=2,"",INDEX(inj_codes,MATCH(loaded!AO276,inj,0)))</f>
        <v>#N/A</v>
      </c>
      <c r="S276" t="e">
        <f>IF(K276=2,"",INDEX(drug_codes,MATCH(loaded!AQ276,drug,0)))</f>
        <v>#N/A</v>
      </c>
      <c r="T276" t="e">
        <f>IF(K276=2,"",_xlfn.IFNA(INDEX(drug_codes,MATCH(loaded!AS276,drug,0)),""))</f>
        <v>#N/A</v>
      </c>
      <c r="U276" t="e">
        <f>IF(K276=2,"",_xlfn.IFNA(INDEX(drug_codes,MATCH(loaded!AU276,drug,0)),""))</f>
        <v>#N/A</v>
      </c>
      <c r="V276" t="e">
        <f>IF(K276=2,"",_xlfn.IFNA(INDEX(drug_codes,MATCH(loaded!AW276,drug,0)),""))</f>
        <v>#N/A</v>
      </c>
      <c r="W276" t="e">
        <f>IF(K276=2,"",_xlfn.IFNA(INDEX(drug_codes,MATCH(loaded!AY276,drug,0)),""))</f>
        <v>#N/A</v>
      </c>
      <c r="X276" t="e">
        <f>IF(K276=2,"",_xlfn.IFNA(INDEX(drug_codes,MATCH(loaded!BA276,drug,0)),""))</f>
        <v>#N/A</v>
      </c>
      <c r="Y276" t="e">
        <f>INDEX(MTT_codes,MATCH(loaded!BC276,MTT,0))</f>
        <v>#N/A</v>
      </c>
      <c r="Z276" t="str">
        <f>_xlfn.IFNA(INDEX(MTT_codes,MATCH(loaded!BE276,MTT,0)),"")</f>
        <v/>
      </c>
      <c r="AA276" t="str">
        <f>_xlfn.IFNA(INDEX(MTT_codes,MATCH(loaded!BG276,MTT,0)),"")</f>
        <v/>
      </c>
      <c r="AB276" t="str">
        <f>_xlfn.IFNA(INDEX(MTT_codes,MATCH(loaded!BI276,MTT,0)),"")</f>
        <v/>
      </c>
      <c r="AC276" t="str">
        <f>_xlfn.IFNA(INDEX(MTT_codes,MATCH(loaded!BK276,MTT,0)),"")</f>
        <v/>
      </c>
      <c r="AD276" t="str">
        <f>_xlfn.IFNA(INDEX(MTT_codes,MATCH(loaded!BM276,MTT,0)),"")</f>
        <v/>
      </c>
      <c r="AE276" t="e">
        <f>INDEX(liv_ar_codes,MATCH(loaded!BO276,liv_ar,0))</f>
        <v>#N/A</v>
      </c>
      <c r="AF276" t="str">
        <f>_xlfn.IFNA(INDEX(MTT_codes,MATCH(loaded!BQ276,MTT,0)),"")</f>
        <v/>
      </c>
      <c r="AG276">
        <f>_xlfn.IFNA(INDEX(mental_codes,MATCH(loaded!BS276,mental,0)),9)</f>
        <v>9</v>
      </c>
    </row>
    <row r="277" spans="1:33" x14ac:dyDescent="0.25">
      <c r="A277">
        <f>loaded!C277</f>
        <v>0</v>
      </c>
      <c r="B277">
        <f>loaded!I277</f>
        <v>0</v>
      </c>
      <c r="C277">
        <f>IF(loaded!K277="Male",1,IF(loaded!K277="Female",2,9))</f>
        <v>9</v>
      </c>
      <c r="D277" s="8">
        <f>loaded!M277</f>
        <v>0</v>
      </c>
      <c r="E277" t="str">
        <f>LEFT(loaded!O277,3)</f>
        <v/>
      </c>
      <c r="F277" t="e">
        <f>INDEX(cntry_codes,MATCH(loaded!Q277,countries,0))</f>
        <v>#N/A</v>
      </c>
      <c r="G277" t="e">
        <f>INDEX(atsi_codes,MATCH(loaded!S277,atsi,0))</f>
        <v>#N/A</v>
      </c>
      <c r="H277" t="e">
        <f>INDEX(lang_codes,MATCH(loaded!U277,lang,0))</f>
        <v>#N/A</v>
      </c>
      <c r="I277" s="8">
        <f>loaded!W277</f>
        <v>0</v>
      </c>
      <c r="J277" t="e">
        <f>INDEX(us_acc_codes,MATCH(loaded!Y277,us_acc,0))</f>
        <v>#N/A</v>
      </c>
      <c r="K277" t="e">
        <f>INDEX(client_codes,MATCH(loaded!AA277,client,0))</f>
        <v>#N/A</v>
      </c>
      <c r="L277" t="e">
        <f>INDEX(src_ref_codes,MATCH(loaded!AC277,src_ref,0))</f>
        <v>#N/A</v>
      </c>
      <c r="M277" s="8">
        <f>loaded!AE277</f>
        <v>0</v>
      </c>
      <c r="N277" s="8">
        <f>loaded!AG277</f>
        <v>0</v>
      </c>
      <c r="O277" t="e">
        <f>INDEX(reces_codes,MATCH(loaded!AI277,reason,0))</f>
        <v>#N/A</v>
      </c>
      <c r="P277" t="e">
        <f>INDEX(TDS_codes,MATCH(loaded!AK277,TDS,0))</f>
        <v>#N/A</v>
      </c>
      <c r="Q277" t="e">
        <f>IF(K277=2,"",INDEX(method_codes,MATCH(loaded!AM277,method,0)))</f>
        <v>#N/A</v>
      </c>
      <c r="R277" t="e">
        <f>IF(K277=2,"",INDEX(inj_codes,MATCH(loaded!AO277,inj,0)))</f>
        <v>#N/A</v>
      </c>
      <c r="S277" t="e">
        <f>IF(K277=2,"",INDEX(drug_codes,MATCH(loaded!AQ277,drug,0)))</f>
        <v>#N/A</v>
      </c>
      <c r="T277" t="e">
        <f>IF(K277=2,"",_xlfn.IFNA(INDEX(drug_codes,MATCH(loaded!AS277,drug,0)),""))</f>
        <v>#N/A</v>
      </c>
      <c r="U277" t="e">
        <f>IF(K277=2,"",_xlfn.IFNA(INDEX(drug_codes,MATCH(loaded!AU277,drug,0)),""))</f>
        <v>#N/A</v>
      </c>
      <c r="V277" t="e">
        <f>IF(K277=2,"",_xlfn.IFNA(INDEX(drug_codes,MATCH(loaded!AW277,drug,0)),""))</f>
        <v>#N/A</v>
      </c>
      <c r="W277" t="e">
        <f>IF(K277=2,"",_xlfn.IFNA(INDEX(drug_codes,MATCH(loaded!AY277,drug,0)),""))</f>
        <v>#N/A</v>
      </c>
      <c r="X277" t="e">
        <f>IF(K277=2,"",_xlfn.IFNA(INDEX(drug_codes,MATCH(loaded!BA277,drug,0)),""))</f>
        <v>#N/A</v>
      </c>
      <c r="Y277" t="e">
        <f>INDEX(MTT_codes,MATCH(loaded!BC277,MTT,0))</f>
        <v>#N/A</v>
      </c>
      <c r="Z277" t="str">
        <f>_xlfn.IFNA(INDEX(MTT_codes,MATCH(loaded!BE277,MTT,0)),"")</f>
        <v/>
      </c>
      <c r="AA277" t="str">
        <f>_xlfn.IFNA(INDEX(MTT_codes,MATCH(loaded!BG277,MTT,0)),"")</f>
        <v/>
      </c>
      <c r="AB277" t="str">
        <f>_xlfn.IFNA(INDEX(MTT_codes,MATCH(loaded!BI277,MTT,0)),"")</f>
        <v/>
      </c>
      <c r="AC277" t="str">
        <f>_xlfn.IFNA(INDEX(MTT_codes,MATCH(loaded!BK277,MTT,0)),"")</f>
        <v/>
      </c>
      <c r="AD277" t="str">
        <f>_xlfn.IFNA(INDEX(MTT_codes,MATCH(loaded!BM277,MTT,0)),"")</f>
        <v/>
      </c>
      <c r="AE277" t="e">
        <f>INDEX(liv_ar_codes,MATCH(loaded!BO277,liv_ar,0))</f>
        <v>#N/A</v>
      </c>
      <c r="AF277" t="str">
        <f>_xlfn.IFNA(INDEX(MTT_codes,MATCH(loaded!BQ277,MTT,0)),"")</f>
        <v/>
      </c>
      <c r="AG277">
        <f>_xlfn.IFNA(INDEX(mental_codes,MATCH(loaded!BS277,mental,0)),9)</f>
        <v>9</v>
      </c>
    </row>
    <row r="278" spans="1:33" x14ac:dyDescent="0.25">
      <c r="A278">
        <f>loaded!C278</f>
        <v>0</v>
      </c>
      <c r="B278">
        <f>loaded!I278</f>
        <v>0</v>
      </c>
      <c r="C278">
        <f>IF(loaded!K278="Male",1,IF(loaded!K278="Female",2,9))</f>
        <v>9</v>
      </c>
      <c r="D278" s="8">
        <f>loaded!M278</f>
        <v>0</v>
      </c>
      <c r="E278" t="str">
        <f>LEFT(loaded!O278,3)</f>
        <v/>
      </c>
      <c r="F278" t="e">
        <f>INDEX(cntry_codes,MATCH(loaded!Q278,countries,0))</f>
        <v>#N/A</v>
      </c>
      <c r="G278" t="e">
        <f>INDEX(atsi_codes,MATCH(loaded!S278,atsi,0))</f>
        <v>#N/A</v>
      </c>
      <c r="H278" t="e">
        <f>INDEX(lang_codes,MATCH(loaded!U278,lang,0))</f>
        <v>#N/A</v>
      </c>
      <c r="I278" s="8">
        <f>loaded!W278</f>
        <v>0</v>
      </c>
      <c r="J278" t="e">
        <f>INDEX(us_acc_codes,MATCH(loaded!Y278,us_acc,0))</f>
        <v>#N/A</v>
      </c>
      <c r="K278" t="e">
        <f>INDEX(client_codes,MATCH(loaded!AA278,client,0))</f>
        <v>#N/A</v>
      </c>
      <c r="L278" t="e">
        <f>INDEX(src_ref_codes,MATCH(loaded!AC278,src_ref,0))</f>
        <v>#N/A</v>
      </c>
      <c r="M278" s="8">
        <f>loaded!AE278</f>
        <v>0</v>
      </c>
      <c r="N278" s="8">
        <f>loaded!AG278</f>
        <v>0</v>
      </c>
      <c r="O278" t="e">
        <f>INDEX(reces_codes,MATCH(loaded!AI278,reason,0))</f>
        <v>#N/A</v>
      </c>
      <c r="P278" t="e">
        <f>INDEX(TDS_codes,MATCH(loaded!AK278,TDS,0))</f>
        <v>#N/A</v>
      </c>
      <c r="Q278" t="e">
        <f>IF(K278=2,"",INDEX(method_codes,MATCH(loaded!AM278,method,0)))</f>
        <v>#N/A</v>
      </c>
      <c r="R278" t="e">
        <f>IF(K278=2,"",INDEX(inj_codes,MATCH(loaded!AO278,inj,0)))</f>
        <v>#N/A</v>
      </c>
      <c r="S278" t="e">
        <f>IF(K278=2,"",INDEX(drug_codes,MATCH(loaded!AQ278,drug,0)))</f>
        <v>#N/A</v>
      </c>
      <c r="T278" t="e">
        <f>IF(K278=2,"",_xlfn.IFNA(INDEX(drug_codes,MATCH(loaded!AS278,drug,0)),""))</f>
        <v>#N/A</v>
      </c>
      <c r="U278" t="e">
        <f>IF(K278=2,"",_xlfn.IFNA(INDEX(drug_codes,MATCH(loaded!AU278,drug,0)),""))</f>
        <v>#N/A</v>
      </c>
      <c r="V278" t="e">
        <f>IF(K278=2,"",_xlfn.IFNA(INDEX(drug_codes,MATCH(loaded!AW278,drug,0)),""))</f>
        <v>#N/A</v>
      </c>
      <c r="W278" t="e">
        <f>IF(K278=2,"",_xlfn.IFNA(INDEX(drug_codes,MATCH(loaded!AY278,drug,0)),""))</f>
        <v>#N/A</v>
      </c>
      <c r="X278" t="e">
        <f>IF(K278=2,"",_xlfn.IFNA(INDEX(drug_codes,MATCH(loaded!BA278,drug,0)),""))</f>
        <v>#N/A</v>
      </c>
      <c r="Y278" t="e">
        <f>INDEX(MTT_codes,MATCH(loaded!BC278,MTT,0))</f>
        <v>#N/A</v>
      </c>
      <c r="Z278" t="str">
        <f>_xlfn.IFNA(INDEX(MTT_codes,MATCH(loaded!BE278,MTT,0)),"")</f>
        <v/>
      </c>
      <c r="AA278" t="str">
        <f>_xlfn.IFNA(INDEX(MTT_codes,MATCH(loaded!BG278,MTT,0)),"")</f>
        <v/>
      </c>
      <c r="AB278" t="str">
        <f>_xlfn.IFNA(INDEX(MTT_codes,MATCH(loaded!BI278,MTT,0)),"")</f>
        <v/>
      </c>
      <c r="AC278" t="str">
        <f>_xlfn.IFNA(INDEX(MTT_codes,MATCH(loaded!BK278,MTT,0)),"")</f>
        <v/>
      </c>
      <c r="AD278" t="str">
        <f>_xlfn.IFNA(INDEX(MTT_codes,MATCH(loaded!BM278,MTT,0)),"")</f>
        <v/>
      </c>
      <c r="AE278" t="e">
        <f>INDEX(liv_ar_codes,MATCH(loaded!BO278,liv_ar,0))</f>
        <v>#N/A</v>
      </c>
      <c r="AF278" t="str">
        <f>_xlfn.IFNA(INDEX(MTT_codes,MATCH(loaded!BQ278,MTT,0)),"")</f>
        <v/>
      </c>
      <c r="AG278">
        <f>_xlfn.IFNA(INDEX(mental_codes,MATCH(loaded!BS278,mental,0)),9)</f>
        <v>9</v>
      </c>
    </row>
    <row r="279" spans="1:33" x14ac:dyDescent="0.25">
      <c r="A279">
        <f>loaded!C279</f>
        <v>0</v>
      </c>
      <c r="B279">
        <f>loaded!I279</f>
        <v>0</v>
      </c>
      <c r="C279">
        <f>IF(loaded!K279="Male",1,IF(loaded!K279="Female",2,9))</f>
        <v>9</v>
      </c>
      <c r="D279" s="8">
        <f>loaded!M279</f>
        <v>0</v>
      </c>
      <c r="E279" t="str">
        <f>LEFT(loaded!O279,3)</f>
        <v/>
      </c>
      <c r="F279" t="e">
        <f>INDEX(cntry_codes,MATCH(loaded!Q279,countries,0))</f>
        <v>#N/A</v>
      </c>
      <c r="G279" t="e">
        <f>INDEX(atsi_codes,MATCH(loaded!S279,atsi,0))</f>
        <v>#N/A</v>
      </c>
      <c r="H279" t="e">
        <f>INDEX(lang_codes,MATCH(loaded!U279,lang,0))</f>
        <v>#N/A</v>
      </c>
      <c r="I279" s="8">
        <f>loaded!W279</f>
        <v>0</v>
      </c>
      <c r="J279" t="e">
        <f>INDEX(us_acc_codes,MATCH(loaded!Y279,us_acc,0))</f>
        <v>#N/A</v>
      </c>
      <c r="K279" t="e">
        <f>INDEX(client_codes,MATCH(loaded!AA279,client,0))</f>
        <v>#N/A</v>
      </c>
      <c r="L279" t="e">
        <f>INDEX(src_ref_codes,MATCH(loaded!AC279,src_ref,0))</f>
        <v>#N/A</v>
      </c>
      <c r="M279" s="8">
        <f>loaded!AE279</f>
        <v>0</v>
      </c>
      <c r="N279" s="8">
        <f>loaded!AG279</f>
        <v>0</v>
      </c>
      <c r="O279" t="e">
        <f>INDEX(reces_codes,MATCH(loaded!AI279,reason,0))</f>
        <v>#N/A</v>
      </c>
      <c r="P279" t="e">
        <f>INDEX(TDS_codes,MATCH(loaded!AK279,TDS,0))</f>
        <v>#N/A</v>
      </c>
      <c r="Q279" t="e">
        <f>IF(K279=2,"",INDEX(method_codes,MATCH(loaded!AM279,method,0)))</f>
        <v>#N/A</v>
      </c>
      <c r="R279" t="e">
        <f>IF(K279=2,"",INDEX(inj_codes,MATCH(loaded!AO279,inj,0)))</f>
        <v>#N/A</v>
      </c>
      <c r="S279" t="e">
        <f>IF(K279=2,"",INDEX(drug_codes,MATCH(loaded!AQ279,drug,0)))</f>
        <v>#N/A</v>
      </c>
      <c r="T279" t="e">
        <f>IF(K279=2,"",_xlfn.IFNA(INDEX(drug_codes,MATCH(loaded!AS279,drug,0)),""))</f>
        <v>#N/A</v>
      </c>
      <c r="U279" t="e">
        <f>IF(K279=2,"",_xlfn.IFNA(INDEX(drug_codes,MATCH(loaded!AU279,drug,0)),""))</f>
        <v>#N/A</v>
      </c>
      <c r="V279" t="e">
        <f>IF(K279=2,"",_xlfn.IFNA(INDEX(drug_codes,MATCH(loaded!AW279,drug,0)),""))</f>
        <v>#N/A</v>
      </c>
      <c r="W279" t="e">
        <f>IF(K279=2,"",_xlfn.IFNA(INDEX(drug_codes,MATCH(loaded!AY279,drug,0)),""))</f>
        <v>#N/A</v>
      </c>
      <c r="X279" t="e">
        <f>IF(K279=2,"",_xlfn.IFNA(INDEX(drug_codes,MATCH(loaded!BA279,drug,0)),""))</f>
        <v>#N/A</v>
      </c>
      <c r="Y279" t="e">
        <f>INDEX(MTT_codes,MATCH(loaded!BC279,MTT,0))</f>
        <v>#N/A</v>
      </c>
      <c r="Z279" t="str">
        <f>_xlfn.IFNA(INDEX(MTT_codes,MATCH(loaded!BE279,MTT,0)),"")</f>
        <v/>
      </c>
      <c r="AA279" t="str">
        <f>_xlfn.IFNA(INDEX(MTT_codes,MATCH(loaded!BG279,MTT,0)),"")</f>
        <v/>
      </c>
      <c r="AB279" t="str">
        <f>_xlfn.IFNA(INDEX(MTT_codes,MATCH(loaded!BI279,MTT,0)),"")</f>
        <v/>
      </c>
      <c r="AC279" t="str">
        <f>_xlfn.IFNA(INDEX(MTT_codes,MATCH(loaded!BK279,MTT,0)),"")</f>
        <v/>
      </c>
      <c r="AD279" t="str">
        <f>_xlfn.IFNA(INDEX(MTT_codes,MATCH(loaded!BM279,MTT,0)),"")</f>
        <v/>
      </c>
      <c r="AE279" t="e">
        <f>INDEX(liv_ar_codes,MATCH(loaded!BO279,liv_ar,0))</f>
        <v>#N/A</v>
      </c>
      <c r="AF279" t="str">
        <f>_xlfn.IFNA(INDEX(MTT_codes,MATCH(loaded!BQ279,MTT,0)),"")</f>
        <v/>
      </c>
      <c r="AG279">
        <f>_xlfn.IFNA(INDEX(mental_codes,MATCH(loaded!BS279,mental,0)),9)</f>
        <v>9</v>
      </c>
    </row>
    <row r="280" spans="1:33" x14ac:dyDescent="0.25">
      <c r="A280">
        <f>loaded!C280</f>
        <v>0</v>
      </c>
      <c r="B280">
        <f>loaded!I280</f>
        <v>0</v>
      </c>
      <c r="C280">
        <f>IF(loaded!K280="Male",1,IF(loaded!K280="Female",2,9))</f>
        <v>9</v>
      </c>
      <c r="D280" s="8">
        <f>loaded!M280</f>
        <v>0</v>
      </c>
      <c r="E280" t="str">
        <f>LEFT(loaded!O280,3)</f>
        <v/>
      </c>
      <c r="F280" t="e">
        <f>INDEX(cntry_codes,MATCH(loaded!Q280,countries,0))</f>
        <v>#N/A</v>
      </c>
      <c r="G280" t="e">
        <f>INDEX(atsi_codes,MATCH(loaded!S280,atsi,0))</f>
        <v>#N/A</v>
      </c>
      <c r="H280" t="e">
        <f>INDEX(lang_codes,MATCH(loaded!U280,lang,0))</f>
        <v>#N/A</v>
      </c>
      <c r="I280" s="8">
        <f>loaded!W280</f>
        <v>0</v>
      </c>
      <c r="J280" t="e">
        <f>INDEX(us_acc_codes,MATCH(loaded!Y280,us_acc,0))</f>
        <v>#N/A</v>
      </c>
      <c r="K280" t="e">
        <f>INDEX(client_codes,MATCH(loaded!AA280,client,0))</f>
        <v>#N/A</v>
      </c>
      <c r="L280" t="e">
        <f>INDEX(src_ref_codes,MATCH(loaded!AC280,src_ref,0))</f>
        <v>#N/A</v>
      </c>
      <c r="M280" s="8">
        <f>loaded!AE280</f>
        <v>0</v>
      </c>
      <c r="N280" s="8">
        <f>loaded!AG280</f>
        <v>0</v>
      </c>
      <c r="O280" t="e">
        <f>INDEX(reces_codes,MATCH(loaded!AI280,reason,0))</f>
        <v>#N/A</v>
      </c>
      <c r="P280" t="e">
        <f>INDEX(TDS_codes,MATCH(loaded!AK280,TDS,0))</f>
        <v>#N/A</v>
      </c>
      <c r="Q280" t="e">
        <f>IF(K280=2,"",INDEX(method_codes,MATCH(loaded!AM280,method,0)))</f>
        <v>#N/A</v>
      </c>
      <c r="R280" t="e">
        <f>IF(K280=2,"",INDEX(inj_codes,MATCH(loaded!AO280,inj,0)))</f>
        <v>#N/A</v>
      </c>
      <c r="S280" t="e">
        <f>IF(K280=2,"",INDEX(drug_codes,MATCH(loaded!AQ280,drug,0)))</f>
        <v>#N/A</v>
      </c>
      <c r="T280" t="e">
        <f>IF(K280=2,"",_xlfn.IFNA(INDEX(drug_codes,MATCH(loaded!AS280,drug,0)),""))</f>
        <v>#N/A</v>
      </c>
      <c r="U280" t="e">
        <f>IF(K280=2,"",_xlfn.IFNA(INDEX(drug_codes,MATCH(loaded!AU280,drug,0)),""))</f>
        <v>#N/A</v>
      </c>
      <c r="V280" t="e">
        <f>IF(K280=2,"",_xlfn.IFNA(INDEX(drug_codes,MATCH(loaded!AW280,drug,0)),""))</f>
        <v>#N/A</v>
      </c>
      <c r="W280" t="e">
        <f>IF(K280=2,"",_xlfn.IFNA(INDEX(drug_codes,MATCH(loaded!AY280,drug,0)),""))</f>
        <v>#N/A</v>
      </c>
      <c r="X280" t="e">
        <f>IF(K280=2,"",_xlfn.IFNA(INDEX(drug_codes,MATCH(loaded!BA280,drug,0)),""))</f>
        <v>#N/A</v>
      </c>
      <c r="Y280" t="e">
        <f>INDEX(MTT_codes,MATCH(loaded!BC280,MTT,0))</f>
        <v>#N/A</v>
      </c>
      <c r="Z280" t="str">
        <f>_xlfn.IFNA(INDEX(MTT_codes,MATCH(loaded!BE280,MTT,0)),"")</f>
        <v/>
      </c>
      <c r="AA280" t="str">
        <f>_xlfn.IFNA(INDEX(MTT_codes,MATCH(loaded!BG280,MTT,0)),"")</f>
        <v/>
      </c>
      <c r="AB280" t="str">
        <f>_xlfn.IFNA(INDEX(MTT_codes,MATCH(loaded!BI280,MTT,0)),"")</f>
        <v/>
      </c>
      <c r="AC280" t="str">
        <f>_xlfn.IFNA(INDEX(MTT_codes,MATCH(loaded!BK280,MTT,0)),"")</f>
        <v/>
      </c>
      <c r="AD280" t="str">
        <f>_xlfn.IFNA(INDEX(MTT_codes,MATCH(loaded!BM280,MTT,0)),"")</f>
        <v/>
      </c>
      <c r="AE280" t="e">
        <f>INDEX(liv_ar_codes,MATCH(loaded!BO280,liv_ar,0))</f>
        <v>#N/A</v>
      </c>
      <c r="AF280" t="str">
        <f>_xlfn.IFNA(INDEX(MTT_codes,MATCH(loaded!BQ280,MTT,0)),"")</f>
        <v/>
      </c>
      <c r="AG280">
        <f>_xlfn.IFNA(INDEX(mental_codes,MATCH(loaded!BS280,mental,0)),9)</f>
        <v>9</v>
      </c>
    </row>
    <row r="281" spans="1:33" x14ac:dyDescent="0.25">
      <c r="A281">
        <f>loaded!C281</f>
        <v>0</v>
      </c>
      <c r="B281">
        <f>loaded!I281</f>
        <v>0</v>
      </c>
      <c r="C281">
        <f>IF(loaded!K281="Male",1,IF(loaded!K281="Female",2,9))</f>
        <v>9</v>
      </c>
      <c r="D281" s="8">
        <f>loaded!M281</f>
        <v>0</v>
      </c>
      <c r="E281" t="str">
        <f>LEFT(loaded!O281,3)</f>
        <v/>
      </c>
      <c r="F281" t="e">
        <f>INDEX(cntry_codes,MATCH(loaded!Q281,countries,0))</f>
        <v>#N/A</v>
      </c>
      <c r="G281" t="e">
        <f>INDEX(atsi_codes,MATCH(loaded!S281,atsi,0))</f>
        <v>#N/A</v>
      </c>
      <c r="H281" t="e">
        <f>INDEX(lang_codes,MATCH(loaded!U281,lang,0))</f>
        <v>#N/A</v>
      </c>
      <c r="I281" s="8">
        <f>loaded!W281</f>
        <v>0</v>
      </c>
      <c r="J281" t="e">
        <f>INDEX(us_acc_codes,MATCH(loaded!Y281,us_acc,0))</f>
        <v>#N/A</v>
      </c>
      <c r="K281" t="e">
        <f>INDEX(client_codes,MATCH(loaded!AA281,client,0))</f>
        <v>#N/A</v>
      </c>
      <c r="L281" t="e">
        <f>INDEX(src_ref_codes,MATCH(loaded!AC281,src_ref,0))</f>
        <v>#N/A</v>
      </c>
      <c r="M281" s="8">
        <f>loaded!AE281</f>
        <v>0</v>
      </c>
      <c r="N281" s="8">
        <f>loaded!AG281</f>
        <v>0</v>
      </c>
      <c r="O281" t="e">
        <f>INDEX(reces_codes,MATCH(loaded!AI281,reason,0))</f>
        <v>#N/A</v>
      </c>
      <c r="P281" t="e">
        <f>INDEX(TDS_codes,MATCH(loaded!AK281,TDS,0))</f>
        <v>#N/A</v>
      </c>
      <c r="Q281" t="e">
        <f>IF(K281=2,"",INDEX(method_codes,MATCH(loaded!AM281,method,0)))</f>
        <v>#N/A</v>
      </c>
      <c r="R281" t="e">
        <f>IF(K281=2,"",INDEX(inj_codes,MATCH(loaded!AO281,inj,0)))</f>
        <v>#N/A</v>
      </c>
      <c r="S281" t="e">
        <f>IF(K281=2,"",INDEX(drug_codes,MATCH(loaded!AQ281,drug,0)))</f>
        <v>#N/A</v>
      </c>
      <c r="T281" t="e">
        <f>IF(K281=2,"",_xlfn.IFNA(INDEX(drug_codes,MATCH(loaded!AS281,drug,0)),""))</f>
        <v>#N/A</v>
      </c>
      <c r="U281" t="e">
        <f>IF(K281=2,"",_xlfn.IFNA(INDEX(drug_codes,MATCH(loaded!AU281,drug,0)),""))</f>
        <v>#N/A</v>
      </c>
      <c r="V281" t="e">
        <f>IF(K281=2,"",_xlfn.IFNA(INDEX(drug_codes,MATCH(loaded!AW281,drug,0)),""))</f>
        <v>#N/A</v>
      </c>
      <c r="W281" t="e">
        <f>IF(K281=2,"",_xlfn.IFNA(INDEX(drug_codes,MATCH(loaded!AY281,drug,0)),""))</f>
        <v>#N/A</v>
      </c>
      <c r="X281" t="e">
        <f>IF(K281=2,"",_xlfn.IFNA(INDEX(drug_codes,MATCH(loaded!BA281,drug,0)),""))</f>
        <v>#N/A</v>
      </c>
      <c r="Y281" t="e">
        <f>INDEX(MTT_codes,MATCH(loaded!BC281,MTT,0))</f>
        <v>#N/A</v>
      </c>
      <c r="Z281" t="str">
        <f>_xlfn.IFNA(INDEX(MTT_codes,MATCH(loaded!BE281,MTT,0)),"")</f>
        <v/>
      </c>
      <c r="AA281" t="str">
        <f>_xlfn.IFNA(INDEX(MTT_codes,MATCH(loaded!BG281,MTT,0)),"")</f>
        <v/>
      </c>
      <c r="AB281" t="str">
        <f>_xlfn.IFNA(INDEX(MTT_codes,MATCH(loaded!BI281,MTT,0)),"")</f>
        <v/>
      </c>
      <c r="AC281" t="str">
        <f>_xlfn.IFNA(INDEX(MTT_codes,MATCH(loaded!BK281,MTT,0)),"")</f>
        <v/>
      </c>
      <c r="AD281" t="str">
        <f>_xlfn.IFNA(INDEX(MTT_codes,MATCH(loaded!BM281,MTT,0)),"")</f>
        <v/>
      </c>
      <c r="AE281" t="e">
        <f>INDEX(liv_ar_codes,MATCH(loaded!BO281,liv_ar,0))</f>
        <v>#N/A</v>
      </c>
      <c r="AF281" t="str">
        <f>_xlfn.IFNA(INDEX(MTT_codes,MATCH(loaded!BQ281,MTT,0)),"")</f>
        <v/>
      </c>
      <c r="AG281">
        <f>_xlfn.IFNA(INDEX(mental_codes,MATCH(loaded!BS281,mental,0)),9)</f>
        <v>9</v>
      </c>
    </row>
    <row r="282" spans="1:33" x14ac:dyDescent="0.25">
      <c r="A282">
        <f>loaded!C282</f>
        <v>0</v>
      </c>
      <c r="B282">
        <f>loaded!I282</f>
        <v>0</v>
      </c>
      <c r="C282">
        <f>IF(loaded!K282="Male",1,IF(loaded!K282="Female",2,9))</f>
        <v>9</v>
      </c>
      <c r="D282" s="8">
        <f>loaded!M282</f>
        <v>0</v>
      </c>
      <c r="E282" t="str">
        <f>LEFT(loaded!O282,3)</f>
        <v/>
      </c>
      <c r="F282" t="e">
        <f>INDEX(cntry_codes,MATCH(loaded!Q282,countries,0))</f>
        <v>#N/A</v>
      </c>
      <c r="G282" t="e">
        <f>INDEX(atsi_codes,MATCH(loaded!S282,atsi,0))</f>
        <v>#N/A</v>
      </c>
      <c r="H282" t="e">
        <f>INDEX(lang_codes,MATCH(loaded!U282,lang,0))</f>
        <v>#N/A</v>
      </c>
      <c r="I282" s="8">
        <f>loaded!W282</f>
        <v>0</v>
      </c>
      <c r="J282" t="e">
        <f>INDEX(us_acc_codes,MATCH(loaded!Y282,us_acc,0))</f>
        <v>#N/A</v>
      </c>
      <c r="K282" t="e">
        <f>INDEX(client_codes,MATCH(loaded!AA282,client,0))</f>
        <v>#N/A</v>
      </c>
      <c r="L282" t="e">
        <f>INDEX(src_ref_codes,MATCH(loaded!AC282,src_ref,0))</f>
        <v>#N/A</v>
      </c>
      <c r="M282" s="8">
        <f>loaded!AE282</f>
        <v>0</v>
      </c>
      <c r="N282" s="8">
        <f>loaded!AG282</f>
        <v>0</v>
      </c>
      <c r="O282" t="e">
        <f>INDEX(reces_codes,MATCH(loaded!AI282,reason,0))</f>
        <v>#N/A</v>
      </c>
      <c r="P282" t="e">
        <f>INDEX(TDS_codes,MATCH(loaded!AK282,TDS,0))</f>
        <v>#N/A</v>
      </c>
      <c r="Q282" t="e">
        <f>IF(K282=2,"",INDEX(method_codes,MATCH(loaded!AM282,method,0)))</f>
        <v>#N/A</v>
      </c>
      <c r="R282" t="e">
        <f>IF(K282=2,"",INDEX(inj_codes,MATCH(loaded!AO282,inj,0)))</f>
        <v>#N/A</v>
      </c>
      <c r="S282" t="e">
        <f>IF(K282=2,"",INDEX(drug_codes,MATCH(loaded!AQ282,drug,0)))</f>
        <v>#N/A</v>
      </c>
      <c r="T282" t="e">
        <f>IF(K282=2,"",_xlfn.IFNA(INDEX(drug_codes,MATCH(loaded!AS282,drug,0)),""))</f>
        <v>#N/A</v>
      </c>
      <c r="U282" t="e">
        <f>IF(K282=2,"",_xlfn.IFNA(INDEX(drug_codes,MATCH(loaded!AU282,drug,0)),""))</f>
        <v>#N/A</v>
      </c>
      <c r="V282" t="e">
        <f>IF(K282=2,"",_xlfn.IFNA(INDEX(drug_codes,MATCH(loaded!AW282,drug,0)),""))</f>
        <v>#N/A</v>
      </c>
      <c r="W282" t="e">
        <f>IF(K282=2,"",_xlfn.IFNA(INDEX(drug_codes,MATCH(loaded!AY282,drug,0)),""))</f>
        <v>#N/A</v>
      </c>
      <c r="X282" t="e">
        <f>IF(K282=2,"",_xlfn.IFNA(INDEX(drug_codes,MATCH(loaded!BA282,drug,0)),""))</f>
        <v>#N/A</v>
      </c>
      <c r="Y282" t="e">
        <f>INDEX(MTT_codes,MATCH(loaded!BC282,MTT,0))</f>
        <v>#N/A</v>
      </c>
      <c r="Z282" t="str">
        <f>_xlfn.IFNA(INDEX(MTT_codes,MATCH(loaded!BE282,MTT,0)),"")</f>
        <v/>
      </c>
      <c r="AA282" t="str">
        <f>_xlfn.IFNA(INDEX(MTT_codes,MATCH(loaded!BG282,MTT,0)),"")</f>
        <v/>
      </c>
      <c r="AB282" t="str">
        <f>_xlfn.IFNA(INDEX(MTT_codes,MATCH(loaded!BI282,MTT,0)),"")</f>
        <v/>
      </c>
      <c r="AC282" t="str">
        <f>_xlfn.IFNA(INDEX(MTT_codes,MATCH(loaded!BK282,MTT,0)),"")</f>
        <v/>
      </c>
      <c r="AD282" t="str">
        <f>_xlfn.IFNA(INDEX(MTT_codes,MATCH(loaded!BM282,MTT,0)),"")</f>
        <v/>
      </c>
      <c r="AE282" t="e">
        <f>INDEX(liv_ar_codes,MATCH(loaded!BO282,liv_ar,0))</f>
        <v>#N/A</v>
      </c>
      <c r="AF282" t="str">
        <f>_xlfn.IFNA(INDEX(MTT_codes,MATCH(loaded!BQ282,MTT,0)),"")</f>
        <v/>
      </c>
      <c r="AG282">
        <f>_xlfn.IFNA(INDEX(mental_codes,MATCH(loaded!BS282,mental,0)),9)</f>
        <v>9</v>
      </c>
    </row>
    <row r="283" spans="1:33" x14ac:dyDescent="0.25">
      <c r="A283">
        <f>loaded!C283</f>
        <v>0</v>
      </c>
      <c r="B283">
        <f>loaded!I283</f>
        <v>0</v>
      </c>
      <c r="C283">
        <f>IF(loaded!K283="Male",1,IF(loaded!K283="Female",2,9))</f>
        <v>9</v>
      </c>
      <c r="D283" s="8">
        <f>loaded!M283</f>
        <v>0</v>
      </c>
      <c r="E283" t="str">
        <f>LEFT(loaded!O283,3)</f>
        <v/>
      </c>
      <c r="F283" t="e">
        <f>INDEX(cntry_codes,MATCH(loaded!Q283,countries,0))</f>
        <v>#N/A</v>
      </c>
      <c r="G283" t="e">
        <f>INDEX(atsi_codes,MATCH(loaded!S283,atsi,0))</f>
        <v>#N/A</v>
      </c>
      <c r="H283" t="e">
        <f>INDEX(lang_codes,MATCH(loaded!U283,lang,0))</f>
        <v>#N/A</v>
      </c>
      <c r="I283" s="8">
        <f>loaded!W283</f>
        <v>0</v>
      </c>
      <c r="J283" t="e">
        <f>INDEX(us_acc_codes,MATCH(loaded!Y283,us_acc,0))</f>
        <v>#N/A</v>
      </c>
      <c r="K283" t="e">
        <f>INDEX(client_codes,MATCH(loaded!AA283,client,0))</f>
        <v>#N/A</v>
      </c>
      <c r="L283" t="e">
        <f>INDEX(src_ref_codes,MATCH(loaded!AC283,src_ref,0))</f>
        <v>#N/A</v>
      </c>
      <c r="M283" s="8">
        <f>loaded!AE283</f>
        <v>0</v>
      </c>
      <c r="N283" s="8">
        <f>loaded!AG283</f>
        <v>0</v>
      </c>
      <c r="O283" t="e">
        <f>INDEX(reces_codes,MATCH(loaded!AI283,reason,0))</f>
        <v>#N/A</v>
      </c>
      <c r="P283" t="e">
        <f>INDEX(TDS_codes,MATCH(loaded!AK283,TDS,0))</f>
        <v>#N/A</v>
      </c>
      <c r="Q283" t="e">
        <f>IF(K283=2,"",INDEX(method_codes,MATCH(loaded!AM283,method,0)))</f>
        <v>#N/A</v>
      </c>
      <c r="R283" t="e">
        <f>IF(K283=2,"",INDEX(inj_codes,MATCH(loaded!AO283,inj,0)))</f>
        <v>#N/A</v>
      </c>
      <c r="S283" t="e">
        <f>IF(K283=2,"",INDEX(drug_codes,MATCH(loaded!AQ283,drug,0)))</f>
        <v>#N/A</v>
      </c>
      <c r="T283" t="e">
        <f>IF(K283=2,"",_xlfn.IFNA(INDEX(drug_codes,MATCH(loaded!AS283,drug,0)),""))</f>
        <v>#N/A</v>
      </c>
      <c r="U283" t="e">
        <f>IF(K283=2,"",_xlfn.IFNA(INDEX(drug_codes,MATCH(loaded!AU283,drug,0)),""))</f>
        <v>#N/A</v>
      </c>
      <c r="V283" t="e">
        <f>IF(K283=2,"",_xlfn.IFNA(INDEX(drug_codes,MATCH(loaded!AW283,drug,0)),""))</f>
        <v>#N/A</v>
      </c>
      <c r="W283" t="e">
        <f>IF(K283=2,"",_xlfn.IFNA(INDEX(drug_codes,MATCH(loaded!AY283,drug,0)),""))</f>
        <v>#N/A</v>
      </c>
      <c r="X283" t="e">
        <f>IF(K283=2,"",_xlfn.IFNA(INDEX(drug_codes,MATCH(loaded!BA283,drug,0)),""))</f>
        <v>#N/A</v>
      </c>
      <c r="Y283" t="e">
        <f>INDEX(MTT_codes,MATCH(loaded!BC283,MTT,0))</f>
        <v>#N/A</v>
      </c>
      <c r="Z283" t="str">
        <f>_xlfn.IFNA(INDEX(MTT_codes,MATCH(loaded!BE283,MTT,0)),"")</f>
        <v/>
      </c>
      <c r="AA283" t="str">
        <f>_xlfn.IFNA(INDEX(MTT_codes,MATCH(loaded!BG283,MTT,0)),"")</f>
        <v/>
      </c>
      <c r="AB283" t="str">
        <f>_xlfn.IFNA(INDEX(MTT_codes,MATCH(loaded!BI283,MTT,0)),"")</f>
        <v/>
      </c>
      <c r="AC283" t="str">
        <f>_xlfn.IFNA(INDEX(MTT_codes,MATCH(loaded!BK283,MTT,0)),"")</f>
        <v/>
      </c>
      <c r="AD283" t="str">
        <f>_xlfn.IFNA(INDEX(MTT_codes,MATCH(loaded!BM283,MTT,0)),"")</f>
        <v/>
      </c>
      <c r="AE283" t="e">
        <f>INDEX(liv_ar_codes,MATCH(loaded!BO283,liv_ar,0))</f>
        <v>#N/A</v>
      </c>
      <c r="AF283" t="str">
        <f>_xlfn.IFNA(INDEX(MTT_codes,MATCH(loaded!BQ283,MTT,0)),"")</f>
        <v/>
      </c>
      <c r="AG283">
        <f>_xlfn.IFNA(INDEX(mental_codes,MATCH(loaded!BS283,mental,0)),9)</f>
        <v>9</v>
      </c>
    </row>
    <row r="284" spans="1:33" x14ac:dyDescent="0.25">
      <c r="A284">
        <f>loaded!C284</f>
        <v>0</v>
      </c>
      <c r="B284">
        <f>loaded!I284</f>
        <v>0</v>
      </c>
      <c r="C284">
        <f>IF(loaded!K284="Male",1,IF(loaded!K284="Female",2,9))</f>
        <v>9</v>
      </c>
      <c r="D284" s="8">
        <f>loaded!M284</f>
        <v>0</v>
      </c>
      <c r="E284" t="str">
        <f>LEFT(loaded!O284,3)</f>
        <v/>
      </c>
      <c r="F284" t="e">
        <f>INDEX(cntry_codes,MATCH(loaded!Q284,countries,0))</f>
        <v>#N/A</v>
      </c>
      <c r="G284" t="e">
        <f>INDEX(atsi_codes,MATCH(loaded!S284,atsi,0))</f>
        <v>#N/A</v>
      </c>
      <c r="H284" t="e">
        <f>INDEX(lang_codes,MATCH(loaded!U284,lang,0))</f>
        <v>#N/A</v>
      </c>
      <c r="I284" s="8">
        <f>loaded!W284</f>
        <v>0</v>
      </c>
      <c r="J284" t="e">
        <f>INDEX(us_acc_codes,MATCH(loaded!Y284,us_acc,0))</f>
        <v>#N/A</v>
      </c>
      <c r="K284" t="e">
        <f>INDEX(client_codes,MATCH(loaded!AA284,client,0))</f>
        <v>#N/A</v>
      </c>
      <c r="L284" t="e">
        <f>INDEX(src_ref_codes,MATCH(loaded!AC284,src_ref,0))</f>
        <v>#N/A</v>
      </c>
      <c r="M284" s="8">
        <f>loaded!AE284</f>
        <v>0</v>
      </c>
      <c r="N284" s="8">
        <f>loaded!AG284</f>
        <v>0</v>
      </c>
      <c r="O284" t="e">
        <f>INDEX(reces_codes,MATCH(loaded!AI284,reason,0))</f>
        <v>#N/A</v>
      </c>
      <c r="P284" t="e">
        <f>INDEX(TDS_codes,MATCH(loaded!AK284,TDS,0))</f>
        <v>#N/A</v>
      </c>
      <c r="Q284" t="e">
        <f>IF(K284=2,"",INDEX(method_codes,MATCH(loaded!AM284,method,0)))</f>
        <v>#N/A</v>
      </c>
      <c r="R284" t="e">
        <f>IF(K284=2,"",INDEX(inj_codes,MATCH(loaded!AO284,inj,0)))</f>
        <v>#N/A</v>
      </c>
      <c r="S284" t="e">
        <f>IF(K284=2,"",INDEX(drug_codes,MATCH(loaded!AQ284,drug,0)))</f>
        <v>#N/A</v>
      </c>
      <c r="T284" t="e">
        <f>IF(K284=2,"",_xlfn.IFNA(INDEX(drug_codes,MATCH(loaded!AS284,drug,0)),""))</f>
        <v>#N/A</v>
      </c>
      <c r="U284" t="e">
        <f>IF(K284=2,"",_xlfn.IFNA(INDEX(drug_codes,MATCH(loaded!AU284,drug,0)),""))</f>
        <v>#N/A</v>
      </c>
      <c r="V284" t="e">
        <f>IF(K284=2,"",_xlfn.IFNA(INDEX(drug_codes,MATCH(loaded!AW284,drug,0)),""))</f>
        <v>#N/A</v>
      </c>
      <c r="W284" t="e">
        <f>IF(K284=2,"",_xlfn.IFNA(INDEX(drug_codes,MATCH(loaded!AY284,drug,0)),""))</f>
        <v>#N/A</v>
      </c>
      <c r="X284" t="e">
        <f>IF(K284=2,"",_xlfn.IFNA(INDEX(drug_codes,MATCH(loaded!BA284,drug,0)),""))</f>
        <v>#N/A</v>
      </c>
      <c r="Y284" t="e">
        <f>INDEX(MTT_codes,MATCH(loaded!BC284,MTT,0))</f>
        <v>#N/A</v>
      </c>
      <c r="Z284" t="str">
        <f>_xlfn.IFNA(INDEX(MTT_codes,MATCH(loaded!BE284,MTT,0)),"")</f>
        <v/>
      </c>
      <c r="AA284" t="str">
        <f>_xlfn.IFNA(INDEX(MTT_codes,MATCH(loaded!BG284,MTT,0)),"")</f>
        <v/>
      </c>
      <c r="AB284" t="str">
        <f>_xlfn.IFNA(INDEX(MTT_codes,MATCH(loaded!BI284,MTT,0)),"")</f>
        <v/>
      </c>
      <c r="AC284" t="str">
        <f>_xlfn.IFNA(INDEX(MTT_codes,MATCH(loaded!BK284,MTT,0)),"")</f>
        <v/>
      </c>
      <c r="AD284" t="str">
        <f>_xlfn.IFNA(INDEX(MTT_codes,MATCH(loaded!BM284,MTT,0)),"")</f>
        <v/>
      </c>
      <c r="AE284" t="e">
        <f>INDEX(liv_ar_codes,MATCH(loaded!BO284,liv_ar,0))</f>
        <v>#N/A</v>
      </c>
      <c r="AF284" t="str">
        <f>_xlfn.IFNA(INDEX(MTT_codes,MATCH(loaded!BQ284,MTT,0)),"")</f>
        <v/>
      </c>
      <c r="AG284">
        <f>_xlfn.IFNA(INDEX(mental_codes,MATCH(loaded!BS284,mental,0)),9)</f>
        <v>9</v>
      </c>
    </row>
    <row r="285" spans="1:33" x14ac:dyDescent="0.25">
      <c r="A285">
        <f>loaded!C285</f>
        <v>0</v>
      </c>
      <c r="B285">
        <f>loaded!I285</f>
        <v>0</v>
      </c>
      <c r="C285">
        <f>IF(loaded!K285="Male",1,IF(loaded!K285="Female",2,9))</f>
        <v>9</v>
      </c>
      <c r="D285" s="8">
        <f>loaded!M285</f>
        <v>0</v>
      </c>
      <c r="E285" t="str">
        <f>LEFT(loaded!O285,3)</f>
        <v/>
      </c>
      <c r="F285" t="e">
        <f>INDEX(cntry_codes,MATCH(loaded!Q285,countries,0))</f>
        <v>#N/A</v>
      </c>
      <c r="G285" t="e">
        <f>INDEX(atsi_codes,MATCH(loaded!S285,atsi,0))</f>
        <v>#N/A</v>
      </c>
      <c r="H285" t="e">
        <f>INDEX(lang_codes,MATCH(loaded!U285,lang,0))</f>
        <v>#N/A</v>
      </c>
      <c r="I285" s="8">
        <f>loaded!W285</f>
        <v>0</v>
      </c>
      <c r="J285" t="e">
        <f>INDEX(us_acc_codes,MATCH(loaded!Y285,us_acc,0))</f>
        <v>#N/A</v>
      </c>
      <c r="K285" t="e">
        <f>INDEX(client_codes,MATCH(loaded!AA285,client,0))</f>
        <v>#N/A</v>
      </c>
      <c r="L285" t="e">
        <f>INDEX(src_ref_codes,MATCH(loaded!AC285,src_ref,0))</f>
        <v>#N/A</v>
      </c>
      <c r="M285" s="8">
        <f>loaded!AE285</f>
        <v>0</v>
      </c>
      <c r="N285" s="8">
        <f>loaded!AG285</f>
        <v>0</v>
      </c>
      <c r="O285" t="e">
        <f>INDEX(reces_codes,MATCH(loaded!AI285,reason,0))</f>
        <v>#N/A</v>
      </c>
      <c r="P285" t="e">
        <f>INDEX(TDS_codes,MATCH(loaded!AK285,TDS,0))</f>
        <v>#N/A</v>
      </c>
      <c r="Q285" t="e">
        <f>IF(K285=2,"",INDEX(method_codes,MATCH(loaded!AM285,method,0)))</f>
        <v>#N/A</v>
      </c>
      <c r="R285" t="e">
        <f>IF(K285=2,"",INDEX(inj_codes,MATCH(loaded!AO285,inj,0)))</f>
        <v>#N/A</v>
      </c>
      <c r="S285" t="e">
        <f>IF(K285=2,"",INDEX(drug_codes,MATCH(loaded!AQ285,drug,0)))</f>
        <v>#N/A</v>
      </c>
      <c r="T285" t="e">
        <f>IF(K285=2,"",_xlfn.IFNA(INDEX(drug_codes,MATCH(loaded!AS285,drug,0)),""))</f>
        <v>#N/A</v>
      </c>
      <c r="U285" t="e">
        <f>IF(K285=2,"",_xlfn.IFNA(INDEX(drug_codes,MATCH(loaded!AU285,drug,0)),""))</f>
        <v>#N/A</v>
      </c>
      <c r="V285" t="e">
        <f>IF(K285=2,"",_xlfn.IFNA(INDEX(drug_codes,MATCH(loaded!AW285,drug,0)),""))</f>
        <v>#N/A</v>
      </c>
      <c r="W285" t="e">
        <f>IF(K285=2,"",_xlfn.IFNA(INDEX(drug_codes,MATCH(loaded!AY285,drug,0)),""))</f>
        <v>#N/A</v>
      </c>
      <c r="X285" t="e">
        <f>IF(K285=2,"",_xlfn.IFNA(INDEX(drug_codes,MATCH(loaded!BA285,drug,0)),""))</f>
        <v>#N/A</v>
      </c>
      <c r="Y285" t="e">
        <f>INDEX(MTT_codes,MATCH(loaded!BC285,MTT,0))</f>
        <v>#N/A</v>
      </c>
      <c r="Z285" t="str">
        <f>_xlfn.IFNA(INDEX(MTT_codes,MATCH(loaded!BE285,MTT,0)),"")</f>
        <v/>
      </c>
      <c r="AA285" t="str">
        <f>_xlfn.IFNA(INDEX(MTT_codes,MATCH(loaded!BG285,MTT,0)),"")</f>
        <v/>
      </c>
      <c r="AB285" t="str">
        <f>_xlfn.IFNA(INDEX(MTT_codes,MATCH(loaded!BI285,MTT,0)),"")</f>
        <v/>
      </c>
      <c r="AC285" t="str">
        <f>_xlfn.IFNA(INDEX(MTT_codes,MATCH(loaded!BK285,MTT,0)),"")</f>
        <v/>
      </c>
      <c r="AD285" t="str">
        <f>_xlfn.IFNA(INDEX(MTT_codes,MATCH(loaded!BM285,MTT,0)),"")</f>
        <v/>
      </c>
      <c r="AE285" t="e">
        <f>INDEX(liv_ar_codes,MATCH(loaded!BO285,liv_ar,0))</f>
        <v>#N/A</v>
      </c>
      <c r="AF285" t="str">
        <f>_xlfn.IFNA(INDEX(MTT_codes,MATCH(loaded!BQ285,MTT,0)),"")</f>
        <v/>
      </c>
      <c r="AG285">
        <f>_xlfn.IFNA(INDEX(mental_codes,MATCH(loaded!BS285,mental,0)),9)</f>
        <v>9</v>
      </c>
    </row>
    <row r="286" spans="1:33" x14ac:dyDescent="0.25">
      <c r="A286">
        <f>loaded!C286</f>
        <v>0</v>
      </c>
      <c r="B286">
        <f>loaded!I286</f>
        <v>0</v>
      </c>
      <c r="C286">
        <f>IF(loaded!K286="Male",1,IF(loaded!K286="Female",2,9))</f>
        <v>9</v>
      </c>
      <c r="D286" s="8">
        <f>loaded!M286</f>
        <v>0</v>
      </c>
      <c r="E286" t="str">
        <f>LEFT(loaded!O286,3)</f>
        <v/>
      </c>
      <c r="F286" t="e">
        <f>INDEX(cntry_codes,MATCH(loaded!Q286,countries,0))</f>
        <v>#N/A</v>
      </c>
      <c r="G286" t="e">
        <f>INDEX(atsi_codes,MATCH(loaded!S286,atsi,0))</f>
        <v>#N/A</v>
      </c>
      <c r="H286" t="e">
        <f>INDEX(lang_codes,MATCH(loaded!U286,lang,0))</f>
        <v>#N/A</v>
      </c>
      <c r="I286" s="8">
        <f>loaded!W286</f>
        <v>0</v>
      </c>
      <c r="J286" t="e">
        <f>INDEX(us_acc_codes,MATCH(loaded!Y286,us_acc,0))</f>
        <v>#N/A</v>
      </c>
      <c r="K286" t="e">
        <f>INDEX(client_codes,MATCH(loaded!AA286,client,0))</f>
        <v>#N/A</v>
      </c>
      <c r="L286" t="e">
        <f>INDEX(src_ref_codes,MATCH(loaded!AC286,src_ref,0))</f>
        <v>#N/A</v>
      </c>
      <c r="M286" s="8">
        <f>loaded!AE286</f>
        <v>0</v>
      </c>
      <c r="N286" s="8">
        <f>loaded!AG286</f>
        <v>0</v>
      </c>
      <c r="O286" t="e">
        <f>INDEX(reces_codes,MATCH(loaded!AI286,reason,0))</f>
        <v>#N/A</v>
      </c>
      <c r="P286" t="e">
        <f>INDEX(TDS_codes,MATCH(loaded!AK286,TDS,0))</f>
        <v>#N/A</v>
      </c>
      <c r="Q286" t="e">
        <f>IF(K286=2,"",INDEX(method_codes,MATCH(loaded!AM286,method,0)))</f>
        <v>#N/A</v>
      </c>
      <c r="R286" t="e">
        <f>IF(K286=2,"",INDEX(inj_codes,MATCH(loaded!AO286,inj,0)))</f>
        <v>#N/A</v>
      </c>
      <c r="S286" t="e">
        <f>IF(K286=2,"",INDEX(drug_codes,MATCH(loaded!AQ286,drug,0)))</f>
        <v>#N/A</v>
      </c>
      <c r="T286" t="e">
        <f>IF(K286=2,"",_xlfn.IFNA(INDEX(drug_codes,MATCH(loaded!AS286,drug,0)),""))</f>
        <v>#N/A</v>
      </c>
      <c r="U286" t="e">
        <f>IF(K286=2,"",_xlfn.IFNA(INDEX(drug_codes,MATCH(loaded!AU286,drug,0)),""))</f>
        <v>#N/A</v>
      </c>
      <c r="V286" t="e">
        <f>IF(K286=2,"",_xlfn.IFNA(INDEX(drug_codes,MATCH(loaded!AW286,drug,0)),""))</f>
        <v>#N/A</v>
      </c>
      <c r="W286" t="e">
        <f>IF(K286=2,"",_xlfn.IFNA(INDEX(drug_codes,MATCH(loaded!AY286,drug,0)),""))</f>
        <v>#N/A</v>
      </c>
      <c r="X286" t="e">
        <f>IF(K286=2,"",_xlfn.IFNA(INDEX(drug_codes,MATCH(loaded!BA286,drug,0)),""))</f>
        <v>#N/A</v>
      </c>
      <c r="Y286" t="e">
        <f>INDEX(MTT_codes,MATCH(loaded!BC286,MTT,0))</f>
        <v>#N/A</v>
      </c>
      <c r="Z286" t="str">
        <f>_xlfn.IFNA(INDEX(MTT_codes,MATCH(loaded!BE286,MTT,0)),"")</f>
        <v/>
      </c>
      <c r="AA286" t="str">
        <f>_xlfn.IFNA(INDEX(MTT_codes,MATCH(loaded!BG286,MTT,0)),"")</f>
        <v/>
      </c>
      <c r="AB286" t="str">
        <f>_xlfn.IFNA(INDEX(MTT_codes,MATCH(loaded!BI286,MTT,0)),"")</f>
        <v/>
      </c>
      <c r="AC286" t="str">
        <f>_xlfn.IFNA(INDEX(MTT_codes,MATCH(loaded!BK286,MTT,0)),"")</f>
        <v/>
      </c>
      <c r="AD286" t="str">
        <f>_xlfn.IFNA(INDEX(MTT_codes,MATCH(loaded!BM286,MTT,0)),"")</f>
        <v/>
      </c>
      <c r="AE286" t="e">
        <f>INDEX(liv_ar_codes,MATCH(loaded!BO286,liv_ar,0))</f>
        <v>#N/A</v>
      </c>
      <c r="AF286" t="str">
        <f>_xlfn.IFNA(INDEX(MTT_codes,MATCH(loaded!BQ286,MTT,0)),"")</f>
        <v/>
      </c>
      <c r="AG286">
        <f>_xlfn.IFNA(INDEX(mental_codes,MATCH(loaded!BS286,mental,0)),9)</f>
        <v>9</v>
      </c>
    </row>
    <row r="287" spans="1:33" x14ac:dyDescent="0.25">
      <c r="A287">
        <f>loaded!C287</f>
        <v>0</v>
      </c>
      <c r="B287">
        <f>loaded!I287</f>
        <v>0</v>
      </c>
      <c r="C287">
        <f>IF(loaded!K287="Male",1,IF(loaded!K287="Female",2,9))</f>
        <v>9</v>
      </c>
      <c r="D287" s="8">
        <f>loaded!M287</f>
        <v>0</v>
      </c>
      <c r="E287" t="str">
        <f>LEFT(loaded!O287,3)</f>
        <v/>
      </c>
      <c r="F287" t="e">
        <f>INDEX(cntry_codes,MATCH(loaded!Q287,countries,0))</f>
        <v>#N/A</v>
      </c>
      <c r="G287" t="e">
        <f>INDEX(atsi_codes,MATCH(loaded!S287,atsi,0))</f>
        <v>#N/A</v>
      </c>
      <c r="H287" t="e">
        <f>INDEX(lang_codes,MATCH(loaded!U287,lang,0))</f>
        <v>#N/A</v>
      </c>
      <c r="I287" s="8">
        <f>loaded!W287</f>
        <v>0</v>
      </c>
      <c r="J287" t="e">
        <f>INDEX(us_acc_codes,MATCH(loaded!Y287,us_acc,0))</f>
        <v>#N/A</v>
      </c>
      <c r="K287" t="e">
        <f>INDEX(client_codes,MATCH(loaded!AA287,client,0))</f>
        <v>#N/A</v>
      </c>
      <c r="L287" t="e">
        <f>INDEX(src_ref_codes,MATCH(loaded!AC287,src_ref,0))</f>
        <v>#N/A</v>
      </c>
      <c r="M287" s="8">
        <f>loaded!AE287</f>
        <v>0</v>
      </c>
      <c r="N287" s="8">
        <f>loaded!AG287</f>
        <v>0</v>
      </c>
      <c r="O287" t="e">
        <f>INDEX(reces_codes,MATCH(loaded!AI287,reason,0))</f>
        <v>#N/A</v>
      </c>
      <c r="P287" t="e">
        <f>INDEX(TDS_codes,MATCH(loaded!AK287,TDS,0))</f>
        <v>#N/A</v>
      </c>
      <c r="Q287" t="e">
        <f>IF(K287=2,"",INDEX(method_codes,MATCH(loaded!AM287,method,0)))</f>
        <v>#N/A</v>
      </c>
      <c r="R287" t="e">
        <f>IF(K287=2,"",INDEX(inj_codes,MATCH(loaded!AO287,inj,0)))</f>
        <v>#N/A</v>
      </c>
      <c r="S287" t="e">
        <f>IF(K287=2,"",INDEX(drug_codes,MATCH(loaded!AQ287,drug,0)))</f>
        <v>#N/A</v>
      </c>
      <c r="T287" t="e">
        <f>IF(K287=2,"",_xlfn.IFNA(INDEX(drug_codes,MATCH(loaded!AS287,drug,0)),""))</f>
        <v>#N/A</v>
      </c>
      <c r="U287" t="e">
        <f>IF(K287=2,"",_xlfn.IFNA(INDEX(drug_codes,MATCH(loaded!AU287,drug,0)),""))</f>
        <v>#N/A</v>
      </c>
      <c r="V287" t="e">
        <f>IF(K287=2,"",_xlfn.IFNA(INDEX(drug_codes,MATCH(loaded!AW287,drug,0)),""))</f>
        <v>#N/A</v>
      </c>
      <c r="W287" t="e">
        <f>IF(K287=2,"",_xlfn.IFNA(INDEX(drug_codes,MATCH(loaded!AY287,drug,0)),""))</f>
        <v>#N/A</v>
      </c>
      <c r="X287" t="e">
        <f>IF(K287=2,"",_xlfn.IFNA(INDEX(drug_codes,MATCH(loaded!BA287,drug,0)),""))</f>
        <v>#N/A</v>
      </c>
      <c r="Y287" t="e">
        <f>INDEX(MTT_codes,MATCH(loaded!BC287,MTT,0))</f>
        <v>#N/A</v>
      </c>
      <c r="Z287" t="str">
        <f>_xlfn.IFNA(INDEX(MTT_codes,MATCH(loaded!BE287,MTT,0)),"")</f>
        <v/>
      </c>
      <c r="AA287" t="str">
        <f>_xlfn.IFNA(INDEX(MTT_codes,MATCH(loaded!BG287,MTT,0)),"")</f>
        <v/>
      </c>
      <c r="AB287" t="str">
        <f>_xlfn.IFNA(INDEX(MTT_codes,MATCH(loaded!BI287,MTT,0)),"")</f>
        <v/>
      </c>
      <c r="AC287" t="str">
        <f>_xlfn.IFNA(INDEX(MTT_codes,MATCH(loaded!BK287,MTT,0)),"")</f>
        <v/>
      </c>
      <c r="AD287" t="str">
        <f>_xlfn.IFNA(INDEX(MTT_codes,MATCH(loaded!BM287,MTT,0)),"")</f>
        <v/>
      </c>
      <c r="AE287" t="e">
        <f>INDEX(liv_ar_codes,MATCH(loaded!BO287,liv_ar,0))</f>
        <v>#N/A</v>
      </c>
      <c r="AF287" t="str">
        <f>_xlfn.IFNA(INDEX(MTT_codes,MATCH(loaded!BQ287,MTT,0)),"")</f>
        <v/>
      </c>
      <c r="AG287">
        <f>_xlfn.IFNA(INDEX(mental_codes,MATCH(loaded!BS287,mental,0)),9)</f>
        <v>9</v>
      </c>
    </row>
    <row r="288" spans="1:33" x14ac:dyDescent="0.25">
      <c r="A288">
        <f>loaded!C288</f>
        <v>0</v>
      </c>
      <c r="B288">
        <f>loaded!I288</f>
        <v>0</v>
      </c>
      <c r="C288">
        <f>IF(loaded!K288="Male",1,IF(loaded!K288="Female",2,9))</f>
        <v>9</v>
      </c>
      <c r="D288" s="8">
        <f>loaded!M288</f>
        <v>0</v>
      </c>
      <c r="E288" t="str">
        <f>LEFT(loaded!O288,3)</f>
        <v/>
      </c>
      <c r="F288" t="e">
        <f>INDEX(cntry_codes,MATCH(loaded!Q288,countries,0))</f>
        <v>#N/A</v>
      </c>
      <c r="G288" t="e">
        <f>INDEX(atsi_codes,MATCH(loaded!S288,atsi,0))</f>
        <v>#N/A</v>
      </c>
      <c r="H288" t="e">
        <f>INDEX(lang_codes,MATCH(loaded!U288,lang,0))</f>
        <v>#N/A</v>
      </c>
      <c r="I288" s="8">
        <f>loaded!W288</f>
        <v>0</v>
      </c>
      <c r="J288" t="e">
        <f>INDEX(us_acc_codes,MATCH(loaded!Y288,us_acc,0))</f>
        <v>#N/A</v>
      </c>
      <c r="K288" t="e">
        <f>INDEX(client_codes,MATCH(loaded!AA288,client,0))</f>
        <v>#N/A</v>
      </c>
      <c r="L288" t="e">
        <f>INDEX(src_ref_codes,MATCH(loaded!AC288,src_ref,0))</f>
        <v>#N/A</v>
      </c>
      <c r="M288" s="8">
        <f>loaded!AE288</f>
        <v>0</v>
      </c>
      <c r="N288" s="8">
        <f>loaded!AG288</f>
        <v>0</v>
      </c>
      <c r="O288" t="e">
        <f>INDEX(reces_codes,MATCH(loaded!AI288,reason,0))</f>
        <v>#N/A</v>
      </c>
      <c r="P288" t="e">
        <f>INDEX(TDS_codes,MATCH(loaded!AK288,TDS,0))</f>
        <v>#N/A</v>
      </c>
      <c r="Q288" t="e">
        <f>IF(K288=2,"",INDEX(method_codes,MATCH(loaded!AM288,method,0)))</f>
        <v>#N/A</v>
      </c>
      <c r="R288" t="e">
        <f>IF(K288=2,"",INDEX(inj_codes,MATCH(loaded!AO288,inj,0)))</f>
        <v>#N/A</v>
      </c>
      <c r="S288" t="e">
        <f>IF(K288=2,"",INDEX(drug_codes,MATCH(loaded!AQ288,drug,0)))</f>
        <v>#N/A</v>
      </c>
      <c r="T288" t="e">
        <f>IF(K288=2,"",_xlfn.IFNA(INDEX(drug_codes,MATCH(loaded!AS288,drug,0)),""))</f>
        <v>#N/A</v>
      </c>
      <c r="U288" t="e">
        <f>IF(K288=2,"",_xlfn.IFNA(INDEX(drug_codes,MATCH(loaded!AU288,drug,0)),""))</f>
        <v>#N/A</v>
      </c>
      <c r="V288" t="e">
        <f>IF(K288=2,"",_xlfn.IFNA(INDEX(drug_codes,MATCH(loaded!AW288,drug,0)),""))</f>
        <v>#N/A</v>
      </c>
      <c r="W288" t="e">
        <f>IF(K288=2,"",_xlfn.IFNA(INDEX(drug_codes,MATCH(loaded!AY288,drug,0)),""))</f>
        <v>#N/A</v>
      </c>
      <c r="X288" t="e">
        <f>IF(K288=2,"",_xlfn.IFNA(INDEX(drug_codes,MATCH(loaded!BA288,drug,0)),""))</f>
        <v>#N/A</v>
      </c>
      <c r="Y288" t="e">
        <f>INDEX(MTT_codes,MATCH(loaded!BC288,MTT,0))</f>
        <v>#N/A</v>
      </c>
      <c r="Z288" t="str">
        <f>_xlfn.IFNA(INDEX(MTT_codes,MATCH(loaded!BE288,MTT,0)),"")</f>
        <v/>
      </c>
      <c r="AA288" t="str">
        <f>_xlfn.IFNA(INDEX(MTT_codes,MATCH(loaded!BG288,MTT,0)),"")</f>
        <v/>
      </c>
      <c r="AB288" t="str">
        <f>_xlfn.IFNA(INDEX(MTT_codes,MATCH(loaded!BI288,MTT,0)),"")</f>
        <v/>
      </c>
      <c r="AC288" t="str">
        <f>_xlfn.IFNA(INDEX(MTT_codes,MATCH(loaded!BK288,MTT,0)),"")</f>
        <v/>
      </c>
      <c r="AD288" t="str">
        <f>_xlfn.IFNA(INDEX(MTT_codes,MATCH(loaded!BM288,MTT,0)),"")</f>
        <v/>
      </c>
      <c r="AE288" t="e">
        <f>INDEX(liv_ar_codes,MATCH(loaded!BO288,liv_ar,0))</f>
        <v>#N/A</v>
      </c>
      <c r="AF288" t="str">
        <f>_xlfn.IFNA(INDEX(MTT_codes,MATCH(loaded!BQ288,MTT,0)),"")</f>
        <v/>
      </c>
      <c r="AG288">
        <f>_xlfn.IFNA(INDEX(mental_codes,MATCH(loaded!BS288,mental,0)),9)</f>
        <v>9</v>
      </c>
    </row>
    <row r="289" spans="1:33" x14ac:dyDescent="0.25">
      <c r="A289">
        <f>loaded!C289</f>
        <v>0</v>
      </c>
      <c r="B289">
        <f>loaded!I289</f>
        <v>0</v>
      </c>
      <c r="C289">
        <f>IF(loaded!K289="Male",1,IF(loaded!K289="Female",2,9))</f>
        <v>9</v>
      </c>
      <c r="D289" s="8">
        <f>loaded!M289</f>
        <v>0</v>
      </c>
      <c r="E289" t="str">
        <f>LEFT(loaded!O289,3)</f>
        <v/>
      </c>
      <c r="F289" t="e">
        <f>INDEX(cntry_codes,MATCH(loaded!Q289,countries,0))</f>
        <v>#N/A</v>
      </c>
      <c r="G289" t="e">
        <f>INDEX(atsi_codes,MATCH(loaded!S289,atsi,0))</f>
        <v>#N/A</v>
      </c>
      <c r="H289" t="e">
        <f>INDEX(lang_codes,MATCH(loaded!U289,lang,0))</f>
        <v>#N/A</v>
      </c>
      <c r="I289" s="8">
        <f>loaded!W289</f>
        <v>0</v>
      </c>
      <c r="J289" t="e">
        <f>INDEX(us_acc_codes,MATCH(loaded!Y289,us_acc,0))</f>
        <v>#N/A</v>
      </c>
      <c r="K289" t="e">
        <f>INDEX(client_codes,MATCH(loaded!AA289,client,0))</f>
        <v>#N/A</v>
      </c>
      <c r="L289" t="e">
        <f>INDEX(src_ref_codes,MATCH(loaded!AC289,src_ref,0))</f>
        <v>#N/A</v>
      </c>
      <c r="M289" s="8">
        <f>loaded!AE289</f>
        <v>0</v>
      </c>
      <c r="N289" s="8">
        <f>loaded!AG289</f>
        <v>0</v>
      </c>
      <c r="O289" t="e">
        <f>INDEX(reces_codes,MATCH(loaded!AI289,reason,0))</f>
        <v>#N/A</v>
      </c>
      <c r="P289" t="e">
        <f>INDEX(TDS_codes,MATCH(loaded!AK289,TDS,0))</f>
        <v>#N/A</v>
      </c>
      <c r="Q289" t="e">
        <f>IF(K289=2,"",INDEX(method_codes,MATCH(loaded!AM289,method,0)))</f>
        <v>#N/A</v>
      </c>
      <c r="R289" t="e">
        <f>IF(K289=2,"",INDEX(inj_codes,MATCH(loaded!AO289,inj,0)))</f>
        <v>#N/A</v>
      </c>
      <c r="S289" t="e">
        <f>IF(K289=2,"",INDEX(drug_codes,MATCH(loaded!AQ289,drug,0)))</f>
        <v>#N/A</v>
      </c>
      <c r="T289" t="e">
        <f>IF(K289=2,"",_xlfn.IFNA(INDEX(drug_codes,MATCH(loaded!AS289,drug,0)),""))</f>
        <v>#N/A</v>
      </c>
      <c r="U289" t="e">
        <f>IF(K289=2,"",_xlfn.IFNA(INDEX(drug_codes,MATCH(loaded!AU289,drug,0)),""))</f>
        <v>#N/A</v>
      </c>
      <c r="V289" t="e">
        <f>IF(K289=2,"",_xlfn.IFNA(INDEX(drug_codes,MATCH(loaded!AW289,drug,0)),""))</f>
        <v>#N/A</v>
      </c>
      <c r="W289" t="e">
        <f>IF(K289=2,"",_xlfn.IFNA(INDEX(drug_codes,MATCH(loaded!AY289,drug,0)),""))</f>
        <v>#N/A</v>
      </c>
      <c r="X289" t="e">
        <f>IF(K289=2,"",_xlfn.IFNA(INDEX(drug_codes,MATCH(loaded!BA289,drug,0)),""))</f>
        <v>#N/A</v>
      </c>
      <c r="Y289" t="e">
        <f>INDEX(MTT_codes,MATCH(loaded!BC289,MTT,0))</f>
        <v>#N/A</v>
      </c>
      <c r="Z289" t="str">
        <f>_xlfn.IFNA(INDEX(MTT_codes,MATCH(loaded!BE289,MTT,0)),"")</f>
        <v/>
      </c>
      <c r="AA289" t="str">
        <f>_xlfn.IFNA(INDEX(MTT_codes,MATCH(loaded!BG289,MTT,0)),"")</f>
        <v/>
      </c>
      <c r="AB289" t="str">
        <f>_xlfn.IFNA(INDEX(MTT_codes,MATCH(loaded!BI289,MTT,0)),"")</f>
        <v/>
      </c>
      <c r="AC289" t="str">
        <f>_xlfn.IFNA(INDEX(MTT_codes,MATCH(loaded!BK289,MTT,0)),"")</f>
        <v/>
      </c>
      <c r="AD289" t="str">
        <f>_xlfn.IFNA(INDEX(MTT_codes,MATCH(loaded!BM289,MTT,0)),"")</f>
        <v/>
      </c>
      <c r="AE289" t="e">
        <f>INDEX(liv_ar_codes,MATCH(loaded!BO289,liv_ar,0))</f>
        <v>#N/A</v>
      </c>
      <c r="AF289" t="str">
        <f>_xlfn.IFNA(INDEX(MTT_codes,MATCH(loaded!BQ289,MTT,0)),"")</f>
        <v/>
      </c>
      <c r="AG289">
        <f>_xlfn.IFNA(INDEX(mental_codes,MATCH(loaded!BS289,mental,0)),9)</f>
        <v>9</v>
      </c>
    </row>
    <row r="290" spans="1:33" x14ac:dyDescent="0.25">
      <c r="A290">
        <f>loaded!C290</f>
        <v>0</v>
      </c>
      <c r="B290">
        <f>loaded!I290</f>
        <v>0</v>
      </c>
      <c r="C290">
        <f>IF(loaded!K290="Male",1,IF(loaded!K290="Female",2,9))</f>
        <v>9</v>
      </c>
      <c r="D290" s="8">
        <f>loaded!M290</f>
        <v>0</v>
      </c>
      <c r="E290" t="str">
        <f>LEFT(loaded!O290,3)</f>
        <v/>
      </c>
      <c r="F290" t="e">
        <f>INDEX(cntry_codes,MATCH(loaded!Q290,countries,0))</f>
        <v>#N/A</v>
      </c>
      <c r="G290" t="e">
        <f>INDEX(atsi_codes,MATCH(loaded!S290,atsi,0))</f>
        <v>#N/A</v>
      </c>
      <c r="H290" t="e">
        <f>INDEX(lang_codes,MATCH(loaded!U290,lang,0))</f>
        <v>#N/A</v>
      </c>
      <c r="I290" s="8">
        <f>loaded!W290</f>
        <v>0</v>
      </c>
      <c r="J290" t="e">
        <f>INDEX(us_acc_codes,MATCH(loaded!Y290,us_acc,0))</f>
        <v>#N/A</v>
      </c>
      <c r="K290" t="e">
        <f>INDEX(client_codes,MATCH(loaded!AA290,client,0))</f>
        <v>#N/A</v>
      </c>
      <c r="L290" t="e">
        <f>INDEX(src_ref_codes,MATCH(loaded!AC290,src_ref,0))</f>
        <v>#N/A</v>
      </c>
      <c r="M290" s="8">
        <f>loaded!AE290</f>
        <v>0</v>
      </c>
      <c r="N290" s="8">
        <f>loaded!AG290</f>
        <v>0</v>
      </c>
      <c r="O290" t="e">
        <f>INDEX(reces_codes,MATCH(loaded!AI290,reason,0))</f>
        <v>#N/A</v>
      </c>
      <c r="P290" t="e">
        <f>INDEX(TDS_codes,MATCH(loaded!AK290,TDS,0))</f>
        <v>#N/A</v>
      </c>
      <c r="Q290" t="e">
        <f>IF(K290=2,"",INDEX(method_codes,MATCH(loaded!AM290,method,0)))</f>
        <v>#N/A</v>
      </c>
      <c r="R290" t="e">
        <f>IF(K290=2,"",INDEX(inj_codes,MATCH(loaded!AO290,inj,0)))</f>
        <v>#N/A</v>
      </c>
      <c r="S290" t="e">
        <f>IF(K290=2,"",INDEX(drug_codes,MATCH(loaded!AQ290,drug,0)))</f>
        <v>#N/A</v>
      </c>
      <c r="T290" t="e">
        <f>IF(K290=2,"",_xlfn.IFNA(INDEX(drug_codes,MATCH(loaded!AS290,drug,0)),""))</f>
        <v>#N/A</v>
      </c>
      <c r="U290" t="e">
        <f>IF(K290=2,"",_xlfn.IFNA(INDEX(drug_codes,MATCH(loaded!AU290,drug,0)),""))</f>
        <v>#N/A</v>
      </c>
      <c r="V290" t="e">
        <f>IF(K290=2,"",_xlfn.IFNA(INDEX(drug_codes,MATCH(loaded!AW290,drug,0)),""))</f>
        <v>#N/A</v>
      </c>
      <c r="W290" t="e">
        <f>IF(K290=2,"",_xlfn.IFNA(INDEX(drug_codes,MATCH(loaded!AY290,drug,0)),""))</f>
        <v>#N/A</v>
      </c>
      <c r="X290" t="e">
        <f>IF(K290=2,"",_xlfn.IFNA(INDEX(drug_codes,MATCH(loaded!BA290,drug,0)),""))</f>
        <v>#N/A</v>
      </c>
      <c r="Y290" t="e">
        <f>INDEX(MTT_codes,MATCH(loaded!BC290,MTT,0))</f>
        <v>#N/A</v>
      </c>
      <c r="Z290" t="str">
        <f>_xlfn.IFNA(INDEX(MTT_codes,MATCH(loaded!BE290,MTT,0)),"")</f>
        <v/>
      </c>
      <c r="AA290" t="str">
        <f>_xlfn.IFNA(INDEX(MTT_codes,MATCH(loaded!BG290,MTT,0)),"")</f>
        <v/>
      </c>
      <c r="AB290" t="str">
        <f>_xlfn.IFNA(INDEX(MTT_codes,MATCH(loaded!BI290,MTT,0)),"")</f>
        <v/>
      </c>
      <c r="AC290" t="str">
        <f>_xlfn.IFNA(INDEX(MTT_codes,MATCH(loaded!BK290,MTT,0)),"")</f>
        <v/>
      </c>
      <c r="AD290" t="str">
        <f>_xlfn.IFNA(INDEX(MTT_codes,MATCH(loaded!BM290,MTT,0)),"")</f>
        <v/>
      </c>
      <c r="AE290" t="e">
        <f>INDEX(liv_ar_codes,MATCH(loaded!BO290,liv_ar,0))</f>
        <v>#N/A</v>
      </c>
      <c r="AF290" t="str">
        <f>_xlfn.IFNA(INDEX(MTT_codes,MATCH(loaded!BQ290,MTT,0)),"")</f>
        <v/>
      </c>
      <c r="AG290">
        <f>_xlfn.IFNA(INDEX(mental_codes,MATCH(loaded!BS290,mental,0)),9)</f>
        <v>9</v>
      </c>
    </row>
    <row r="291" spans="1:33" x14ac:dyDescent="0.25">
      <c r="A291">
        <f>loaded!C291</f>
        <v>0</v>
      </c>
      <c r="B291">
        <f>loaded!I291</f>
        <v>0</v>
      </c>
      <c r="C291">
        <f>IF(loaded!K291="Male",1,IF(loaded!K291="Female",2,9))</f>
        <v>9</v>
      </c>
      <c r="D291" s="8">
        <f>loaded!M291</f>
        <v>0</v>
      </c>
      <c r="E291" t="str">
        <f>LEFT(loaded!O291,3)</f>
        <v/>
      </c>
      <c r="F291" t="e">
        <f>INDEX(cntry_codes,MATCH(loaded!Q291,countries,0))</f>
        <v>#N/A</v>
      </c>
      <c r="G291" t="e">
        <f>INDEX(atsi_codes,MATCH(loaded!S291,atsi,0))</f>
        <v>#N/A</v>
      </c>
      <c r="H291" t="e">
        <f>INDEX(lang_codes,MATCH(loaded!U291,lang,0))</f>
        <v>#N/A</v>
      </c>
      <c r="I291" s="8">
        <f>loaded!W291</f>
        <v>0</v>
      </c>
      <c r="J291" t="e">
        <f>INDEX(us_acc_codes,MATCH(loaded!Y291,us_acc,0))</f>
        <v>#N/A</v>
      </c>
      <c r="K291" t="e">
        <f>INDEX(client_codes,MATCH(loaded!AA291,client,0))</f>
        <v>#N/A</v>
      </c>
      <c r="L291" t="e">
        <f>INDEX(src_ref_codes,MATCH(loaded!AC291,src_ref,0))</f>
        <v>#N/A</v>
      </c>
      <c r="M291" s="8">
        <f>loaded!AE291</f>
        <v>0</v>
      </c>
      <c r="N291" s="8">
        <f>loaded!AG291</f>
        <v>0</v>
      </c>
      <c r="O291" t="e">
        <f>INDEX(reces_codes,MATCH(loaded!AI291,reason,0))</f>
        <v>#N/A</v>
      </c>
      <c r="P291" t="e">
        <f>INDEX(TDS_codes,MATCH(loaded!AK291,TDS,0))</f>
        <v>#N/A</v>
      </c>
      <c r="Q291" t="e">
        <f>IF(K291=2,"",INDEX(method_codes,MATCH(loaded!AM291,method,0)))</f>
        <v>#N/A</v>
      </c>
      <c r="R291" t="e">
        <f>IF(K291=2,"",INDEX(inj_codes,MATCH(loaded!AO291,inj,0)))</f>
        <v>#N/A</v>
      </c>
      <c r="S291" t="e">
        <f>IF(K291=2,"",INDEX(drug_codes,MATCH(loaded!AQ291,drug,0)))</f>
        <v>#N/A</v>
      </c>
      <c r="T291" t="e">
        <f>IF(K291=2,"",_xlfn.IFNA(INDEX(drug_codes,MATCH(loaded!AS291,drug,0)),""))</f>
        <v>#N/A</v>
      </c>
      <c r="U291" t="e">
        <f>IF(K291=2,"",_xlfn.IFNA(INDEX(drug_codes,MATCH(loaded!AU291,drug,0)),""))</f>
        <v>#N/A</v>
      </c>
      <c r="V291" t="e">
        <f>IF(K291=2,"",_xlfn.IFNA(INDEX(drug_codes,MATCH(loaded!AW291,drug,0)),""))</f>
        <v>#N/A</v>
      </c>
      <c r="W291" t="e">
        <f>IF(K291=2,"",_xlfn.IFNA(INDEX(drug_codes,MATCH(loaded!AY291,drug,0)),""))</f>
        <v>#N/A</v>
      </c>
      <c r="X291" t="e">
        <f>IF(K291=2,"",_xlfn.IFNA(INDEX(drug_codes,MATCH(loaded!BA291,drug,0)),""))</f>
        <v>#N/A</v>
      </c>
      <c r="Y291" t="e">
        <f>INDEX(MTT_codes,MATCH(loaded!BC291,MTT,0))</f>
        <v>#N/A</v>
      </c>
      <c r="Z291" t="str">
        <f>_xlfn.IFNA(INDEX(MTT_codes,MATCH(loaded!BE291,MTT,0)),"")</f>
        <v/>
      </c>
      <c r="AA291" t="str">
        <f>_xlfn.IFNA(INDEX(MTT_codes,MATCH(loaded!BG291,MTT,0)),"")</f>
        <v/>
      </c>
      <c r="AB291" t="str">
        <f>_xlfn.IFNA(INDEX(MTT_codes,MATCH(loaded!BI291,MTT,0)),"")</f>
        <v/>
      </c>
      <c r="AC291" t="str">
        <f>_xlfn.IFNA(INDEX(MTT_codes,MATCH(loaded!BK291,MTT,0)),"")</f>
        <v/>
      </c>
      <c r="AD291" t="str">
        <f>_xlfn.IFNA(INDEX(MTT_codes,MATCH(loaded!BM291,MTT,0)),"")</f>
        <v/>
      </c>
      <c r="AE291" t="e">
        <f>INDEX(liv_ar_codes,MATCH(loaded!BO291,liv_ar,0))</f>
        <v>#N/A</v>
      </c>
      <c r="AF291" t="str">
        <f>_xlfn.IFNA(INDEX(MTT_codes,MATCH(loaded!BQ291,MTT,0)),"")</f>
        <v/>
      </c>
      <c r="AG291">
        <f>_xlfn.IFNA(INDEX(mental_codes,MATCH(loaded!BS291,mental,0)),9)</f>
        <v>9</v>
      </c>
    </row>
    <row r="292" spans="1:33" x14ac:dyDescent="0.25">
      <c r="A292">
        <f>loaded!C292</f>
        <v>0</v>
      </c>
      <c r="B292">
        <f>loaded!I292</f>
        <v>0</v>
      </c>
      <c r="C292">
        <f>IF(loaded!K292="Male",1,IF(loaded!K292="Female",2,9))</f>
        <v>9</v>
      </c>
      <c r="D292" s="8">
        <f>loaded!M292</f>
        <v>0</v>
      </c>
      <c r="E292" t="str">
        <f>LEFT(loaded!O292,3)</f>
        <v/>
      </c>
      <c r="F292" t="e">
        <f>INDEX(cntry_codes,MATCH(loaded!Q292,countries,0))</f>
        <v>#N/A</v>
      </c>
      <c r="G292" t="e">
        <f>INDEX(atsi_codes,MATCH(loaded!S292,atsi,0))</f>
        <v>#N/A</v>
      </c>
      <c r="H292" t="e">
        <f>INDEX(lang_codes,MATCH(loaded!U292,lang,0))</f>
        <v>#N/A</v>
      </c>
      <c r="I292" s="8">
        <f>loaded!W292</f>
        <v>0</v>
      </c>
      <c r="J292" t="e">
        <f>INDEX(us_acc_codes,MATCH(loaded!Y292,us_acc,0))</f>
        <v>#N/A</v>
      </c>
      <c r="K292" t="e">
        <f>INDEX(client_codes,MATCH(loaded!AA292,client,0))</f>
        <v>#N/A</v>
      </c>
      <c r="L292" t="e">
        <f>INDEX(src_ref_codes,MATCH(loaded!AC292,src_ref,0))</f>
        <v>#N/A</v>
      </c>
      <c r="M292" s="8">
        <f>loaded!AE292</f>
        <v>0</v>
      </c>
      <c r="N292" s="8">
        <f>loaded!AG292</f>
        <v>0</v>
      </c>
      <c r="O292" t="e">
        <f>INDEX(reces_codes,MATCH(loaded!AI292,reason,0))</f>
        <v>#N/A</v>
      </c>
      <c r="P292" t="e">
        <f>INDEX(TDS_codes,MATCH(loaded!AK292,TDS,0))</f>
        <v>#N/A</v>
      </c>
      <c r="Q292" t="e">
        <f>IF(K292=2,"",INDEX(method_codes,MATCH(loaded!AM292,method,0)))</f>
        <v>#N/A</v>
      </c>
      <c r="R292" t="e">
        <f>IF(K292=2,"",INDEX(inj_codes,MATCH(loaded!AO292,inj,0)))</f>
        <v>#N/A</v>
      </c>
      <c r="S292" t="e">
        <f>IF(K292=2,"",INDEX(drug_codes,MATCH(loaded!AQ292,drug,0)))</f>
        <v>#N/A</v>
      </c>
      <c r="T292" t="e">
        <f>IF(K292=2,"",_xlfn.IFNA(INDEX(drug_codes,MATCH(loaded!AS292,drug,0)),""))</f>
        <v>#N/A</v>
      </c>
      <c r="U292" t="e">
        <f>IF(K292=2,"",_xlfn.IFNA(INDEX(drug_codes,MATCH(loaded!AU292,drug,0)),""))</f>
        <v>#N/A</v>
      </c>
      <c r="V292" t="e">
        <f>IF(K292=2,"",_xlfn.IFNA(INDEX(drug_codes,MATCH(loaded!AW292,drug,0)),""))</f>
        <v>#N/A</v>
      </c>
      <c r="W292" t="e">
        <f>IF(K292=2,"",_xlfn.IFNA(INDEX(drug_codes,MATCH(loaded!AY292,drug,0)),""))</f>
        <v>#N/A</v>
      </c>
      <c r="X292" t="e">
        <f>IF(K292=2,"",_xlfn.IFNA(INDEX(drug_codes,MATCH(loaded!BA292,drug,0)),""))</f>
        <v>#N/A</v>
      </c>
      <c r="Y292" t="e">
        <f>INDEX(MTT_codes,MATCH(loaded!BC292,MTT,0))</f>
        <v>#N/A</v>
      </c>
      <c r="Z292" t="str">
        <f>_xlfn.IFNA(INDEX(MTT_codes,MATCH(loaded!BE292,MTT,0)),"")</f>
        <v/>
      </c>
      <c r="AA292" t="str">
        <f>_xlfn.IFNA(INDEX(MTT_codes,MATCH(loaded!BG292,MTT,0)),"")</f>
        <v/>
      </c>
      <c r="AB292" t="str">
        <f>_xlfn.IFNA(INDEX(MTT_codes,MATCH(loaded!BI292,MTT,0)),"")</f>
        <v/>
      </c>
      <c r="AC292" t="str">
        <f>_xlfn.IFNA(INDEX(MTT_codes,MATCH(loaded!BK292,MTT,0)),"")</f>
        <v/>
      </c>
      <c r="AD292" t="str">
        <f>_xlfn.IFNA(INDEX(MTT_codes,MATCH(loaded!BM292,MTT,0)),"")</f>
        <v/>
      </c>
      <c r="AE292" t="e">
        <f>INDEX(liv_ar_codes,MATCH(loaded!BO292,liv_ar,0))</f>
        <v>#N/A</v>
      </c>
      <c r="AF292" t="str">
        <f>_xlfn.IFNA(INDEX(MTT_codes,MATCH(loaded!BQ292,MTT,0)),"")</f>
        <v/>
      </c>
      <c r="AG292">
        <f>_xlfn.IFNA(INDEX(mental_codes,MATCH(loaded!BS292,mental,0)),9)</f>
        <v>9</v>
      </c>
    </row>
    <row r="293" spans="1:33" x14ac:dyDescent="0.25">
      <c r="A293">
        <f>loaded!C293</f>
        <v>0</v>
      </c>
      <c r="B293">
        <f>loaded!I293</f>
        <v>0</v>
      </c>
      <c r="C293">
        <f>IF(loaded!K293="Male",1,IF(loaded!K293="Female",2,9))</f>
        <v>9</v>
      </c>
      <c r="D293" s="8">
        <f>loaded!M293</f>
        <v>0</v>
      </c>
      <c r="E293" t="str">
        <f>LEFT(loaded!O293,3)</f>
        <v/>
      </c>
      <c r="F293" t="e">
        <f>INDEX(cntry_codes,MATCH(loaded!Q293,countries,0))</f>
        <v>#N/A</v>
      </c>
      <c r="G293" t="e">
        <f>INDEX(atsi_codes,MATCH(loaded!S293,atsi,0))</f>
        <v>#N/A</v>
      </c>
      <c r="H293" t="e">
        <f>INDEX(lang_codes,MATCH(loaded!U293,lang,0))</f>
        <v>#N/A</v>
      </c>
      <c r="I293" s="8">
        <f>loaded!W293</f>
        <v>0</v>
      </c>
      <c r="J293" t="e">
        <f>INDEX(us_acc_codes,MATCH(loaded!Y293,us_acc,0))</f>
        <v>#N/A</v>
      </c>
      <c r="K293" t="e">
        <f>INDEX(client_codes,MATCH(loaded!AA293,client,0))</f>
        <v>#N/A</v>
      </c>
      <c r="L293" t="e">
        <f>INDEX(src_ref_codes,MATCH(loaded!AC293,src_ref,0))</f>
        <v>#N/A</v>
      </c>
      <c r="M293" s="8">
        <f>loaded!AE293</f>
        <v>0</v>
      </c>
      <c r="N293" s="8">
        <f>loaded!AG293</f>
        <v>0</v>
      </c>
      <c r="O293" t="e">
        <f>INDEX(reces_codes,MATCH(loaded!AI293,reason,0))</f>
        <v>#N/A</v>
      </c>
      <c r="P293" t="e">
        <f>INDEX(TDS_codes,MATCH(loaded!AK293,TDS,0))</f>
        <v>#N/A</v>
      </c>
      <c r="Q293" t="e">
        <f>IF(K293=2,"",INDEX(method_codes,MATCH(loaded!AM293,method,0)))</f>
        <v>#N/A</v>
      </c>
      <c r="R293" t="e">
        <f>IF(K293=2,"",INDEX(inj_codes,MATCH(loaded!AO293,inj,0)))</f>
        <v>#N/A</v>
      </c>
      <c r="S293" t="e">
        <f>IF(K293=2,"",INDEX(drug_codes,MATCH(loaded!AQ293,drug,0)))</f>
        <v>#N/A</v>
      </c>
      <c r="T293" t="e">
        <f>IF(K293=2,"",_xlfn.IFNA(INDEX(drug_codes,MATCH(loaded!AS293,drug,0)),""))</f>
        <v>#N/A</v>
      </c>
      <c r="U293" t="e">
        <f>IF(K293=2,"",_xlfn.IFNA(INDEX(drug_codes,MATCH(loaded!AU293,drug,0)),""))</f>
        <v>#N/A</v>
      </c>
      <c r="V293" t="e">
        <f>IF(K293=2,"",_xlfn.IFNA(INDEX(drug_codes,MATCH(loaded!AW293,drug,0)),""))</f>
        <v>#N/A</v>
      </c>
      <c r="W293" t="e">
        <f>IF(K293=2,"",_xlfn.IFNA(INDEX(drug_codes,MATCH(loaded!AY293,drug,0)),""))</f>
        <v>#N/A</v>
      </c>
      <c r="X293" t="e">
        <f>IF(K293=2,"",_xlfn.IFNA(INDEX(drug_codes,MATCH(loaded!BA293,drug,0)),""))</f>
        <v>#N/A</v>
      </c>
      <c r="Y293" t="e">
        <f>INDEX(MTT_codes,MATCH(loaded!BC293,MTT,0))</f>
        <v>#N/A</v>
      </c>
      <c r="Z293" t="str">
        <f>_xlfn.IFNA(INDEX(MTT_codes,MATCH(loaded!BE293,MTT,0)),"")</f>
        <v/>
      </c>
      <c r="AA293" t="str">
        <f>_xlfn.IFNA(INDEX(MTT_codes,MATCH(loaded!BG293,MTT,0)),"")</f>
        <v/>
      </c>
      <c r="AB293" t="str">
        <f>_xlfn.IFNA(INDEX(MTT_codes,MATCH(loaded!BI293,MTT,0)),"")</f>
        <v/>
      </c>
      <c r="AC293" t="str">
        <f>_xlfn.IFNA(INDEX(MTT_codes,MATCH(loaded!BK293,MTT,0)),"")</f>
        <v/>
      </c>
      <c r="AD293" t="str">
        <f>_xlfn.IFNA(INDEX(MTT_codes,MATCH(loaded!BM293,MTT,0)),"")</f>
        <v/>
      </c>
      <c r="AE293" t="e">
        <f>INDEX(liv_ar_codes,MATCH(loaded!BO293,liv_ar,0))</f>
        <v>#N/A</v>
      </c>
      <c r="AF293" t="str">
        <f>_xlfn.IFNA(INDEX(MTT_codes,MATCH(loaded!BQ293,MTT,0)),"")</f>
        <v/>
      </c>
      <c r="AG293">
        <f>_xlfn.IFNA(INDEX(mental_codes,MATCH(loaded!BS293,mental,0)),9)</f>
        <v>9</v>
      </c>
    </row>
    <row r="294" spans="1:33" x14ac:dyDescent="0.25">
      <c r="A294">
        <f>loaded!C294</f>
        <v>0</v>
      </c>
      <c r="B294">
        <f>loaded!I294</f>
        <v>0</v>
      </c>
      <c r="C294">
        <f>IF(loaded!K294="Male",1,IF(loaded!K294="Female",2,9))</f>
        <v>9</v>
      </c>
      <c r="D294" s="8">
        <f>loaded!M294</f>
        <v>0</v>
      </c>
      <c r="E294" t="str">
        <f>LEFT(loaded!O294,3)</f>
        <v/>
      </c>
      <c r="F294" t="e">
        <f>INDEX(cntry_codes,MATCH(loaded!Q294,countries,0))</f>
        <v>#N/A</v>
      </c>
      <c r="G294" t="e">
        <f>INDEX(atsi_codes,MATCH(loaded!S294,atsi,0))</f>
        <v>#N/A</v>
      </c>
      <c r="H294" t="e">
        <f>INDEX(lang_codes,MATCH(loaded!U294,lang,0))</f>
        <v>#N/A</v>
      </c>
      <c r="I294" s="8">
        <f>loaded!W294</f>
        <v>0</v>
      </c>
      <c r="J294" t="e">
        <f>INDEX(us_acc_codes,MATCH(loaded!Y294,us_acc,0))</f>
        <v>#N/A</v>
      </c>
      <c r="K294" t="e">
        <f>INDEX(client_codes,MATCH(loaded!AA294,client,0))</f>
        <v>#N/A</v>
      </c>
      <c r="L294" t="e">
        <f>INDEX(src_ref_codes,MATCH(loaded!AC294,src_ref,0))</f>
        <v>#N/A</v>
      </c>
      <c r="M294" s="8">
        <f>loaded!AE294</f>
        <v>0</v>
      </c>
      <c r="N294" s="8">
        <f>loaded!AG294</f>
        <v>0</v>
      </c>
      <c r="O294" t="e">
        <f>INDEX(reces_codes,MATCH(loaded!AI294,reason,0))</f>
        <v>#N/A</v>
      </c>
      <c r="P294" t="e">
        <f>INDEX(TDS_codes,MATCH(loaded!AK294,TDS,0))</f>
        <v>#N/A</v>
      </c>
      <c r="Q294" t="e">
        <f>IF(K294=2,"",INDEX(method_codes,MATCH(loaded!AM294,method,0)))</f>
        <v>#N/A</v>
      </c>
      <c r="R294" t="e">
        <f>IF(K294=2,"",INDEX(inj_codes,MATCH(loaded!AO294,inj,0)))</f>
        <v>#N/A</v>
      </c>
      <c r="S294" t="e">
        <f>IF(K294=2,"",INDEX(drug_codes,MATCH(loaded!AQ294,drug,0)))</f>
        <v>#N/A</v>
      </c>
      <c r="T294" t="e">
        <f>IF(K294=2,"",_xlfn.IFNA(INDEX(drug_codes,MATCH(loaded!AS294,drug,0)),""))</f>
        <v>#N/A</v>
      </c>
      <c r="U294" t="e">
        <f>IF(K294=2,"",_xlfn.IFNA(INDEX(drug_codes,MATCH(loaded!AU294,drug,0)),""))</f>
        <v>#N/A</v>
      </c>
      <c r="V294" t="e">
        <f>IF(K294=2,"",_xlfn.IFNA(INDEX(drug_codes,MATCH(loaded!AW294,drug,0)),""))</f>
        <v>#N/A</v>
      </c>
      <c r="W294" t="e">
        <f>IF(K294=2,"",_xlfn.IFNA(INDEX(drug_codes,MATCH(loaded!AY294,drug,0)),""))</f>
        <v>#N/A</v>
      </c>
      <c r="X294" t="e">
        <f>IF(K294=2,"",_xlfn.IFNA(INDEX(drug_codes,MATCH(loaded!BA294,drug,0)),""))</f>
        <v>#N/A</v>
      </c>
      <c r="Y294" t="e">
        <f>INDEX(MTT_codes,MATCH(loaded!BC294,MTT,0))</f>
        <v>#N/A</v>
      </c>
      <c r="Z294" t="str">
        <f>_xlfn.IFNA(INDEX(MTT_codes,MATCH(loaded!BE294,MTT,0)),"")</f>
        <v/>
      </c>
      <c r="AA294" t="str">
        <f>_xlfn.IFNA(INDEX(MTT_codes,MATCH(loaded!BG294,MTT,0)),"")</f>
        <v/>
      </c>
      <c r="AB294" t="str">
        <f>_xlfn.IFNA(INDEX(MTT_codes,MATCH(loaded!BI294,MTT,0)),"")</f>
        <v/>
      </c>
      <c r="AC294" t="str">
        <f>_xlfn.IFNA(INDEX(MTT_codes,MATCH(loaded!BK294,MTT,0)),"")</f>
        <v/>
      </c>
      <c r="AD294" t="str">
        <f>_xlfn.IFNA(INDEX(MTT_codes,MATCH(loaded!BM294,MTT,0)),"")</f>
        <v/>
      </c>
      <c r="AE294" t="e">
        <f>INDEX(liv_ar_codes,MATCH(loaded!BO294,liv_ar,0))</f>
        <v>#N/A</v>
      </c>
      <c r="AF294" t="str">
        <f>_xlfn.IFNA(INDEX(MTT_codes,MATCH(loaded!BQ294,MTT,0)),"")</f>
        <v/>
      </c>
      <c r="AG294">
        <f>_xlfn.IFNA(INDEX(mental_codes,MATCH(loaded!BS294,mental,0)),9)</f>
        <v>9</v>
      </c>
    </row>
    <row r="295" spans="1:33" x14ac:dyDescent="0.25">
      <c r="A295">
        <f>loaded!C295</f>
        <v>0</v>
      </c>
      <c r="B295">
        <f>loaded!I295</f>
        <v>0</v>
      </c>
      <c r="C295">
        <f>IF(loaded!K295="Male",1,IF(loaded!K295="Female",2,9))</f>
        <v>9</v>
      </c>
      <c r="D295" s="8">
        <f>loaded!M295</f>
        <v>0</v>
      </c>
      <c r="E295" t="str">
        <f>LEFT(loaded!O295,3)</f>
        <v/>
      </c>
      <c r="F295" t="e">
        <f>INDEX(cntry_codes,MATCH(loaded!Q295,countries,0))</f>
        <v>#N/A</v>
      </c>
      <c r="G295" t="e">
        <f>INDEX(atsi_codes,MATCH(loaded!S295,atsi,0))</f>
        <v>#N/A</v>
      </c>
      <c r="H295" t="e">
        <f>INDEX(lang_codes,MATCH(loaded!U295,lang,0))</f>
        <v>#N/A</v>
      </c>
      <c r="I295" s="8">
        <f>loaded!W295</f>
        <v>0</v>
      </c>
      <c r="J295" t="e">
        <f>INDEX(us_acc_codes,MATCH(loaded!Y295,us_acc,0))</f>
        <v>#N/A</v>
      </c>
      <c r="K295" t="e">
        <f>INDEX(client_codes,MATCH(loaded!AA295,client,0))</f>
        <v>#N/A</v>
      </c>
      <c r="L295" t="e">
        <f>INDEX(src_ref_codes,MATCH(loaded!AC295,src_ref,0))</f>
        <v>#N/A</v>
      </c>
      <c r="M295" s="8">
        <f>loaded!AE295</f>
        <v>0</v>
      </c>
      <c r="N295" s="8">
        <f>loaded!AG295</f>
        <v>0</v>
      </c>
      <c r="O295" t="e">
        <f>INDEX(reces_codes,MATCH(loaded!AI295,reason,0))</f>
        <v>#N/A</v>
      </c>
      <c r="P295" t="e">
        <f>INDEX(TDS_codes,MATCH(loaded!AK295,TDS,0))</f>
        <v>#N/A</v>
      </c>
      <c r="Q295" t="e">
        <f>IF(K295=2,"",INDEX(method_codes,MATCH(loaded!AM295,method,0)))</f>
        <v>#N/A</v>
      </c>
      <c r="R295" t="e">
        <f>IF(K295=2,"",INDEX(inj_codes,MATCH(loaded!AO295,inj,0)))</f>
        <v>#N/A</v>
      </c>
      <c r="S295" t="e">
        <f>IF(K295=2,"",INDEX(drug_codes,MATCH(loaded!AQ295,drug,0)))</f>
        <v>#N/A</v>
      </c>
      <c r="T295" t="e">
        <f>IF(K295=2,"",_xlfn.IFNA(INDEX(drug_codes,MATCH(loaded!AS295,drug,0)),""))</f>
        <v>#N/A</v>
      </c>
      <c r="U295" t="e">
        <f>IF(K295=2,"",_xlfn.IFNA(INDEX(drug_codes,MATCH(loaded!AU295,drug,0)),""))</f>
        <v>#N/A</v>
      </c>
      <c r="V295" t="e">
        <f>IF(K295=2,"",_xlfn.IFNA(INDEX(drug_codes,MATCH(loaded!AW295,drug,0)),""))</f>
        <v>#N/A</v>
      </c>
      <c r="W295" t="e">
        <f>IF(K295=2,"",_xlfn.IFNA(INDEX(drug_codes,MATCH(loaded!AY295,drug,0)),""))</f>
        <v>#N/A</v>
      </c>
      <c r="X295" t="e">
        <f>IF(K295=2,"",_xlfn.IFNA(INDEX(drug_codes,MATCH(loaded!BA295,drug,0)),""))</f>
        <v>#N/A</v>
      </c>
      <c r="Y295" t="e">
        <f>INDEX(MTT_codes,MATCH(loaded!BC295,MTT,0))</f>
        <v>#N/A</v>
      </c>
      <c r="Z295" t="str">
        <f>_xlfn.IFNA(INDEX(MTT_codes,MATCH(loaded!BE295,MTT,0)),"")</f>
        <v/>
      </c>
      <c r="AA295" t="str">
        <f>_xlfn.IFNA(INDEX(MTT_codes,MATCH(loaded!BG295,MTT,0)),"")</f>
        <v/>
      </c>
      <c r="AB295" t="str">
        <f>_xlfn.IFNA(INDEX(MTT_codes,MATCH(loaded!BI295,MTT,0)),"")</f>
        <v/>
      </c>
      <c r="AC295" t="str">
        <f>_xlfn.IFNA(INDEX(MTT_codes,MATCH(loaded!BK295,MTT,0)),"")</f>
        <v/>
      </c>
      <c r="AD295" t="str">
        <f>_xlfn.IFNA(INDEX(MTT_codes,MATCH(loaded!BM295,MTT,0)),"")</f>
        <v/>
      </c>
      <c r="AE295" t="e">
        <f>INDEX(liv_ar_codes,MATCH(loaded!BO295,liv_ar,0))</f>
        <v>#N/A</v>
      </c>
      <c r="AF295" t="str">
        <f>_xlfn.IFNA(INDEX(MTT_codes,MATCH(loaded!BQ295,MTT,0)),"")</f>
        <v/>
      </c>
      <c r="AG295">
        <f>_xlfn.IFNA(INDEX(mental_codes,MATCH(loaded!BS295,mental,0)),9)</f>
        <v>9</v>
      </c>
    </row>
    <row r="296" spans="1:33" x14ac:dyDescent="0.25">
      <c r="A296">
        <f>loaded!C296</f>
        <v>0</v>
      </c>
      <c r="B296">
        <f>loaded!I296</f>
        <v>0</v>
      </c>
      <c r="C296">
        <f>IF(loaded!K296="Male",1,IF(loaded!K296="Female",2,9))</f>
        <v>9</v>
      </c>
      <c r="D296" s="8">
        <f>loaded!M296</f>
        <v>0</v>
      </c>
      <c r="E296" t="str">
        <f>LEFT(loaded!O296,3)</f>
        <v/>
      </c>
      <c r="F296" t="e">
        <f>INDEX(cntry_codes,MATCH(loaded!Q296,countries,0))</f>
        <v>#N/A</v>
      </c>
      <c r="G296" t="e">
        <f>INDEX(atsi_codes,MATCH(loaded!S296,atsi,0))</f>
        <v>#N/A</v>
      </c>
      <c r="H296" t="e">
        <f>INDEX(lang_codes,MATCH(loaded!U296,lang,0))</f>
        <v>#N/A</v>
      </c>
      <c r="I296" s="8">
        <f>loaded!W296</f>
        <v>0</v>
      </c>
      <c r="J296" t="e">
        <f>INDEX(us_acc_codes,MATCH(loaded!Y296,us_acc,0))</f>
        <v>#N/A</v>
      </c>
      <c r="K296" t="e">
        <f>INDEX(client_codes,MATCH(loaded!AA296,client,0))</f>
        <v>#N/A</v>
      </c>
      <c r="L296" t="e">
        <f>INDEX(src_ref_codes,MATCH(loaded!AC296,src_ref,0))</f>
        <v>#N/A</v>
      </c>
      <c r="M296" s="8">
        <f>loaded!AE296</f>
        <v>0</v>
      </c>
      <c r="N296" s="8">
        <f>loaded!AG296</f>
        <v>0</v>
      </c>
      <c r="O296" t="e">
        <f>INDEX(reces_codes,MATCH(loaded!AI296,reason,0))</f>
        <v>#N/A</v>
      </c>
      <c r="P296" t="e">
        <f>INDEX(TDS_codes,MATCH(loaded!AK296,TDS,0))</f>
        <v>#N/A</v>
      </c>
      <c r="Q296" t="e">
        <f>IF(K296=2,"",INDEX(method_codes,MATCH(loaded!AM296,method,0)))</f>
        <v>#N/A</v>
      </c>
      <c r="R296" t="e">
        <f>IF(K296=2,"",INDEX(inj_codes,MATCH(loaded!AO296,inj,0)))</f>
        <v>#N/A</v>
      </c>
      <c r="S296" t="e">
        <f>IF(K296=2,"",INDEX(drug_codes,MATCH(loaded!AQ296,drug,0)))</f>
        <v>#N/A</v>
      </c>
      <c r="T296" t="e">
        <f>IF(K296=2,"",_xlfn.IFNA(INDEX(drug_codes,MATCH(loaded!AS296,drug,0)),""))</f>
        <v>#N/A</v>
      </c>
      <c r="U296" t="e">
        <f>IF(K296=2,"",_xlfn.IFNA(INDEX(drug_codes,MATCH(loaded!AU296,drug,0)),""))</f>
        <v>#N/A</v>
      </c>
      <c r="V296" t="e">
        <f>IF(K296=2,"",_xlfn.IFNA(INDEX(drug_codes,MATCH(loaded!AW296,drug,0)),""))</f>
        <v>#N/A</v>
      </c>
      <c r="W296" t="e">
        <f>IF(K296=2,"",_xlfn.IFNA(INDEX(drug_codes,MATCH(loaded!AY296,drug,0)),""))</f>
        <v>#N/A</v>
      </c>
      <c r="X296" t="e">
        <f>IF(K296=2,"",_xlfn.IFNA(INDEX(drug_codes,MATCH(loaded!BA296,drug,0)),""))</f>
        <v>#N/A</v>
      </c>
      <c r="Y296" t="e">
        <f>INDEX(MTT_codes,MATCH(loaded!BC296,MTT,0))</f>
        <v>#N/A</v>
      </c>
      <c r="Z296" t="str">
        <f>_xlfn.IFNA(INDEX(MTT_codes,MATCH(loaded!BE296,MTT,0)),"")</f>
        <v/>
      </c>
      <c r="AA296" t="str">
        <f>_xlfn.IFNA(INDEX(MTT_codes,MATCH(loaded!BG296,MTT,0)),"")</f>
        <v/>
      </c>
      <c r="AB296" t="str">
        <f>_xlfn.IFNA(INDEX(MTT_codes,MATCH(loaded!BI296,MTT,0)),"")</f>
        <v/>
      </c>
      <c r="AC296" t="str">
        <f>_xlfn.IFNA(INDEX(MTT_codes,MATCH(loaded!BK296,MTT,0)),"")</f>
        <v/>
      </c>
      <c r="AD296" t="str">
        <f>_xlfn.IFNA(INDEX(MTT_codes,MATCH(loaded!BM296,MTT,0)),"")</f>
        <v/>
      </c>
      <c r="AE296" t="e">
        <f>INDEX(liv_ar_codes,MATCH(loaded!BO296,liv_ar,0))</f>
        <v>#N/A</v>
      </c>
      <c r="AF296" t="str">
        <f>_xlfn.IFNA(INDEX(MTT_codes,MATCH(loaded!BQ296,MTT,0)),"")</f>
        <v/>
      </c>
      <c r="AG296">
        <f>_xlfn.IFNA(INDEX(mental_codes,MATCH(loaded!BS296,mental,0)),9)</f>
        <v>9</v>
      </c>
    </row>
    <row r="297" spans="1:33" x14ac:dyDescent="0.25">
      <c r="A297">
        <f>loaded!C297</f>
        <v>0</v>
      </c>
      <c r="B297">
        <f>loaded!I297</f>
        <v>0</v>
      </c>
      <c r="C297">
        <f>IF(loaded!K297="Male",1,IF(loaded!K297="Female",2,9))</f>
        <v>9</v>
      </c>
      <c r="D297" s="8">
        <f>loaded!M297</f>
        <v>0</v>
      </c>
      <c r="E297" t="str">
        <f>LEFT(loaded!O297,3)</f>
        <v/>
      </c>
      <c r="F297" t="e">
        <f>INDEX(cntry_codes,MATCH(loaded!Q297,countries,0))</f>
        <v>#N/A</v>
      </c>
      <c r="G297" t="e">
        <f>INDEX(atsi_codes,MATCH(loaded!S297,atsi,0))</f>
        <v>#N/A</v>
      </c>
      <c r="H297" t="e">
        <f>INDEX(lang_codes,MATCH(loaded!U297,lang,0))</f>
        <v>#N/A</v>
      </c>
      <c r="I297" s="8">
        <f>loaded!W297</f>
        <v>0</v>
      </c>
      <c r="J297" t="e">
        <f>INDEX(us_acc_codes,MATCH(loaded!Y297,us_acc,0))</f>
        <v>#N/A</v>
      </c>
      <c r="K297" t="e">
        <f>INDEX(client_codes,MATCH(loaded!AA297,client,0))</f>
        <v>#N/A</v>
      </c>
      <c r="L297" t="e">
        <f>INDEX(src_ref_codes,MATCH(loaded!AC297,src_ref,0))</f>
        <v>#N/A</v>
      </c>
      <c r="M297" s="8">
        <f>loaded!AE297</f>
        <v>0</v>
      </c>
      <c r="N297" s="8">
        <f>loaded!AG297</f>
        <v>0</v>
      </c>
      <c r="O297" t="e">
        <f>INDEX(reces_codes,MATCH(loaded!AI297,reason,0))</f>
        <v>#N/A</v>
      </c>
      <c r="P297" t="e">
        <f>INDEX(TDS_codes,MATCH(loaded!AK297,TDS,0))</f>
        <v>#N/A</v>
      </c>
      <c r="Q297" t="e">
        <f>IF(K297=2,"",INDEX(method_codes,MATCH(loaded!AM297,method,0)))</f>
        <v>#N/A</v>
      </c>
      <c r="R297" t="e">
        <f>IF(K297=2,"",INDEX(inj_codes,MATCH(loaded!AO297,inj,0)))</f>
        <v>#N/A</v>
      </c>
      <c r="S297" t="e">
        <f>IF(K297=2,"",INDEX(drug_codes,MATCH(loaded!AQ297,drug,0)))</f>
        <v>#N/A</v>
      </c>
      <c r="T297" t="e">
        <f>IF(K297=2,"",_xlfn.IFNA(INDEX(drug_codes,MATCH(loaded!AS297,drug,0)),""))</f>
        <v>#N/A</v>
      </c>
      <c r="U297" t="e">
        <f>IF(K297=2,"",_xlfn.IFNA(INDEX(drug_codes,MATCH(loaded!AU297,drug,0)),""))</f>
        <v>#N/A</v>
      </c>
      <c r="V297" t="e">
        <f>IF(K297=2,"",_xlfn.IFNA(INDEX(drug_codes,MATCH(loaded!AW297,drug,0)),""))</f>
        <v>#N/A</v>
      </c>
      <c r="W297" t="e">
        <f>IF(K297=2,"",_xlfn.IFNA(INDEX(drug_codes,MATCH(loaded!AY297,drug,0)),""))</f>
        <v>#N/A</v>
      </c>
      <c r="X297" t="e">
        <f>IF(K297=2,"",_xlfn.IFNA(INDEX(drug_codes,MATCH(loaded!BA297,drug,0)),""))</f>
        <v>#N/A</v>
      </c>
      <c r="Y297" t="e">
        <f>INDEX(MTT_codes,MATCH(loaded!BC297,MTT,0))</f>
        <v>#N/A</v>
      </c>
      <c r="Z297" t="str">
        <f>_xlfn.IFNA(INDEX(MTT_codes,MATCH(loaded!BE297,MTT,0)),"")</f>
        <v/>
      </c>
      <c r="AA297" t="str">
        <f>_xlfn.IFNA(INDEX(MTT_codes,MATCH(loaded!BG297,MTT,0)),"")</f>
        <v/>
      </c>
      <c r="AB297" t="str">
        <f>_xlfn.IFNA(INDEX(MTT_codes,MATCH(loaded!BI297,MTT,0)),"")</f>
        <v/>
      </c>
      <c r="AC297" t="str">
        <f>_xlfn.IFNA(INDEX(MTT_codes,MATCH(loaded!BK297,MTT,0)),"")</f>
        <v/>
      </c>
      <c r="AD297" t="str">
        <f>_xlfn.IFNA(INDEX(MTT_codes,MATCH(loaded!BM297,MTT,0)),"")</f>
        <v/>
      </c>
      <c r="AE297" t="e">
        <f>INDEX(liv_ar_codes,MATCH(loaded!BO297,liv_ar,0))</f>
        <v>#N/A</v>
      </c>
      <c r="AF297" t="str">
        <f>_xlfn.IFNA(INDEX(MTT_codes,MATCH(loaded!BQ297,MTT,0)),"")</f>
        <v/>
      </c>
      <c r="AG297">
        <f>_xlfn.IFNA(INDEX(mental_codes,MATCH(loaded!BS297,mental,0)),9)</f>
        <v>9</v>
      </c>
    </row>
    <row r="298" spans="1:33" x14ac:dyDescent="0.25">
      <c r="A298">
        <f>loaded!C298</f>
        <v>0</v>
      </c>
      <c r="B298">
        <f>loaded!I298</f>
        <v>0</v>
      </c>
      <c r="C298">
        <f>IF(loaded!K298="Male",1,IF(loaded!K298="Female",2,9))</f>
        <v>9</v>
      </c>
      <c r="D298" s="8">
        <f>loaded!M298</f>
        <v>0</v>
      </c>
      <c r="E298" t="str">
        <f>LEFT(loaded!O298,3)</f>
        <v/>
      </c>
      <c r="F298" t="e">
        <f>INDEX(cntry_codes,MATCH(loaded!Q298,countries,0))</f>
        <v>#N/A</v>
      </c>
      <c r="G298" t="e">
        <f>INDEX(atsi_codes,MATCH(loaded!S298,atsi,0))</f>
        <v>#N/A</v>
      </c>
      <c r="H298" t="e">
        <f>INDEX(lang_codes,MATCH(loaded!U298,lang,0))</f>
        <v>#N/A</v>
      </c>
      <c r="I298" s="8">
        <f>loaded!W298</f>
        <v>0</v>
      </c>
      <c r="J298" t="e">
        <f>INDEX(us_acc_codes,MATCH(loaded!Y298,us_acc,0))</f>
        <v>#N/A</v>
      </c>
      <c r="K298" t="e">
        <f>INDEX(client_codes,MATCH(loaded!AA298,client,0))</f>
        <v>#N/A</v>
      </c>
      <c r="L298" t="e">
        <f>INDEX(src_ref_codes,MATCH(loaded!AC298,src_ref,0))</f>
        <v>#N/A</v>
      </c>
      <c r="M298" s="8">
        <f>loaded!AE298</f>
        <v>0</v>
      </c>
      <c r="N298" s="8">
        <f>loaded!AG298</f>
        <v>0</v>
      </c>
      <c r="O298" t="e">
        <f>INDEX(reces_codes,MATCH(loaded!AI298,reason,0))</f>
        <v>#N/A</v>
      </c>
      <c r="P298" t="e">
        <f>INDEX(TDS_codes,MATCH(loaded!AK298,TDS,0))</f>
        <v>#N/A</v>
      </c>
      <c r="Q298" t="e">
        <f>IF(K298=2,"",INDEX(method_codes,MATCH(loaded!AM298,method,0)))</f>
        <v>#N/A</v>
      </c>
      <c r="R298" t="e">
        <f>IF(K298=2,"",INDEX(inj_codes,MATCH(loaded!AO298,inj,0)))</f>
        <v>#N/A</v>
      </c>
      <c r="S298" t="e">
        <f>IF(K298=2,"",INDEX(drug_codes,MATCH(loaded!AQ298,drug,0)))</f>
        <v>#N/A</v>
      </c>
      <c r="T298" t="e">
        <f>IF(K298=2,"",_xlfn.IFNA(INDEX(drug_codes,MATCH(loaded!AS298,drug,0)),""))</f>
        <v>#N/A</v>
      </c>
      <c r="U298" t="e">
        <f>IF(K298=2,"",_xlfn.IFNA(INDEX(drug_codes,MATCH(loaded!AU298,drug,0)),""))</f>
        <v>#N/A</v>
      </c>
      <c r="V298" t="e">
        <f>IF(K298=2,"",_xlfn.IFNA(INDEX(drug_codes,MATCH(loaded!AW298,drug,0)),""))</f>
        <v>#N/A</v>
      </c>
      <c r="W298" t="e">
        <f>IF(K298=2,"",_xlfn.IFNA(INDEX(drug_codes,MATCH(loaded!AY298,drug,0)),""))</f>
        <v>#N/A</v>
      </c>
      <c r="X298" t="e">
        <f>IF(K298=2,"",_xlfn.IFNA(INDEX(drug_codes,MATCH(loaded!BA298,drug,0)),""))</f>
        <v>#N/A</v>
      </c>
      <c r="Y298" t="e">
        <f>INDEX(MTT_codes,MATCH(loaded!BC298,MTT,0))</f>
        <v>#N/A</v>
      </c>
      <c r="Z298" t="str">
        <f>_xlfn.IFNA(INDEX(MTT_codes,MATCH(loaded!BE298,MTT,0)),"")</f>
        <v/>
      </c>
      <c r="AA298" t="str">
        <f>_xlfn.IFNA(INDEX(MTT_codes,MATCH(loaded!BG298,MTT,0)),"")</f>
        <v/>
      </c>
      <c r="AB298" t="str">
        <f>_xlfn.IFNA(INDEX(MTT_codes,MATCH(loaded!BI298,MTT,0)),"")</f>
        <v/>
      </c>
      <c r="AC298" t="str">
        <f>_xlfn.IFNA(INDEX(MTT_codes,MATCH(loaded!BK298,MTT,0)),"")</f>
        <v/>
      </c>
      <c r="AD298" t="str">
        <f>_xlfn.IFNA(INDEX(MTT_codes,MATCH(loaded!BM298,MTT,0)),"")</f>
        <v/>
      </c>
      <c r="AE298" t="e">
        <f>INDEX(liv_ar_codes,MATCH(loaded!BO298,liv_ar,0))</f>
        <v>#N/A</v>
      </c>
      <c r="AF298" t="str">
        <f>_xlfn.IFNA(INDEX(MTT_codes,MATCH(loaded!BQ298,MTT,0)),"")</f>
        <v/>
      </c>
      <c r="AG298">
        <f>_xlfn.IFNA(INDEX(mental_codes,MATCH(loaded!BS298,mental,0)),9)</f>
        <v>9</v>
      </c>
    </row>
    <row r="299" spans="1:33" x14ac:dyDescent="0.25">
      <c r="A299">
        <f>loaded!C299</f>
        <v>0</v>
      </c>
      <c r="B299">
        <f>loaded!I299</f>
        <v>0</v>
      </c>
      <c r="C299">
        <f>IF(loaded!K299="Male",1,IF(loaded!K299="Female",2,9))</f>
        <v>9</v>
      </c>
      <c r="D299" s="8">
        <f>loaded!M299</f>
        <v>0</v>
      </c>
      <c r="E299" t="str">
        <f>LEFT(loaded!O299,3)</f>
        <v/>
      </c>
      <c r="F299" t="e">
        <f>INDEX(cntry_codes,MATCH(loaded!Q299,countries,0))</f>
        <v>#N/A</v>
      </c>
      <c r="G299" t="e">
        <f>INDEX(atsi_codes,MATCH(loaded!S299,atsi,0))</f>
        <v>#N/A</v>
      </c>
      <c r="H299" t="e">
        <f>INDEX(lang_codes,MATCH(loaded!U299,lang,0))</f>
        <v>#N/A</v>
      </c>
      <c r="I299" s="8">
        <f>loaded!W299</f>
        <v>0</v>
      </c>
      <c r="J299" t="e">
        <f>INDEX(us_acc_codes,MATCH(loaded!Y299,us_acc,0))</f>
        <v>#N/A</v>
      </c>
      <c r="K299" t="e">
        <f>INDEX(client_codes,MATCH(loaded!AA299,client,0))</f>
        <v>#N/A</v>
      </c>
      <c r="L299" t="e">
        <f>INDEX(src_ref_codes,MATCH(loaded!AC299,src_ref,0))</f>
        <v>#N/A</v>
      </c>
      <c r="M299" s="8">
        <f>loaded!AE299</f>
        <v>0</v>
      </c>
      <c r="N299" s="8">
        <f>loaded!AG299</f>
        <v>0</v>
      </c>
      <c r="O299" t="e">
        <f>INDEX(reces_codes,MATCH(loaded!AI299,reason,0))</f>
        <v>#N/A</v>
      </c>
      <c r="P299" t="e">
        <f>INDEX(TDS_codes,MATCH(loaded!AK299,TDS,0))</f>
        <v>#N/A</v>
      </c>
      <c r="Q299" t="e">
        <f>IF(K299=2,"",INDEX(method_codes,MATCH(loaded!AM299,method,0)))</f>
        <v>#N/A</v>
      </c>
      <c r="R299" t="e">
        <f>IF(K299=2,"",INDEX(inj_codes,MATCH(loaded!AO299,inj,0)))</f>
        <v>#N/A</v>
      </c>
      <c r="S299" t="e">
        <f>IF(K299=2,"",INDEX(drug_codes,MATCH(loaded!AQ299,drug,0)))</f>
        <v>#N/A</v>
      </c>
      <c r="T299" t="e">
        <f>IF(K299=2,"",_xlfn.IFNA(INDEX(drug_codes,MATCH(loaded!AS299,drug,0)),""))</f>
        <v>#N/A</v>
      </c>
      <c r="U299" t="e">
        <f>IF(K299=2,"",_xlfn.IFNA(INDEX(drug_codes,MATCH(loaded!AU299,drug,0)),""))</f>
        <v>#N/A</v>
      </c>
      <c r="V299" t="e">
        <f>IF(K299=2,"",_xlfn.IFNA(INDEX(drug_codes,MATCH(loaded!AW299,drug,0)),""))</f>
        <v>#N/A</v>
      </c>
      <c r="W299" t="e">
        <f>IF(K299=2,"",_xlfn.IFNA(INDEX(drug_codes,MATCH(loaded!AY299,drug,0)),""))</f>
        <v>#N/A</v>
      </c>
      <c r="X299" t="e">
        <f>IF(K299=2,"",_xlfn.IFNA(INDEX(drug_codes,MATCH(loaded!BA299,drug,0)),""))</f>
        <v>#N/A</v>
      </c>
      <c r="Y299" t="e">
        <f>INDEX(MTT_codes,MATCH(loaded!BC299,MTT,0))</f>
        <v>#N/A</v>
      </c>
      <c r="Z299" t="str">
        <f>_xlfn.IFNA(INDEX(MTT_codes,MATCH(loaded!BE299,MTT,0)),"")</f>
        <v/>
      </c>
      <c r="AA299" t="str">
        <f>_xlfn.IFNA(INDEX(MTT_codes,MATCH(loaded!BG299,MTT,0)),"")</f>
        <v/>
      </c>
      <c r="AB299" t="str">
        <f>_xlfn.IFNA(INDEX(MTT_codes,MATCH(loaded!BI299,MTT,0)),"")</f>
        <v/>
      </c>
      <c r="AC299" t="str">
        <f>_xlfn.IFNA(INDEX(MTT_codes,MATCH(loaded!BK299,MTT,0)),"")</f>
        <v/>
      </c>
      <c r="AD299" t="str">
        <f>_xlfn.IFNA(INDEX(MTT_codes,MATCH(loaded!BM299,MTT,0)),"")</f>
        <v/>
      </c>
      <c r="AE299" t="e">
        <f>INDEX(liv_ar_codes,MATCH(loaded!BO299,liv_ar,0))</f>
        <v>#N/A</v>
      </c>
      <c r="AF299" t="str">
        <f>_xlfn.IFNA(INDEX(MTT_codes,MATCH(loaded!BQ299,MTT,0)),"")</f>
        <v/>
      </c>
      <c r="AG299">
        <f>_xlfn.IFNA(INDEX(mental_codes,MATCH(loaded!BS299,mental,0)),9)</f>
        <v>9</v>
      </c>
    </row>
    <row r="300" spans="1:33" x14ac:dyDescent="0.25">
      <c r="A300">
        <f>loaded!C300</f>
        <v>0</v>
      </c>
      <c r="B300">
        <f>loaded!I300</f>
        <v>0</v>
      </c>
      <c r="C300">
        <f>IF(loaded!K300="Male",1,IF(loaded!K300="Female",2,9))</f>
        <v>9</v>
      </c>
      <c r="D300" s="8">
        <f>loaded!M300</f>
        <v>0</v>
      </c>
      <c r="E300" t="str">
        <f>LEFT(loaded!O300,3)</f>
        <v/>
      </c>
      <c r="F300" t="e">
        <f>INDEX(cntry_codes,MATCH(loaded!Q300,countries,0))</f>
        <v>#N/A</v>
      </c>
      <c r="G300" t="e">
        <f>INDEX(atsi_codes,MATCH(loaded!S300,atsi,0))</f>
        <v>#N/A</v>
      </c>
      <c r="H300" t="e">
        <f>INDEX(lang_codes,MATCH(loaded!U300,lang,0))</f>
        <v>#N/A</v>
      </c>
      <c r="I300" s="8">
        <f>loaded!W300</f>
        <v>0</v>
      </c>
      <c r="J300" t="e">
        <f>INDEX(us_acc_codes,MATCH(loaded!Y300,us_acc,0))</f>
        <v>#N/A</v>
      </c>
      <c r="K300" t="e">
        <f>INDEX(client_codes,MATCH(loaded!AA300,client,0))</f>
        <v>#N/A</v>
      </c>
      <c r="L300" t="e">
        <f>INDEX(src_ref_codes,MATCH(loaded!AC300,src_ref,0))</f>
        <v>#N/A</v>
      </c>
      <c r="M300" s="8">
        <f>loaded!AE300</f>
        <v>0</v>
      </c>
      <c r="N300" s="8">
        <f>loaded!AG300</f>
        <v>0</v>
      </c>
      <c r="O300" t="e">
        <f>INDEX(reces_codes,MATCH(loaded!AI300,reason,0))</f>
        <v>#N/A</v>
      </c>
      <c r="P300" t="e">
        <f>INDEX(TDS_codes,MATCH(loaded!AK300,TDS,0))</f>
        <v>#N/A</v>
      </c>
      <c r="Q300" t="e">
        <f>IF(K300=2,"",INDEX(method_codes,MATCH(loaded!AM300,method,0)))</f>
        <v>#N/A</v>
      </c>
      <c r="R300" t="e">
        <f>IF(K300=2,"",INDEX(inj_codes,MATCH(loaded!AO300,inj,0)))</f>
        <v>#N/A</v>
      </c>
      <c r="S300" t="e">
        <f>IF(K300=2,"",INDEX(drug_codes,MATCH(loaded!AQ300,drug,0)))</f>
        <v>#N/A</v>
      </c>
      <c r="T300" t="e">
        <f>IF(K300=2,"",_xlfn.IFNA(INDEX(drug_codes,MATCH(loaded!AS300,drug,0)),""))</f>
        <v>#N/A</v>
      </c>
      <c r="U300" t="e">
        <f>IF(K300=2,"",_xlfn.IFNA(INDEX(drug_codes,MATCH(loaded!AU300,drug,0)),""))</f>
        <v>#N/A</v>
      </c>
      <c r="V300" t="e">
        <f>IF(K300=2,"",_xlfn.IFNA(INDEX(drug_codes,MATCH(loaded!AW300,drug,0)),""))</f>
        <v>#N/A</v>
      </c>
      <c r="W300" t="e">
        <f>IF(K300=2,"",_xlfn.IFNA(INDEX(drug_codes,MATCH(loaded!AY300,drug,0)),""))</f>
        <v>#N/A</v>
      </c>
      <c r="X300" t="e">
        <f>IF(K300=2,"",_xlfn.IFNA(INDEX(drug_codes,MATCH(loaded!BA300,drug,0)),""))</f>
        <v>#N/A</v>
      </c>
      <c r="Y300" t="e">
        <f>INDEX(MTT_codes,MATCH(loaded!BC300,MTT,0))</f>
        <v>#N/A</v>
      </c>
      <c r="Z300" t="str">
        <f>_xlfn.IFNA(INDEX(MTT_codes,MATCH(loaded!BE300,MTT,0)),"")</f>
        <v/>
      </c>
      <c r="AA300" t="str">
        <f>_xlfn.IFNA(INDEX(MTT_codes,MATCH(loaded!BG300,MTT,0)),"")</f>
        <v/>
      </c>
      <c r="AB300" t="str">
        <f>_xlfn.IFNA(INDEX(MTT_codes,MATCH(loaded!BI300,MTT,0)),"")</f>
        <v/>
      </c>
      <c r="AC300" t="str">
        <f>_xlfn.IFNA(INDEX(MTT_codes,MATCH(loaded!BK300,MTT,0)),"")</f>
        <v/>
      </c>
      <c r="AD300" t="str">
        <f>_xlfn.IFNA(INDEX(MTT_codes,MATCH(loaded!BM300,MTT,0)),"")</f>
        <v/>
      </c>
      <c r="AE300" t="e">
        <f>INDEX(liv_ar_codes,MATCH(loaded!BO300,liv_ar,0))</f>
        <v>#N/A</v>
      </c>
      <c r="AF300" t="str">
        <f>_xlfn.IFNA(INDEX(MTT_codes,MATCH(loaded!BQ300,MTT,0)),"")</f>
        <v/>
      </c>
      <c r="AG300">
        <f>_xlfn.IFNA(INDEX(mental_codes,MATCH(loaded!BS300,mental,0)),9)</f>
        <v>9</v>
      </c>
    </row>
    <row r="301" spans="1:33" x14ac:dyDescent="0.25">
      <c r="A301">
        <f>loaded!C301</f>
        <v>0</v>
      </c>
      <c r="B301">
        <f>loaded!I301</f>
        <v>0</v>
      </c>
      <c r="C301">
        <f>IF(loaded!K301="Male",1,IF(loaded!K301="Female",2,9))</f>
        <v>9</v>
      </c>
      <c r="D301" s="8">
        <f>loaded!M301</f>
        <v>0</v>
      </c>
      <c r="E301" t="str">
        <f>LEFT(loaded!O301,3)</f>
        <v/>
      </c>
      <c r="F301" t="e">
        <f>INDEX(cntry_codes,MATCH(loaded!Q301,countries,0))</f>
        <v>#N/A</v>
      </c>
      <c r="G301" t="e">
        <f>INDEX(atsi_codes,MATCH(loaded!S301,atsi,0))</f>
        <v>#N/A</v>
      </c>
      <c r="H301" t="e">
        <f>INDEX(lang_codes,MATCH(loaded!U301,lang,0))</f>
        <v>#N/A</v>
      </c>
      <c r="I301" s="8">
        <f>loaded!W301</f>
        <v>0</v>
      </c>
      <c r="J301" t="e">
        <f>INDEX(us_acc_codes,MATCH(loaded!Y301,us_acc,0))</f>
        <v>#N/A</v>
      </c>
      <c r="K301" t="e">
        <f>INDEX(client_codes,MATCH(loaded!AA301,client,0))</f>
        <v>#N/A</v>
      </c>
      <c r="L301" t="e">
        <f>INDEX(src_ref_codes,MATCH(loaded!AC301,src_ref,0))</f>
        <v>#N/A</v>
      </c>
      <c r="M301" s="8">
        <f>loaded!AE301</f>
        <v>0</v>
      </c>
      <c r="N301" s="8">
        <f>loaded!AG301</f>
        <v>0</v>
      </c>
      <c r="O301" t="e">
        <f>INDEX(reces_codes,MATCH(loaded!AI301,reason,0))</f>
        <v>#N/A</v>
      </c>
      <c r="P301" t="e">
        <f>INDEX(TDS_codes,MATCH(loaded!AK301,TDS,0))</f>
        <v>#N/A</v>
      </c>
      <c r="Q301" t="e">
        <f>IF(K301=2,"",INDEX(method_codes,MATCH(loaded!AM301,method,0)))</f>
        <v>#N/A</v>
      </c>
      <c r="R301" t="e">
        <f>IF(K301=2,"",INDEX(inj_codes,MATCH(loaded!AO301,inj,0)))</f>
        <v>#N/A</v>
      </c>
      <c r="S301" t="e">
        <f>IF(K301=2,"",INDEX(drug_codes,MATCH(loaded!AQ301,drug,0)))</f>
        <v>#N/A</v>
      </c>
      <c r="T301" t="e">
        <f>IF(K301=2,"",_xlfn.IFNA(INDEX(drug_codes,MATCH(loaded!AS301,drug,0)),""))</f>
        <v>#N/A</v>
      </c>
      <c r="U301" t="e">
        <f>IF(K301=2,"",_xlfn.IFNA(INDEX(drug_codes,MATCH(loaded!AU301,drug,0)),""))</f>
        <v>#N/A</v>
      </c>
      <c r="V301" t="e">
        <f>IF(K301=2,"",_xlfn.IFNA(INDEX(drug_codes,MATCH(loaded!AW301,drug,0)),""))</f>
        <v>#N/A</v>
      </c>
      <c r="W301" t="e">
        <f>IF(K301=2,"",_xlfn.IFNA(INDEX(drug_codes,MATCH(loaded!AY301,drug,0)),""))</f>
        <v>#N/A</v>
      </c>
      <c r="X301" t="e">
        <f>IF(K301=2,"",_xlfn.IFNA(INDEX(drug_codes,MATCH(loaded!BA301,drug,0)),""))</f>
        <v>#N/A</v>
      </c>
      <c r="Y301" t="e">
        <f>INDEX(MTT_codes,MATCH(loaded!BC301,MTT,0))</f>
        <v>#N/A</v>
      </c>
      <c r="Z301" t="str">
        <f>_xlfn.IFNA(INDEX(MTT_codes,MATCH(loaded!BE301,MTT,0)),"")</f>
        <v/>
      </c>
      <c r="AA301" t="str">
        <f>_xlfn.IFNA(INDEX(MTT_codes,MATCH(loaded!BG301,MTT,0)),"")</f>
        <v/>
      </c>
      <c r="AB301" t="str">
        <f>_xlfn.IFNA(INDEX(MTT_codes,MATCH(loaded!BI301,MTT,0)),"")</f>
        <v/>
      </c>
      <c r="AC301" t="str">
        <f>_xlfn.IFNA(INDEX(MTT_codes,MATCH(loaded!BK301,MTT,0)),"")</f>
        <v/>
      </c>
      <c r="AD301" t="str">
        <f>_xlfn.IFNA(INDEX(MTT_codes,MATCH(loaded!BM301,MTT,0)),"")</f>
        <v/>
      </c>
      <c r="AE301" t="e">
        <f>INDEX(liv_ar_codes,MATCH(loaded!BO301,liv_ar,0))</f>
        <v>#N/A</v>
      </c>
      <c r="AF301" t="str">
        <f>_xlfn.IFNA(INDEX(MTT_codes,MATCH(loaded!BQ301,MTT,0)),"")</f>
        <v/>
      </c>
      <c r="AG301">
        <f>_xlfn.IFNA(INDEX(mental_codes,MATCH(loaded!BS301,mental,0)),9)</f>
        <v>9</v>
      </c>
    </row>
    <row r="302" spans="1:33" x14ac:dyDescent="0.25">
      <c r="A302">
        <f>loaded!C302</f>
        <v>0</v>
      </c>
      <c r="B302">
        <f>loaded!I302</f>
        <v>0</v>
      </c>
      <c r="C302">
        <f>IF(loaded!K302="Male",1,IF(loaded!K302="Female",2,9))</f>
        <v>9</v>
      </c>
      <c r="D302" s="8">
        <f>loaded!M302</f>
        <v>0</v>
      </c>
      <c r="E302" t="str">
        <f>LEFT(loaded!O302,3)</f>
        <v/>
      </c>
      <c r="F302" t="e">
        <f>INDEX(cntry_codes,MATCH(loaded!Q302,countries,0))</f>
        <v>#N/A</v>
      </c>
      <c r="G302" t="e">
        <f>INDEX(atsi_codes,MATCH(loaded!S302,atsi,0))</f>
        <v>#N/A</v>
      </c>
      <c r="H302" t="e">
        <f>INDEX(lang_codes,MATCH(loaded!U302,lang,0))</f>
        <v>#N/A</v>
      </c>
      <c r="I302" s="8">
        <f>loaded!W302</f>
        <v>0</v>
      </c>
      <c r="J302" t="e">
        <f>INDEX(us_acc_codes,MATCH(loaded!Y302,us_acc,0))</f>
        <v>#N/A</v>
      </c>
      <c r="K302" t="e">
        <f>INDEX(client_codes,MATCH(loaded!AA302,client,0))</f>
        <v>#N/A</v>
      </c>
      <c r="L302" t="e">
        <f>INDEX(src_ref_codes,MATCH(loaded!AC302,src_ref,0))</f>
        <v>#N/A</v>
      </c>
      <c r="M302" s="8">
        <f>loaded!AE302</f>
        <v>0</v>
      </c>
      <c r="N302" s="8">
        <f>loaded!AG302</f>
        <v>0</v>
      </c>
      <c r="O302" t="e">
        <f>INDEX(reces_codes,MATCH(loaded!AI302,reason,0))</f>
        <v>#N/A</v>
      </c>
      <c r="P302" t="e">
        <f>INDEX(TDS_codes,MATCH(loaded!AK302,TDS,0))</f>
        <v>#N/A</v>
      </c>
      <c r="Q302" t="e">
        <f>IF(K302=2,"",INDEX(method_codes,MATCH(loaded!AM302,method,0)))</f>
        <v>#N/A</v>
      </c>
      <c r="R302" t="e">
        <f>IF(K302=2,"",INDEX(inj_codes,MATCH(loaded!AO302,inj,0)))</f>
        <v>#N/A</v>
      </c>
      <c r="S302" t="e">
        <f>IF(K302=2,"",INDEX(drug_codes,MATCH(loaded!AQ302,drug,0)))</f>
        <v>#N/A</v>
      </c>
      <c r="T302" t="e">
        <f>IF(K302=2,"",_xlfn.IFNA(INDEX(drug_codes,MATCH(loaded!AS302,drug,0)),""))</f>
        <v>#N/A</v>
      </c>
      <c r="U302" t="e">
        <f>IF(K302=2,"",_xlfn.IFNA(INDEX(drug_codes,MATCH(loaded!AU302,drug,0)),""))</f>
        <v>#N/A</v>
      </c>
      <c r="V302" t="e">
        <f>IF(K302=2,"",_xlfn.IFNA(INDEX(drug_codes,MATCH(loaded!AW302,drug,0)),""))</f>
        <v>#N/A</v>
      </c>
      <c r="W302" t="e">
        <f>IF(K302=2,"",_xlfn.IFNA(INDEX(drug_codes,MATCH(loaded!AY302,drug,0)),""))</f>
        <v>#N/A</v>
      </c>
      <c r="X302" t="e">
        <f>IF(K302=2,"",_xlfn.IFNA(INDEX(drug_codes,MATCH(loaded!BA302,drug,0)),""))</f>
        <v>#N/A</v>
      </c>
      <c r="Y302" t="e">
        <f>INDEX(MTT_codes,MATCH(loaded!BC302,MTT,0))</f>
        <v>#N/A</v>
      </c>
      <c r="Z302" t="str">
        <f>_xlfn.IFNA(INDEX(MTT_codes,MATCH(loaded!BE302,MTT,0)),"")</f>
        <v/>
      </c>
      <c r="AA302" t="str">
        <f>_xlfn.IFNA(INDEX(MTT_codes,MATCH(loaded!BG302,MTT,0)),"")</f>
        <v/>
      </c>
      <c r="AB302" t="str">
        <f>_xlfn.IFNA(INDEX(MTT_codes,MATCH(loaded!BI302,MTT,0)),"")</f>
        <v/>
      </c>
      <c r="AC302" t="str">
        <f>_xlfn.IFNA(INDEX(MTT_codes,MATCH(loaded!BK302,MTT,0)),"")</f>
        <v/>
      </c>
      <c r="AD302" t="str">
        <f>_xlfn.IFNA(INDEX(MTT_codes,MATCH(loaded!BM302,MTT,0)),"")</f>
        <v/>
      </c>
      <c r="AE302" t="e">
        <f>INDEX(liv_ar_codes,MATCH(loaded!BO302,liv_ar,0))</f>
        <v>#N/A</v>
      </c>
      <c r="AF302" t="str">
        <f>_xlfn.IFNA(INDEX(MTT_codes,MATCH(loaded!BQ302,MTT,0)),"")</f>
        <v/>
      </c>
      <c r="AG302">
        <f>_xlfn.IFNA(INDEX(mental_codes,MATCH(loaded!BS302,mental,0)),9)</f>
        <v>9</v>
      </c>
    </row>
    <row r="303" spans="1:33" x14ac:dyDescent="0.25">
      <c r="A303">
        <f>loaded!C303</f>
        <v>0</v>
      </c>
      <c r="B303">
        <f>loaded!I303</f>
        <v>0</v>
      </c>
      <c r="C303">
        <f>IF(loaded!K303="Male",1,IF(loaded!K303="Female",2,9))</f>
        <v>9</v>
      </c>
      <c r="D303" s="8">
        <f>loaded!M303</f>
        <v>0</v>
      </c>
      <c r="E303" t="str">
        <f>LEFT(loaded!O303,3)</f>
        <v/>
      </c>
      <c r="F303" t="e">
        <f>INDEX(cntry_codes,MATCH(loaded!Q303,countries,0))</f>
        <v>#N/A</v>
      </c>
      <c r="G303" t="e">
        <f>INDEX(atsi_codes,MATCH(loaded!S303,atsi,0))</f>
        <v>#N/A</v>
      </c>
      <c r="H303" t="e">
        <f>INDEX(lang_codes,MATCH(loaded!U303,lang,0))</f>
        <v>#N/A</v>
      </c>
      <c r="I303" s="8">
        <f>loaded!W303</f>
        <v>0</v>
      </c>
      <c r="J303" t="e">
        <f>INDEX(us_acc_codes,MATCH(loaded!Y303,us_acc,0))</f>
        <v>#N/A</v>
      </c>
      <c r="K303" t="e">
        <f>INDEX(client_codes,MATCH(loaded!AA303,client,0))</f>
        <v>#N/A</v>
      </c>
      <c r="L303" t="e">
        <f>INDEX(src_ref_codes,MATCH(loaded!AC303,src_ref,0))</f>
        <v>#N/A</v>
      </c>
      <c r="M303" s="8">
        <f>loaded!AE303</f>
        <v>0</v>
      </c>
      <c r="N303" s="8">
        <f>loaded!AG303</f>
        <v>0</v>
      </c>
      <c r="O303" t="e">
        <f>INDEX(reces_codes,MATCH(loaded!AI303,reason,0))</f>
        <v>#N/A</v>
      </c>
      <c r="P303" t="e">
        <f>INDEX(TDS_codes,MATCH(loaded!AK303,TDS,0))</f>
        <v>#N/A</v>
      </c>
      <c r="Q303" t="e">
        <f>IF(K303=2,"",INDEX(method_codes,MATCH(loaded!AM303,method,0)))</f>
        <v>#N/A</v>
      </c>
      <c r="R303" t="e">
        <f>IF(K303=2,"",INDEX(inj_codes,MATCH(loaded!AO303,inj,0)))</f>
        <v>#N/A</v>
      </c>
      <c r="S303" t="e">
        <f>IF(K303=2,"",INDEX(drug_codes,MATCH(loaded!AQ303,drug,0)))</f>
        <v>#N/A</v>
      </c>
      <c r="T303" t="e">
        <f>IF(K303=2,"",_xlfn.IFNA(INDEX(drug_codes,MATCH(loaded!AS303,drug,0)),""))</f>
        <v>#N/A</v>
      </c>
      <c r="U303" t="e">
        <f>IF(K303=2,"",_xlfn.IFNA(INDEX(drug_codes,MATCH(loaded!AU303,drug,0)),""))</f>
        <v>#N/A</v>
      </c>
      <c r="V303" t="e">
        <f>IF(K303=2,"",_xlfn.IFNA(INDEX(drug_codes,MATCH(loaded!AW303,drug,0)),""))</f>
        <v>#N/A</v>
      </c>
      <c r="W303" t="e">
        <f>IF(K303=2,"",_xlfn.IFNA(INDEX(drug_codes,MATCH(loaded!AY303,drug,0)),""))</f>
        <v>#N/A</v>
      </c>
      <c r="X303" t="e">
        <f>IF(K303=2,"",_xlfn.IFNA(INDEX(drug_codes,MATCH(loaded!BA303,drug,0)),""))</f>
        <v>#N/A</v>
      </c>
      <c r="Y303" t="e">
        <f>INDEX(MTT_codes,MATCH(loaded!BC303,MTT,0))</f>
        <v>#N/A</v>
      </c>
      <c r="Z303" t="str">
        <f>_xlfn.IFNA(INDEX(MTT_codes,MATCH(loaded!BE303,MTT,0)),"")</f>
        <v/>
      </c>
      <c r="AA303" t="str">
        <f>_xlfn.IFNA(INDEX(MTT_codes,MATCH(loaded!BG303,MTT,0)),"")</f>
        <v/>
      </c>
      <c r="AB303" t="str">
        <f>_xlfn.IFNA(INDEX(MTT_codes,MATCH(loaded!BI303,MTT,0)),"")</f>
        <v/>
      </c>
      <c r="AC303" t="str">
        <f>_xlfn.IFNA(INDEX(MTT_codes,MATCH(loaded!BK303,MTT,0)),"")</f>
        <v/>
      </c>
      <c r="AD303" t="str">
        <f>_xlfn.IFNA(INDEX(MTT_codes,MATCH(loaded!BM303,MTT,0)),"")</f>
        <v/>
      </c>
      <c r="AE303" t="e">
        <f>INDEX(liv_ar_codes,MATCH(loaded!BO303,liv_ar,0))</f>
        <v>#N/A</v>
      </c>
      <c r="AF303" t="str">
        <f>_xlfn.IFNA(INDEX(MTT_codes,MATCH(loaded!BQ303,MTT,0)),"")</f>
        <v/>
      </c>
      <c r="AG303">
        <f>_xlfn.IFNA(INDEX(mental_codes,MATCH(loaded!BS303,mental,0)),9)</f>
        <v>9</v>
      </c>
    </row>
    <row r="304" spans="1:33" x14ac:dyDescent="0.25">
      <c r="A304">
        <f>loaded!C304</f>
        <v>0</v>
      </c>
      <c r="B304">
        <f>loaded!I304</f>
        <v>0</v>
      </c>
      <c r="C304">
        <f>IF(loaded!K304="Male",1,IF(loaded!K304="Female",2,9))</f>
        <v>9</v>
      </c>
      <c r="D304" s="8">
        <f>loaded!M304</f>
        <v>0</v>
      </c>
      <c r="E304" t="str">
        <f>LEFT(loaded!O304,3)</f>
        <v/>
      </c>
      <c r="F304" t="e">
        <f>INDEX(cntry_codes,MATCH(loaded!Q304,countries,0))</f>
        <v>#N/A</v>
      </c>
      <c r="G304" t="e">
        <f>INDEX(atsi_codes,MATCH(loaded!S304,atsi,0))</f>
        <v>#N/A</v>
      </c>
      <c r="H304" t="e">
        <f>INDEX(lang_codes,MATCH(loaded!U304,lang,0))</f>
        <v>#N/A</v>
      </c>
      <c r="I304" s="8">
        <f>loaded!W304</f>
        <v>0</v>
      </c>
      <c r="J304" t="e">
        <f>INDEX(us_acc_codes,MATCH(loaded!Y304,us_acc,0))</f>
        <v>#N/A</v>
      </c>
      <c r="K304" t="e">
        <f>INDEX(client_codes,MATCH(loaded!AA304,client,0))</f>
        <v>#N/A</v>
      </c>
      <c r="L304" t="e">
        <f>INDEX(src_ref_codes,MATCH(loaded!AC304,src_ref,0))</f>
        <v>#N/A</v>
      </c>
      <c r="M304" s="8">
        <f>loaded!AE304</f>
        <v>0</v>
      </c>
      <c r="N304" s="8">
        <f>loaded!AG304</f>
        <v>0</v>
      </c>
      <c r="O304" t="e">
        <f>INDEX(reces_codes,MATCH(loaded!AI304,reason,0))</f>
        <v>#N/A</v>
      </c>
      <c r="P304" t="e">
        <f>INDEX(TDS_codes,MATCH(loaded!AK304,TDS,0))</f>
        <v>#N/A</v>
      </c>
      <c r="Q304" t="e">
        <f>IF(K304=2,"",INDEX(method_codes,MATCH(loaded!AM304,method,0)))</f>
        <v>#N/A</v>
      </c>
      <c r="R304" t="e">
        <f>IF(K304=2,"",INDEX(inj_codes,MATCH(loaded!AO304,inj,0)))</f>
        <v>#N/A</v>
      </c>
      <c r="S304" t="e">
        <f>IF(K304=2,"",INDEX(drug_codes,MATCH(loaded!AQ304,drug,0)))</f>
        <v>#N/A</v>
      </c>
      <c r="T304" t="e">
        <f>IF(K304=2,"",_xlfn.IFNA(INDEX(drug_codes,MATCH(loaded!AS304,drug,0)),""))</f>
        <v>#N/A</v>
      </c>
      <c r="U304" t="e">
        <f>IF(K304=2,"",_xlfn.IFNA(INDEX(drug_codes,MATCH(loaded!AU304,drug,0)),""))</f>
        <v>#N/A</v>
      </c>
      <c r="V304" t="e">
        <f>IF(K304=2,"",_xlfn.IFNA(INDEX(drug_codes,MATCH(loaded!AW304,drug,0)),""))</f>
        <v>#N/A</v>
      </c>
      <c r="W304" t="e">
        <f>IF(K304=2,"",_xlfn.IFNA(INDEX(drug_codes,MATCH(loaded!AY304,drug,0)),""))</f>
        <v>#N/A</v>
      </c>
      <c r="X304" t="e">
        <f>IF(K304=2,"",_xlfn.IFNA(INDEX(drug_codes,MATCH(loaded!BA304,drug,0)),""))</f>
        <v>#N/A</v>
      </c>
      <c r="Y304" t="e">
        <f>INDEX(MTT_codes,MATCH(loaded!BC304,MTT,0))</f>
        <v>#N/A</v>
      </c>
      <c r="Z304" t="str">
        <f>_xlfn.IFNA(INDEX(MTT_codes,MATCH(loaded!BE304,MTT,0)),"")</f>
        <v/>
      </c>
      <c r="AA304" t="str">
        <f>_xlfn.IFNA(INDEX(MTT_codes,MATCH(loaded!BG304,MTT,0)),"")</f>
        <v/>
      </c>
      <c r="AB304" t="str">
        <f>_xlfn.IFNA(INDEX(MTT_codes,MATCH(loaded!BI304,MTT,0)),"")</f>
        <v/>
      </c>
      <c r="AC304" t="str">
        <f>_xlfn.IFNA(INDEX(MTT_codes,MATCH(loaded!BK304,MTT,0)),"")</f>
        <v/>
      </c>
      <c r="AD304" t="str">
        <f>_xlfn.IFNA(INDEX(MTT_codes,MATCH(loaded!BM304,MTT,0)),"")</f>
        <v/>
      </c>
      <c r="AE304" t="e">
        <f>INDEX(liv_ar_codes,MATCH(loaded!BO304,liv_ar,0))</f>
        <v>#N/A</v>
      </c>
      <c r="AF304" t="str">
        <f>_xlfn.IFNA(INDEX(MTT_codes,MATCH(loaded!BQ304,MTT,0)),"")</f>
        <v/>
      </c>
      <c r="AG304">
        <f>_xlfn.IFNA(INDEX(mental_codes,MATCH(loaded!BS304,mental,0)),9)</f>
        <v>9</v>
      </c>
    </row>
    <row r="305" spans="1:33" x14ac:dyDescent="0.25">
      <c r="A305">
        <f>loaded!C305</f>
        <v>0</v>
      </c>
      <c r="B305">
        <f>loaded!I305</f>
        <v>0</v>
      </c>
      <c r="C305">
        <f>IF(loaded!K305="Male",1,IF(loaded!K305="Female",2,9))</f>
        <v>9</v>
      </c>
      <c r="D305" s="8">
        <f>loaded!M305</f>
        <v>0</v>
      </c>
      <c r="E305" t="str">
        <f>LEFT(loaded!O305,3)</f>
        <v/>
      </c>
      <c r="F305" t="e">
        <f>INDEX(cntry_codes,MATCH(loaded!Q305,countries,0))</f>
        <v>#N/A</v>
      </c>
      <c r="G305" t="e">
        <f>INDEX(atsi_codes,MATCH(loaded!S305,atsi,0))</f>
        <v>#N/A</v>
      </c>
      <c r="H305" t="e">
        <f>INDEX(lang_codes,MATCH(loaded!U305,lang,0))</f>
        <v>#N/A</v>
      </c>
      <c r="I305" s="8">
        <f>loaded!W305</f>
        <v>0</v>
      </c>
      <c r="J305" t="e">
        <f>INDEX(us_acc_codes,MATCH(loaded!Y305,us_acc,0))</f>
        <v>#N/A</v>
      </c>
      <c r="K305" t="e">
        <f>INDEX(client_codes,MATCH(loaded!AA305,client,0))</f>
        <v>#N/A</v>
      </c>
      <c r="L305" t="e">
        <f>INDEX(src_ref_codes,MATCH(loaded!AC305,src_ref,0))</f>
        <v>#N/A</v>
      </c>
      <c r="M305" s="8">
        <f>loaded!AE305</f>
        <v>0</v>
      </c>
      <c r="N305" s="8">
        <f>loaded!AG305</f>
        <v>0</v>
      </c>
      <c r="O305" t="e">
        <f>INDEX(reces_codes,MATCH(loaded!AI305,reason,0))</f>
        <v>#N/A</v>
      </c>
      <c r="P305" t="e">
        <f>INDEX(TDS_codes,MATCH(loaded!AK305,TDS,0))</f>
        <v>#N/A</v>
      </c>
      <c r="Q305" t="e">
        <f>IF(K305=2,"",INDEX(method_codes,MATCH(loaded!AM305,method,0)))</f>
        <v>#N/A</v>
      </c>
      <c r="R305" t="e">
        <f>IF(K305=2,"",INDEX(inj_codes,MATCH(loaded!AO305,inj,0)))</f>
        <v>#N/A</v>
      </c>
      <c r="S305" t="e">
        <f>IF(K305=2,"",INDEX(drug_codes,MATCH(loaded!AQ305,drug,0)))</f>
        <v>#N/A</v>
      </c>
      <c r="T305" t="e">
        <f>IF(K305=2,"",_xlfn.IFNA(INDEX(drug_codes,MATCH(loaded!AS305,drug,0)),""))</f>
        <v>#N/A</v>
      </c>
      <c r="U305" t="e">
        <f>IF(K305=2,"",_xlfn.IFNA(INDEX(drug_codes,MATCH(loaded!AU305,drug,0)),""))</f>
        <v>#N/A</v>
      </c>
      <c r="V305" t="e">
        <f>IF(K305=2,"",_xlfn.IFNA(INDEX(drug_codes,MATCH(loaded!AW305,drug,0)),""))</f>
        <v>#N/A</v>
      </c>
      <c r="W305" t="e">
        <f>IF(K305=2,"",_xlfn.IFNA(INDEX(drug_codes,MATCH(loaded!AY305,drug,0)),""))</f>
        <v>#N/A</v>
      </c>
      <c r="X305" t="e">
        <f>IF(K305=2,"",_xlfn.IFNA(INDEX(drug_codes,MATCH(loaded!BA305,drug,0)),""))</f>
        <v>#N/A</v>
      </c>
      <c r="Y305" t="e">
        <f>INDEX(MTT_codes,MATCH(loaded!BC305,MTT,0))</f>
        <v>#N/A</v>
      </c>
      <c r="Z305" t="str">
        <f>_xlfn.IFNA(INDEX(MTT_codes,MATCH(loaded!BE305,MTT,0)),"")</f>
        <v/>
      </c>
      <c r="AA305" t="str">
        <f>_xlfn.IFNA(INDEX(MTT_codes,MATCH(loaded!BG305,MTT,0)),"")</f>
        <v/>
      </c>
      <c r="AB305" t="str">
        <f>_xlfn.IFNA(INDEX(MTT_codes,MATCH(loaded!BI305,MTT,0)),"")</f>
        <v/>
      </c>
      <c r="AC305" t="str">
        <f>_xlfn.IFNA(INDEX(MTT_codes,MATCH(loaded!BK305,MTT,0)),"")</f>
        <v/>
      </c>
      <c r="AD305" t="str">
        <f>_xlfn.IFNA(INDEX(MTT_codes,MATCH(loaded!BM305,MTT,0)),"")</f>
        <v/>
      </c>
      <c r="AE305" t="e">
        <f>INDEX(liv_ar_codes,MATCH(loaded!BO305,liv_ar,0))</f>
        <v>#N/A</v>
      </c>
      <c r="AF305" t="str">
        <f>_xlfn.IFNA(INDEX(MTT_codes,MATCH(loaded!BQ305,MTT,0)),"")</f>
        <v/>
      </c>
      <c r="AG305">
        <f>_xlfn.IFNA(INDEX(mental_codes,MATCH(loaded!BS305,mental,0)),9)</f>
        <v>9</v>
      </c>
    </row>
    <row r="306" spans="1:33" x14ac:dyDescent="0.25">
      <c r="A306">
        <f>loaded!C306</f>
        <v>0</v>
      </c>
      <c r="B306">
        <f>loaded!I306</f>
        <v>0</v>
      </c>
      <c r="C306">
        <f>IF(loaded!K306="Male",1,IF(loaded!K306="Female",2,9))</f>
        <v>9</v>
      </c>
      <c r="D306" s="8">
        <f>loaded!M306</f>
        <v>0</v>
      </c>
      <c r="E306" t="str">
        <f>LEFT(loaded!O306,3)</f>
        <v/>
      </c>
      <c r="F306" t="e">
        <f>INDEX(cntry_codes,MATCH(loaded!Q306,countries,0))</f>
        <v>#N/A</v>
      </c>
      <c r="G306" t="e">
        <f>INDEX(atsi_codes,MATCH(loaded!S306,atsi,0))</f>
        <v>#N/A</v>
      </c>
      <c r="H306" t="e">
        <f>INDEX(lang_codes,MATCH(loaded!U306,lang,0))</f>
        <v>#N/A</v>
      </c>
      <c r="I306" s="8">
        <f>loaded!W306</f>
        <v>0</v>
      </c>
      <c r="J306" t="e">
        <f>INDEX(us_acc_codes,MATCH(loaded!Y306,us_acc,0))</f>
        <v>#N/A</v>
      </c>
      <c r="K306" t="e">
        <f>INDEX(client_codes,MATCH(loaded!AA306,client,0))</f>
        <v>#N/A</v>
      </c>
      <c r="L306" t="e">
        <f>INDEX(src_ref_codes,MATCH(loaded!AC306,src_ref,0))</f>
        <v>#N/A</v>
      </c>
      <c r="M306" s="8">
        <f>loaded!AE306</f>
        <v>0</v>
      </c>
      <c r="N306" s="8">
        <f>loaded!AG306</f>
        <v>0</v>
      </c>
      <c r="O306" t="e">
        <f>INDEX(reces_codes,MATCH(loaded!AI306,reason,0))</f>
        <v>#N/A</v>
      </c>
      <c r="P306" t="e">
        <f>INDEX(TDS_codes,MATCH(loaded!AK306,TDS,0))</f>
        <v>#N/A</v>
      </c>
      <c r="Q306" t="e">
        <f>IF(K306=2,"",INDEX(method_codes,MATCH(loaded!AM306,method,0)))</f>
        <v>#N/A</v>
      </c>
      <c r="R306" t="e">
        <f>IF(K306=2,"",INDEX(inj_codes,MATCH(loaded!AO306,inj,0)))</f>
        <v>#N/A</v>
      </c>
      <c r="S306" t="e">
        <f>IF(K306=2,"",INDEX(drug_codes,MATCH(loaded!AQ306,drug,0)))</f>
        <v>#N/A</v>
      </c>
      <c r="T306" t="e">
        <f>IF(K306=2,"",_xlfn.IFNA(INDEX(drug_codes,MATCH(loaded!AS306,drug,0)),""))</f>
        <v>#N/A</v>
      </c>
      <c r="U306" t="e">
        <f>IF(K306=2,"",_xlfn.IFNA(INDEX(drug_codes,MATCH(loaded!AU306,drug,0)),""))</f>
        <v>#N/A</v>
      </c>
      <c r="V306" t="e">
        <f>IF(K306=2,"",_xlfn.IFNA(INDEX(drug_codes,MATCH(loaded!AW306,drug,0)),""))</f>
        <v>#N/A</v>
      </c>
      <c r="W306" t="e">
        <f>IF(K306=2,"",_xlfn.IFNA(INDEX(drug_codes,MATCH(loaded!AY306,drug,0)),""))</f>
        <v>#N/A</v>
      </c>
      <c r="X306" t="e">
        <f>IF(K306=2,"",_xlfn.IFNA(INDEX(drug_codes,MATCH(loaded!BA306,drug,0)),""))</f>
        <v>#N/A</v>
      </c>
      <c r="Y306" t="e">
        <f>INDEX(MTT_codes,MATCH(loaded!BC306,MTT,0))</f>
        <v>#N/A</v>
      </c>
      <c r="Z306" t="str">
        <f>_xlfn.IFNA(INDEX(MTT_codes,MATCH(loaded!BE306,MTT,0)),"")</f>
        <v/>
      </c>
      <c r="AA306" t="str">
        <f>_xlfn.IFNA(INDEX(MTT_codes,MATCH(loaded!BG306,MTT,0)),"")</f>
        <v/>
      </c>
      <c r="AB306" t="str">
        <f>_xlfn.IFNA(INDEX(MTT_codes,MATCH(loaded!BI306,MTT,0)),"")</f>
        <v/>
      </c>
      <c r="AC306" t="str">
        <f>_xlfn.IFNA(INDEX(MTT_codes,MATCH(loaded!BK306,MTT,0)),"")</f>
        <v/>
      </c>
      <c r="AD306" t="str">
        <f>_xlfn.IFNA(INDEX(MTT_codes,MATCH(loaded!BM306,MTT,0)),"")</f>
        <v/>
      </c>
      <c r="AE306" t="e">
        <f>INDEX(liv_ar_codes,MATCH(loaded!BO306,liv_ar,0))</f>
        <v>#N/A</v>
      </c>
      <c r="AF306" t="str">
        <f>_xlfn.IFNA(INDEX(MTT_codes,MATCH(loaded!BQ306,MTT,0)),"")</f>
        <v/>
      </c>
      <c r="AG306">
        <f>_xlfn.IFNA(INDEX(mental_codes,MATCH(loaded!BS306,mental,0)),9)</f>
        <v>9</v>
      </c>
    </row>
    <row r="307" spans="1:33" x14ac:dyDescent="0.25">
      <c r="A307">
        <f>loaded!C307</f>
        <v>0</v>
      </c>
      <c r="B307">
        <f>loaded!I307</f>
        <v>0</v>
      </c>
      <c r="C307">
        <f>IF(loaded!K307="Male",1,IF(loaded!K307="Female",2,9))</f>
        <v>9</v>
      </c>
      <c r="D307" s="8">
        <f>loaded!M307</f>
        <v>0</v>
      </c>
      <c r="E307" t="str">
        <f>LEFT(loaded!O307,3)</f>
        <v/>
      </c>
      <c r="F307" t="e">
        <f>INDEX(cntry_codes,MATCH(loaded!Q307,countries,0))</f>
        <v>#N/A</v>
      </c>
      <c r="G307" t="e">
        <f>INDEX(atsi_codes,MATCH(loaded!S307,atsi,0))</f>
        <v>#N/A</v>
      </c>
      <c r="H307" t="e">
        <f>INDEX(lang_codes,MATCH(loaded!U307,lang,0))</f>
        <v>#N/A</v>
      </c>
      <c r="I307" s="8">
        <f>loaded!W307</f>
        <v>0</v>
      </c>
      <c r="J307" t="e">
        <f>INDEX(us_acc_codes,MATCH(loaded!Y307,us_acc,0))</f>
        <v>#N/A</v>
      </c>
      <c r="K307" t="e">
        <f>INDEX(client_codes,MATCH(loaded!AA307,client,0))</f>
        <v>#N/A</v>
      </c>
      <c r="L307" t="e">
        <f>INDEX(src_ref_codes,MATCH(loaded!AC307,src_ref,0))</f>
        <v>#N/A</v>
      </c>
      <c r="M307" s="8">
        <f>loaded!AE307</f>
        <v>0</v>
      </c>
      <c r="N307" s="8">
        <f>loaded!AG307</f>
        <v>0</v>
      </c>
      <c r="O307" t="e">
        <f>INDEX(reces_codes,MATCH(loaded!AI307,reason,0))</f>
        <v>#N/A</v>
      </c>
      <c r="P307" t="e">
        <f>INDEX(TDS_codes,MATCH(loaded!AK307,TDS,0))</f>
        <v>#N/A</v>
      </c>
      <c r="Q307" t="e">
        <f>IF(K307=2,"",INDEX(method_codes,MATCH(loaded!AM307,method,0)))</f>
        <v>#N/A</v>
      </c>
      <c r="R307" t="e">
        <f>IF(K307=2,"",INDEX(inj_codes,MATCH(loaded!AO307,inj,0)))</f>
        <v>#N/A</v>
      </c>
      <c r="S307" t="e">
        <f>IF(K307=2,"",INDEX(drug_codes,MATCH(loaded!AQ307,drug,0)))</f>
        <v>#N/A</v>
      </c>
      <c r="T307" t="e">
        <f>IF(K307=2,"",_xlfn.IFNA(INDEX(drug_codes,MATCH(loaded!AS307,drug,0)),""))</f>
        <v>#N/A</v>
      </c>
      <c r="U307" t="e">
        <f>IF(K307=2,"",_xlfn.IFNA(INDEX(drug_codes,MATCH(loaded!AU307,drug,0)),""))</f>
        <v>#N/A</v>
      </c>
      <c r="V307" t="e">
        <f>IF(K307=2,"",_xlfn.IFNA(INDEX(drug_codes,MATCH(loaded!AW307,drug,0)),""))</f>
        <v>#N/A</v>
      </c>
      <c r="W307" t="e">
        <f>IF(K307=2,"",_xlfn.IFNA(INDEX(drug_codes,MATCH(loaded!AY307,drug,0)),""))</f>
        <v>#N/A</v>
      </c>
      <c r="X307" t="e">
        <f>IF(K307=2,"",_xlfn.IFNA(INDEX(drug_codes,MATCH(loaded!BA307,drug,0)),""))</f>
        <v>#N/A</v>
      </c>
      <c r="Y307" t="e">
        <f>INDEX(MTT_codes,MATCH(loaded!BC307,MTT,0))</f>
        <v>#N/A</v>
      </c>
      <c r="Z307" t="str">
        <f>_xlfn.IFNA(INDEX(MTT_codes,MATCH(loaded!BE307,MTT,0)),"")</f>
        <v/>
      </c>
      <c r="AA307" t="str">
        <f>_xlfn.IFNA(INDEX(MTT_codes,MATCH(loaded!BG307,MTT,0)),"")</f>
        <v/>
      </c>
      <c r="AB307" t="str">
        <f>_xlfn.IFNA(INDEX(MTT_codes,MATCH(loaded!BI307,MTT,0)),"")</f>
        <v/>
      </c>
      <c r="AC307" t="str">
        <f>_xlfn.IFNA(INDEX(MTT_codes,MATCH(loaded!BK307,MTT,0)),"")</f>
        <v/>
      </c>
      <c r="AD307" t="str">
        <f>_xlfn.IFNA(INDEX(MTT_codes,MATCH(loaded!BM307,MTT,0)),"")</f>
        <v/>
      </c>
      <c r="AE307" t="e">
        <f>INDEX(liv_ar_codes,MATCH(loaded!BO307,liv_ar,0))</f>
        <v>#N/A</v>
      </c>
      <c r="AF307" t="str">
        <f>_xlfn.IFNA(INDEX(MTT_codes,MATCH(loaded!BQ307,MTT,0)),"")</f>
        <v/>
      </c>
      <c r="AG307">
        <f>_xlfn.IFNA(INDEX(mental_codes,MATCH(loaded!BS307,mental,0)),9)</f>
        <v>9</v>
      </c>
    </row>
    <row r="308" spans="1:33" x14ac:dyDescent="0.25">
      <c r="A308">
        <f>loaded!C308</f>
        <v>0</v>
      </c>
      <c r="B308">
        <f>loaded!I308</f>
        <v>0</v>
      </c>
      <c r="C308">
        <f>IF(loaded!K308="Male",1,IF(loaded!K308="Female",2,9))</f>
        <v>9</v>
      </c>
      <c r="D308" s="8">
        <f>loaded!M308</f>
        <v>0</v>
      </c>
      <c r="E308" t="str">
        <f>LEFT(loaded!O308,3)</f>
        <v/>
      </c>
      <c r="F308" t="e">
        <f>INDEX(cntry_codes,MATCH(loaded!Q308,countries,0))</f>
        <v>#N/A</v>
      </c>
      <c r="G308" t="e">
        <f>INDEX(atsi_codes,MATCH(loaded!S308,atsi,0))</f>
        <v>#N/A</v>
      </c>
      <c r="H308" t="e">
        <f>INDEX(lang_codes,MATCH(loaded!U308,lang,0))</f>
        <v>#N/A</v>
      </c>
      <c r="I308" s="8">
        <f>loaded!W308</f>
        <v>0</v>
      </c>
      <c r="J308" t="e">
        <f>INDEX(us_acc_codes,MATCH(loaded!Y308,us_acc,0))</f>
        <v>#N/A</v>
      </c>
      <c r="K308" t="e">
        <f>INDEX(client_codes,MATCH(loaded!AA308,client,0))</f>
        <v>#N/A</v>
      </c>
      <c r="L308" t="e">
        <f>INDEX(src_ref_codes,MATCH(loaded!AC308,src_ref,0))</f>
        <v>#N/A</v>
      </c>
      <c r="M308" s="8">
        <f>loaded!AE308</f>
        <v>0</v>
      </c>
      <c r="N308" s="8">
        <f>loaded!AG308</f>
        <v>0</v>
      </c>
      <c r="O308" t="e">
        <f>INDEX(reces_codes,MATCH(loaded!AI308,reason,0))</f>
        <v>#N/A</v>
      </c>
      <c r="P308" t="e">
        <f>INDEX(TDS_codes,MATCH(loaded!AK308,TDS,0))</f>
        <v>#N/A</v>
      </c>
      <c r="Q308" t="e">
        <f>IF(K308=2,"",INDEX(method_codes,MATCH(loaded!AM308,method,0)))</f>
        <v>#N/A</v>
      </c>
      <c r="R308" t="e">
        <f>IF(K308=2,"",INDEX(inj_codes,MATCH(loaded!AO308,inj,0)))</f>
        <v>#N/A</v>
      </c>
      <c r="S308" t="e">
        <f>IF(K308=2,"",INDEX(drug_codes,MATCH(loaded!AQ308,drug,0)))</f>
        <v>#N/A</v>
      </c>
      <c r="T308" t="e">
        <f>IF(K308=2,"",_xlfn.IFNA(INDEX(drug_codes,MATCH(loaded!AS308,drug,0)),""))</f>
        <v>#N/A</v>
      </c>
      <c r="U308" t="e">
        <f>IF(K308=2,"",_xlfn.IFNA(INDEX(drug_codes,MATCH(loaded!AU308,drug,0)),""))</f>
        <v>#N/A</v>
      </c>
      <c r="V308" t="e">
        <f>IF(K308=2,"",_xlfn.IFNA(INDEX(drug_codes,MATCH(loaded!AW308,drug,0)),""))</f>
        <v>#N/A</v>
      </c>
      <c r="W308" t="e">
        <f>IF(K308=2,"",_xlfn.IFNA(INDEX(drug_codes,MATCH(loaded!AY308,drug,0)),""))</f>
        <v>#N/A</v>
      </c>
      <c r="X308" t="e">
        <f>IF(K308=2,"",_xlfn.IFNA(INDEX(drug_codes,MATCH(loaded!BA308,drug,0)),""))</f>
        <v>#N/A</v>
      </c>
      <c r="Y308" t="e">
        <f>INDEX(MTT_codes,MATCH(loaded!BC308,MTT,0))</f>
        <v>#N/A</v>
      </c>
      <c r="Z308" t="str">
        <f>_xlfn.IFNA(INDEX(MTT_codes,MATCH(loaded!BE308,MTT,0)),"")</f>
        <v/>
      </c>
      <c r="AA308" t="str">
        <f>_xlfn.IFNA(INDEX(MTT_codes,MATCH(loaded!BG308,MTT,0)),"")</f>
        <v/>
      </c>
      <c r="AB308" t="str">
        <f>_xlfn.IFNA(INDEX(MTT_codes,MATCH(loaded!BI308,MTT,0)),"")</f>
        <v/>
      </c>
      <c r="AC308" t="str">
        <f>_xlfn.IFNA(INDEX(MTT_codes,MATCH(loaded!BK308,MTT,0)),"")</f>
        <v/>
      </c>
      <c r="AD308" t="str">
        <f>_xlfn.IFNA(INDEX(MTT_codes,MATCH(loaded!BM308,MTT,0)),"")</f>
        <v/>
      </c>
      <c r="AE308" t="e">
        <f>INDEX(liv_ar_codes,MATCH(loaded!BO308,liv_ar,0))</f>
        <v>#N/A</v>
      </c>
      <c r="AF308" t="str">
        <f>_xlfn.IFNA(INDEX(MTT_codes,MATCH(loaded!BQ308,MTT,0)),"")</f>
        <v/>
      </c>
      <c r="AG308">
        <f>_xlfn.IFNA(INDEX(mental_codes,MATCH(loaded!BS308,mental,0)),9)</f>
        <v>9</v>
      </c>
    </row>
    <row r="309" spans="1:33" x14ac:dyDescent="0.25">
      <c r="A309">
        <f>loaded!C309</f>
        <v>0</v>
      </c>
      <c r="B309">
        <f>loaded!I309</f>
        <v>0</v>
      </c>
      <c r="C309">
        <f>IF(loaded!K309="Male",1,IF(loaded!K309="Female",2,9))</f>
        <v>9</v>
      </c>
      <c r="D309" s="8">
        <f>loaded!M309</f>
        <v>0</v>
      </c>
      <c r="E309" t="str">
        <f>LEFT(loaded!O309,3)</f>
        <v/>
      </c>
      <c r="F309" t="e">
        <f>INDEX(cntry_codes,MATCH(loaded!Q309,countries,0))</f>
        <v>#N/A</v>
      </c>
      <c r="G309" t="e">
        <f>INDEX(atsi_codes,MATCH(loaded!S309,atsi,0))</f>
        <v>#N/A</v>
      </c>
      <c r="H309" t="e">
        <f>INDEX(lang_codes,MATCH(loaded!U309,lang,0))</f>
        <v>#N/A</v>
      </c>
      <c r="I309" s="8">
        <f>loaded!W309</f>
        <v>0</v>
      </c>
      <c r="J309" t="e">
        <f>INDEX(us_acc_codes,MATCH(loaded!Y309,us_acc,0))</f>
        <v>#N/A</v>
      </c>
      <c r="K309" t="e">
        <f>INDEX(client_codes,MATCH(loaded!AA309,client,0))</f>
        <v>#N/A</v>
      </c>
      <c r="L309" t="e">
        <f>INDEX(src_ref_codes,MATCH(loaded!AC309,src_ref,0))</f>
        <v>#N/A</v>
      </c>
      <c r="M309" s="8">
        <f>loaded!AE309</f>
        <v>0</v>
      </c>
      <c r="N309" s="8">
        <f>loaded!AG309</f>
        <v>0</v>
      </c>
      <c r="O309" t="e">
        <f>INDEX(reces_codes,MATCH(loaded!AI309,reason,0))</f>
        <v>#N/A</v>
      </c>
      <c r="P309" t="e">
        <f>INDEX(TDS_codes,MATCH(loaded!AK309,TDS,0))</f>
        <v>#N/A</v>
      </c>
      <c r="Q309" t="e">
        <f>IF(K309=2,"",INDEX(method_codes,MATCH(loaded!AM309,method,0)))</f>
        <v>#N/A</v>
      </c>
      <c r="R309" t="e">
        <f>IF(K309=2,"",INDEX(inj_codes,MATCH(loaded!AO309,inj,0)))</f>
        <v>#N/A</v>
      </c>
      <c r="S309" t="e">
        <f>IF(K309=2,"",INDEX(drug_codes,MATCH(loaded!AQ309,drug,0)))</f>
        <v>#N/A</v>
      </c>
      <c r="T309" t="e">
        <f>IF(K309=2,"",_xlfn.IFNA(INDEX(drug_codes,MATCH(loaded!AS309,drug,0)),""))</f>
        <v>#N/A</v>
      </c>
      <c r="U309" t="e">
        <f>IF(K309=2,"",_xlfn.IFNA(INDEX(drug_codes,MATCH(loaded!AU309,drug,0)),""))</f>
        <v>#N/A</v>
      </c>
      <c r="V309" t="e">
        <f>IF(K309=2,"",_xlfn.IFNA(INDEX(drug_codes,MATCH(loaded!AW309,drug,0)),""))</f>
        <v>#N/A</v>
      </c>
      <c r="W309" t="e">
        <f>IF(K309=2,"",_xlfn.IFNA(INDEX(drug_codes,MATCH(loaded!AY309,drug,0)),""))</f>
        <v>#N/A</v>
      </c>
      <c r="X309" t="e">
        <f>IF(K309=2,"",_xlfn.IFNA(INDEX(drug_codes,MATCH(loaded!BA309,drug,0)),""))</f>
        <v>#N/A</v>
      </c>
      <c r="Y309" t="e">
        <f>INDEX(MTT_codes,MATCH(loaded!BC309,MTT,0))</f>
        <v>#N/A</v>
      </c>
      <c r="Z309" t="str">
        <f>_xlfn.IFNA(INDEX(MTT_codes,MATCH(loaded!BE309,MTT,0)),"")</f>
        <v/>
      </c>
      <c r="AA309" t="str">
        <f>_xlfn.IFNA(INDEX(MTT_codes,MATCH(loaded!BG309,MTT,0)),"")</f>
        <v/>
      </c>
      <c r="AB309" t="str">
        <f>_xlfn.IFNA(INDEX(MTT_codes,MATCH(loaded!BI309,MTT,0)),"")</f>
        <v/>
      </c>
      <c r="AC309" t="str">
        <f>_xlfn.IFNA(INDEX(MTT_codes,MATCH(loaded!BK309,MTT,0)),"")</f>
        <v/>
      </c>
      <c r="AD309" t="str">
        <f>_xlfn.IFNA(INDEX(MTT_codes,MATCH(loaded!BM309,MTT,0)),"")</f>
        <v/>
      </c>
      <c r="AE309" t="e">
        <f>INDEX(liv_ar_codes,MATCH(loaded!BO309,liv_ar,0))</f>
        <v>#N/A</v>
      </c>
      <c r="AF309" t="str">
        <f>_xlfn.IFNA(INDEX(MTT_codes,MATCH(loaded!BQ309,MTT,0)),"")</f>
        <v/>
      </c>
      <c r="AG309">
        <f>_xlfn.IFNA(INDEX(mental_codes,MATCH(loaded!BS309,mental,0)),9)</f>
        <v>9</v>
      </c>
    </row>
    <row r="310" spans="1:33" x14ac:dyDescent="0.25">
      <c r="A310">
        <f>loaded!C310</f>
        <v>0</v>
      </c>
      <c r="B310">
        <f>loaded!I310</f>
        <v>0</v>
      </c>
      <c r="C310">
        <f>IF(loaded!K310="Male",1,IF(loaded!K310="Female",2,9))</f>
        <v>9</v>
      </c>
      <c r="D310" s="8">
        <f>loaded!M310</f>
        <v>0</v>
      </c>
      <c r="E310" t="str">
        <f>LEFT(loaded!O310,3)</f>
        <v/>
      </c>
      <c r="F310" t="e">
        <f>INDEX(cntry_codes,MATCH(loaded!Q310,countries,0))</f>
        <v>#N/A</v>
      </c>
      <c r="G310" t="e">
        <f>INDEX(atsi_codes,MATCH(loaded!S310,atsi,0))</f>
        <v>#N/A</v>
      </c>
      <c r="H310" t="e">
        <f>INDEX(lang_codes,MATCH(loaded!U310,lang,0))</f>
        <v>#N/A</v>
      </c>
      <c r="I310" s="8">
        <f>loaded!W310</f>
        <v>0</v>
      </c>
      <c r="J310" t="e">
        <f>INDEX(us_acc_codes,MATCH(loaded!Y310,us_acc,0))</f>
        <v>#N/A</v>
      </c>
      <c r="K310" t="e">
        <f>INDEX(client_codes,MATCH(loaded!AA310,client,0))</f>
        <v>#N/A</v>
      </c>
      <c r="L310" t="e">
        <f>INDEX(src_ref_codes,MATCH(loaded!AC310,src_ref,0))</f>
        <v>#N/A</v>
      </c>
      <c r="M310" s="8">
        <f>loaded!AE310</f>
        <v>0</v>
      </c>
      <c r="N310" s="8">
        <f>loaded!AG310</f>
        <v>0</v>
      </c>
      <c r="O310" t="e">
        <f>INDEX(reces_codes,MATCH(loaded!AI310,reason,0))</f>
        <v>#N/A</v>
      </c>
      <c r="P310" t="e">
        <f>INDEX(TDS_codes,MATCH(loaded!AK310,TDS,0))</f>
        <v>#N/A</v>
      </c>
      <c r="Q310" t="e">
        <f>IF(K310=2,"",INDEX(method_codes,MATCH(loaded!AM310,method,0)))</f>
        <v>#N/A</v>
      </c>
      <c r="R310" t="e">
        <f>IF(K310=2,"",INDEX(inj_codes,MATCH(loaded!AO310,inj,0)))</f>
        <v>#N/A</v>
      </c>
      <c r="S310" t="e">
        <f>IF(K310=2,"",INDEX(drug_codes,MATCH(loaded!AQ310,drug,0)))</f>
        <v>#N/A</v>
      </c>
      <c r="T310" t="e">
        <f>IF(K310=2,"",_xlfn.IFNA(INDEX(drug_codes,MATCH(loaded!AS310,drug,0)),""))</f>
        <v>#N/A</v>
      </c>
      <c r="U310" t="e">
        <f>IF(K310=2,"",_xlfn.IFNA(INDEX(drug_codes,MATCH(loaded!AU310,drug,0)),""))</f>
        <v>#N/A</v>
      </c>
      <c r="V310" t="e">
        <f>IF(K310=2,"",_xlfn.IFNA(INDEX(drug_codes,MATCH(loaded!AW310,drug,0)),""))</f>
        <v>#N/A</v>
      </c>
      <c r="W310" t="e">
        <f>IF(K310=2,"",_xlfn.IFNA(INDEX(drug_codes,MATCH(loaded!AY310,drug,0)),""))</f>
        <v>#N/A</v>
      </c>
      <c r="X310" t="e">
        <f>IF(K310=2,"",_xlfn.IFNA(INDEX(drug_codes,MATCH(loaded!BA310,drug,0)),""))</f>
        <v>#N/A</v>
      </c>
      <c r="Y310" t="e">
        <f>INDEX(MTT_codes,MATCH(loaded!BC310,MTT,0))</f>
        <v>#N/A</v>
      </c>
      <c r="Z310" t="str">
        <f>_xlfn.IFNA(INDEX(MTT_codes,MATCH(loaded!BE310,MTT,0)),"")</f>
        <v/>
      </c>
      <c r="AA310" t="str">
        <f>_xlfn.IFNA(INDEX(MTT_codes,MATCH(loaded!BG310,MTT,0)),"")</f>
        <v/>
      </c>
      <c r="AB310" t="str">
        <f>_xlfn.IFNA(INDEX(MTT_codes,MATCH(loaded!BI310,MTT,0)),"")</f>
        <v/>
      </c>
      <c r="AC310" t="str">
        <f>_xlfn.IFNA(INDEX(MTT_codes,MATCH(loaded!BK310,MTT,0)),"")</f>
        <v/>
      </c>
      <c r="AD310" t="str">
        <f>_xlfn.IFNA(INDEX(MTT_codes,MATCH(loaded!BM310,MTT,0)),"")</f>
        <v/>
      </c>
      <c r="AE310" t="e">
        <f>INDEX(liv_ar_codes,MATCH(loaded!BO310,liv_ar,0))</f>
        <v>#N/A</v>
      </c>
      <c r="AF310" t="str">
        <f>_xlfn.IFNA(INDEX(MTT_codes,MATCH(loaded!BQ310,MTT,0)),"")</f>
        <v/>
      </c>
      <c r="AG310">
        <f>_xlfn.IFNA(INDEX(mental_codes,MATCH(loaded!BS310,mental,0)),9)</f>
        <v>9</v>
      </c>
    </row>
    <row r="311" spans="1:33" x14ac:dyDescent="0.25">
      <c r="A311">
        <f>loaded!C311</f>
        <v>0</v>
      </c>
      <c r="B311">
        <f>loaded!I311</f>
        <v>0</v>
      </c>
      <c r="C311">
        <f>IF(loaded!K311="Male",1,IF(loaded!K311="Female",2,9))</f>
        <v>9</v>
      </c>
      <c r="D311" s="8">
        <f>loaded!M311</f>
        <v>0</v>
      </c>
      <c r="E311" t="str">
        <f>LEFT(loaded!O311,3)</f>
        <v/>
      </c>
      <c r="F311" t="e">
        <f>INDEX(cntry_codes,MATCH(loaded!Q311,countries,0))</f>
        <v>#N/A</v>
      </c>
      <c r="G311" t="e">
        <f>INDEX(atsi_codes,MATCH(loaded!S311,atsi,0))</f>
        <v>#N/A</v>
      </c>
      <c r="H311" t="e">
        <f>INDEX(lang_codes,MATCH(loaded!U311,lang,0))</f>
        <v>#N/A</v>
      </c>
      <c r="I311" s="8">
        <f>loaded!W311</f>
        <v>0</v>
      </c>
      <c r="J311" t="e">
        <f>INDEX(us_acc_codes,MATCH(loaded!Y311,us_acc,0))</f>
        <v>#N/A</v>
      </c>
      <c r="K311" t="e">
        <f>INDEX(client_codes,MATCH(loaded!AA311,client,0))</f>
        <v>#N/A</v>
      </c>
      <c r="L311" t="e">
        <f>INDEX(src_ref_codes,MATCH(loaded!AC311,src_ref,0))</f>
        <v>#N/A</v>
      </c>
      <c r="M311" s="8">
        <f>loaded!AE311</f>
        <v>0</v>
      </c>
      <c r="N311" s="8">
        <f>loaded!AG311</f>
        <v>0</v>
      </c>
      <c r="O311" t="e">
        <f>INDEX(reces_codes,MATCH(loaded!AI311,reason,0))</f>
        <v>#N/A</v>
      </c>
      <c r="P311" t="e">
        <f>INDEX(TDS_codes,MATCH(loaded!AK311,TDS,0))</f>
        <v>#N/A</v>
      </c>
      <c r="Q311" t="e">
        <f>IF(K311=2,"",INDEX(method_codes,MATCH(loaded!AM311,method,0)))</f>
        <v>#N/A</v>
      </c>
      <c r="R311" t="e">
        <f>IF(K311=2,"",INDEX(inj_codes,MATCH(loaded!AO311,inj,0)))</f>
        <v>#N/A</v>
      </c>
      <c r="S311" t="e">
        <f>IF(K311=2,"",INDEX(drug_codes,MATCH(loaded!AQ311,drug,0)))</f>
        <v>#N/A</v>
      </c>
      <c r="T311" t="e">
        <f>IF(K311=2,"",_xlfn.IFNA(INDEX(drug_codes,MATCH(loaded!AS311,drug,0)),""))</f>
        <v>#N/A</v>
      </c>
      <c r="U311" t="e">
        <f>IF(K311=2,"",_xlfn.IFNA(INDEX(drug_codes,MATCH(loaded!AU311,drug,0)),""))</f>
        <v>#N/A</v>
      </c>
      <c r="V311" t="e">
        <f>IF(K311=2,"",_xlfn.IFNA(INDEX(drug_codes,MATCH(loaded!AW311,drug,0)),""))</f>
        <v>#N/A</v>
      </c>
      <c r="W311" t="e">
        <f>IF(K311=2,"",_xlfn.IFNA(INDEX(drug_codes,MATCH(loaded!AY311,drug,0)),""))</f>
        <v>#N/A</v>
      </c>
      <c r="X311" t="e">
        <f>IF(K311=2,"",_xlfn.IFNA(INDEX(drug_codes,MATCH(loaded!BA311,drug,0)),""))</f>
        <v>#N/A</v>
      </c>
      <c r="Y311" t="e">
        <f>INDEX(MTT_codes,MATCH(loaded!BC311,MTT,0))</f>
        <v>#N/A</v>
      </c>
      <c r="Z311" t="str">
        <f>_xlfn.IFNA(INDEX(MTT_codes,MATCH(loaded!BE311,MTT,0)),"")</f>
        <v/>
      </c>
      <c r="AA311" t="str">
        <f>_xlfn.IFNA(INDEX(MTT_codes,MATCH(loaded!BG311,MTT,0)),"")</f>
        <v/>
      </c>
      <c r="AB311" t="str">
        <f>_xlfn.IFNA(INDEX(MTT_codes,MATCH(loaded!BI311,MTT,0)),"")</f>
        <v/>
      </c>
      <c r="AC311" t="str">
        <f>_xlfn.IFNA(INDEX(MTT_codes,MATCH(loaded!BK311,MTT,0)),"")</f>
        <v/>
      </c>
      <c r="AD311" t="str">
        <f>_xlfn.IFNA(INDEX(MTT_codes,MATCH(loaded!BM311,MTT,0)),"")</f>
        <v/>
      </c>
      <c r="AE311" t="e">
        <f>INDEX(liv_ar_codes,MATCH(loaded!BO311,liv_ar,0))</f>
        <v>#N/A</v>
      </c>
      <c r="AF311" t="str">
        <f>_xlfn.IFNA(INDEX(MTT_codes,MATCH(loaded!BQ311,MTT,0)),"")</f>
        <v/>
      </c>
      <c r="AG311">
        <f>_xlfn.IFNA(INDEX(mental_codes,MATCH(loaded!BS311,mental,0)),9)</f>
        <v>9</v>
      </c>
    </row>
    <row r="312" spans="1:33" x14ac:dyDescent="0.25">
      <c r="A312">
        <f>loaded!C312</f>
        <v>0</v>
      </c>
      <c r="B312">
        <f>loaded!I312</f>
        <v>0</v>
      </c>
      <c r="C312">
        <f>IF(loaded!K312="Male",1,IF(loaded!K312="Female",2,9))</f>
        <v>9</v>
      </c>
      <c r="D312" s="8">
        <f>loaded!M312</f>
        <v>0</v>
      </c>
      <c r="E312" t="str">
        <f>LEFT(loaded!O312,3)</f>
        <v/>
      </c>
      <c r="F312" t="e">
        <f>INDEX(cntry_codes,MATCH(loaded!Q312,countries,0))</f>
        <v>#N/A</v>
      </c>
      <c r="G312" t="e">
        <f>INDEX(atsi_codes,MATCH(loaded!S312,atsi,0))</f>
        <v>#N/A</v>
      </c>
      <c r="H312" t="e">
        <f>INDEX(lang_codes,MATCH(loaded!U312,lang,0))</f>
        <v>#N/A</v>
      </c>
      <c r="I312" s="8">
        <f>loaded!W312</f>
        <v>0</v>
      </c>
      <c r="J312" t="e">
        <f>INDEX(us_acc_codes,MATCH(loaded!Y312,us_acc,0))</f>
        <v>#N/A</v>
      </c>
      <c r="K312" t="e">
        <f>INDEX(client_codes,MATCH(loaded!AA312,client,0))</f>
        <v>#N/A</v>
      </c>
      <c r="L312" t="e">
        <f>INDEX(src_ref_codes,MATCH(loaded!AC312,src_ref,0))</f>
        <v>#N/A</v>
      </c>
      <c r="M312" s="8">
        <f>loaded!AE312</f>
        <v>0</v>
      </c>
      <c r="N312" s="8">
        <f>loaded!AG312</f>
        <v>0</v>
      </c>
      <c r="O312" t="e">
        <f>INDEX(reces_codes,MATCH(loaded!AI312,reason,0))</f>
        <v>#N/A</v>
      </c>
      <c r="P312" t="e">
        <f>INDEX(TDS_codes,MATCH(loaded!AK312,TDS,0))</f>
        <v>#N/A</v>
      </c>
      <c r="Q312" t="e">
        <f>IF(K312=2,"",INDEX(method_codes,MATCH(loaded!AM312,method,0)))</f>
        <v>#N/A</v>
      </c>
      <c r="R312" t="e">
        <f>IF(K312=2,"",INDEX(inj_codes,MATCH(loaded!AO312,inj,0)))</f>
        <v>#N/A</v>
      </c>
      <c r="S312" t="e">
        <f>IF(K312=2,"",INDEX(drug_codes,MATCH(loaded!AQ312,drug,0)))</f>
        <v>#N/A</v>
      </c>
      <c r="T312" t="e">
        <f>IF(K312=2,"",_xlfn.IFNA(INDEX(drug_codes,MATCH(loaded!AS312,drug,0)),""))</f>
        <v>#N/A</v>
      </c>
      <c r="U312" t="e">
        <f>IF(K312=2,"",_xlfn.IFNA(INDEX(drug_codes,MATCH(loaded!AU312,drug,0)),""))</f>
        <v>#N/A</v>
      </c>
      <c r="V312" t="e">
        <f>IF(K312=2,"",_xlfn.IFNA(INDEX(drug_codes,MATCH(loaded!AW312,drug,0)),""))</f>
        <v>#N/A</v>
      </c>
      <c r="W312" t="e">
        <f>IF(K312=2,"",_xlfn.IFNA(INDEX(drug_codes,MATCH(loaded!AY312,drug,0)),""))</f>
        <v>#N/A</v>
      </c>
      <c r="X312" t="e">
        <f>IF(K312=2,"",_xlfn.IFNA(INDEX(drug_codes,MATCH(loaded!BA312,drug,0)),""))</f>
        <v>#N/A</v>
      </c>
      <c r="Y312" t="e">
        <f>INDEX(MTT_codes,MATCH(loaded!BC312,MTT,0))</f>
        <v>#N/A</v>
      </c>
      <c r="Z312" t="str">
        <f>_xlfn.IFNA(INDEX(MTT_codes,MATCH(loaded!BE312,MTT,0)),"")</f>
        <v/>
      </c>
      <c r="AA312" t="str">
        <f>_xlfn.IFNA(INDEX(MTT_codes,MATCH(loaded!BG312,MTT,0)),"")</f>
        <v/>
      </c>
      <c r="AB312" t="str">
        <f>_xlfn.IFNA(INDEX(MTT_codes,MATCH(loaded!BI312,MTT,0)),"")</f>
        <v/>
      </c>
      <c r="AC312" t="str">
        <f>_xlfn.IFNA(INDEX(MTT_codes,MATCH(loaded!BK312,MTT,0)),"")</f>
        <v/>
      </c>
      <c r="AD312" t="str">
        <f>_xlfn.IFNA(INDEX(MTT_codes,MATCH(loaded!BM312,MTT,0)),"")</f>
        <v/>
      </c>
      <c r="AE312" t="e">
        <f>INDEX(liv_ar_codes,MATCH(loaded!BO312,liv_ar,0))</f>
        <v>#N/A</v>
      </c>
      <c r="AF312" t="str">
        <f>_xlfn.IFNA(INDEX(MTT_codes,MATCH(loaded!BQ312,MTT,0)),"")</f>
        <v/>
      </c>
      <c r="AG312">
        <f>_xlfn.IFNA(INDEX(mental_codes,MATCH(loaded!BS312,mental,0)),9)</f>
        <v>9</v>
      </c>
    </row>
    <row r="313" spans="1:33" x14ac:dyDescent="0.25">
      <c r="A313">
        <f>loaded!C313</f>
        <v>0</v>
      </c>
      <c r="B313">
        <f>loaded!I313</f>
        <v>0</v>
      </c>
      <c r="C313">
        <f>IF(loaded!K313="Male",1,IF(loaded!K313="Female",2,9))</f>
        <v>9</v>
      </c>
      <c r="D313" s="8">
        <f>loaded!M313</f>
        <v>0</v>
      </c>
      <c r="E313" t="str">
        <f>LEFT(loaded!O313,3)</f>
        <v/>
      </c>
      <c r="F313" t="e">
        <f>INDEX(cntry_codes,MATCH(loaded!Q313,countries,0))</f>
        <v>#N/A</v>
      </c>
      <c r="G313" t="e">
        <f>INDEX(atsi_codes,MATCH(loaded!S313,atsi,0))</f>
        <v>#N/A</v>
      </c>
      <c r="H313" t="e">
        <f>INDEX(lang_codes,MATCH(loaded!U313,lang,0))</f>
        <v>#N/A</v>
      </c>
      <c r="I313" s="8">
        <f>loaded!W313</f>
        <v>0</v>
      </c>
      <c r="J313" t="e">
        <f>INDEX(us_acc_codes,MATCH(loaded!Y313,us_acc,0))</f>
        <v>#N/A</v>
      </c>
      <c r="K313" t="e">
        <f>INDEX(client_codes,MATCH(loaded!AA313,client,0))</f>
        <v>#N/A</v>
      </c>
      <c r="L313" t="e">
        <f>INDEX(src_ref_codes,MATCH(loaded!AC313,src_ref,0))</f>
        <v>#N/A</v>
      </c>
      <c r="M313" s="8">
        <f>loaded!AE313</f>
        <v>0</v>
      </c>
      <c r="N313" s="8">
        <f>loaded!AG313</f>
        <v>0</v>
      </c>
      <c r="O313" t="e">
        <f>INDEX(reces_codes,MATCH(loaded!AI313,reason,0))</f>
        <v>#N/A</v>
      </c>
      <c r="P313" t="e">
        <f>INDEX(TDS_codes,MATCH(loaded!AK313,TDS,0))</f>
        <v>#N/A</v>
      </c>
      <c r="Q313" t="e">
        <f>IF(K313=2,"",INDEX(method_codes,MATCH(loaded!AM313,method,0)))</f>
        <v>#N/A</v>
      </c>
      <c r="R313" t="e">
        <f>IF(K313=2,"",INDEX(inj_codes,MATCH(loaded!AO313,inj,0)))</f>
        <v>#N/A</v>
      </c>
      <c r="S313" t="e">
        <f>IF(K313=2,"",INDEX(drug_codes,MATCH(loaded!AQ313,drug,0)))</f>
        <v>#N/A</v>
      </c>
      <c r="T313" t="e">
        <f>IF(K313=2,"",_xlfn.IFNA(INDEX(drug_codes,MATCH(loaded!AS313,drug,0)),""))</f>
        <v>#N/A</v>
      </c>
      <c r="U313" t="e">
        <f>IF(K313=2,"",_xlfn.IFNA(INDEX(drug_codes,MATCH(loaded!AU313,drug,0)),""))</f>
        <v>#N/A</v>
      </c>
      <c r="V313" t="e">
        <f>IF(K313=2,"",_xlfn.IFNA(INDEX(drug_codes,MATCH(loaded!AW313,drug,0)),""))</f>
        <v>#N/A</v>
      </c>
      <c r="W313" t="e">
        <f>IF(K313=2,"",_xlfn.IFNA(INDEX(drug_codes,MATCH(loaded!AY313,drug,0)),""))</f>
        <v>#N/A</v>
      </c>
      <c r="X313" t="e">
        <f>IF(K313=2,"",_xlfn.IFNA(INDEX(drug_codes,MATCH(loaded!BA313,drug,0)),""))</f>
        <v>#N/A</v>
      </c>
      <c r="Y313" t="e">
        <f>INDEX(MTT_codes,MATCH(loaded!BC313,MTT,0))</f>
        <v>#N/A</v>
      </c>
      <c r="Z313" t="str">
        <f>_xlfn.IFNA(INDEX(MTT_codes,MATCH(loaded!BE313,MTT,0)),"")</f>
        <v/>
      </c>
      <c r="AA313" t="str">
        <f>_xlfn.IFNA(INDEX(MTT_codes,MATCH(loaded!BG313,MTT,0)),"")</f>
        <v/>
      </c>
      <c r="AB313" t="str">
        <f>_xlfn.IFNA(INDEX(MTT_codes,MATCH(loaded!BI313,MTT,0)),"")</f>
        <v/>
      </c>
      <c r="AC313" t="str">
        <f>_xlfn.IFNA(INDEX(MTT_codes,MATCH(loaded!BK313,MTT,0)),"")</f>
        <v/>
      </c>
      <c r="AD313" t="str">
        <f>_xlfn.IFNA(INDEX(MTT_codes,MATCH(loaded!BM313,MTT,0)),"")</f>
        <v/>
      </c>
      <c r="AE313" t="e">
        <f>INDEX(liv_ar_codes,MATCH(loaded!BO313,liv_ar,0))</f>
        <v>#N/A</v>
      </c>
      <c r="AF313" t="str">
        <f>_xlfn.IFNA(INDEX(MTT_codes,MATCH(loaded!BQ313,MTT,0)),"")</f>
        <v/>
      </c>
      <c r="AG313">
        <f>_xlfn.IFNA(INDEX(mental_codes,MATCH(loaded!BS313,mental,0)),9)</f>
        <v>9</v>
      </c>
    </row>
    <row r="314" spans="1:33" x14ac:dyDescent="0.25">
      <c r="A314">
        <f>loaded!C314</f>
        <v>0</v>
      </c>
      <c r="B314">
        <f>loaded!I314</f>
        <v>0</v>
      </c>
      <c r="C314">
        <f>IF(loaded!K314="Male",1,IF(loaded!K314="Female",2,9))</f>
        <v>9</v>
      </c>
      <c r="D314" s="8">
        <f>loaded!M314</f>
        <v>0</v>
      </c>
      <c r="E314" t="str">
        <f>LEFT(loaded!O314,3)</f>
        <v/>
      </c>
      <c r="F314" t="e">
        <f>INDEX(cntry_codes,MATCH(loaded!Q314,countries,0))</f>
        <v>#N/A</v>
      </c>
      <c r="G314" t="e">
        <f>INDEX(atsi_codes,MATCH(loaded!S314,atsi,0))</f>
        <v>#N/A</v>
      </c>
      <c r="H314" t="e">
        <f>INDEX(lang_codes,MATCH(loaded!U314,lang,0))</f>
        <v>#N/A</v>
      </c>
      <c r="I314" s="8">
        <f>loaded!W314</f>
        <v>0</v>
      </c>
      <c r="J314" t="e">
        <f>INDEX(us_acc_codes,MATCH(loaded!Y314,us_acc,0))</f>
        <v>#N/A</v>
      </c>
      <c r="K314" t="e">
        <f>INDEX(client_codes,MATCH(loaded!AA314,client,0))</f>
        <v>#N/A</v>
      </c>
      <c r="L314" t="e">
        <f>INDEX(src_ref_codes,MATCH(loaded!AC314,src_ref,0))</f>
        <v>#N/A</v>
      </c>
      <c r="M314" s="8">
        <f>loaded!AE314</f>
        <v>0</v>
      </c>
      <c r="N314" s="8">
        <f>loaded!AG314</f>
        <v>0</v>
      </c>
      <c r="O314" t="e">
        <f>INDEX(reces_codes,MATCH(loaded!AI314,reason,0))</f>
        <v>#N/A</v>
      </c>
      <c r="P314" t="e">
        <f>INDEX(TDS_codes,MATCH(loaded!AK314,TDS,0))</f>
        <v>#N/A</v>
      </c>
      <c r="Q314" t="e">
        <f>IF(K314=2,"",INDEX(method_codes,MATCH(loaded!AM314,method,0)))</f>
        <v>#N/A</v>
      </c>
      <c r="R314" t="e">
        <f>IF(K314=2,"",INDEX(inj_codes,MATCH(loaded!AO314,inj,0)))</f>
        <v>#N/A</v>
      </c>
      <c r="S314" t="e">
        <f>IF(K314=2,"",INDEX(drug_codes,MATCH(loaded!AQ314,drug,0)))</f>
        <v>#N/A</v>
      </c>
      <c r="T314" t="e">
        <f>IF(K314=2,"",_xlfn.IFNA(INDEX(drug_codes,MATCH(loaded!AS314,drug,0)),""))</f>
        <v>#N/A</v>
      </c>
      <c r="U314" t="e">
        <f>IF(K314=2,"",_xlfn.IFNA(INDEX(drug_codes,MATCH(loaded!AU314,drug,0)),""))</f>
        <v>#N/A</v>
      </c>
      <c r="V314" t="e">
        <f>IF(K314=2,"",_xlfn.IFNA(INDEX(drug_codes,MATCH(loaded!AW314,drug,0)),""))</f>
        <v>#N/A</v>
      </c>
      <c r="W314" t="e">
        <f>IF(K314=2,"",_xlfn.IFNA(INDEX(drug_codes,MATCH(loaded!AY314,drug,0)),""))</f>
        <v>#N/A</v>
      </c>
      <c r="X314" t="e">
        <f>IF(K314=2,"",_xlfn.IFNA(INDEX(drug_codes,MATCH(loaded!BA314,drug,0)),""))</f>
        <v>#N/A</v>
      </c>
      <c r="Y314" t="e">
        <f>INDEX(MTT_codes,MATCH(loaded!BC314,MTT,0))</f>
        <v>#N/A</v>
      </c>
      <c r="Z314" t="str">
        <f>_xlfn.IFNA(INDEX(MTT_codes,MATCH(loaded!BE314,MTT,0)),"")</f>
        <v/>
      </c>
      <c r="AA314" t="str">
        <f>_xlfn.IFNA(INDEX(MTT_codes,MATCH(loaded!BG314,MTT,0)),"")</f>
        <v/>
      </c>
      <c r="AB314" t="str">
        <f>_xlfn.IFNA(INDEX(MTT_codes,MATCH(loaded!BI314,MTT,0)),"")</f>
        <v/>
      </c>
      <c r="AC314" t="str">
        <f>_xlfn.IFNA(INDEX(MTT_codes,MATCH(loaded!BK314,MTT,0)),"")</f>
        <v/>
      </c>
      <c r="AD314" t="str">
        <f>_xlfn.IFNA(INDEX(MTT_codes,MATCH(loaded!BM314,MTT,0)),"")</f>
        <v/>
      </c>
      <c r="AE314" t="e">
        <f>INDEX(liv_ar_codes,MATCH(loaded!BO314,liv_ar,0))</f>
        <v>#N/A</v>
      </c>
      <c r="AF314" t="str">
        <f>_xlfn.IFNA(INDEX(MTT_codes,MATCH(loaded!BQ314,MTT,0)),"")</f>
        <v/>
      </c>
      <c r="AG314">
        <f>_xlfn.IFNA(INDEX(mental_codes,MATCH(loaded!BS314,mental,0)),9)</f>
        <v>9</v>
      </c>
    </row>
    <row r="315" spans="1:33" x14ac:dyDescent="0.25">
      <c r="A315">
        <f>loaded!C315</f>
        <v>0</v>
      </c>
      <c r="B315">
        <f>loaded!I315</f>
        <v>0</v>
      </c>
      <c r="C315">
        <f>IF(loaded!K315="Male",1,IF(loaded!K315="Female",2,9))</f>
        <v>9</v>
      </c>
      <c r="D315" s="8">
        <f>loaded!M315</f>
        <v>0</v>
      </c>
      <c r="E315" t="str">
        <f>LEFT(loaded!O315,3)</f>
        <v/>
      </c>
      <c r="F315" t="e">
        <f>INDEX(cntry_codes,MATCH(loaded!Q315,countries,0))</f>
        <v>#N/A</v>
      </c>
      <c r="G315" t="e">
        <f>INDEX(atsi_codes,MATCH(loaded!S315,atsi,0))</f>
        <v>#N/A</v>
      </c>
      <c r="H315" t="e">
        <f>INDEX(lang_codes,MATCH(loaded!U315,lang,0))</f>
        <v>#N/A</v>
      </c>
      <c r="I315" s="8">
        <f>loaded!W315</f>
        <v>0</v>
      </c>
      <c r="J315" t="e">
        <f>INDEX(us_acc_codes,MATCH(loaded!Y315,us_acc,0))</f>
        <v>#N/A</v>
      </c>
      <c r="K315" t="e">
        <f>INDEX(client_codes,MATCH(loaded!AA315,client,0))</f>
        <v>#N/A</v>
      </c>
      <c r="L315" t="e">
        <f>INDEX(src_ref_codes,MATCH(loaded!AC315,src_ref,0))</f>
        <v>#N/A</v>
      </c>
      <c r="M315" s="8">
        <f>loaded!AE315</f>
        <v>0</v>
      </c>
      <c r="N315" s="8">
        <f>loaded!AG315</f>
        <v>0</v>
      </c>
      <c r="O315" t="e">
        <f>INDEX(reces_codes,MATCH(loaded!AI315,reason,0))</f>
        <v>#N/A</v>
      </c>
      <c r="P315" t="e">
        <f>INDEX(TDS_codes,MATCH(loaded!AK315,TDS,0))</f>
        <v>#N/A</v>
      </c>
      <c r="Q315" t="e">
        <f>IF(K315=2,"",INDEX(method_codes,MATCH(loaded!AM315,method,0)))</f>
        <v>#N/A</v>
      </c>
      <c r="R315" t="e">
        <f>IF(K315=2,"",INDEX(inj_codes,MATCH(loaded!AO315,inj,0)))</f>
        <v>#N/A</v>
      </c>
      <c r="S315" t="e">
        <f>IF(K315=2,"",INDEX(drug_codes,MATCH(loaded!AQ315,drug,0)))</f>
        <v>#N/A</v>
      </c>
      <c r="T315" t="e">
        <f>IF(K315=2,"",_xlfn.IFNA(INDEX(drug_codes,MATCH(loaded!AS315,drug,0)),""))</f>
        <v>#N/A</v>
      </c>
      <c r="U315" t="e">
        <f>IF(K315=2,"",_xlfn.IFNA(INDEX(drug_codes,MATCH(loaded!AU315,drug,0)),""))</f>
        <v>#N/A</v>
      </c>
      <c r="V315" t="e">
        <f>IF(K315=2,"",_xlfn.IFNA(INDEX(drug_codes,MATCH(loaded!AW315,drug,0)),""))</f>
        <v>#N/A</v>
      </c>
      <c r="W315" t="e">
        <f>IF(K315=2,"",_xlfn.IFNA(INDEX(drug_codes,MATCH(loaded!AY315,drug,0)),""))</f>
        <v>#N/A</v>
      </c>
      <c r="X315" t="e">
        <f>IF(K315=2,"",_xlfn.IFNA(INDEX(drug_codes,MATCH(loaded!BA315,drug,0)),""))</f>
        <v>#N/A</v>
      </c>
      <c r="Y315" t="e">
        <f>INDEX(MTT_codes,MATCH(loaded!BC315,MTT,0))</f>
        <v>#N/A</v>
      </c>
      <c r="Z315" t="str">
        <f>_xlfn.IFNA(INDEX(MTT_codes,MATCH(loaded!BE315,MTT,0)),"")</f>
        <v/>
      </c>
      <c r="AA315" t="str">
        <f>_xlfn.IFNA(INDEX(MTT_codes,MATCH(loaded!BG315,MTT,0)),"")</f>
        <v/>
      </c>
      <c r="AB315" t="str">
        <f>_xlfn.IFNA(INDEX(MTT_codes,MATCH(loaded!BI315,MTT,0)),"")</f>
        <v/>
      </c>
      <c r="AC315" t="str">
        <f>_xlfn.IFNA(INDEX(MTT_codes,MATCH(loaded!BK315,MTT,0)),"")</f>
        <v/>
      </c>
      <c r="AD315" t="str">
        <f>_xlfn.IFNA(INDEX(MTT_codes,MATCH(loaded!BM315,MTT,0)),"")</f>
        <v/>
      </c>
      <c r="AE315" t="e">
        <f>INDEX(liv_ar_codes,MATCH(loaded!BO315,liv_ar,0))</f>
        <v>#N/A</v>
      </c>
      <c r="AF315" t="str">
        <f>_xlfn.IFNA(INDEX(MTT_codes,MATCH(loaded!BQ315,MTT,0)),"")</f>
        <v/>
      </c>
      <c r="AG315">
        <f>_xlfn.IFNA(INDEX(mental_codes,MATCH(loaded!BS315,mental,0)),9)</f>
        <v>9</v>
      </c>
    </row>
    <row r="316" spans="1:33" x14ac:dyDescent="0.25">
      <c r="A316">
        <f>loaded!C316</f>
        <v>0</v>
      </c>
      <c r="B316">
        <f>loaded!I316</f>
        <v>0</v>
      </c>
      <c r="C316">
        <f>IF(loaded!K316="Male",1,IF(loaded!K316="Female",2,9))</f>
        <v>9</v>
      </c>
      <c r="D316" s="8">
        <f>loaded!M316</f>
        <v>0</v>
      </c>
      <c r="E316" t="str">
        <f>LEFT(loaded!O316,3)</f>
        <v/>
      </c>
      <c r="F316" t="e">
        <f>INDEX(cntry_codes,MATCH(loaded!Q316,countries,0))</f>
        <v>#N/A</v>
      </c>
      <c r="G316" t="e">
        <f>INDEX(atsi_codes,MATCH(loaded!S316,atsi,0))</f>
        <v>#N/A</v>
      </c>
      <c r="H316" t="e">
        <f>INDEX(lang_codes,MATCH(loaded!U316,lang,0))</f>
        <v>#N/A</v>
      </c>
      <c r="I316" s="8">
        <f>loaded!W316</f>
        <v>0</v>
      </c>
      <c r="J316" t="e">
        <f>INDEX(us_acc_codes,MATCH(loaded!Y316,us_acc,0))</f>
        <v>#N/A</v>
      </c>
      <c r="K316" t="e">
        <f>INDEX(client_codes,MATCH(loaded!AA316,client,0))</f>
        <v>#N/A</v>
      </c>
      <c r="L316" t="e">
        <f>INDEX(src_ref_codes,MATCH(loaded!AC316,src_ref,0))</f>
        <v>#N/A</v>
      </c>
      <c r="M316" s="8">
        <f>loaded!AE316</f>
        <v>0</v>
      </c>
      <c r="N316" s="8">
        <f>loaded!AG316</f>
        <v>0</v>
      </c>
      <c r="O316" t="e">
        <f>INDEX(reces_codes,MATCH(loaded!AI316,reason,0))</f>
        <v>#N/A</v>
      </c>
      <c r="P316" t="e">
        <f>INDEX(TDS_codes,MATCH(loaded!AK316,TDS,0))</f>
        <v>#N/A</v>
      </c>
      <c r="Q316" t="e">
        <f>IF(K316=2,"",INDEX(method_codes,MATCH(loaded!AM316,method,0)))</f>
        <v>#N/A</v>
      </c>
      <c r="R316" t="e">
        <f>IF(K316=2,"",INDEX(inj_codes,MATCH(loaded!AO316,inj,0)))</f>
        <v>#N/A</v>
      </c>
      <c r="S316" t="e">
        <f>IF(K316=2,"",INDEX(drug_codes,MATCH(loaded!AQ316,drug,0)))</f>
        <v>#N/A</v>
      </c>
      <c r="T316" t="e">
        <f>IF(K316=2,"",_xlfn.IFNA(INDEX(drug_codes,MATCH(loaded!AS316,drug,0)),""))</f>
        <v>#N/A</v>
      </c>
      <c r="U316" t="e">
        <f>IF(K316=2,"",_xlfn.IFNA(INDEX(drug_codes,MATCH(loaded!AU316,drug,0)),""))</f>
        <v>#N/A</v>
      </c>
      <c r="V316" t="e">
        <f>IF(K316=2,"",_xlfn.IFNA(INDEX(drug_codes,MATCH(loaded!AW316,drug,0)),""))</f>
        <v>#N/A</v>
      </c>
      <c r="W316" t="e">
        <f>IF(K316=2,"",_xlfn.IFNA(INDEX(drug_codes,MATCH(loaded!AY316,drug,0)),""))</f>
        <v>#N/A</v>
      </c>
      <c r="X316" t="e">
        <f>IF(K316=2,"",_xlfn.IFNA(INDEX(drug_codes,MATCH(loaded!BA316,drug,0)),""))</f>
        <v>#N/A</v>
      </c>
      <c r="Y316" t="e">
        <f>INDEX(MTT_codes,MATCH(loaded!BC316,MTT,0))</f>
        <v>#N/A</v>
      </c>
      <c r="Z316" t="str">
        <f>_xlfn.IFNA(INDEX(MTT_codes,MATCH(loaded!BE316,MTT,0)),"")</f>
        <v/>
      </c>
      <c r="AA316" t="str">
        <f>_xlfn.IFNA(INDEX(MTT_codes,MATCH(loaded!BG316,MTT,0)),"")</f>
        <v/>
      </c>
      <c r="AB316" t="str">
        <f>_xlfn.IFNA(INDEX(MTT_codes,MATCH(loaded!BI316,MTT,0)),"")</f>
        <v/>
      </c>
      <c r="AC316" t="str">
        <f>_xlfn.IFNA(INDEX(MTT_codes,MATCH(loaded!BK316,MTT,0)),"")</f>
        <v/>
      </c>
      <c r="AD316" t="str">
        <f>_xlfn.IFNA(INDEX(MTT_codes,MATCH(loaded!BM316,MTT,0)),"")</f>
        <v/>
      </c>
      <c r="AE316" t="e">
        <f>INDEX(liv_ar_codes,MATCH(loaded!BO316,liv_ar,0))</f>
        <v>#N/A</v>
      </c>
      <c r="AF316" t="str">
        <f>_xlfn.IFNA(INDEX(MTT_codes,MATCH(loaded!BQ316,MTT,0)),"")</f>
        <v/>
      </c>
      <c r="AG316">
        <f>_xlfn.IFNA(INDEX(mental_codes,MATCH(loaded!BS316,mental,0)),9)</f>
        <v>9</v>
      </c>
    </row>
    <row r="317" spans="1:33" x14ac:dyDescent="0.25">
      <c r="A317">
        <f>loaded!C317</f>
        <v>0</v>
      </c>
      <c r="B317">
        <f>loaded!I317</f>
        <v>0</v>
      </c>
      <c r="C317">
        <f>IF(loaded!K317="Male",1,IF(loaded!K317="Female",2,9))</f>
        <v>9</v>
      </c>
      <c r="D317" s="8">
        <f>loaded!M317</f>
        <v>0</v>
      </c>
      <c r="E317" t="str">
        <f>LEFT(loaded!O317,3)</f>
        <v/>
      </c>
      <c r="F317" t="e">
        <f>INDEX(cntry_codes,MATCH(loaded!Q317,countries,0))</f>
        <v>#N/A</v>
      </c>
      <c r="G317" t="e">
        <f>INDEX(atsi_codes,MATCH(loaded!S317,atsi,0))</f>
        <v>#N/A</v>
      </c>
      <c r="H317" t="e">
        <f>INDEX(lang_codes,MATCH(loaded!U317,lang,0))</f>
        <v>#N/A</v>
      </c>
      <c r="I317" s="8">
        <f>loaded!W317</f>
        <v>0</v>
      </c>
      <c r="J317" t="e">
        <f>INDEX(us_acc_codes,MATCH(loaded!Y317,us_acc,0))</f>
        <v>#N/A</v>
      </c>
      <c r="K317" t="e">
        <f>INDEX(client_codes,MATCH(loaded!AA317,client,0))</f>
        <v>#N/A</v>
      </c>
      <c r="L317" t="e">
        <f>INDEX(src_ref_codes,MATCH(loaded!AC317,src_ref,0))</f>
        <v>#N/A</v>
      </c>
      <c r="M317" s="8">
        <f>loaded!AE317</f>
        <v>0</v>
      </c>
      <c r="N317" s="8">
        <f>loaded!AG317</f>
        <v>0</v>
      </c>
      <c r="O317" t="e">
        <f>INDEX(reces_codes,MATCH(loaded!AI317,reason,0))</f>
        <v>#N/A</v>
      </c>
      <c r="P317" t="e">
        <f>INDEX(TDS_codes,MATCH(loaded!AK317,TDS,0))</f>
        <v>#N/A</v>
      </c>
      <c r="Q317" t="e">
        <f>IF(K317=2,"",INDEX(method_codes,MATCH(loaded!AM317,method,0)))</f>
        <v>#N/A</v>
      </c>
      <c r="R317" t="e">
        <f>IF(K317=2,"",INDEX(inj_codes,MATCH(loaded!AO317,inj,0)))</f>
        <v>#N/A</v>
      </c>
      <c r="S317" t="e">
        <f>IF(K317=2,"",INDEX(drug_codes,MATCH(loaded!AQ317,drug,0)))</f>
        <v>#N/A</v>
      </c>
      <c r="T317" t="e">
        <f>IF(K317=2,"",_xlfn.IFNA(INDEX(drug_codes,MATCH(loaded!AS317,drug,0)),""))</f>
        <v>#N/A</v>
      </c>
      <c r="U317" t="e">
        <f>IF(K317=2,"",_xlfn.IFNA(INDEX(drug_codes,MATCH(loaded!AU317,drug,0)),""))</f>
        <v>#N/A</v>
      </c>
      <c r="V317" t="e">
        <f>IF(K317=2,"",_xlfn.IFNA(INDEX(drug_codes,MATCH(loaded!AW317,drug,0)),""))</f>
        <v>#N/A</v>
      </c>
      <c r="W317" t="e">
        <f>IF(K317=2,"",_xlfn.IFNA(INDEX(drug_codes,MATCH(loaded!AY317,drug,0)),""))</f>
        <v>#N/A</v>
      </c>
      <c r="X317" t="e">
        <f>IF(K317=2,"",_xlfn.IFNA(INDEX(drug_codes,MATCH(loaded!BA317,drug,0)),""))</f>
        <v>#N/A</v>
      </c>
      <c r="Y317" t="e">
        <f>INDEX(MTT_codes,MATCH(loaded!BC317,MTT,0))</f>
        <v>#N/A</v>
      </c>
      <c r="Z317" t="str">
        <f>_xlfn.IFNA(INDEX(MTT_codes,MATCH(loaded!BE317,MTT,0)),"")</f>
        <v/>
      </c>
      <c r="AA317" t="str">
        <f>_xlfn.IFNA(INDEX(MTT_codes,MATCH(loaded!BG317,MTT,0)),"")</f>
        <v/>
      </c>
      <c r="AB317" t="str">
        <f>_xlfn.IFNA(INDEX(MTT_codes,MATCH(loaded!BI317,MTT,0)),"")</f>
        <v/>
      </c>
      <c r="AC317" t="str">
        <f>_xlfn.IFNA(INDEX(MTT_codes,MATCH(loaded!BK317,MTT,0)),"")</f>
        <v/>
      </c>
      <c r="AD317" t="str">
        <f>_xlfn.IFNA(INDEX(MTT_codes,MATCH(loaded!BM317,MTT,0)),"")</f>
        <v/>
      </c>
      <c r="AE317" t="e">
        <f>INDEX(liv_ar_codes,MATCH(loaded!BO317,liv_ar,0))</f>
        <v>#N/A</v>
      </c>
      <c r="AF317" t="str">
        <f>_xlfn.IFNA(INDEX(MTT_codes,MATCH(loaded!BQ317,MTT,0)),"")</f>
        <v/>
      </c>
      <c r="AG317">
        <f>_xlfn.IFNA(INDEX(mental_codes,MATCH(loaded!BS317,mental,0)),9)</f>
        <v>9</v>
      </c>
    </row>
    <row r="318" spans="1:33" x14ac:dyDescent="0.25">
      <c r="A318">
        <f>loaded!C318</f>
        <v>0</v>
      </c>
      <c r="B318">
        <f>loaded!I318</f>
        <v>0</v>
      </c>
      <c r="C318">
        <f>IF(loaded!K318="Male",1,IF(loaded!K318="Female",2,9))</f>
        <v>9</v>
      </c>
      <c r="D318" s="8">
        <f>loaded!M318</f>
        <v>0</v>
      </c>
      <c r="E318" t="str">
        <f>LEFT(loaded!O318,3)</f>
        <v/>
      </c>
      <c r="F318" t="e">
        <f>INDEX(cntry_codes,MATCH(loaded!Q318,countries,0))</f>
        <v>#N/A</v>
      </c>
      <c r="G318" t="e">
        <f>INDEX(atsi_codes,MATCH(loaded!S318,atsi,0))</f>
        <v>#N/A</v>
      </c>
      <c r="H318" t="e">
        <f>INDEX(lang_codes,MATCH(loaded!U318,lang,0))</f>
        <v>#N/A</v>
      </c>
      <c r="I318" s="8">
        <f>loaded!W318</f>
        <v>0</v>
      </c>
      <c r="J318" t="e">
        <f>INDEX(us_acc_codes,MATCH(loaded!Y318,us_acc,0))</f>
        <v>#N/A</v>
      </c>
      <c r="K318" t="e">
        <f>INDEX(client_codes,MATCH(loaded!AA318,client,0))</f>
        <v>#N/A</v>
      </c>
      <c r="L318" t="e">
        <f>INDEX(src_ref_codes,MATCH(loaded!AC318,src_ref,0))</f>
        <v>#N/A</v>
      </c>
      <c r="M318" s="8">
        <f>loaded!AE318</f>
        <v>0</v>
      </c>
      <c r="N318" s="8">
        <f>loaded!AG318</f>
        <v>0</v>
      </c>
      <c r="O318" t="e">
        <f>INDEX(reces_codes,MATCH(loaded!AI318,reason,0))</f>
        <v>#N/A</v>
      </c>
      <c r="P318" t="e">
        <f>INDEX(TDS_codes,MATCH(loaded!AK318,TDS,0))</f>
        <v>#N/A</v>
      </c>
      <c r="Q318" t="e">
        <f>IF(K318=2,"",INDEX(method_codes,MATCH(loaded!AM318,method,0)))</f>
        <v>#N/A</v>
      </c>
      <c r="R318" t="e">
        <f>IF(K318=2,"",INDEX(inj_codes,MATCH(loaded!AO318,inj,0)))</f>
        <v>#N/A</v>
      </c>
      <c r="S318" t="e">
        <f>IF(K318=2,"",INDEX(drug_codes,MATCH(loaded!AQ318,drug,0)))</f>
        <v>#N/A</v>
      </c>
      <c r="T318" t="e">
        <f>IF(K318=2,"",_xlfn.IFNA(INDEX(drug_codes,MATCH(loaded!AS318,drug,0)),""))</f>
        <v>#N/A</v>
      </c>
      <c r="U318" t="e">
        <f>IF(K318=2,"",_xlfn.IFNA(INDEX(drug_codes,MATCH(loaded!AU318,drug,0)),""))</f>
        <v>#N/A</v>
      </c>
      <c r="V318" t="e">
        <f>IF(K318=2,"",_xlfn.IFNA(INDEX(drug_codes,MATCH(loaded!AW318,drug,0)),""))</f>
        <v>#N/A</v>
      </c>
      <c r="W318" t="e">
        <f>IF(K318=2,"",_xlfn.IFNA(INDEX(drug_codes,MATCH(loaded!AY318,drug,0)),""))</f>
        <v>#N/A</v>
      </c>
      <c r="X318" t="e">
        <f>IF(K318=2,"",_xlfn.IFNA(INDEX(drug_codes,MATCH(loaded!BA318,drug,0)),""))</f>
        <v>#N/A</v>
      </c>
      <c r="Y318" t="e">
        <f>INDEX(MTT_codes,MATCH(loaded!BC318,MTT,0))</f>
        <v>#N/A</v>
      </c>
      <c r="Z318" t="str">
        <f>_xlfn.IFNA(INDEX(MTT_codes,MATCH(loaded!BE318,MTT,0)),"")</f>
        <v/>
      </c>
      <c r="AA318" t="str">
        <f>_xlfn.IFNA(INDEX(MTT_codes,MATCH(loaded!BG318,MTT,0)),"")</f>
        <v/>
      </c>
      <c r="AB318" t="str">
        <f>_xlfn.IFNA(INDEX(MTT_codes,MATCH(loaded!BI318,MTT,0)),"")</f>
        <v/>
      </c>
      <c r="AC318" t="str">
        <f>_xlfn.IFNA(INDEX(MTT_codes,MATCH(loaded!BK318,MTT,0)),"")</f>
        <v/>
      </c>
      <c r="AD318" t="str">
        <f>_xlfn.IFNA(INDEX(MTT_codes,MATCH(loaded!BM318,MTT,0)),"")</f>
        <v/>
      </c>
      <c r="AE318" t="e">
        <f>INDEX(liv_ar_codes,MATCH(loaded!BO318,liv_ar,0))</f>
        <v>#N/A</v>
      </c>
      <c r="AF318" t="str">
        <f>_xlfn.IFNA(INDEX(MTT_codes,MATCH(loaded!BQ318,MTT,0)),"")</f>
        <v/>
      </c>
      <c r="AG318">
        <f>_xlfn.IFNA(INDEX(mental_codes,MATCH(loaded!BS318,mental,0)),9)</f>
        <v>9</v>
      </c>
    </row>
    <row r="319" spans="1:33" x14ac:dyDescent="0.25">
      <c r="A319">
        <f>loaded!C319</f>
        <v>0</v>
      </c>
      <c r="B319">
        <f>loaded!I319</f>
        <v>0</v>
      </c>
      <c r="C319">
        <f>IF(loaded!K319="Male",1,IF(loaded!K319="Female",2,9))</f>
        <v>9</v>
      </c>
      <c r="D319" s="8">
        <f>loaded!M319</f>
        <v>0</v>
      </c>
      <c r="E319" t="str">
        <f>LEFT(loaded!O319,3)</f>
        <v/>
      </c>
      <c r="F319" t="e">
        <f>INDEX(cntry_codes,MATCH(loaded!Q319,countries,0))</f>
        <v>#N/A</v>
      </c>
      <c r="G319" t="e">
        <f>INDEX(atsi_codes,MATCH(loaded!S319,atsi,0))</f>
        <v>#N/A</v>
      </c>
      <c r="H319" t="e">
        <f>INDEX(lang_codes,MATCH(loaded!U319,lang,0))</f>
        <v>#N/A</v>
      </c>
      <c r="I319" s="8">
        <f>loaded!W319</f>
        <v>0</v>
      </c>
      <c r="J319" t="e">
        <f>INDEX(us_acc_codes,MATCH(loaded!Y319,us_acc,0))</f>
        <v>#N/A</v>
      </c>
      <c r="K319" t="e">
        <f>INDEX(client_codes,MATCH(loaded!AA319,client,0))</f>
        <v>#N/A</v>
      </c>
      <c r="L319" t="e">
        <f>INDEX(src_ref_codes,MATCH(loaded!AC319,src_ref,0))</f>
        <v>#N/A</v>
      </c>
      <c r="M319" s="8">
        <f>loaded!AE319</f>
        <v>0</v>
      </c>
      <c r="N319" s="8">
        <f>loaded!AG319</f>
        <v>0</v>
      </c>
      <c r="O319" t="e">
        <f>INDEX(reces_codes,MATCH(loaded!AI319,reason,0))</f>
        <v>#N/A</v>
      </c>
      <c r="P319" t="e">
        <f>INDEX(TDS_codes,MATCH(loaded!AK319,TDS,0))</f>
        <v>#N/A</v>
      </c>
      <c r="Q319" t="e">
        <f>IF(K319=2,"",INDEX(method_codes,MATCH(loaded!AM319,method,0)))</f>
        <v>#N/A</v>
      </c>
      <c r="R319" t="e">
        <f>IF(K319=2,"",INDEX(inj_codes,MATCH(loaded!AO319,inj,0)))</f>
        <v>#N/A</v>
      </c>
      <c r="S319" t="e">
        <f>IF(K319=2,"",INDEX(drug_codes,MATCH(loaded!AQ319,drug,0)))</f>
        <v>#N/A</v>
      </c>
      <c r="T319" t="e">
        <f>IF(K319=2,"",_xlfn.IFNA(INDEX(drug_codes,MATCH(loaded!AS319,drug,0)),""))</f>
        <v>#N/A</v>
      </c>
      <c r="U319" t="e">
        <f>IF(K319=2,"",_xlfn.IFNA(INDEX(drug_codes,MATCH(loaded!AU319,drug,0)),""))</f>
        <v>#N/A</v>
      </c>
      <c r="V319" t="e">
        <f>IF(K319=2,"",_xlfn.IFNA(INDEX(drug_codes,MATCH(loaded!AW319,drug,0)),""))</f>
        <v>#N/A</v>
      </c>
      <c r="W319" t="e">
        <f>IF(K319=2,"",_xlfn.IFNA(INDEX(drug_codes,MATCH(loaded!AY319,drug,0)),""))</f>
        <v>#N/A</v>
      </c>
      <c r="X319" t="e">
        <f>IF(K319=2,"",_xlfn.IFNA(INDEX(drug_codes,MATCH(loaded!BA319,drug,0)),""))</f>
        <v>#N/A</v>
      </c>
      <c r="Y319" t="e">
        <f>INDEX(MTT_codes,MATCH(loaded!BC319,MTT,0))</f>
        <v>#N/A</v>
      </c>
      <c r="Z319" t="str">
        <f>_xlfn.IFNA(INDEX(MTT_codes,MATCH(loaded!BE319,MTT,0)),"")</f>
        <v/>
      </c>
      <c r="AA319" t="str">
        <f>_xlfn.IFNA(INDEX(MTT_codes,MATCH(loaded!BG319,MTT,0)),"")</f>
        <v/>
      </c>
      <c r="AB319" t="str">
        <f>_xlfn.IFNA(INDEX(MTT_codes,MATCH(loaded!BI319,MTT,0)),"")</f>
        <v/>
      </c>
      <c r="AC319" t="str">
        <f>_xlfn.IFNA(INDEX(MTT_codes,MATCH(loaded!BK319,MTT,0)),"")</f>
        <v/>
      </c>
      <c r="AD319" t="str">
        <f>_xlfn.IFNA(INDEX(MTT_codes,MATCH(loaded!BM319,MTT,0)),"")</f>
        <v/>
      </c>
      <c r="AE319" t="e">
        <f>INDEX(liv_ar_codes,MATCH(loaded!BO319,liv_ar,0))</f>
        <v>#N/A</v>
      </c>
      <c r="AF319" t="str">
        <f>_xlfn.IFNA(INDEX(MTT_codes,MATCH(loaded!BQ319,MTT,0)),"")</f>
        <v/>
      </c>
      <c r="AG319">
        <f>_xlfn.IFNA(INDEX(mental_codes,MATCH(loaded!BS319,mental,0)),9)</f>
        <v>9</v>
      </c>
    </row>
    <row r="320" spans="1:33" x14ac:dyDescent="0.25">
      <c r="A320">
        <f>loaded!C320</f>
        <v>0</v>
      </c>
      <c r="B320">
        <f>loaded!I320</f>
        <v>0</v>
      </c>
      <c r="C320">
        <f>IF(loaded!K320="Male",1,IF(loaded!K320="Female",2,9))</f>
        <v>9</v>
      </c>
      <c r="D320" s="8">
        <f>loaded!M320</f>
        <v>0</v>
      </c>
      <c r="E320" t="str">
        <f>LEFT(loaded!O320,3)</f>
        <v/>
      </c>
      <c r="F320" t="e">
        <f>INDEX(cntry_codes,MATCH(loaded!Q320,countries,0))</f>
        <v>#N/A</v>
      </c>
      <c r="G320" t="e">
        <f>INDEX(atsi_codes,MATCH(loaded!S320,atsi,0))</f>
        <v>#N/A</v>
      </c>
      <c r="H320" t="e">
        <f>INDEX(lang_codes,MATCH(loaded!U320,lang,0))</f>
        <v>#N/A</v>
      </c>
      <c r="I320" s="8">
        <f>loaded!W320</f>
        <v>0</v>
      </c>
      <c r="J320" t="e">
        <f>INDEX(us_acc_codes,MATCH(loaded!Y320,us_acc,0))</f>
        <v>#N/A</v>
      </c>
      <c r="K320" t="e">
        <f>INDEX(client_codes,MATCH(loaded!AA320,client,0))</f>
        <v>#N/A</v>
      </c>
      <c r="L320" t="e">
        <f>INDEX(src_ref_codes,MATCH(loaded!AC320,src_ref,0))</f>
        <v>#N/A</v>
      </c>
      <c r="M320" s="8">
        <f>loaded!AE320</f>
        <v>0</v>
      </c>
      <c r="N320" s="8">
        <f>loaded!AG320</f>
        <v>0</v>
      </c>
      <c r="O320" t="e">
        <f>INDEX(reces_codes,MATCH(loaded!AI320,reason,0))</f>
        <v>#N/A</v>
      </c>
      <c r="P320" t="e">
        <f>INDEX(TDS_codes,MATCH(loaded!AK320,TDS,0))</f>
        <v>#N/A</v>
      </c>
      <c r="Q320" t="e">
        <f>IF(K320=2,"",INDEX(method_codes,MATCH(loaded!AM320,method,0)))</f>
        <v>#N/A</v>
      </c>
      <c r="R320" t="e">
        <f>IF(K320=2,"",INDEX(inj_codes,MATCH(loaded!AO320,inj,0)))</f>
        <v>#N/A</v>
      </c>
      <c r="S320" t="e">
        <f>IF(K320=2,"",INDEX(drug_codes,MATCH(loaded!AQ320,drug,0)))</f>
        <v>#N/A</v>
      </c>
      <c r="T320" t="e">
        <f>IF(K320=2,"",_xlfn.IFNA(INDEX(drug_codes,MATCH(loaded!AS320,drug,0)),""))</f>
        <v>#N/A</v>
      </c>
      <c r="U320" t="e">
        <f>IF(K320=2,"",_xlfn.IFNA(INDEX(drug_codes,MATCH(loaded!AU320,drug,0)),""))</f>
        <v>#N/A</v>
      </c>
      <c r="V320" t="e">
        <f>IF(K320=2,"",_xlfn.IFNA(INDEX(drug_codes,MATCH(loaded!AW320,drug,0)),""))</f>
        <v>#N/A</v>
      </c>
      <c r="W320" t="e">
        <f>IF(K320=2,"",_xlfn.IFNA(INDEX(drug_codes,MATCH(loaded!AY320,drug,0)),""))</f>
        <v>#N/A</v>
      </c>
      <c r="X320" t="e">
        <f>IF(K320=2,"",_xlfn.IFNA(INDEX(drug_codes,MATCH(loaded!BA320,drug,0)),""))</f>
        <v>#N/A</v>
      </c>
      <c r="Y320" t="e">
        <f>INDEX(MTT_codes,MATCH(loaded!BC320,MTT,0))</f>
        <v>#N/A</v>
      </c>
      <c r="Z320" t="str">
        <f>_xlfn.IFNA(INDEX(MTT_codes,MATCH(loaded!BE320,MTT,0)),"")</f>
        <v/>
      </c>
      <c r="AA320" t="str">
        <f>_xlfn.IFNA(INDEX(MTT_codes,MATCH(loaded!BG320,MTT,0)),"")</f>
        <v/>
      </c>
      <c r="AB320" t="str">
        <f>_xlfn.IFNA(INDEX(MTT_codes,MATCH(loaded!BI320,MTT,0)),"")</f>
        <v/>
      </c>
      <c r="AC320" t="str">
        <f>_xlfn.IFNA(INDEX(MTT_codes,MATCH(loaded!BK320,MTT,0)),"")</f>
        <v/>
      </c>
      <c r="AD320" t="str">
        <f>_xlfn.IFNA(INDEX(MTT_codes,MATCH(loaded!BM320,MTT,0)),"")</f>
        <v/>
      </c>
      <c r="AE320" t="e">
        <f>INDEX(liv_ar_codes,MATCH(loaded!BO320,liv_ar,0))</f>
        <v>#N/A</v>
      </c>
      <c r="AF320" t="str">
        <f>_xlfn.IFNA(INDEX(MTT_codes,MATCH(loaded!BQ320,MTT,0)),"")</f>
        <v/>
      </c>
      <c r="AG320">
        <f>_xlfn.IFNA(INDEX(mental_codes,MATCH(loaded!BS320,mental,0)),9)</f>
        <v>9</v>
      </c>
    </row>
    <row r="321" spans="1:33" x14ac:dyDescent="0.25">
      <c r="A321">
        <f>loaded!C321</f>
        <v>0</v>
      </c>
      <c r="B321">
        <f>loaded!I321</f>
        <v>0</v>
      </c>
      <c r="C321">
        <f>IF(loaded!K321="Male",1,IF(loaded!K321="Female",2,9))</f>
        <v>9</v>
      </c>
      <c r="D321" s="8">
        <f>loaded!M321</f>
        <v>0</v>
      </c>
      <c r="E321" t="str">
        <f>LEFT(loaded!O321,3)</f>
        <v/>
      </c>
      <c r="F321" t="e">
        <f>INDEX(cntry_codes,MATCH(loaded!Q321,countries,0))</f>
        <v>#N/A</v>
      </c>
      <c r="G321" t="e">
        <f>INDEX(atsi_codes,MATCH(loaded!S321,atsi,0))</f>
        <v>#N/A</v>
      </c>
      <c r="H321" t="e">
        <f>INDEX(lang_codes,MATCH(loaded!U321,lang,0))</f>
        <v>#N/A</v>
      </c>
      <c r="I321" s="8">
        <f>loaded!W321</f>
        <v>0</v>
      </c>
      <c r="J321" t="e">
        <f>INDEX(us_acc_codes,MATCH(loaded!Y321,us_acc,0))</f>
        <v>#N/A</v>
      </c>
      <c r="K321" t="e">
        <f>INDEX(client_codes,MATCH(loaded!AA321,client,0))</f>
        <v>#N/A</v>
      </c>
      <c r="L321" t="e">
        <f>INDEX(src_ref_codes,MATCH(loaded!AC321,src_ref,0))</f>
        <v>#N/A</v>
      </c>
      <c r="M321" s="8">
        <f>loaded!AE321</f>
        <v>0</v>
      </c>
      <c r="N321" s="8">
        <f>loaded!AG321</f>
        <v>0</v>
      </c>
      <c r="O321" t="e">
        <f>INDEX(reces_codes,MATCH(loaded!AI321,reason,0))</f>
        <v>#N/A</v>
      </c>
      <c r="P321" t="e">
        <f>INDEX(TDS_codes,MATCH(loaded!AK321,TDS,0))</f>
        <v>#N/A</v>
      </c>
      <c r="Q321" t="e">
        <f>IF(K321=2,"",INDEX(method_codes,MATCH(loaded!AM321,method,0)))</f>
        <v>#N/A</v>
      </c>
      <c r="R321" t="e">
        <f>IF(K321=2,"",INDEX(inj_codes,MATCH(loaded!AO321,inj,0)))</f>
        <v>#N/A</v>
      </c>
      <c r="S321" t="e">
        <f>IF(K321=2,"",INDEX(drug_codes,MATCH(loaded!AQ321,drug,0)))</f>
        <v>#N/A</v>
      </c>
      <c r="T321" t="e">
        <f>IF(K321=2,"",_xlfn.IFNA(INDEX(drug_codes,MATCH(loaded!AS321,drug,0)),""))</f>
        <v>#N/A</v>
      </c>
      <c r="U321" t="e">
        <f>IF(K321=2,"",_xlfn.IFNA(INDEX(drug_codes,MATCH(loaded!AU321,drug,0)),""))</f>
        <v>#N/A</v>
      </c>
      <c r="V321" t="e">
        <f>IF(K321=2,"",_xlfn.IFNA(INDEX(drug_codes,MATCH(loaded!AW321,drug,0)),""))</f>
        <v>#N/A</v>
      </c>
      <c r="W321" t="e">
        <f>IF(K321=2,"",_xlfn.IFNA(INDEX(drug_codes,MATCH(loaded!AY321,drug,0)),""))</f>
        <v>#N/A</v>
      </c>
      <c r="X321" t="e">
        <f>IF(K321=2,"",_xlfn.IFNA(INDEX(drug_codes,MATCH(loaded!BA321,drug,0)),""))</f>
        <v>#N/A</v>
      </c>
      <c r="Y321" t="e">
        <f>INDEX(MTT_codes,MATCH(loaded!BC321,MTT,0))</f>
        <v>#N/A</v>
      </c>
      <c r="Z321" t="str">
        <f>_xlfn.IFNA(INDEX(MTT_codes,MATCH(loaded!BE321,MTT,0)),"")</f>
        <v/>
      </c>
      <c r="AA321" t="str">
        <f>_xlfn.IFNA(INDEX(MTT_codes,MATCH(loaded!BG321,MTT,0)),"")</f>
        <v/>
      </c>
      <c r="AB321" t="str">
        <f>_xlfn.IFNA(INDEX(MTT_codes,MATCH(loaded!BI321,MTT,0)),"")</f>
        <v/>
      </c>
      <c r="AC321" t="str">
        <f>_xlfn.IFNA(INDEX(MTT_codes,MATCH(loaded!BK321,MTT,0)),"")</f>
        <v/>
      </c>
      <c r="AD321" t="str">
        <f>_xlfn.IFNA(INDEX(MTT_codes,MATCH(loaded!BM321,MTT,0)),"")</f>
        <v/>
      </c>
      <c r="AE321" t="e">
        <f>INDEX(liv_ar_codes,MATCH(loaded!BO321,liv_ar,0))</f>
        <v>#N/A</v>
      </c>
      <c r="AF321" t="str">
        <f>_xlfn.IFNA(INDEX(MTT_codes,MATCH(loaded!BQ321,MTT,0)),"")</f>
        <v/>
      </c>
      <c r="AG321">
        <f>_xlfn.IFNA(INDEX(mental_codes,MATCH(loaded!BS321,mental,0)),9)</f>
        <v>9</v>
      </c>
    </row>
    <row r="322" spans="1:33" x14ac:dyDescent="0.25">
      <c r="A322">
        <f>loaded!C322</f>
        <v>0</v>
      </c>
      <c r="B322">
        <f>loaded!I322</f>
        <v>0</v>
      </c>
      <c r="C322">
        <f>IF(loaded!K322="Male",1,IF(loaded!K322="Female",2,9))</f>
        <v>9</v>
      </c>
      <c r="D322" s="8">
        <f>loaded!M322</f>
        <v>0</v>
      </c>
      <c r="E322" t="str">
        <f>LEFT(loaded!O322,3)</f>
        <v/>
      </c>
      <c r="F322" t="e">
        <f>INDEX(cntry_codes,MATCH(loaded!Q322,countries,0))</f>
        <v>#N/A</v>
      </c>
      <c r="G322" t="e">
        <f>INDEX(atsi_codes,MATCH(loaded!S322,atsi,0))</f>
        <v>#N/A</v>
      </c>
      <c r="H322" t="e">
        <f>INDEX(lang_codes,MATCH(loaded!U322,lang,0))</f>
        <v>#N/A</v>
      </c>
      <c r="I322" s="8">
        <f>loaded!W322</f>
        <v>0</v>
      </c>
      <c r="J322" t="e">
        <f>INDEX(us_acc_codes,MATCH(loaded!Y322,us_acc,0))</f>
        <v>#N/A</v>
      </c>
      <c r="K322" t="e">
        <f>INDEX(client_codes,MATCH(loaded!AA322,client,0))</f>
        <v>#N/A</v>
      </c>
      <c r="L322" t="e">
        <f>INDEX(src_ref_codes,MATCH(loaded!AC322,src_ref,0))</f>
        <v>#N/A</v>
      </c>
      <c r="M322" s="8">
        <f>loaded!AE322</f>
        <v>0</v>
      </c>
      <c r="N322" s="8">
        <f>loaded!AG322</f>
        <v>0</v>
      </c>
      <c r="O322" t="e">
        <f>INDEX(reces_codes,MATCH(loaded!AI322,reason,0))</f>
        <v>#N/A</v>
      </c>
      <c r="P322" t="e">
        <f>INDEX(TDS_codes,MATCH(loaded!AK322,TDS,0))</f>
        <v>#N/A</v>
      </c>
      <c r="Q322" t="e">
        <f>IF(K322=2,"",INDEX(method_codes,MATCH(loaded!AM322,method,0)))</f>
        <v>#N/A</v>
      </c>
      <c r="R322" t="e">
        <f>IF(K322=2,"",INDEX(inj_codes,MATCH(loaded!AO322,inj,0)))</f>
        <v>#N/A</v>
      </c>
      <c r="S322" t="e">
        <f>IF(K322=2,"",INDEX(drug_codes,MATCH(loaded!AQ322,drug,0)))</f>
        <v>#N/A</v>
      </c>
      <c r="T322" t="e">
        <f>IF(K322=2,"",_xlfn.IFNA(INDEX(drug_codes,MATCH(loaded!AS322,drug,0)),""))</f>
        <v>#N/A</v>
      </c>
      <c r="U322" t="e">
        <f>IF(K322=2,"",_xlfn.IFNA(INDEX(drug_codes,MATCH(loaded!AU322,drug,0)),""))</f>
        <v>#N/A</v>
      </c>
      <c r="V322" t="e">
        <f>IF(K322=2,"",_xlfn.IFNA(INDEX(drug_codes,MATCH(loaded!AW322,drug,0)),""))</f>
        <v>#N/A</v>
      </c>
      <c r="W322" t="e">
        <f>IF(K322=2,"",_xlfn.IFNA(INDEX(drug_codes,MATCH(loaded!AY322,drug,0)),""))</f>
        <v>#N/A</v>
      </c>
      <c r="X322" t="e">
        <f>IF(K322=2,"",_xlfn.IFNA(INDEX(drug_codes,MATCH(loaded!BA322,drug,0)),""))</f>
        <v>#N/A</v>
      </c>
      <c r="Y322" t="e">
        <f>INDEX(MTT_codes,MATCH(loaded!BC322,MTT,0))</f>
        <v>#N/A</v>
      </c>
      <c r="Z322" t="str">
        <f>_xlfn.IFNA(INDEX(MTT_codes,MATCH(loaded!BE322,MTT,0)),"")</f>
        <v/>
      </c>
      <c r="AA322" t="str">
        <f>_xlfn.IFNA(INDEX(MTT_codes,MATCH(loaded!BG322,MTT,0)),"")</f>
        <v/>
      </c>
      <c r="AB322" t="str">
        <f>_xlfn.IFNA(INDEX(MTT_codes,MATCH(loaded!BI322,MTT,0)),"")</f>
        <v/>
      </c>
      <c r="AC322" t="str">
        <f>_xlfn.IFNA(INDEX(MTT_codes,MATCH(loaded!BK322,MTT,0)),"")</f>
        <v/>
      </c>
      <c r="AD322" t="str">
        <f>_xlfn.IFNA(INDEX(MTT_codes,MATCH(loaded!BM322,MTT,0)),"")</f>
        <v/>
      </c>
      <c r="AE322" t="e">
        <f>INDEX(liv_ar_codes,MATCH(loaded!BO322,liv_ar,0))</f>
        <v>#N/A</v>
      </c>
      <c r="AF322" t="str">
        <f>_xlfn.IFNA(INDEX(MTT_codes,MATCH(loaded!BQ322,MTT,0)),"")</f>
        <v/>
      </c>
      <c r="AG322">
        <f>_xlfn.IFNA(INDEX(mental_codes,MATCH(loaded!BS322,mental,0)),9)</f>
        <v>9</v>
      </c>
    </row>
    <row r="323" spans="1:33" x14ac:dyDescent="0.25">
      <c r="A323">
        <f>loaded!C323</f>
        <v>0</v>
      </c>
      <c r="B323">
        <f>loaded!I323</f>
        <v>0</v>
      </c>
      <c r="C323">
        <f>IF(loaded!K323="Male",1,IF(loaded!K323="Female",2,9))</f>
        <v>9</v>
      </c>
      <c r="D323" s="8">
        <f>loaded!M323</f>
        <v>0</v>
      </c>
      <c r="E323" t="str">
        <f>LEFT(loaded!O323,3)</f>
        <v/>
      </c>
      <c r="F323" t="e">
        <f>INDEX(cntry_codes,MATCH(loaded!Q323,countries,0))</f>
        <v>#N/A</v>
      </c>
      <c r="G323" t="e">
        <f>INDEX(atsi_codes,MATCH(loaded!S323,atsi,0))</f>
        <v>#N/A</v>
      </c>
      <c r="H323" t="e">
        <f>INDEX(lang_codes,MATCH(loaded!U323,lang,0))</f>
        <v>#N/A</v>
      </c>
      <c r="I323" s="8">
        <f>loaded!W323</f>
        <v>0</v>
      </c>
      <c r="J323" t="e">
        <f>INDEX(us_acc_codes,MATCH(loaded!Y323,us_acc,0))</f>
        <v>#N/A</v>
      </c>
      <c r="K323" t="e">
        <f>INDEX(client_codes,MATCH(loaded!AA323,client,0))</f>
        <v>#N/A</v>
      </c>
      <c r="L323" t="e">
        <f>INDEX(src_ref_codes,MATCH(loaded!AC323,src_ref,0))</f>
        <v>#N/A</v>
      </c>
      <c r="M323" s="8">
        <f>loaded!AE323</f>
        <v>0</v>
      </c>
      <c r="N323" s="8">
        <f>loaded!AG323</f>
        <v>0</v>
      </c>
      <c r="O323" t="e">
        <f>INDEX(reces_codes,MATCH(loaded!AI323,reason,0))</f>
        <v>#N/A</v>
      </c>
      <c r="P323" t="e">
        <f>INDEX(TDS_codes,MATCH(loaded!AK323,TDS,0))</f>
        <v>#N/A</v>
      </c>
      <c r="Q323" t="e">
        <f>IF(K323=2,"",INDEX(method_codes,MATCH(loaded!AM323,method,0)))</f>
        <v>#N/A</v>
      </c>
      <c r="R323" t="e">
        <f>IF(K323=2,"",INDEX(inj_codes,MATCH(loaded!AO323,inj,0)))</f>
        <v>#N/A</v>
      </c>
      <c r="S323" t="e">
        <f>IF(K323=2,"",INDEX(drug_codes,MATCH(loaded!AQ323,drug,0)))</f>
        <v>#N/A</v>
      </c>
      <c r="T323" t="e">
        <f>IF(K323=2,"",_xlfn.IFNA(INDEX(drug_codes,MATCH(loaded!AS323,drug,0)),""))</f>
        <v>#N/A</v>
      </c>
      <c r="U323" t="e">
        <f>IF(K323=2,"",_xlfn.IFNA(INDEX(drug_codes,MATCH(loaded!AU323,drug,0)),""))</f>
        <v>#N/A</v>
      </c>
      <c r="V323" t="e">
        <f>IF(K323=2,"",_xlfn.IFNA(INDEX(drug_codes,MATCH(loaded!AW323,drug,0)),""))</f>
        <v>#N/A</v>
      </c>
      <c r="W323" t="e">
        <f>IF(K323=2,"",_xlfn.IFNA(INDEX(drug_codes,MATCH(loaded!AY323,drug,0)),""))</f>
        <v>#N/A</v>
      </c>
      <c r="X323" t="e">
        <f>IF(K323=2,"",_xlfn.IFNA(INDEX(drug_codes,MATCH(loaded!BA323,drug,0)),""))</f>
        <v>#N/A</v>
      </c>
      <c r="Y323" t="e">
        <f>INDEX(MTT_codes,MATCH(loaded!BC323,MTT,0))</f>
        <v>#N/A</v>
      </c>
      <c r="Z323" t="str">
        <f>_xlfn.IFNA(INDEX(MTT_codes,MATCH(loaded!BE323,MTT,0)),"")</f>
        <v/>
      </c>
      <c r="AA323" t="str">
        <f>_xlfn.IFNA(INDEX(MTT_codes,MATCH(loaded!BG323,MTT,0)),"")</f>
        <v/>
      </c>
      <c r="AB323" t="str">
        <f>_xlfn.IFNA(INDEX(MTT_codes,MATCH(loaded!BI323,MTT,0)),"")</f>
        <v/>
      </c>
      <c r="AC323" t="str">
        <f>_xlfn.IFNA(INDEX(MTT_codes,MATCH(loaded!BK323,MTT,0)),"")</f>
        <v/>
      </c>
      <c r="AD323" t="str">
        <f>_xlfn.IFNA(INDEX(MTT_codes,MATCH(loaded!BM323,MTT,0)),"")</f>
        <v/>
      </c>
      <c r="AE323" t="e">
        <f>INDEX(liv_ar_codes,MATCH(loaded!BO323,liv_ar,0))</f>
        <v>#N/A</v>
      </c>
      <c r="AF323" t="str">
        <f>_xlfn.IFNA(INDEX(MTT_codes,MATCH(loaded!BQ323,MTT,0)),"")</f>
        <v/>
      </c>
      <c r="AG323">
        <f>_xlfn.IFNA(INDEX(mental_codes,MATCH(loaded!BS323,mental,0)),9)</f>
        <v>9</v>
      </c>
    </row>
    <row r="324" spans="1:33" x14ac:dyDescent="0.25">
      <c r="A324">
        <f>loaded!C324</f>
        <v>0</v>
      </c>
      <c r="B324">
        <f>loaded!I324</f>
        <v>0</v>
      </c>
      <c r="C324">
        <f>IF(loaded!K324="Male",1,IF(loaded!K324="Female",2,9))</f>
        <v>9</v>
      </c>
      <c r="D324" s="8">
        <f>loaded!M324</f>
        <v>0</v>
      </c>
      <c r="E324" t="str">
        <f>LEFT(loaded!O324,3)</f>
        <v/>
      </c>
      <c r="F324" t="e">
        <f>INDEX(cntry_codes,MATCH(loaded!Q324,countries,0))</f>
        <v>#N/A</v>
      </c>
      <c r="G324" t="e">
        <f>INDEX(atsi_codes,MATCH(loaded!S324,atsi,0))</f>
        <v>#N/A</v>
      </c>
      <c r="H324" t="e">
        <f>INDEX(lang_codes,MATCH(loaded!U324,lang,0))</f>
        <v>#N/A</v>
      </c>
      <c r="I324" s="8">
        <f>loaded!W324</f>
        <v>0</v>
      </c>
      <c r="J324" t="e">
        <f>INDEX(us_acc_codes,MATCH(loaded!Y324,us_acc,0))</f>
        <v>#N/A</v>
      </c>
      <c r="K324" t="e">
        <f>INDEX(client_codes,MATCH(loaded!AA324,client,0))</f>
        <v>#N/A</v>
      </c>
      <c r="L324" t="e">
        <f>INDEX(src_ref_codes,MATCH(loaded!AC324,src_ref,0))</f>
        <v>#N/A</v>
      </c>
      <c r="M324" s="8">
        <f>loaded!AE324</f>
        <v>0</v>
      </c>
      <c r="N324" s="8">
        <f>loaded!AG324</f>
        <v>0</v>
      </c>
      <c r="O324" t="e">
        <f>INDEX(reces_codes,MATCH(loaded!AI324,reason,0))</f>
        <v>#N/A</v>
      </c>
      <c r="P324" t="e">
        <f>INDEX(TDS_codes,MATCH(loaded!AK324,TDS,0))</f>
        <v>#N/A</v>
      </c>
      <c r="Q324" t="e">
        <f>IF(K324=2,"",INDEX(method_codes,MATCH(loaded!AM324,method,0)))</f>
        <v>#N/A</v>
      </c>
      <c r="R324" t="e">
        <f>IF(K324=2,"",INDEX(inj_codes,MATCH(loaded!AO324,inj,0)))</f>
        <v>#N/A</v>
      </c>
      <c r="S324" t="e">
        <f>IF(K324=2,"",INDEX(drug_codes,MATCH(loaded!AQ324,drug,0)))</f>
        <v>#N/A</v>
      </c>
      <c r="T324" t="e">
        <f>IF(K324=2,"",_xlfn.IFNA(INDEX(drug_codes,MATCH(loaded!AS324,drug,0)),""))</f>
        <v>#N/A</v>
      </c>
      <c r="U324" t="e">
        <f>IF(K324=2,"",_xlfn.IFNA(INDEX(drug_codes,MATCH(loaded!AU324,drug,0)),""))</f>
        <v>#N/A</v>
      </c>
      <c r="V324" t="e">
        <f>IF(K324=2,"",_xlfn.IFNA(INDEX(drug_codes,MATCH(loaded!AW324,drug,0)),""))</f>
        <v>#N/A</v>
      </c>
      <c r="W324" t="e">
        <f>IF(K324=2,"",_xlfn.IFNA(INDEX(drug_codes,MATCH(loaded!AY324,drug,0)),""))</f>
        <v>#N/A</v>
      </c>
      <c r="X324" t="e">
        <f>IF(K324=2,"",_xlfn.IFNA(INDEX(drug_codes,MATCH(loaded!BA324,drug,0)),""))</f>
        <v>#N/A</v>
      </c>
      <c r="Y324" t="e">
        <f>INDEX(MTT_codes,MATCH(loaded!BC324,MTT,0))</f>
        <v>#N/A</v>
      </c>
      <c r="Z324" t="str">
        <f>_xlfn.IFNA(INDEX(MTT_codes,MATCH(loaded!BE324,MTT,0)),"")</f>
        <v/>
      </c>
      <c r="AA324" t="str">
        <f>_xlfn.IFNA(INDEX(MTT_codes,MATCH(loaded!BG324,MTT,0)),"")</f>
        <v/>
      </c>
      <c r="AB324" t="str">
        <f>_xlfn.IFNA(INDEX(MTT_codes,MATCH(loaded!BI324,MTT,0)),"")</f>
        <v/>
      </c>
      <c r="AC324" t="str">
        <f>_xlfn.IFNA(INDEX(MTT_codes,MATCH(loaded!BK324,MTT,0)),"")</f>
        <v/>
      </c>
      <c r="AD324" t="str">
        <f>_xlfn.IFNA(INDEX(MTT_codes,MATCH(loaded!BM324,MTT,0)),"")</f>
        <v/>
      </c>
      <c r="AE324" t="e">
        <f>INDEX(liv_ar_codes,MATCH(loaded!BO324,liv_ar,0))</f>
        <v>#N/A</v>
      </c>
      <c r="AF324" t="str">
        <f>_xlfn.IFNA(INDEX(MTT_codes,MATCH(loaded!BQ324,MTT,0)),"")</f>
        <v/>
      </c>
      <c r="AG324">
        <f>_xlfn.IFNA(INDEX(mental_codes,MATCH(loaded!BS324,mental,0)),9)</f>
        <v>9</v>
      </c>
    </row>
    <row r="325" spans="1:33" x14ac:dyDescent="0.25">
      <c r="A325">
        <f>loaded!C325</f>
        <v>0</v>
      </c>
      <c r="B325">
        <f>loaded!I325</f>
        <v>0</v>
      </c>
      <c r="C325">
        <f>IF(loaded!K325="Male",1,IF(loaded!K325="Female",2,9))</f>
        <v>9</v>
      </c>
      <c r="D325" s="8">
        <f>loaded!M325</f>
        <v>0</v>
      </c>
      <c r="E325" t="str">
        <f>LEFT(loaded!O325,3)</f>
        <v/>
      </c>
      <c r="F325" t="e">
        <f>INDEX(cntry_codes,MATCH(loaded!Q325,countries,0))</f>
        <v>#N/A</v>
      </c>
      <c r="G325" t="e">
        <f>INDEX(atsi_codes,MATCH(loaded!S325,atsi,0))</f>
        <v>#N/A</v>
      </c>
      <c r="H325" t="e">
        <f>INDEX(lang_codes,MATCH(loaded!U325,lang,0))</f>
        <v>#N/A</v>
      </c>
      <c r="I325" s="8">
        <f>loaded!W325</f>
        <v>0</v>
      </c>
      <c r="J325" t="e">
        <f>INDEX(us_acc_codes,MATCH(loaded!Y325,us_acc,0))</f>
        <v>#N/A</v>
      </c>
      <c r="K325" t="e">
        <f>INDEX(client_codes,MATCH(loaded!AA325,client,0))</f>
        <v>#N/A</v>
      </c>
      <c r="L325" t="e">
        <f>INDEX(src_ref_codes,MATCH(loaded!AC325,src_ref,0))</f>
        <v>#N/A</v>
      </c>
      <c r="M325" s="8">
        <f>loaded!AE325</f>
        <v>0</v>
      </c>
      <c r="N325" s="8">
        <f>loaded!AG325</f>
        <v>0</v>
      </c>
      <c r="O325" t="e">
        <f>INDEX(reces_codes,MATCH(loaded!AI325,reason,0))</f>
        <v>#N/A</v>
      </c>
      <c r="P325" t="e">
        <f>INDEX(TDS_codes,MATCH(loaded!AK325,TDS,0))</f>
        <v>#N/A</v>
      </c>
      <c r="Q325" t="e">
        <f>IF(K325=2,"",INDEX(method_codes,MATCH(loaded!AM325,method,0)))</f>
        <v>#N/A</v>
      </c>
      <c r="R325" t="e">
        <f>IF(K325=2,"",INDEX(inj_codes,MATCH(loaded!AO325,inj,0)))</f>
        <v>#N/A</v>
      </c>
      <c r="S325" t="e">
        <f>IF(K325=2,"",INDEX(drug_codes,MATCH(loaded!AQ325,drug,0)))</f>
        <v>#N/A</v>
      </c>
      <c r="T325" t="e">
        <f>IF(K325=2,"",_xlfn.IFNA(INDEX(drug_codes,MATCH(loaded!AS325,drug,0)),""))</f>
        <v>#N/A</v>
      </c>
      <c r="U325" t="e">
        <f>IF(K325=2,"",_xlfn.IFNA(INDEX(drug_codes,MATCH(loaded!AU325,drug,0)),""))</f>
        <v>#N/A</v>
      </c>
      <c r="V325" t="e">
        <f>IF(K325=2,"",_xlfn.IFNA(INDEX(drug_codes,MATCH(loaded!AW325,drug,0)),""))</f>
        <v>#N/A</v>
      </c>
      <c r="W325" t="e">
        <f>IF(K325=2,"",_xlfn.IFNA(INDEX(drug_codes,MATCH(loaded!AY325,drug,0)),""))</f>
        <v>#N/A</v>
      </c>
      <c r="X325" t="e">
        <f>IF(K325=2,"",_xlfn.IFNA(INDEX(drug_codes,MATCH(loaded!BA325,drug,0)),""))</f>
        <v>#N/A</v>
      </c>
      <c r="Y325" t="e">
        <f>INDEX(MTT_codes,MATCH(loaded!BC325,MTT,0))</f>
        <v>#N/A</v>
      </c>
      <c r="Z325" t="str">
        <f>_xlfn.IFNA(INDEX(MTT_codes,MATCH(loaded!BE325,MTT,0)),"")</f>
        <v/>
      </c>
      <c r="AA325" t="str">
        <f>_xlfn.IFNA(INDEX(MTT_codes,MATCH(loaded!BG325,MTT,0)),"")</f>
        <v/>
      </c>
      <c r="AB325" t="str">
        <f>_xlfn.IFNA(INDEX(MTT_codes,MATCH(loaded!BI325,MTT,0)),"")</f>
        <v/>
      </c>
      <c r="AC325" t="str">
        <f>_xlfn.IFNA(INDEX(MTT_codes,MATCH(loaded!BK325,MTT,0)),"")</f>
        <v/>
      </c>
      <c r="AD325" t="str">
        <f>_xlfn.IFNA(INDEX(MTT_codes,MATCH(loaded!BM325,MTT,0)),"")</f>
        <v/>
      </c>
      <c r="AE325" t="e">
        <f>INDEX(liv_ar_codes,MATCH(loaded!BO325,liv_ar,0))</f>
        <v>#N/A</v>
      </c>
      <c r="AF325" t="str">
        <f>_xlfn.IFNA(INDEX(MTT_codes,MATCH(loaded!BQ325,MTT,0)),"")</f>
        <v/>
      </c>
      <c r="AG325">
        <f>_xlfn.IFNA(INDEX(mental_codes,MATCH(loaded!BS325,mental,0)),9)</f>
        <v>9</v>
      </c>
    </row>
    <row r="326" spans="1:33" x14ac:dyDescent="0.25">
      <c r="A326">
        <f>loaded!C326</f>
        <v>0</v>
      </c>
      <c r="B326">
        <f>loaded!I326</f>
        <v>0</v>
      </c>
      <c r="C326">
        <f>IF(loaded!K326="Male",1,IF(loaded!K326="Female",2,9))</f>
        <v>9</v>
      </c>
      <c r="D326" s="8">
        <f>loaded!M326</f>
        <v>0</v>
      </c>
      <c r="E326" t="str">
        <f>LEFT(loaded!O326,3)</f>
        <v/>
      </c>
      <c r="F326" t="e">
        <f>INDEX(cntry_codes,MATCH(loaded!Q326,countries,0))</f>
        <v>#N/A</v>
      </c>
      <c r="G326" t="e">
        <f>INDEX(atsi_codes,MATCH(loaded!S326,atsi,0))</f>
        <v>#N/A</v>
      </c>
      <c r="H326" t="e">
        <f>INDEX(lang_codes,MATCH(loaded!U326,lang,0))</f>
        <v>#N/A</v>
      </c>
      <c r="I326" s="8">
        <f>loaded!W326</f>
        <v>0</v>
      </c>
      <c r="J326" t="e">
        <f>INDEX(us_acc_codes,MATCH(loaded!Y326,us_acc,0))</f>
        <v>#N/A</v>
      </c>
      <c r="K326" t="e">
        <f>INDEX(client_codes,MATCH(loaded!AA326,client,0))</f>
        <v>#N/A</v>
      </c>
      <c r="L326" t="e">
        <f>INDEX(src_ref_codes,MATCH(loaded!AC326,src_ref,0))</f>
        <v>#N/A</v>
      </c>
      <c r="M326" s="8">
        <f>loaded!AE326</f>
        <v>0</v>
      </c>
      <c r="N326" s="8">
        <f>loaded!AG326</f>
        <v>0</v>
      </c>
      <c r="O326" t="e">
        <f>INDEX(reces_codes,MATCH(loaded!AI326,reason,0))</f>
        <v>#N/A</v>
      </c>
      <c r="P326" t="e">
        <f>INDEX(TDS_codes,MATCH(loaded!AK326,TDS,0))</f>
        <v>#N/A</v>
      </c>
      <c r="Q326" t="e">
        <f>IF(K326=2,"",INDEX(method_codes,MATCH(loaded!AM326,method,0)))</f>
        <v>#N/A</v>
      </c>
      <c r="R326" t="e">
        <f>IF(K326=2,"",INDEX(inj_codes,MATCH(loaded!AO326,inj,0)))</f>
        <v>#N/A</v>
      </c>
      <c r="S326" t="e">
        <f>IF(K326=2,"",INDEX(drug_codes,MATCH(loaded!AQ326,drug,0)))</f>
        <v>#N/A</v>
      </c>
      <c r="T326" t="e">
        <f>IF(K326=2,"",_xlfn.IFNA(INDEX(drug_codes,MATCH(loaded!AS326,drug,0)),""))</f>
        <v>#N/A</v>
      </c>
      <c r="U326" t="e">
        <f>IF(K326=2,"",_xlfn.IFNA(INDEX(drug_codes,MATCH(loaded!AU326,drug,0)),""))</f>
        <v>#N/A</v>
      </c>
      <c r="V326" t="e">
        <f>IF(K326=2,"",_xlfn.IFNA(INDEX(drug_codes,MATCH(loaded!AW326,drug,0)),""))</f>
        <v>#N/A</v>
      </c>
      <c r="W326" t="e">
        <f>IF(K326=2,"",_xlfn.IFNA(INDEX(drug_codes,MATCH(loaded!AY326,drug,0)),""))</f>
        <v>#N/A</v>
      </c>
      <c r="X326" t="e">
        <f>IF(K326=2,"",_xlfn.IFNA(INDEX(drug_codes,MATCH(loaded!BA326,drug,0)),""))</f>
        <v>#N/A</v>
      </c>
      <c r="Y326" t="e">
        <f>INDEX(MTT_codes,MATCH(loaded!BC326,MTT,0))</f>
        <v>#N/A</v>
      </c>
      <c r="Z326" t="str">
        <f>_xlfn.IFNA(INDEX(MTT_codes,MATCH(loaded!BE326,MTT,0)),"")</f>
        <v/>
      </c>
      <c r="AA326" t="str">
        <f>_xlfn.IFNA(INDEX(MTT_codes,MATCH(loaded!BG326,MTT,0)),"")</f>
        <v/>
      </c>
      <c r="AB326" t="str">
        <f>_xlfn.IFNA(INDEX(MTT_codes,MATCH(loaded!BI326,MTT,0)),"")</f>
        <v/>
      </c>
      <c r="AC326" t="str">
        <f>_xlfn.IFNA(INDEX(MTT_codes,MATCH(loaded!BK326,MTT,0)),"")</f>
        <v/>
      </c>
      <c r="AD326" t="str">
        <f>_xlfn.IFNA(INDEX(MTT_codes,MATCH(loaded!BM326,MTT,0)),"")</f>
        <v/>
      </c>
      <c r="AE326" t="e">
        <f>INDEX(liv_ar_codes,MATCH(loaded!BO326,liv_ar,0))</f>
        <v>#N/A</v>
      </c>
      <c r="AF326" t="str">
        <f>_xlfn.IFNA(INDEX(MTT_codes,MATCH(loaded!BQ326,MTT,0)),"")</f>
        <v/>
      </c>
      <c r="AG326">
        <f>_xlfn.IFNA(INDEX(mental_codes,MATCH(loaded!BS326,mental,0)),9)</f>
        <v>9</v>
      </c>
    </row>
    <row r="327" spans="1:33" x14ac:dyDescent="0.25">
      <c r="A327">
        <f>loaded!C327</f>
        <v>0</v>
      </c>
      <c r="B327">
        <f>loaded!I327</f>
        <v>0</v>
      </c>
      <c r="C327">
        <f>IF(loaded!K327="Male",1,IF(loaded!K327="Female",2,9))</f>
        <v>9</v>
      </c>
      <c r="D327" s="8">
        <f>loaded!M327</f>
        <v>0</v>
      </c>
      <c r="E327" t="str">
        <f>LEFT(loaded!O327,3)</f>
        <v/>
      </c>
      <c r="F327" t="e">
        <f>INDEX(cntry_codes,MATCH(loaded!Q327,countries,0))</f>
        <v>#N/A</v>
      </c>
      <c r="G327" t="e">
        <f>INDEX(atsi_codes,MATCH(loaded!S327,atsi,0))</f>
        <v>#N/A</v>
      </c>
      <c r="H327" t="e">
        <f>INDEX(lang_codes,MATCH(loaded!U327,lang,0))</f>
        <v>#N/A</v>
      </c>
      <c r="I327" s="8">
        <f>loaded!W327</f>
        <v>0</v>
      </c>
      <c r="J327" t="e">
        <f>INDEX(us_acc_codes,MATCH(loaded!Y327,us_acc,0))</f>
        <v>#N/A</v>
      </c>
      <c r="K327" t="e">
        <f>INDEX(client_codes,MATCH(loaded!AA327,client,0))</f>
        <v>#N/A</v>
      </c>
      <c r="L327" t="e">
        <f>INDEX(src_ref_codes,MATCH(loaded!AC327,src_ref,0))</f>
        <v>#N/A</v>
      </c>
      <c r="M327" s="8">
        <f>loaded!AE327</f>
        <v>0</v>
      </c>
      <c r="N327" s="8">
        <f>loaded!AG327</f>
        <v>0</v>
      </c>
      <c r="O327" t="e">
        <f>INDEX(reces_codes,MATCH(loaded!AI327,reason,0))</f>
        <v>#N/A</v>
      </c>
      <c r="P327" t="e">
        <f>INDEX(TDS_codes,MATCH(loaded!AK327,TDS,0))</f>
        <v>#N/A</v>
      </c>
      <c r="Q327" t="e">
        <f>IF(K327=2,"",INDEX(method_codes,MATCH(loaded!AM327,method,0)))</f>
        <v>#N/A</v>
      </c>
      <c r="R327" t="e">
        <f>IF(K327=2,"",INDEX(inj_codes,MATCH(loaded!AO327,inj,0)))</f>
        <v>#N/A</v>
      </c>
      <c r="S327" t="e">
        <f>IF(K327=2,"",INDEX(drug_codes,MATCH(loaded!AQ327,drug,0)))</f>
        <v>#N/A</v>
      </c>
      <c r="T327" t="e">
        <f>IF(K327=2,"",_xlfn.IFNA(INDEX(drug_codes,MATCH(loaded!AS327,drug,0)),""))</f>
        <v>#N/A</v>
      </c>
      <c r="U327" t="e">
        <f>IF(K327=2,"",_xlfn.IFNA(INDEX(drug_codes,MATCH(loaded!AU327,drug,0)),""))</f>
        <v>#N/A</v>
      </c>
      <c r="V327" t="e">
        <f>IF(K327=2,"",_xlfn.IFNA(INDEX(drug_codes,MATCH(loaded!AW327,drug,0)),""))</f>
        <v>#N/A</v>
      </c>
      <c r="W327" t="e">
        <f>IF(K327=2,"",_xlfn.IFNA(INDEX(drug_codes,MATCH(loaded!AY327,drug,0)),""))</f>
        <v>#N/A</v>
      </c>
      <c r="X327" t="e">
        <f>IF(K327=2,"",_xlfn.IFNA(INDEX(drug_codes,MATCH(loaded!BA327,drug,0)),""))</f>
        <v>#N/A</v>
      </c>
      <c r="Y327" t="e">
        <f>INDEX(MTT_codes,MATCH(loaded!BC327,MTT,0))</f>
        <v>#N/A</v>
      </c>
      <c r="Z327" t="str">
        <f>_xlfn.IFNA(INDEX(MTT_codes,MATCH(loaded!BE327,MTT,0)),"")</f>
        <v/>
      </c>
      <c r="AA327" t="str">
        <f>_xlfn.IFNA(INDEX(MTT_codes,MATCH(loaded!BG327,MTT,0)),"")</f>
        <v/>
      </c>
      <c r="AB327" t="str">
        <f>_xlfn.IFNA(INDEX(MTT_codes,MATCH(loaded!BI327,MTT,0)),"")</f>
        <v/>
      </c>
      <c r="AC327" t="str">
        <f>_xlfn.IFNA(INDEX(MTT_codes,MATCH(loaded!BK327,MTT,0)),"")</f>
        <v/>
      </c>
      <c r="AD327" t="str">
        <f>_xlfn.IFNA(INDEX(MTT_codes,MATCH(loaded!BM327,MTT,0)),"")</f>
        <v/>
      </c>
      <c r="AE327" t="e">
        <f>INDEX(liv_ar_codes,MATCH(loaded!BO327,liv_ar,0))</f>
        <v>#N/A</v>
      </c>
      <c r="AF327" t="str">
        <f>_xlfn.IFNA(INDEX(MTT_codes,MATCH(loaded!BQ327,MTT,0)),"")</f>
        <v/>
      </c>
      <c r="AG327">
        <f>_xlfn.IFNA(INDEX(mental_codes,MATCH(loaded!BS327,mental,0)),9)</f>
        <v>9</v>
      </c>
    </row>
    <row r="328" spans="1:33" x14ac:dyDescent="0.25">
      <c r="A328">
        <f>loaded!C328</f>
        <v>0</v>
      </c>
      <c r="B328">
        <f>loaded!I328</f>
        <v>0</v>
      </c>
      <c r="C328">
        <f>IF(loaded!K328="Male",1,IF(loaded!K328="Female",2,9))</f>
        <v>9</v>
      </c>
      <c r="D328" s="8">
        <f>loaded!M328</f>
        <v>0</v>
      </c>
      <c r="E328" t="str">
        <f>LEFT(loaded!O328,3)</f>
        <v/>
      </c>
      <c r="F328" t="e">
        <f>INDEX(cntry_codes,MATCH(loaded!Q328,countries,0))</f>
        <v>#N/A</v>
      </c>
      <c r="G328" t="e">
        <f>INDEX(atsi_codes,MATCH(loaded!S328,atsi,0))</f>
        <v>#N/A</v>
      </c>
      <c r="H328" t="e">
        <f>INDEX(lang_codes,MATCH(loaded!U328,lang,0))</f>
        <v>#N/A</v>
      </c>
      <c r="I328" s="8">
        <f>loaded!W328</f>
        <v>0</v>
      </c>
      <c r="J328" t="e">
        <f>INDEX(us_acc_codes,MATCH(loaded!Y328,us_acc,0))</f>
        <v>#N/A</v>
      </c>
      <c r="K328" t="e">
        <f>INDEX(client_codes,MATCH(loaded!AA328,client,0))</f>
        <v>#N/A</v>
      </c>
      <c r="L328" t="e">
        <f>INDEX(src_ref_codes,MATCH(loaded!AC328,src_ref,0))</f>
        <v>#N/A</v>
      </c>
      <c r="M328" s="8">
        <f>loaded!AE328</f>
        <v>0</v>
      </c>
      <c r="N328" s="8">
        <f>loaded!AG328</f>
        <v>0</v>
      </c>
      <c r="O328" t="e">
        <f>INDEX(reces_codes,MATCH(loaded!AI328,reason,0))</f>
        <v>#N/A</v>
      </c>
      <c r="P328" t="e">
        <f>INDEX(TDS_codes,MATCH(loaded!AK328,TDS,0))</f>
        <v>#N/A</v>
      </c>
      <c r="Q328" t="e">
        <f>IF(K328=2,"",INDEX(method_codes,MATCH(loaded!AM328,method,0)))</f>
        <v>#N/A</v>
      </c>
      <c r="R328" t="e">
        <f>IF(K328=2,"",INDEX(inj_codes,MATCH(loaded!AO328,inj,0)))</f>
        <v>#N/A</v>
      </c>
      <c r="S328" t="e">
        <f>IF(K328=2,"",INDEX(drug_codes,MATCH(loaded!AQ328,drug,0)))</f>
        <v>#N/A</v>
      </c>
      <c r="T328" t="e">
        <f>IF(K328=2,"",_xlfn.IFNA(INDEX(drug_codes,MATCH(loaded!AS328,drug,0)),""))</f>
        <v>#N/A</v>
      </c>
      <c r="U328" t="e">
        <f>IF(K328=2,"",_xlfn.IFNA(INDEX(drug_codes,MATCH(loaded!AU328,drug,0)),""))</f>
        <v>#N/A</v>
      </c>
      <c r="V328" t="e">
        <f>IF(K328=2,"",_xlfn.IFNA(INDEX(drug_codes,MATCH(loaded!AW328,drug,0)),""))</f>
        <v>#N/A</v>
      </c>
      <c r="W328" t="e">
        <f>IF(K328=2,"",_xlfn.IFNA(INDEX(drug_codes,MATCH(loaded!AY328,drug,0)),""))</f>
        <v>#N/A</v>
      </c>
      <c r="X328" t="e">
        <f>IF(K328=2,"",_xlfn.IFNA(INDEX(drug_codes,MATCH(loaded!BA328,drug,0)),""))</f>
        <v>#N/A</v>
      </c>
      <c r="Y328" t="e">
        <f>INDEX(MTT_codes,MATCH(loaded!BC328,MTT,0))</f>
        <v>#N/A</v>
      </c>
      <c r="Z328" t="str">
        <f>_xlfn.IFNA(INDEX(MTT_codes,MATCH(loaded!BE328,MTT,0)),"")</f>
        <v/>
      </c>
      <c r="AA328" t="str">
        <f>_xlfn.IFNA(INDEX(MTT_codes,MATCH(loaded!BG328,MTT,0)),"")</f>
        <v/>
      </c>
      <c r="AB328" t="str">
        <f>_xlfn.IFNA(INDEX(MTT_codes,MATCH(loaded!BI328,MTT,0)),"")</f>
        <v/>
      </c>
      <c r="AC328" t="str">
        <f>_xlfn.IFNA(INDEX(MTT_codes,MATCH(loaded!BK328,MTT,0)),"")</f>
        <v/>
      </c>
      <c r="AD328" t="str">
        <f>_xlfn.IFNA(INDEX(MTT_codes,MATCH(loaded!BM328,MTT,0)),"")</f>
        <v/>
      </c>
      <c r="AE328" t="e">
        <f>INDEX(liv_ar_codes,MATCH(loaded!BO328,liv_ar,0))</f>
        <v>#N/A</v>
      </c>
      <c r="AF328" t="str">
        <f>_xlfn.IFNA(INDEX(MTT_codes,MATCH(loaded!BQ328,MTT,0)),"")</f>
        <v/>
      </c>
      <c r="AG328">
        <f>_xlfn.IFNA(INDEX(mental_codes,MATCH(loaded!BS328,mental,0)),9)</f>
        <v>9</v>
      </c>
    </row>
    <row r="329" spans="1:33" x14ac:dyDescent="0.25">
      <c r="A329">
        <f>loaded!C329</f>
        <v>0</v>
      </c>
      <c r="B329">
        <f>loaded!I329</f>
        <v>0</v>
      </c>
      <c r="C329">
        <f>IF(loaded!K329="Male",1,IF(loaded!K329="Female",2,9))</f>
        <v>9</v>
      </c>
      <c r="D329" s="8">
        <f>loaded!M329</f>
        <v>0</v>
      </c>
      <c r="E329" t="str">
        <f>LEFT(loaded!O329,3)</f>
        <v/>
      </c>
      <c r="F329" t="e">
        <f>INDEX(cntry_codes,MATCH(loaded!Q329,countries,0))</f>
        <v>#N/A</v>
      </c>
      <c r="G329" t="e">
        <f>INDEX(atsi_codes,MATCH(loaded!S329,atsi,0))</f>
        <v>#N/A</v>
      </c>
      <c r="H329" t="e">
        <f>INDEX(lang_codes,MATCH(loaded!U329,lang,0))</f>
        <v>#N/A</v>
      </c>
      <c r="I329" s="8">
        <f>loaded!W329</f>
        <v>0</v>
      </c>
      <c r="J329" t="e">
        <f>INDEX(us_acc_codes,MATCH(loaded!Y329,us_acc,0))</f>
        <v>#N/A</v>
      </c>
      <c r="K329" t="e">
        <f>INDEX(client_codes,MATCH(loaded!AA329,client,0))</f>
        <v>#N/A</v>
      </c>
      <c r="L329" t="e">
        <f>INDEX(src_ref_codes,MATCH(loaded!AC329,src_ref,0))</f>
        <v>#N/A</v>
      </c>
      <c r="M329" s="8">
        <f>loaded!AE329</f>
        <v>0</v>
      </c>
      <c r="N329" s="8">
        <f>loaded!AG329</f>
        <v>0</v>
      </c>
      <c r="O329" t="e">
        <f>INDEX(reces_codes,MATCH(loaded!AI329,reason,0))</f>
        <v>#N/A</v>
      </c>
      <c r="P329" t="e">
        <f>INDEX(TDS_codes,MATCH(loaded!AK329,TDS,0))</f>
        <v>#N/A</v>
      </c>
      <c r="Q329" t="e">
        <f>IF(K329=2,"",INDEX(method_codes,MATCH(loaded!AM329,method,0)))</f>
        <v>#N/A</v>
      </c>
      <c r="R329" t="e">
        <f>IF(K329=2,"",INDEX(inj_codes,MATCH(loaded!AO329,inj,0)))</f>
        <v>#N/A</v>
      </c>
      <c r="S329" t="e">
        <f>IF(K329=2,"",INDEX(drug_codes,MATCH(loaded!AQ329,drug,0)))</f>
        <v>#N/A</v>
      </c>
      <c r="T329" t="e">
        <f>IF(K329=2,"",_xlfn.IFNA(INDEX(drug_codes,MATCH(loaded!AS329,drug,0)),""))</f>
        <v>#N/A</v>
      </c>
      <c r="U329" t="e">
        <f>IF(K329=2,"",_xlfn.IFNA(INDEX(drug_codes,MATCH(loaded!AU329,drug,0)),""))</f>
        <v>#N/A</v>
      </c>
      <c r="V329" t="e">
        <f>IF(K329=2,"",_xlfn.IFNA(INDEX(drug_codes,MATCH(loaded!AW329,drug,0)),""))</f>
        <v>#N/A</v>
      </c>
      <c r="W329" t="e">
        <f>IF(K329=2,"",_xlfn.IFNA(INDEX(drug_codes,MATCH(loaded!AY329,drug,0)),""))</f>
        <v>#N/A</v>
      </c>
      <c r="X329" t="e">
        <f>IF(K329=2,"",_xlfn.IFNA(INDEX(drug_codes,MATCH(loaded!BA329,drug,0)),""))</f>
        <v>#N/A</v>
      </c>
      <c r="Y329" t="e">
        <f>INDEX(MTT_codes,MATCH(loaded!BC329,MTT,0))</f>
        <v>#N/A</v>
      </c>
      <c r="Z329" t="str">
        <f>_xlfn.IFNA(INDEX(MTT_codes,MATCH(loaded!BE329,MTT,0)),"")</f>
        <v/>
      </c>
      <c r="AA329" t="str">
        <f>_xlfn.IFNA(INDEX(MTT_codes,MATCH(loaded!BG329,MTT,0)),"")</f>
        <v/>
      </c>
      <c r="AB329" t="str">
        <f>_xlfn.IFNA(INDEX(MTT_codes,MATCH(loaded!BI329,MTT,0)),"")</f>
        <v/>
      </c>
      <c r="AC329" t="str">
        <f>_xlfn.IFNA(INDEX(MTT_codes,MATCH(loaded!BK329,MTT,0)),"")</f>
        <v/>
      </c>
      <c r="AD329" t="str">
        <f>_xlfn.IFNA(INDEX(MTT_codes,MATCH(loaded!BM329,MTT,0)),"")</f>
        <v/>
      </c>
      <c r="AE329" t="e">
        <f>INDEX(liv_ar_codes,MATCH(loaded!BO329,liv_ar,0))</f>
        <v>#N/A</v>
      </c>
      <c r="AF329" t="str">
        <f>_xlfn.IFNA(INDEX(MTT_codes,MATCH(loaded!BQ329,MTT,0)),"")</f>
        <v/>
      </c>
      <c r="AG329">
        <f>_xlfn.IFNA(INDEX(mental_codes,MATCH(loaded!BS329,mental,0)),9)</f>
        <v>9</v>
      </c>
    </row>
    <row r="330" spans="1:33" x14ac:dyDescent="0.25">
      <c r="A330">
        <f>loaded!C330</f>
        <v>0</v>
      </c>
      <c r="B330">
        <f>loaded!I330</f>
        <v>0</v>
      </c>
      <c r="C330">
        <f>IF(loaded!K330="Male",1,IF(loaded!K330="Female",2,9))</f>
        <v>9</v>
      </c>
      <c r="D330" s="8">
        <f>loaded!M330</f>
        <v>0</v>
      </c>
      <c r="E330" t="str">
        <f>LEFT(loaded!O330,3)</f>
        <v/>
      </c>
      <c r="F330" t="e">
        <f>INDEX(cntry_codes,MATCH(loaded!Q330,countries,0))</f>
        <v>#N/A</v>
      </c>
      <c r="G330" t="e">
        <f>INDEX(atsi_codes,MATCH(loaded!S330,atsi,0))</f>
        <v>#N/A</v>
      </c>
      <c r="H330" t="e">
        <f>INDEX(lang_codes,MATCH(loaded!U330,lang,0))</f>
        <v>#N/A</v>
      </c>
      <c r="I330" s="8">
        <f>loaded!W330</f>
        <v>0</v>
      </c>
      <c r="J330" t="e">
        <f>INDEX(us_acc_codes,MATCH(loaded!Y330,us_acc,0))</f>
        <v>#N/A</v>
      </c>
      <c r="K330" t="e">
        <f>INDEX(client_codes,MATCH(loaded!AA330,client,0))</f>
        <v>#N/A</v>
      </c>
      <c r="L330" t="e">
        <f>INDEX(src_ref_codes,MATCH(loaded!AC330,src_ref,0))</f>
        <v>#N/A</v>
      </c>
      <c r="M330" s="8">
        <f>loaded!AE330</f>
        <v>0</v>
      </c>
      <c r="N330" s="8">
        <f>loaded!AG330</f>
        <v>0</v>
      </c>
      <c r="O330" t="e">
        <f>INDEX(reces_codes,MATCH(loaded!AI330,reason,0))</f>
        <v>#N/A</v>
      </c>
      <c r="P330" t="e">
        <f>INDEX(TDS_codes,MATCH(loaded!AK330,TDS,0))</f>
        <v>#N/A</v>
      </c>
      <c r="Q330" t="e">
        <f>IF(K330=2,"",INDEX(method_codes,MATCH(loaded!AM330,method,0)))</f>
        <v>#N/A</v>
      </c>
      <c r="R330" t="e">
        <f>IF(K330=2,"",INDEX(inj_codes,MATCH(loaded!AO330,inj,0)))</f>
        <v>#N/A</v>
      </c>
      <c r="S330" t="e">
        <f>IF(K330=2,"",INDEX(drug_codes,MATCH(loaded!AQ330,drug,0)))</f>
        <v>#N/A</v>
      </c>
      <c r="T330" t="e">
        <f>IF(K330=2,"",_xlfn.IFNA(INDEX(drug_codes,MATCH(loaded!AS330,drug,0)),""))</f>
        <v>#N/A</v>
      </c>
      <c r="U330" t="e">
        <f>IF(K330=2,"",_xlfn.IFNA(INDEX(drug_codes,MATCH(loaded!AU330,drug,0)),""))</f>
        <v>#N/A</v>
      </c>
      <c r="V330" t="e">
        <f>IF(K330=2,"",_xlfn.IFNA(INDEX(drug_codes,MATCH(loaded!AW330,drug,0)),""))</f>
        <v>#N/A</v>
      </c>
      <c r="W330" t="e">
        <f>IF(K330=2,"",_xlfn.IFNA(INDEX(drug_codes,MATCH(loaded!AY330,drug,0)),""))</f>
        <v>#N/A</v>
      </c>
      <c r="X330" t="e">
        <f>IF(K330=2,"",_xlfn.IFNA(INDEX(drug_codes,MATCH(loaded!BA330,drug,0)),""))</f>
        <v>#N/A</v>
      </c>
      <c r="Y330" t="e">
        <f>INDEX(MTT_codes,MATCH(loaded!BC330,MTT,0))</f>
        <v>#N/A</v>
      </c>
      <c r="Z330" t="str">
        <f>_xlfn.IFNA(INDEX(MTT_codes,MATCH(loaded!BE330,MTT,0)),"")</f>
        <v/>
      </c>
      <c r="AA330" t="str">
        <f>_xlfn.IFNA(INDEX(MTT_codes,MATCH(loaded!BG330,MTT,0)),"")</f>
        <v/>
      </c>
      <c r="AB330" t="str">
        <f>_xlfn.IFNA(INDEX(MTT_codes,MATCH(loaded!BI330,MTT,0)),"")</f>
        <v/>
      </c>
      <c r="AC330" t="str">
        <f>_xlfn.IFNA(INDEX(MTT_codes,MATCH(loaded!BK330,MTT,0)),"")</f>
        <v/>
      </c>
      <c r="AD330" t="str">
        <f>_xlfn.IFNA(INDEX(MTT_codes,MATCH(loaded!BM330,MTT,0)),"")</f>
        <v/>
      </c>
      <c r="AE330" t="e">
        <f>INDEX(liv_ar_codes,MATCH(loaded!BO330,liv_ar,0))</f>
        <v>#N/A</v>
      </c>
      <c r="AF330" t="str">
        <f>_xlfn.IFNA(INDEX(MTT_codes,MATCH(loaded!BQ330,MTT,0)),"")</f>
        <v/>
      </c>
      <c r="AG330">
        <f>_xlfn.IFNA(INDEX(mental_codes,MATCH(loaded!BS330,mental,0)),9)</f>
        <v>9</v>
      </c>
    </row>
    <row r="331" spans="1:33" x14ac:dyDescent="0.25">
      <c r="A331">
        <f>loaded!C331</f>
        <v>0</v>
      </c>
      <c r="B331">
        <f>loaded!I331</f>
        <v>0</v>
      </c>
      <c r="C331">
        <f>IF(loaded!K331="Male",1,IF(loaded!K331="Female",2,9))</f>
        <v>9</v>
      </c>
      <c r="D331" s="8">
        <f>loaded!M331</f>
        <v>0</v>
      </c>
      <c r="E331" t="str">
        <f>LEFT(loaded!O331,3)</f>
        <v/>
      </c>
      <c r="F331" t="e">
        <f>INDEX(cntry_codes,MATCH(loaded!Q331,countries,0))</f>
        <v>#N/A</v>
      </c>
      <c r="G331" t="e">
        <f>INDEX(atsi_codes,MATCH(loaded!S331,atsi,0))</f>
        <v>#N/A</v>
      </c>
      <c r="H331" t="e">
        <f>INDEX(lang_codes,MATCH(loaded!U331,lang,0))</f>
        <v>#N/A</v>
      </c>
      <c r="I331" s="8">
        <f>loaded!W331</f>
        <v>0</v>
      </c>
      <c r="J331" t="e">
        <f>INDEX(us_acc_codes,MATCH(loaded!Y331,us_acc,0))</f>
        <v>#N/A</v>
      </c>
      <c r="K331" t="e">
        <f>INDEX(client_codes,MATCH(loaded!AA331,client,0))</f>
        <v>#N/A</v>
      </c>
      <c r="L331" t="e">
        <f>INDEX(src_ref_codes,MATCH(loaded!AC331,src_ref,0))</f>
        <v>#N/A</v>
      </c>
      <c r="M331" s="8">
        <f>loaded!AE331</f>
        <v>0</v>
      </c>
      <c r="N331" s="8">
        <f>loaded!AG331</f>
        <v>0</v>
      </c>
      <c r="O331" t="e">
        <f>INDEX(reces_codes,MATCH(loaded!AI331,reason,0))</f>
        <v>#N/A</v>
      </c>
      <c r="P331" t="e">
        <f>INDEX(TDS_codes,MATCH(loaded!AK331,TDS,0))</f>
        <v>#N/A</v>
      </c>
      <c r="Q331" t="e">
        <f>IF(K331=2,"",INDEX(method_codes,MATCH(loaded!AM331,method,0)))</f>
        <v>#N/A</v>
      </c>
      <c r="R331" t="e">
        <f>IF(K331=2,"",INDEX(inj_codes,MATCH(loaded!AO331,inj,0)))</f>
        <v>#N/A</v>
      </c>
      <c r="S331" t="e">
        <f>IF(K331=2,"",INDEX(drug_codes,MATCH(loaded!AQ331,drug,0)))</f>
        <v>#N/A</v>
      </c>
      <c r="T331" t="e">
        <f>IF(K331=2,"",_xlfn.IFNA(INDEX(drug_codes,MATCH(loaded!AS331,drug,0)),""))</f>
        <v>#N/A</v>
      </c>
      <c r="U331" t="e">
        <f>IF(K331=2,"",_xlfn.IFNA(INDEX(drug_codes,MATCH(loaded!AU331,drug,0)),""))</f>
        <v>#N/A</v>
      </c>
      <c r="V331" t="e">
        <f>IF(K331=2,"",_xlfn.IFNA(INDEX(drug_codes,MATCH(loaded!AW331,drug,0)),""))</f>
        <v>#N/A</v>
      </c>
      <c r="W331" t="e">
        <f>IF(K331=2,"",_xlfn.IFNA(INDEX(drug_codes,MATCH(loaded!AY331,drug,0)),""))</f>
        <v>#N/A</v>
      </c>
      <c r="X331" t="e">
        <f>IF(K331=2,"",_xlfn.IFNA(INDEX(drug_codes,MATCH(loaded!BA331,drug,0)),""))</f>
        <v>#N/A</v>
      </c>
      <c r="Y331" t="e">
        <f>INDEX(MTT_codes,MATCH(loaded!BC331,MTT,0))</f>
        <v>#N/A</v>
      </c>
      <c r="Z331" t="str">
        <f>_xlfn.IFNA(INDEX(MTT_codes,MATCH(loaded!BE331,MTT,0)),"")</f>
        <v/>
      </c>
      <c r="AA331" t="str">
        <f>_xlfn.IFNA(INDEX(MTT_codes,MATCH(loaded!BG331,MTT,0)),"")</f>
        <v/>
      </c>
      <c r="AB331" t="str">
        <f>_xlfn.IFNA(INDEX(MTT_codes,MATCH(loaded!BI331,MTT,0)),"")</f>
        <v/>
      </c>
      <c r="AC331" t="str">
        <f>_xlfn.IFNA(INDEX(MTT_codes,MATCH(loaded!BK331,MTT,0)),"")</f>
        <v/>
      </c>
      <c r="AD331" t="str">
        <f>_xlfn.IFNA(INDEX(MTT_codes,MATCH(loaded!BM331,MTT,0)),"")</f>
        <v/>
      </c>
      <c r="AE331" t="e">
        <f>INDEX(liv_ar_codes,MATCH(loaded!BO331,liv_ar,0))</f>
        <v>#N/A</v>
      </c>
      <c r="AF331" t="str">
        <f>_xlfn.IFNA(INDEX(MTT_codes,MATCH(loaded!BQ331,MTT,0)),"")</f>
        <v/>
      </c>
      <c r="AG331">
        <f>_xlfn.IFNA(INDEX(mental_codes,MATCH(loaded!BS331,mental,0)),9)</f>
        <v>9</v>
      </c>
    </row>
    <row r="332" spans="1:33" x14ac:dyDescent="0.25">
      <c r="A332">
        <f>loaded!C332</f>
        <v>0</v>
      </c>
      <c r="B332">
        <f>loaded!I332</f>
        <v>0</v>
      </c>
      <c r="C332">
        <f>IF(loaded!K332="Male",1,IF(loaded!K332="Female",2,9))</f>
        <v>9</v>
      </c>
      <c r="D332" s="8">
        <f>loaded!M332</f>
        <v>0</v>
      </c>
      <c r="E332" t="str">
        <f>LEFT(loaded!O332,3)</f>
        <v/>
      </c>
      <c r="F332" t="e">
        <f>INDEX(cntry_codes,MATCH(loaded!Q332,countries,0))</f>
        <v>#N/A</v>
      </c>
      <c r="G332" t="e">
        <f>INDEX(atsi_codes,MATCH(loaded!S332,atsi,0))</f>
        <v>#N/A</v>
      </c>
      <c r="H332" t="e">
        <f>INDEX(lang_codes,MATCH(loaded!U332,lang,0))</f>
        <v>#N/A</v>
      </c>
      <c r="I332" s="8">
        <f>loaded!W332</f>
        <v>0</v>
      </c>
      <c r="J332" t="e">
        <f>INDEX(us_acc_codes,MATCH(loaded!Y332,us_acc,0))</f>
        <v>#N/A</v>
      </c>
      <c r="K332" t="e">
        <f>INDEX(client_codes,MATCH(loaded!AA332,client,0))</f>
        <v>#N/A</v>
      </c>
      <c r="L332" t="e">
        <f>INDEX(src_ref_codes,MATCH(loaded!AC332,src_ref,0))</f>
        <v>#N/A</v>
      </c>
      <c r="M332" s="8">
        <f>loaded!AE332</f>
        <v>0</v>
      </c>
      <c r="N332" s="8">
        <f>loaded!AG332</f>
        <v>0</v>
      </c>
      <c r="O332" t="e">
        <f>INDEX(reces_codes,MATCH(loaded!AI332,reason,0))</f>
        <v>#N/A</v>
      </c>
      <c r="P332" t="e">
        <f>INDEX(TDS_codes,MATCH(loaded!AK332,TDS,0))</f>
        <v>#N/A</v>
      </c>
      <c r="Q332" t="e">
        <f>IF(K332=2,"",INDEX(method_codes,MATCH(loaded!AM332,method,0)))</f>
        <v>#N/A</v>
      </c>
      <c r="R332" t="e">
        <f>IF(K332=2,"",INDEX(inj_codes,MATCH(loaded!AO332,inj,0)))</f>
        <v>#N/A</v>
      </c>
      <c r="S332" t="e">
        <f>IF(K332=2,"",INDEX(drug_codes,MATCH(loaded!AQ332,drug,0)))</f>
        <v>#N/A</v>
      </c>
      <c r="T332" t="e">
        <f>IF(K332=2,"",_xlfn.IFNA(INDEX(drug_codes,MATCH(loaded!AS332,drug,0)),""))</f>
        <v>#N/A</v>
      </c>
      <c r="U332" t="e">
        <f>IF(K332=2,"",_xlfn.IFNA(INDEX(drug_codes,MATCH(loaded!AU332,drug,0)),""))</f>
        <v>#N/A</v>
      </c>
      <c r="V332" t="e">
        <f>IF(K332=2,"",_xlfn.IFNA(INDEX(drug_codes,MATCH(loaded!AW332,drug,0)),""))</f>
        <v>#N/A</v>
      </c>
      <c r="W332" t="e">
        <f>IF(K332=2,"",_xlfn.IFNA(INDEX(drug_codes,MATCH(loaded!AY332,drug,0)),""))</f>
        <v>#N/A</v>
      </c>
      <c r="X332" t="e">
        <f>IF(K332=2,"",_xlfn.IFNA(INDEX(drug_codes,MATCH(loaded!BA332,drug,0)),""))</f>
        <v>#N/A</v>
      </c>
      <c r="Y332" t="e">
        <f>INDEX(MTT_codes,MATCH(loaded!BC332,MTT,0))</f>
        <v>#N/A</v>
      </c>
      <c r="Z332" t="str">
        <f>_xlfn.IFNA(INDEX(MTT_codes,MATCH(loaded!BE332,MTT,0)),"")</f>
        <v/>
      </c>
      <c r="AA332" t="str">
        <f>_xlfn.IFNA(INDEX(MTT_codes,MATCH(loaded!BG332,MTT,0)),"")</f>
        <v/>
      </c>
      <c r="AB332" t="str">
        <f>_xlfn.IFNA(INDEX(MTT_codes,MATCH(loaded!BI332,MTT,0)),"")</f>
        <v/>
      </c>
      <c r="AC332" t="str">
        <f>_xlfn.IFNA(INDEX(MTT_codes,MATCH(loaded!BK332,MTT,0)),"")</f>
        <v/>
      </c>
      <c r="AD332" t="str">
        <f>_xlfn.IFNA(INDEX(MTT_codes,MATCH(loaded!BM332,MTT,0)),"")</f>
        <v/>
      </c>
      <c r="AE332" t="e">
        <f>INDEX(liv_ar_codes,MATCH(loaded!BO332,liv_ar,0))</f>
        <v>#N/A</v>
      </c>
      <c r="AF332" t="str">
        <f>_xlfn.IFNA(INDEX(MTT_codes,MATCH(loaded!BQ332,MTT,0)),"")</f>
        <v/>
      </c>
      <c r="AG332">
        <f>_xlfn.IFNA(INDEX(mental_codes,MATCH(loaded!BS332,mental,0)),9)</f>
        <v>9</v>
      </c>
    </row>
    <row r="333" spans="1:33" x14ac:dyDescent="0.25">
      <c r="A333">
        <f>loaded!C333</f>
        <v>0</v>
      </c>
      <c r="B333">
        <f>loaded!I333</f>
        <v>0</v>
      </c>
      <c r="C333">
        <f>IF(loaded!K333="Male",1,IF(loaded!K333="Female",2,9))</f>
        <v>9</v>
      </c>
      <c r="D333" s="8">
        <f>loaded!M333</f>
        <v>0</v>
      </c>
      <c r="E333" t="str">
        <f>LEFT(loaded!O333,3)</f>
        <v/>
      </c>
      <c r="F333" t="e">
        <f>INDEX(cntry_codes,MATCH(loaded!Q333,countries,0))</f>
        <v>#N/A</v>
      </c>
      <c r="G333" t="e">
        <f>INDEX(atsi_codes,MATCH(loaded!S333,atsi,0))</f>
        <v>#N/A</v>
      </c>
      <c r="H333" t="e">
        <f>INDEX(lang_codes,MATCH(loaded!U333,lang,0))</f>
        <v>#N/A</v>
      </c>
      <c r="I333" s="8">
        <f>loaded!W333</f>
        <v>0</v>
      </c>
      <c r="J333" t="e">
        <f>INDEX(us_acc_codes,MATCH(loaded!Y333,us_acc,0))</f>
        <v>#N/A</v>
      </c>
      <c r="K333" t="e">
        <f>INDEX(client_codes,MATCH(loaded!AA333,client,0))</f>
        <v>#N/A</v>
      </c>
      <c r="L333" t="e">
        <f>INDEX(src_ref_codes,MATCH(loaded!AC333,src_ref,0))</f>
        <v>#N/A</v>
      </c>
      <c r="M333" s="8">
        <f>loaded!AE333</f>
        <v>0</v>
      </c>
      <c r="N333" s="8">
        <f>loaded!AG333</f>
        <v>0</v>
      </c>
      <c r="O333" t="e">
        <f>INDEX(reces_codes,MATCH(loaded!AI333,reason,0))</f>
        <v>#N/A</v>
      </c>
      <c r="P333" t="e">
        <f>INDEX(TDS_codes,MATCH(loaded!AK333,TDS,0))</f>
        <v>#N/A</v>
      </c>
      <c r="Q333" t="e">
        <f>IF(K333=2,"",INDEX(method_codes,MATCH(loaded!AM333,method,0)))</f>
        <v>#N/A</v>
      </c>
      <c r="R333" t="e">
        <f>IF(K333=2,"",INDEX(inj_codes,MATCH(loaded!AO333,inj,0)))</f>
        <v>#N/A</v>
      </c>
      <c r="S333" t="e">
        <f>IF(K333=2,"",INDEX(drug_codes,MATCH(loaded!AQ333,drug,0)))</f>
        <v>#N/A</v>
      </c>
      <c r="T333" t="e">
        <f>IF(K333=2,"",_xlfn.IFNA(INDEX(drug_codes,MATCH(loaded!AS333,drug,0)),""))</f>
        <v>#N/A</v>
      </c>
      <c r="U333" t="e">
        <f>IF(K333=2,"",_xlfn.IFNA(INDEX(drug_codes,MATCH(loaded!AU333,drug,0)),""))</f>
        <v>#N/A</v>
      </c>
      <c r="V333" t="e">
        <f>IF(K333=2,"",_xlfn.IFNA(INDEX(drug_codes,MATCH(loaded!AW333,drug,0)),""))</f>
        <v>#N/A</v>
      </c>
      <c r="W333" t="e">
        <f>IF(K333=2,"",_xlfn.IFNA(INDEX(drug_codes,MATCH(loaded!AY333,drug,0)),""))</f>
        <v>#N/A</v>
      </c>
      <c r="X333" t="e">
        <f>IF(K333=2,"",_xlfn.IFNA(INDEX(drug_codes,MATCH(loaded!BA333,drug,0)),""))</f>
        <v>#N/A</v>
      </c>
      <c r="Y333" t="e">
        <f>INDEX(MTT_codes,MATCH(loaded!BC333,MTT,0))</f>
        <v>#N/A</v>
      </c>
      <c r="Z333" t="str">
        <f>_xlfn.IFNA(INDEX(MTT_codes,MATCH(loaded!BE333,MTT,0)),"")</f>
        <v/>
      </c>
      <c r="AA333" t="str">
        <f>_xlfn.IFNA(INDEX(MTT_codes,MATCH(loaded!BG333,MTT,0)),"")</f>
        <v/>
      </c>
      <c r="AB333" t="str">
        <f>_xlfn.IFNA(INDEX(MTT_codes,MATCH(loaded!BI333,MTT,0)),"")</f>
        <v/>
      </c>
      <c r="AC333" t="str">
        <f>_xlfn.IFNA(INDEX(MTT_codes,MATCH(loaded!BK333,MTT,0)),"")</f>
        <v/>
      </c>
      <c r="AD333" t="str">
        <f>_xlfn.IFNA(INDEX(MTT_codes,MATCH(loaded!BM333,MTT,0)),"")</f>
        <v/>
      </c>
      <c r="AE333" t="e">
        <f>INDEX(liv_ar_codes,MATCH(loaded!BO333,liv_ar,0))</f>
        <v>#N/A</v>
      </c>
      <c r="AF333" t="str">
        <f>_xlfn.IFNA(INDEX(MTT_codes,MATCH(loaded!BQ333,MTT,0)),"")</f>
        <v/>
      </c>
      <c r="AG333">
        <f>_xlfn.IFNA(INDEX(mental_codes,MATCH(loaded!BS333,mental,0)),9)</f>
        <v>9</v>
      </c>
    </row>
    <row r="334" spans="1:33" x14ac:dyDescent="0.25">
      <c r="A334">
        <f>loaded!C334</f>
        <v>0</v>
      </c>
      <c r="B334">
        <f>loaded!I334</f>
        <v>0</v>
      </c>
      <c r="C334">
        <f>IF(loaded!K334="Male",1,IF(loaded!K334="Female",2,9))</f>
        <v>9</v>
      </c>
      <c r="D334" s="8">
        <f>loaded!M334</f>
        <v>0</v>
      </c>
      <c r="E334" t="str">
        <f>LEFT(loaded!O334,3)</f>
        <v/>
      </c>
      <c r="F334" t="e">
        <f>INDEX(cntry_codes,MATCH(loaded!Q334,countries,0))</f>
        <v>#N/A</v>
      </c>
      <c r="G334" t="e">
        <f>INDEX(atsi_codes,MATCH(loaded!S334,atsi,0))</f>
        <v>#N/A</v>
      </c>
      <c r="H334" t="e">
        <f>INDEX(lang_codes,MATCH(loaded!U334,lang,0))</f>
        <v>#N/A</v>
      </c>
      <c r="I334" s="8">
        <f>loaded!W334</f>
        <v>0</v>
      </c>
      <c r="J334" t="e">
        <f>INDEX(us_acc_codes,MATCH(loaded!Y334,us_acc,0))</f>
        <v>#N/A</v>
      </c>
      <c r="K334" t="e">
        <f>INDEX(client_codes,MATCH(loaded!AA334,client,0))</f>
        <v>#N/A</v>
      </c>
      <c r="L334" t="e">
        <f>INDEX(src_ref_codes,MATCH(loaded!AC334,src_ref,0))</f>
        <v>#N/A</v>
      </c>
      <c r="M334" s="8">
        <f>loaded!AE334</f>
        <v>0</v>
      </c>
      <c r="N334" s="8">
        <f>loaded!AG334</f>
        <v>0</v>
      </c>
      <c r="O334" t="e">
        <f>INDEX(reces_codes,MATCH(loaded!AI334,reason,0))</f>
        <v>#N/A</v>
      </c>
      <c r="P334" t="e">
        <f>INDEX(TDS_codes,MATCH(loaded!AK334,TDS,0))</f>
        <v>#N/A</v>
      </c>
      <c r="Q334" t="e">
        <f>IF(K334=2,"",INDEX(method_codes,MATCH(loaded!AM334,method,0)))</f>
        <v>#N/A</v>
      </c>
      <c r="R334" t="e">
        <f>IF(K334=2,"",INDEX(inj_codes,MATCH(loaded!AO334,inj,0)))</f>
        <v>#N/A</v>
      </c>
      <c r="S334" t="e">
        <f>IF(K334=2,"",INDEX(drug_codes,MATCH(loaded!AQ334,drug,0)))</f>
        <v>#N/A</v>
      </c>
      <c r="T334" t="e">
        <f>IF(K334=2,"",_xlfn.IFNA(INDEX(drug_codes,MATCH(loaded!AS334,drug,0)),""))</f>
        <v>#N/A</v>
      </c>
      <c r="U334" t="e">
        <f>IF(K334=2,"",_xlfn.IFNA(INDEX(drug_codes,MATCH(loaded!AU334,drug,0)),""))</f>
        <v>#N/A</v>
      </c>
      <c r="V334" t="e">
        <f>IF(K334=2,"",_xlfn.IFNA(INDEX(drug_codes,MATCH(loaded!AW334,drug,0)),""))</f>
        <v>#N/A</v>
      </c>
      <c r="W334" t="e">
        <f>IF(K334=2,"",_xlfn.IFNA(INDEX(drug_codes,MATCH(loaded!AY334,drug,0)),""))</f>
        <v>#N/A</v>
      </c>
      <c r="X334" t="e">
        <f>IF(K334=2,"",_xlfn.IFNA(INDEX(drug_codes,MATCH(loaded!BA334,drug,0)),""))</f>
        <v>#N/A</v>
      </c>
      <c r="Y334" t="e">
        <f>INDEX(MTT_codes,MATCH(loaded!BC334,MTT,0))</f>
        <v>#N/A</v>
      </c>
      <c r="Z334" t="str">
        <f>_xlfn.IFNA(INDEX(MTT_codes,MATCH(loaded!BE334,MTT,0)),"")</f>
        <v/>
      </c>
      <c r="AA334" t="str">
        <f>_xlfn.IFNA(INDEX(MTT_codes,MATCH(loaded!BG334,MTT,0)),"")</f>
        <v/>
      </c>
      <c r="AB334" t="str">
        <f>_xlfn.IFNA(INDEX(MTT_codes,MATCH(loaded!BI334,MTT,0)),"")</f>
        <v/>
      </c>
      <c r="AC334" t="str">
        <f>_xlfn.IFNA(INDEX(MTT_codes,MATCH(loaded!BK334,MTT,0)),"")</f>
        <v/>
      </c>
      <c r="AD334" t="str">
        <f>_xlfn.IFNA(INDEX(MTT_codes,MATCH(loaded!BM334,MTT,0)),"")</f>
        <v/>
      </c>
      <c r="AE334" t="e">
        <f>INDEX(liv_ar_codes,MATCH(loaded!BO334,liv_ar,0))</f>
        <v>#N/A</v>
      </c>
      <c r="AF334" t="str">
        <f>_xlfn.IFNA(INDEX(MTT_codes,MATCH(loaded!BQ334,MTT,0)),"")</f>
        <v/>
      </c>
      <c r="AG334">
        <f>_xlfn.IFNA(INDEX(mental_codes,MATCH(loaded!BS334,mental,0)),9)</f>
        <v>9</v>
      </c>
    </row>
    <row r="335" spans="1:33" x14ac:dyDescent="0.25">
      <c r="A335">
        <f>loaded!C335</f>
        <v>0</v>
      </c>
      <c r="B335">
        <f>loaded!I335</f>
        <v>0</v>
      </c>
      <c r="C335">
        <f>IF(loaded!K335="Male",1,IF(loaded!K335="Female",2,9))</f>
        <v>9</v>
      </c>
      <c r="D335" s="8">
        <f>loaded!M335</f>
        <v>0</v>
      </c>
      <c r="E335" t="str">
        <f>LEFT(loaded!O335,3)</f>
        <v/>
      </c>
      <c r="F335" t="e">
        <f>INDEX(cntry_codes,MATCH(loaded!Q335,countries,0))</f>
        <v>#N/A</v>
      </c>
      <c r="G335" t="e">
        <f>INDEX(atsi_codes,MATCH(loaded!S335,atsi,0))</f>
        <v>#N/A</v>
      </c>
      <c r="H335" t="e">
        <f>INDEX(lang_codes,MATCH(loaded!U335,lang,0))</f>
        <v>#N/A</v>
      </c>
      <c r="I335" s="8">
        <f>loaded!W335</f>
        <v>0</v>
      </c>
      <c r="J335" t="e">
        <f>INDEX(us_acc_codes,MATCH(loaded!Y335,us_acc,0))</f>
        <v>#N/A</v>
      </c>
      <c r="K335" t="e">
        <f>INDEX(client_codes,MATCH(loaded!AA335,client,0))</f>
        <v>#N/A</v>
      </c>
      <c r="L335" t="e">
        <f>INDEX(src_ref_codes,MATCH(loaded!AC335,src_ref,0))</f>
        <v>#N/A</v>
      </c>
      <c r="M335" s="8">
        <f>loaded!AE335</f>
        <v>0</v>
      </c>
      <c r="N335" s="8">
        <f>loaded!AG335</f>
        <v>0</v>
      </c>
      <c r="O335" t="e">
        <f>INDEX(reces_codes,MATCH(loaded!AI335,reason,0))</f>
        <v>#N/A</v>
      </c>
      <c r="P335" t="e">
        <f>INDEX(TDS_codes,MATCH(loaded!AK335,TDS,0))</f>
        <v>#N/A</v>
      </c>
      <c r="Q335" t="e">
        <f>IF(K335=2,"",INDEX(method_codes,MATCH(loaded!AM335,method,0)))</f>
        <v>#N/A</v>
      </c>
      <c r="R335" t="e">
        <f>IF(K335=2,"",INDEX(inj_codes,MATCH(loaded!AO335,inj,0)))</f>
        <v>#N/A</v>
      </c>
      <c r="S335" t="e">
        <f>IF(K335=2,"",INDEX(drug_codes,MATCH(loaded!AQ335,drug,0)))</f>
        <v>#N/A</v>
      </c>
      <c r="T335" t="e">
        <f>IF(K335=2,"",_xlfn.IFNA(INDEX(drug_codes,MATCH(loaded!AS335,drug,0)),""))</f>
        <v>#N/A</v>
      </c>
      <c r="U335" t="e">
        <f>IF(K335=2,"",_xlfn.IFNA(INDEX(drug_codes,MATCH(loaded!AU335,drug,0)),""))</f>
        <v>#N/A</v>
      </c>
      <c r="V335" t="e">
        <f>IF(K335=2,"",_xlfn.IFNA(INDEX(drug_codes,MATCH(loaded!AW335,drug,0)),""))</f>
        <v>#N/A</v>
      </c>
      <c r="W335" t="e">
        <f>IF(K335=2,"",_xlfn.IFNA(INDEX(drug_codes,MATCH(loaded!AY335,drug,0)),""))</f>
        <v>#N/A</v>
      </c>
      <c r="X335" t="e">
        <f>IF(K335=2,"",_xlfn.IFNA(INDEX(drug_codes,MATCH(loaded!BA335,drug,0)),""))</f>
        <v>#N/A</v>
      </c>
      <c r="Y335" t="e">
        <f>INDEX(MTT_codes,MATCH(loaded!BC335,MTT,0))</f>
        <v>#N/A</v>
      </c>
      <c r="Z335" t="str">
        <f>_xlfn.IFNA(INDEX(MTT_codes,MATCH(loaded!BE335,MTT,0)),"")</f>
        <v/>
      </c>
      <c r="AA335" t="str">
        <f>_xlfn.IFNA(INDEX(MTT_codes,MATCH(loaded!BG335,MTT,0)),"")</f>
        <v/>
      </c>
      <c r="AB335" t="str">
        <f>_xlfn.IFNA(INDEX(MTT_codes,MATCH(loaded!BI335,MTT,0)),"")</f>
        <v/>
      </c>
      <c r="AC335" t="str">
        <f>_xlfn.IFNA(INDEX(MTT_codes,MATCH(loaded!BK335,MTT,0)),"")</f>
        <v/>
      </c>
      <c r="AD335" t="str">
        <f>_xlfn.IFNA(INDEX(MTT_codes,MATCH(loaded!BM335,MTT,0)),"")</f>
        <v/>
      </c>
      <c r="AE335" t="e">
        <f>INDEX(liv_ar_codes,MATCH(loaded!BO335,liv_ar,0))</f>
        <v>#N/A</v>
      </c>
      <c r="AF335" t="str">
        <f>_xlfn.IFNA(INDEX(MTT_codes,MATCH(loaded!BQ335,MTT,0)),"")</f>
        <v/>
      </c>
      <c r="AG335">
        <f>_xlfn.IFNA(INDEX(mental_codes,MATCH(loaded!BS335,mental,0)),9)</f>
        <v>9</v>
      </c>
    </row>
    <row r="336" spans="1:33" x14ac:dyDescent="0.25">
      <c r="A336">
        <f>loaded!C336</f>
        <v>0</v>
      </c>
      <c r="B336">
        <f>loaded!I336</f>
        <v>0</v>
      </c>
      <c r="C336">
        <f>IF(loaded!K336="Male",1,IF(loaded!K336="Female",2,9))</f>
        <v>9</v>
      </c>
      <c r="D336" s="8">
        <f>loaded!M336</f>
        <v>0</v>
      </c>
      <c r="E336" t="str">
        <f>LEFT(loaded!O336,3)</f>
        <v/>
      </c>
      <c r="F336" t="e">
        <f>INDEX(cntry_codes,MATCH(loaded!Q336,countries,0))</f>
        <v>#N/A</v>
      </c>
      <c r="G336" t="e">
        <f>INDEX(atsi_codes,MATCH(loaded!S336,atsi,0))</f>
        <v>#N/A</v>
      </c>
      <c r="H336" t="e">
        <f>INDEX(lang_codes,MATCH(loaded!U336,lang,0))</f>
        <v>#N/A</v>
      </c>
      <c r="I336" s="8">
        <f>loaded!W336</f>
        <v>0</v>
      </c>
      <c r="J336" t="e">
        <f>INDEX(us_acc_codes,MATCH(loaded!Y336,us_acc,0))</f>
        <v>#N/A</v>
      </c>
      <c r="K336" t="e">
        <f>INDEX(client_codes,MATCH(loaded!AA336,client,0))</f>
        <v>#N/A</v>
      </c>
      <c r="L336" t="e">
        <f>INDEX(src_ref_codes,MATCH(loaded!AC336,src_ref,0))</f>
        <v>#N/A</v>
      </c>
      <c r="M336" s="8">
        <f>loaded!AE336</f>
        <v>0</v>
      </c>
      <c r="N336" s="8">
        <f>loaded!AG336</f>
        <v>0</v>
      </c>
      <c r="O336" t="e">
        <f>INDEX(reces_codes,MATCH(loaded!AI336,reason,0))</f>
        <v>#N/A</v>
      </c>
      <c r="P336" t="e">
        <f>INDEX(TDS_codes,MATCH(loaded!AK336,TDS,0))</f>
        <v>#N/A</v>
      </c>
      <c r="Q336" t="e">
        <f>IF(K336=2,"",INDEX(method_codes,MATCH(loaded!AM336,method,0)))</f>
        <v>#N/A</v>
      </c>
      <c r="R336" t="e">
        <f>IF(K336=2,"",INDEX(inj_codes,MATCH(loaded!AO336,inj,0)))</f>
        <v>#N/A</v>
      </c>
      <c r="S336" t="e">
        <f>IF(K336=2,"",INDEX(drug_codes,MATCH(loaded!AQ336,drug,0)))</f>
        <v>#N/A</v>
      </c>
      <c r="T336" t="e">
        <f>IF(K336=2,"",_xlfn.IFNA(INDEX(drug_codes,MATCH(loaded!AS336,drug,0)),""))</f>
        <v>#N/A</v>
      </c>
      <c r="U336" t="e">
        <f>IF(K336=2,"",_xlfn.IFNA(INDEX(drug_codes,MATCH(loaded!AU336,drug,0)),""))</f>
        <v>#N/A</v>
      </c>
      <c r="V336" t="e">
        <f>IF(K336=2,"",_xlfn.IFNA(INDEX(drug_codes,MATCH(loaded!AW336,drug,0)),""))</f>
        <v>#N/A</v>
      </c>
      <c r="W336" t="e">
        <f>IF(K336=2,"",_xlfn.IFNA(INDEX(drug_codes,MATCH(loaded!AY336,drug,0)),""))</f>
        <v>#N/A</v>
      </c>
      <c r="X336" t="e">
        <f>IF(K336=2,"",_xlfn.IFNA(INDEX(drug_codes,MATCH(loaded!BA336,drug,0)),""))</f>
        <v>#N/A</v>
      </c>
      <c r="Y336" t="e">
        <f>INDEX(MTT_codes,MATCH(loaded!BC336,MTT,0))</f>
        <v>#N/A</v>
      </c>
      <c r="Z336" t="str">
        <f>_xlfn.IFNA(INDEX(MTT_codes,MATCH(loaded!BE336,MTT,0)),"")</f>
        <v/>
      </c>
      <c r="AA336" t="str">
        <f>_xlfn.IFNA(INDEX(MTT_codes,MATCH(loaded!BG336,MTT,0)),"")</f>
        <v/>
      </c>
      <c r="AB336" t="str">
        <f>_xlfn.IFNA(INDEX(MTT_codes,MATCH(loaded!BI336,MTT,0)),"")</f>
        <v/>
      </c>
      <c r="AC336" t="str">
        <f>_xlfn.IFNA(INDEX(MTT_codes,MATCH(loaded!BK336,MTT,0)),"")</f>
        <v/>
      </c>
      <c r="AD336" t="str">
        <f>_xlfn.IFNA(INDEX(MTT_codes,MATCH(loaded!BM336,MTT,0)),"")</f>
        <v/>
      </c>
      <c r="AE336" t="e">
        <f>INDEX(liv_ar_codes,MATCH(loaded!BO336,liv_ar,0))</f>
        <v>#N/A</v>
      </c>
      <c r="AF336" t="str">
        <f>_xlfn.IFNA(INDEX(MTT_codes,MATCH(loaded!BQ336,MTT,0)),"")</f>
        <v/>
      </c>
      <c r="AG336">
        <f>_xlfn.IFNA(INDEX(mental_codes,MATCH(loaded!BS336,mental,0)),9)</f>
        <v>9</v>
      </c>
    </row>
    <row r="337" spans="1:33" x14ac:dyDescent="0.25">
      <c r="A337">
        <f>loaded!C337</f>
        <v>0</v>
      </c>
      <c r="B337">
        <f>loaded!I337</f>
        <v>0</v>
      </c>
      <c r="C337">
        <f>IF(loaded!K337="Male",1,IF(loaded!K337="Female",2,9))</f>
        <v>9</v>
      </c>
      <c r="D337" s="8">
        <f>loaded!M337</f>
        <v>0</v>
      </c>
      <c r="E337" t="str">
        <f>LEFT(loaded!O337,3)</f>
        <v/>
      </c>
      <c r="F337" t="e">
        <f>INDEX(cntry_codes,MATCH(loaded!Q337,countries,0))</f>
        <v>#N/A</v>
      </c>
      <c r="G337" t="e">
        <f>INDEX(atsi_codes,MATCH(loaded!S337,atsi,0))</f>
        <v>#N/A</v>
      </c>
      <c r="H337" t="e">
        <f>INDEX(lang_codes,MATCH(loaded!U337,lang,0))</f>
        <v>#N/A</v>
      </c>
      <c r="I337" s="8">
        <f>loaded!W337</f>
        <v>0</v>
      </c>
      <c r="J337" t="e">
        <f>INDEX(us_acc_codes,MATCH(loaded!Y337,us_acc,0))</f>
        <v>#N/A</v>
      </c>
      <c r="K337" t="e">
        <f>INDEX(client_codes,MATCH(loaded!AA337,client,0))</f>
        <v>#N/A</v>
      </c>
      <c r="L337" t="e">
        <f>INDEX(src_ref_codes,MATCH(loaded!AC337,src_ref,0))</f>
        <v>#N/A</v>
      </c>
      <c r="M337" s="8">
        <f>loaded!AE337</f>
        <v>0</v>
      </c>
      <c r="N337" s="8">
        <f>loaded!AG337</f>
        <v>0</v>
      </c>
      <c r="O337" t="e">
        <f>INDEX(reces_codes,MATCH(loaded!AI337,reason,0))</f>
        <v>#N/A</v>
      </c>
      <c r="P337" t="e">
        <f>INDEX(TDS_codes,MATCH(loaded!AK337,TDS,0))</f>
        <v>#N/A</v>
      </c>
      <c r="Q337" t="e">
        <f>IF(K337=2,"",INDEX(method_codes,MATCH(loaded!AM337,method,0)))</f>
        <v>#N/A</v>
      </c>
      <c r="R337" t="e">
        <f>IF(K337=2,"",INDEX(inj_codes,MATCH(loaded!AO337,inj,0)))</f>
        <v>#N/A</v>
      </c>
      <c r="S337" t="e">
        <f>IF(K337=2,"",INDEX(drug_codes,MATCH(loaded!AQ337,drug,0)))</f>
        <v>#N/A</v>
      </c>
      <c r="T337" t="e">
        <f>IF(K337=2,"",_xlfn.IFNA(INDEX(drug_codes,MATCH(loaded!AS337,drug,0)),""))</f>
        <v>#N/A</v>
      </c>
      <c r="U337" t="e">
        <f>IF(K337=2,"",_xlfn.IFNA(INDEX(drug_codes,MATCH(loaded!AU337,drug,0)),""))</f>
        <v>#N/A</v>
      </c>
      <c r="V337" t="e">
        <f>IF(K337=2,"",_xlfn.IFNA(INDEX(drug_codes,MATCH(loaded!AW337,drug,0)),""))</f>
        <v>#N/A</v>
      </c>
      <c r="W337" t="e">
        <f>IF(K337=2,"",_xlfn.IFNA(INDEX(drug_codes,MATCH(loaded!AY337,drug,0)),""))</f>
        <v>#N/A</v>
      </c>
      <c r="X337" t="e">
        <f>IF(K337=2,"",_xlfn.IFNA(INDEX(drug_codes,MATCH(loaded!BA337,drug,0)),""))</f>
        <v>#N/A</v>
      </c>
      <c r="Y337" t="e">
        <f>INDEX(MTT_codes,MATCH(loaded!BC337,MTT,0))</f>
        <v>#N/A</v>
      </c>
      <c r="Z337" t="str">
        <f>_xlfn.IFNA(INDEX(MTT_codes,MATCH(loaded!BE337,MTT,0)),"")</f>
        <v/>
      </c>
      <c r="AA337" t="str">
        <f>_xlfn.IFNA(INDEX(MTT_codes,MATCH(loaded!BG337,MTT,0)),"")</f>
        <v/>
      </c>
      <c r="AB337" t="str">
        <f>_xlfn.IFNA(INDEX(MTT_codes,MATCH(loaded!BI337,MTT,0)),"")</f>
        <v/>
      </c>
      <c r="AC337" t="str">
        <f>_xlfn.IFNA(INDEX(MTT_codes,MATCH(loaded!BK337,MTT,0)),"")</f>
        <v/>
      </c>
      <c r="AD337" t="str">
        <f>_xlfn.IFNA(INDEX(MTT_codes,MATCH(loaded!BM337,MTT,0)),"")</f>
        <v/>
      </c>
      <c r="AE337" t="e">
        <f>INDEX(liv_ar_codes,MATCH(loaded!BO337,liv_ar,0))</f>
        <v>#N/A</v>
      </c>
      <c r="AF337" t="str">
        <f>_xlfn.IFNA(INDEX(MTT_codes,MATCH(loaded!BQ337,MTT,0)),"")</f>
        <v/>
      </c>
      <c r="AG337">
        <f>_xlfn.IFNA(INDEX(mental_codes,MATCH(loaded!BS337,mental,0)),9)</f>
        <v>9</v>
      </c>
    </row>
    <row r="338" spans="1:33" x14ac:dyDescent="0.25">
      <c r="A338">
        <f>loaded!C338</f>
        <v>0</v>
      </c>
      <c r="B338">
        <f>loaded!I338</f>
        <v>0</v>
      </c>
      <c r="C338">
        <f>IF(loaded!K338="Male",1,IF(loaded!K338="Female",2,9))</f>
        <v>9</v>
      </c>
      <c r="D338" s="8">
        <f>loaded!M338</f>
        <v>0</v>
      </c>
      <c r="E338" t="str">
        <f>LEFT(loaded!O338,3)</f>
        <v/>
      </c>
      <c r="F338" t="e">
        <f>INDEX(cntry_codes,MATCH(loaded!Q338,countries,0))</f>
        <v>#N/A</v>
      </c>
      <c r="G338" t="e">
        <f>INDEX(atsi_codes,MATCH(loaded!S338,atsi,0))</f>
        <v>#N/A</v>
      </c>
      <c r="H338" t="e">
        <f>INDEX(lang_codes,MATCH(loaded!U338,lang,0))</f>
        <v>#N/A</v>
      </c>
      <c r="I338" s="8">
        <f>loaded!W338</f>
        <v>0</v>
      </c>
      <c r="J338" t="e">
        <f>INDEX(us_acc_codes,MATCH(loaded!Y338,us_acc,0))</f>
        <v>#N/A</v>
      </c>
      <c r="K338" t="e">
        <f>INDEX(client_codes,MATCH(loaded!AA338,client,0))</f>
        <v>#N/A</v>
      </c>
      <c r="L338" t="e">
        <f>INDEX(src_ref_codes,MATCH(loaded!AC338,src_ref,0))</f>
        <v>#N/A</v>
      </c>
      <c r="M338" s="8">
        <f>loaded!AE338</f>
        <v>0</v>
      </c>
      <c r="N338" s="8">
        <f>loaded!AG338</f>
        <v>0</v>
      </c>
      <c r="O338" t="e">
        <f>INDEX(reces_codes,MATCH(loaded!AI338,reason,0))</f>
        <v>#N/A</v>
      </c>
      <c r="P338" t="e">
        <f>INDEX(TDS_codes,MATCH(loaded!AK338,TDS,0))</f>
        <v>#N/A</v>
      </c>
      <c r="Q338" t="e">
        <f>IF(K338=2,"",INDEX(method_codes,MATCH(loaded!AM338,method,0)))</f>
        <v>#N/A</v>
      </c>
      <c r="R338" t="e">
        <f>IF(K338=2,"",INDEX(inj_codes,MATCH(loaded!AO338,inj,0)))</f>
        <v>#N/A</v>
      </c>
      <c r="S338" t="e">
        <f>IF(K338=2,"",INDEX(drug_codes,MATCH(loaded!AQ338,drug,0)))</f>
        <v>#N/A</v>
      </c>
      <c r="T338" t="e">
        <f>IF(K338=2,"",_xlfn.IFNA(INDEX(drug_codes,MATCH(loaded!AS338,drug,0)),""))</f>
        <v>#N/A</v>
      </c>
      <c r="U338" t="e">
        <f>IF(K338=2,"",_xlfn.IFNA(INDEX(drug_codes,MATCH(loaded!AU338,drug,0)),""))</f>
        <v>#N/A</v>
      </c>
      <c r="V338" t="e">
        <f>IF(K338=2,"",_xlfn.IFNA(INDEX(drug_codes,MATCH(loaded!AW338,drug,0)),""))</f>
        <v>#N/A</v>
      </c>
      <c r="W338" t="e">
        <f>IF(K338=2,"",_xlfn.IFNA(INDEX(drug_codes,MATCH(loaded!AY338,drug,0)),""))</f>
        <v>#N/A</v>
      </c>
      <c r="X338" t="e">
        <f>IF(K338=2,"",_xlfn.IFNA(INDEX(drug_codes,MATCH(loaded!BA338,drug,0)),""))</f>
        <v>#N/A</v>
      </c>
      <c r="Y338" t="e">
        <f>INDEX(MTT_codes,MATCH(loaded!BC338,MTT,0))</f>
        <v>#N/A</v>
      </c>
      <c r="Z338" t="str">
        <f>_xlfn.IFNA(INDEX(MTT_codes,MATCH(loaded!BE338,MTT,0)),"")</f>
        <v/>
      </c>
      <c r="AA338" t="str">
        <f>_xlfn.IFNA(INDEX(MTT_codes,MATCH(loaded!BG338,MTT,0)),"")</f>
        <v/>
      </c>
      <c r="AB338" t="str">
        <f>_xlfn.IFNA(INDEX(MTT_codes,MATCH(loaded!BI338,MTT,0)),"")</f>
        <v/>
      </c>
      <c r="AC338" t="str">
        <f>_xlfn.IFNA(INDEX(MTT_codes,MATCH(loaded!BK338,MTT,0)),"")</f>
        <v/>
      </c>
      <c r="AD338" t="str">
        <f>_xlfn.IFNA(INDEX(MTT_codes,MATCH(loaded!BM338,MTT,0)),"")</f>
        <v/>
      </c>
      <c r="AE338" t="e">
        <f>INDEX(liv_ar_codes,MATCH(loaded!BO338,liv_ar,0))</f>
        <v>#N/A</v>
      </c>
      <c r="AF338" t="str">
        <f>_xlfn.IFNA(INDEX(MTT_codes,MATCH(loaded!BQ338,MTT,0)),"")</f>
        <v/>
      </c>
      <c r="AG338">
        <f>_xlfn.IFNA(INDEX(mental_codes,MATCH(loaded!BS338,mental,0)),9)</f>
        <v>9</v>
      </c>
    </row>
    <row r="339" spans="1:33" x14ac:dyDescent="0.25">
      <c r="A339">
        <f>loaded!C339</f>
        <v>0</v>
      </c>
      <c r="B339">
        <f>loaded!I339</f>
        <v>0</v>
      </c>
      <c r="C339">
        <f>IF(loaded!K339="Male",1,IF(loaded!K339="Female",2,9))</f>
        <v>9</v>
      </c>
      <c r="D339" s="8">
        <f>loaded!M339</f>
        <v>0</v>
      </c>
      <c r="E339" t="str">
        <f>LEFT(loaded!O339,3)</f>
        <v/>
      </c>
      <c r="F339" t="e">
        <f>INDEX(cntry_codes,MATCH(loaded!Q339,countries,0))</f>
        <v>#N/A</v>
      </c>
      <c r="G339" t="e">
        <f>INDEX(atsi_codes,MATCH(loaded!S339,atsi,0))</f>
        <v>#N/A</v>
      </c>
      <c r="H339" t="e">
        <f>INDEX(lang_codes,MATCH(loaded!U339,lang,0))</f>
        <v>#N/A</v>
      </c>
      <c r="I339" s="8">
        <f>loaded!W339</f>
        <v>0</v>
      </c>
      <c r="J339" t="e">
        <f>INDEX(us_acc_codes,MATCH(loaded!Y339,us_acc,0))</f>
        <v>#N/A</v>
      </c>
      <c r="K339" t="e">
        <f>INDEX(client_codes,MATCH(loaded!AA339,client,0))</f>
        <v>#N/A</v>
      </c>
      <c r="L339" t="e">
        <f>INDEX(src_ref_codes,MATCH(loaded!AC339,src_ref,0))</f>
        <v>#N/A</v>
      </c>
      <c r="M339" s="8">
        <f>loaded!AE339</f>
        <v>0</v>
      </c>
      <c r="N339" s="8">
        <f>loaded!AG339</f>
        <v>0</v>
      </c>
      <c r="O339" t="e">
        <f>INDEX(reces_codes,MATCH(loaded!AI339,reason,0))</f>
        <v>#N/A</v>
      </c>
      <c r="P339" t="e">
        <f>INDEX(TDS_codes,MATCH(loaded!AK339,TDS,0))</f>
        <v>#N/A</v>
      </c>
      <c r="Q339" t="e">
        <f>IF(K339=2,"",INDEX(method_codes,MATCH(loaded!AM339,method,0)))</f>
        <v>#N/A</v>
      </c>
      <c r="R339" t="e">
        <f>IF(K339=2,"",INDEX(inj_codes,MATCH(loaded!AO339,inj,0)))</f>
        <v>#N/A</v>
      </c>
      <c r="S339" t="e">
        <f>IF(K339=2,"",INDEX(drug_codes,MATCH(loaded!AQ339,drug,0)))</f>
        <v>#N/A</v>
      </c>
      <c r="T339" t="e">
        <f>IF(K339=2,"",_xlfn.IFNA(INDEX(drug_codes,MATCH(loaded!AS339,drug,0)),""))</f>
        <v>#N/A</v>
      </c>
      <c r="U339" t="e">
        <f>IF(K339=2,"",_xlfn.IFNA(INDEX(drug_codes,MATCH(loaded!AU339,drug,0)),""))</f>
        <v>#N/A</v>
      </c>
      <c r="V339" t="e">
        <f>IF(K339=2,"",_xlfn.IFNA(INDEX(drug_codes,MATCH(loaded!AW339,drug,0)),""))</f>
        <v>#N/A</v>
      </c>
      <c r="W339" t="e">
        <f>IF(K339=2,"",_xlfn.IFNA(INDEX(drug_codes,MATCH(loaded!AY339,drug,0)),""))</f>
        <v>#N/A</v>
      </c>
      <c r="X339" t="e">
        <f>IF(K339=2,"",_xlfn.IFNA(INDEX(drug_codes,MATCH(loaded!BA339,drug,0)),""))</f>
        <v>#N/A</v>
      </c>
      <c r="Y339" t="e">
        <f>INDEX(MTT_codes,MATCH(loaded!BC339,MTT,0))</f>
        <v>#N/A</v>
      </c>
      <c r="Z339" t="str">
        <f>_xlfn.IFNA(INDEX(MTT_codes,MATCH(loaded!BE339,MTT,0)),"")</f>
        <v/>
      </c>
      <c r="AA339" t="str">
        <f>_xlfn.IFNA(INDEX(MTT_codes,MATCH(loaded!BG339,MTT,0)),"")</f>
        <v/>
      </c>
      <c r="AB339" t="str">
        <f>_xlfn.IFNA(INDEX(MTT_codes,MATCH(loaded!BI339,MTT,0)),"")</f>
        <v/>
      </c>
      <c r="AC339" t="str">
        <f>_xlfn.IFNA(INDEX(MTT_codes,MATCH(loaded!BK339,MTT,0)),"")</f>
        <v/>
      </c>
      <c r="AD339" t="str">
        <f>_xlfn.IFNA(INDEX(MTT_codes,MATCH(loaded!BM339,MTT,0)),"")</f>
        <v/>
      </c>
      <c r="AE339" t="e">
        <f>INDEX(liv_ar_codes,MATCH(loaded!BO339,liv_ar,0))</f>
        <v>#N/A</v>
      </c>
      <c r="AF339" t="str">
        <f>_xlfn.IFNA(INDEX(MTT_codes,MATCH(loaded!BQ339,MTT,0)),"")</f>
        <v/>
      </c>
      <c r="AG339">
        <f>_xlfn.IFNA(INDEX(mental_codes,MATCH(loaded!BS339,mental,0)),9)</f>
        <v>9</v>
      </c>
    </row>
    <row r="340" spans="1:33" x14ac:dyDescent="0.25">
      <c r="A340">
        <f>loaded!C340</f>
        <v>0</v>
      </c>
      <c r="B340">
        <f>loaded!I340</f>
        <v>0</v>
      </c>
      <c r="C340">
        <f>IF(loaded!K340="Male",1,IF(loaded!K340="Female",2,9))</f>
        <v>9</v>
      </c>
      <c r="D340" s="8">
        <f>loaded!M340</f>
        <v>0</v>
      </c>
      <c r="E340" t="str">
        <f>LEFT(loaded!O340,3)</f>
        <v/>
      </c>
      <c r="F340" t="e">
        <f>INDEX(cntry_codes,MATCH(loaded!Q340,countries,0))</f>
        <v>#N/A</v>
      </c>
      <c r="G340" t="e">
        <f>INDEX(atsi_codes,MATCH(loaded!S340,atsi,0))</f>
        <v>#N/A</v>
      </c>
      <c r="H340" t="e">
        <f>INDEX(lang_codes,MATCH(loaded!U340,lang,0))</f>
        <v>#N/A</v>
      </c>
      <c r="I340" s="8">
        <f>loaded!W340</f>
        <v>0</v>
      </c>
      <c r="J340" t="e">
        <f>INDEX(us_acc_codes,MATCH(loaded!Y340,us_acc,0))</f>
        <v>#N/A</v>
      </c>
      <c r="K340" t="e">
        <f>INDEX(client_codes,MATCH(loaded!AA340,client,0))</f>
        <v>#N/A</v>
      </c>
      <c r="L340" t="e">
        <f>INDEX(src_ref_codes,MATCH(loaded!AC340,src_ref,0))</f>
        <v>#N/A</v>
      </c>
      <c r="M340" s="8">
        <f>loaded!AE340</f>
        <v>0</v>
      </c>
      <c r="N340" s="8">
        <f>loaded!AG340</f>
        <v>0</v>
      </c>
      <c r="O340" t="e">
        <f>INDEX(reces_codes,MATCH(loaded!AI340,reason,0))</f>
        <v>#N/A</v>
      </c>
      <c r="P340" t="e">
        <f>INDEX(TDS_codes,MATCH(loaded!AK340,TDS,0))</f>
        <v>#N/A</v>
      </c>
      <c r="Q340" t="e">
        <f>IF(K340=2,"",INDEX(method_codes,MATCH(loaded!AM340,method,0)))</f>
        <v>#N/A</v>
      </c>
      <c r="R340" t="e">
        <f>IF(K340=2,"",INDEX(inj_codes,MATCH(loaded!AO340,inj,0)))</f>
        <v>#N/A</v>
      </c>
      <c r="S340" t="e">
        <f>IF(K340=2,"",INDEX(drug_codes,MATCH(loaded!AQ340,drug,0)))</f>
        <v>#N/A</v>
      </c>
      <c r="T340" t="e">
        <f>IF(K340=2,"",_xlfn.IFNA(INDEX(drug_codes,MATCH(loaded!AS340,drug,0)),""))</f>
        <v>#N/A</v>
      </c>
      <c r="U340" t="e">
        <f>IF(K340=2,"",_xlfn.IFNA(INDEX(drug_codes,MATCH(loaded!AU340,drug,0)),""))</f>
        <v>#N/A</v>
      </c>
      <c r="V340" t="e">
        <f>IF(K340=2,"",_xlfn.IFNA(INDEX(drug_codes,MATCH(loaded!AW340,drug,0)),""))</f>
        <v>#N/A</v>
      </c>
      <c r="W340" t="e">
        <f>IF(K340=2,"",_xlfn.IFNA(INDEX(drug_codes,MATCH(loaded!AY340,drug,0)),""))</f>
        <v>#N/A</v>
      </c>
      <c r="X340" t="e">
        <f>IF(K340=2,"",_xlfn.IFNA(INDEX(drug_codes,MATCH(loaded!BA340,drug,0)),""))</f>
        <v>#N/A</v>
      </c>
      <c r="Y340" t="e">
        <f>INDEX(MTT_codes,MATCH(loaded!BC340,MTT,0))</f>
        <v>#N/A</v>
      </c>
      <c r="Z340" t="str">
        <f>_xlfn.IFNA(INDEX(MTT_codes,MATCH(loaded!BE340,MTT,0)),"")</f>
        <v/>
      </c>
      <c r="AA340" t="str">
        <f>_xlfn.IFNA(INDEX(MTT_codes,MATCH(loaded!BG340,MTT,0)),"")</f>
        <v/>
      </c>
      <c r="AB340" t="str">
        <f>_xlfn.IFNA(INDEX(MTT_codes,MATCH(loaded!BI340,MTT,0)),"")</f>
        <v/>
      </c>
      <c r="AC340" t="str">
        <f>_xlfn.IFNA(INDEX(MTT_codes,MATCH(loaded!BK340,MTT,0)),"")</f>
        <v/>
      </c>
      <c r="AD340" t="str">
        <f>_xlfn.IFNA(INDEX(MTT_codes,MATCH(loaded!BM340,MTT,0)),"")</f>
        <v/>
      </c>
      <c r="AE340" t="e">
        <f>INDEX(liv_ar_codes,MATCH(loaded!BO340,liv_ar,0))</f>
        <v>#N/A</v>
      </c>
      <c r="AF340" t="str">
        <f>_xlfn.IFNA(INDEX(MTT_codes,MATCH(loaded!BQ340,MTT,0)),"")</f>
        <v/>
      </c>
      <c r="AG340">
        <f>_xlfn.IFNA(INDEX(mental_codes,MATCH(loaded!BS340,mental,0)),9)</f>
        <v>9</v>
      </c>
    </row>
    <row r="341" spans="1:33" x14ac:dyDescent="0.25">
      <c r="A341">
        <f>loaded!C341</f>
        <v>0</v>
      </c>
      <c r="B341">
        <f>loaded!I341</f>
        <v>0</v>
      </c>
      <c r="C341">
        <f>IF(loaded!K341="Male",1,IF(loaded!K341="Female",2,9))</f>
        <v>9</v>
      </c>
      <c r="D341" s="8">
        <f>loaded!M341</f>
        <v>0</v>
      </c>
      <c r="E341" t="str">
        <f>LEFT(loaded!O341,3)</f>
        <v/>
      </c>
      <c r="F341" t="e">
        <f>INDEX(cntry_codes,MATCH(loaded!Q341,countries,0))</f>
        <v>#N/A</v>
      </c>
      <c r="G341" t="e">
        <f>INDEX(atsi_codes,MATCH(loaded!S341,atsi,0))</f>
        <v>#N/A</v>
      </c>
      <c r="H341" t="e">
        <f>INDEX(lang_codes,MATCH(loaded!U341,lang,0))</f>
        <v>#N/A</v>
      </c>
      <c r="I341" s="8">
        <f>loaded!W341</f>
        <v>0</v>
      </c>
      <c r="J341" t="e">
        <f>INDEX(us_acc_codes,MATCH(loaded!Y341,us_acc,0))</f>
        <v>#N/A</v>
      </c>
      <c r="K341" t="e">
        <f>INDEX(client_codes,MATCH(loaded!AA341,client,0))</f>
        <v>#N/A</v>
      </c>
      <c r="L341" t="e">
        <f>INDEX(src_ref_codes,MATCH(loaded!AC341,src_ref,0))</f>
        <v>#N/A</v>
      </c>
      <c r="M341" s="8">
        <f>loaded!AE341</f>
        <v>0</v>
      </c>
      <c r="N341" s="8">
        <f>loaded!AG341</f>
        <v>0</v>
      </c>
      <c r="O341" t="e">
        <f>INDEX(reces_codes,MATCH(loaded!AI341,reason,0))</f>
        <v>#N/A</v>
      </c>
      <c r="P341" t="e">
        <f>INDEX(TDS_codes,MATCH(loaded!AK341,TDS,0))</f>
        <v>#N/A</v>
      </c>
      <c r="Q341" t="e">
        <f>IF(K341=2,"",INDEX(method_codes,MATCH(loaded!AM341,method,0)))</f>
        <v>#N/A</v>
      </c>
      <c r="R341" t="e">
        <f>IF(K341=2,"",INDEX(inj_codes,MATCH(loaded!AO341,inj,0)))</f>
        <v>#N/A</v>
      </c>
      <c r="S341" t="e">
        <f>IF(K341=2,"",INDEX(drug_codes,MATCH(loaded!AQ341,drug,0)))</f>
        <v>#N/A</v>
      </c>
      <c r="T341" t="e">
        <f>IF(K341=2,"",_xlfn.IFNA(INDEX(drug_codes,MATCH(loaded!AS341,drug,0)),""))</f>
        <v>#N/A</v>
      </c>
      <c r="U341" t="e">
        <f>IF(K341=2,"",_xlfn.IFNA(INDEX(drug_codes,MATCH(loaded!AU341,drug,0)),""))</f>
        <v>#N/A</v>
      </c>
      <c r="V341" t="e">
        <f>IF(K341=2,"",_xlfn.IFNA(INDEX(drug_codes,MATCH(loaded!AW341,drug,0)),""))</f>
        <v>#N/A</v>
      </c>
      <c r="W341" t="e">
        <f>IF(K341=2,"",_xlfn.IFNA(INDEX(drug_codes,MATCH(loaded!AY341,drug,0)),""))</f>
        <v>#N/A</v>
      </c>
      <c r="X341" t="e">
        <f>IF(K341=2,"",_xlfn.IFNA(INDEX(drug_codes,MATCH(loaded!BA341,drug,0)),""))</f>
        <v>#N/A</v>
      </c>
      <c r="Y341" t="e">
        <f>INDEX(MTT_codes,MATCH(loaded!BC341,MTT,0))</f>
        <v>#N/A</v>
      </c>
      <c r="Z341" t="str">
        <f>_xlfn.IFNA(INDEX(MTT_codes,MATCH(loaded!BE341,MTT,0)),"")</f>
        <v/>
      </c>
      <c r="AA341" t="str">
        <f>_xlfn.IFNA(INDEX(MTT_codes,MATCH(loaded!BG341,MTT,0)),"")</f>
        <v/>
      </c>
      <c r="AB341" t="str">
        <f>_xlfn.IFNA(INDEX(MTT_codes,MATCH(loaded!BI341,MTT,0)),"")</f>
        <v/>
      </c>
      <c r="AC341" t="str">
        <f>_xlfn.IFNA(INDEX(MTT_codes,MATCH(loaded!BK341,MTT,0)),"")</f>
        <v/>
      </c>
      <c r="AD341" t="str">
        <f>_xlfn.IFNA(INDEX(MTT_codes,MATCH(loaded!BM341,MTT,0)),"")</f>
        <v/>
      </c>
      <c r="AE341" t="e">
        <f>INDEX(liv_ar_codes,MATCH(loaded!BO341,liv_ar,0))</f>
        <v>#N/A</v>
      </c>
      <c r="AF341" t="str">
        <f>_xlfn.IFNA(INDEX(MTT_codes,MATCH(loaded!BQ341,MTT,0)),"")</f>
        <v/>
      </c>
      <c r="AG341">
        <f>_xlfn.IFNA(INDEX(mental_codes,MATCH(loaded!BS341,mental,0)),9)</f>
        <v>9</v>
      </c>
    </row>
    <row r="342" spans="1:33" x14ac:dyDescent="0.25">
      <c r="A342">
        <f>loaded!C342</f>
        <v>0</v>
      </c>
      <c r="B342">
        <f>loaded!I342</f>
        <v>0</v>
      </c>
      <c r="C342">
        <f>IF(loaded!K342="Male",1,IF(loaded!K342="Female",2,9))</f>
        <v>9</v>
      </c>
      <c r="D342" s="8">
        <f>loaded!M342</f>
        <v>0</v>
      </c>
      <c r="E342" t="str">
        <f>LEFT(loaded!O342,3)</f>
        <v/>
      </c>
      <c r="F342" t="e">
        <f>INDEX(cntry_codes,MATCH(loaded!Q342,countries,0))</f>
        <v>#N/A</v>
      </c>
      <c r="G342" t="e">
        <f>INDEX(atsi_codes,MATCH(loaded!S342,atsi,0))</f>
        <v>#N/A</v>
      </c>
      <c r="H342" t="e">
        <f>INDEX(lang_codes,MATCH(loaded!U342,lang,0))</f>
        <v>#N/A</v>
      </c>
      <c r="I342" s="8">
        <f>loaded!W342</f>
        <v>0</v>
      </c>
      <c r="J342" t="e">
        <f>INDEX(us_acc_codes,MATCH(loaded!Y342,us_acc,0))</f>
        <v>#N/A</v>
      </c>
      <c r="K342" t="e">
        <f>INDEX(client_codes,MATCH(loaded!AA342,client,0))</f>
        <v>#N/A</v>
      </c>
      <c r="L342" t="e">
        <f>INDEX(src_ref_codes,MATCH(loaded!AC342,src_ref,0))</f>
        <v>#N/A</v>
      </c>
      <c r="M342" s="8">
        <f>loaded!AE342</f>
        <v>0</v>
      </c>
      <c r="N342" s="8">
        <f>loaded!AG342</f>
        <v>0</v>
      </c>
      <c r="O342" t="e">
        <f>INDEX(reces_codes,MATCH(loaded!AI342,reason,0))</f>
        <v>#N/A</v>
      </c>
      <c r="P342" t="e">
        <f>INDEX(TDS_codes,MATCH(loaded!AK342,TDS,0))</f>
        <v>#N/A</v>
      </c>
      <c r="Q342" t="e">
        <f>IF(K342=2,"",INDEX(method_codes,MATCH(loaded!AM342,method,0)))</f>
        <v>#N/A</v>
      </c>
      <c r="R342" t="e">
        <f>IF(K342=2,"",INDEX(inj_codes,MATCH(loaded!AO342,inj,0)))</f>
        <v>#N/A</v>
      </c>
      <c r="S342" t="e">
        <f>IF(K342=2,"",INDEX(drug_codes,MATCH(loaded!AQ342,drug,0)))</f>
        <v>#N/A</v>
      </c>
      <c r="T342" t="e">
        <f>IF(K342=2,"",_xlfn.IFNA(INDEX(drug_codes,MATCH(loaded!AS342,drug,0)),""))</f>
        <v>#N/A</v>
      </c>
      <c r="U342" t="e">
        <f>IF(K342=2,"",_xlfn.IFNA(INDEX(drug_codes,MATCH(loaded!AU342,drug,0)),""))</f>
        <v>#N/A</v>
      </c>
      <c r="V342" t="e">
        <f>IF(K342=2,"",_xlfn.IFNA(INDEX(drug_codes,MATCH(loaded!AW342,drug,0)),""))</f>
        <v>#N/A</v>
      </c>
      <c r="W342" t="e">
        <f>IF(K342=2,"",_xlfn.IFNA(INDEX(drug_codes,MATCH(loaded!AY342,drug,0)),""))</f>
        <v>#N/A</v>
      </c>
      <c r="X342" t="e">
        <f>IF(K342=2,"",_xlfn.IFNA(INDEX(drug_codes,MATCH(loaded!BA342,drug,0)),""))</f>
        <v>#N/A</v>
      </c>
      <c r="Y342" t="e">
        <f>INDEX(MTT_codes,MATCH(loaded!BC342,MTT,0))</f>
        <v>#N/A</v>
      </c>
      <c r="Z342" t="str">
        <f>_xlfn.IFNA(INDEX(MTT_codes,MATCH(loaded!BE342,MTT,0)),"")</f>
        <v/>
      </c>
      <c r="AA342" t="str">
        <f>_xlfn.IFNA(INDEX(MTT_codes,MATCH(loaded!BG342,MTT,0)),"")</f>
        <v/>
      </c>
      <c r="AB342" t="str">
        <f>_xlfn.IFNA(INDEX(MTT_codes,MATCH(loaded!BI342,MTT,0)),"")</f>
        <v/>
      </c>
      <c r="AC342" t="str">
        <f>_xlfn.IFNA(INDEX(MTT_codes,MATCH(loaded!BK342,MTT,0)),"")</f>
        <v/>
      </c>
      <c r="AD342" t="str">
        <f>_xlfn.IFNA(INDEX(MTT_codes,MATCH(loaded!BM342,MTT,0)),"")</f>
        <v/>
      </c>
      <c r="AE342" t="e">
        <f>INDEX(liv_ar_codes,MATCH(loaded!BO342,liv_ar,0))</f>
        <v>#N/A</v>
      </c>
      <c r="AF342" t="str">
        <f>_xlfn.IFNA(INDEX(MTT_codes,MATCH(loaded!BQ342,MTT,0)),"")</f>
        <v/>
      </c>
      <c r="AG342">
        <f>_xlfn.IFNA(INDEX(mental_codes,MATCH(loaded!BS342,mental,0)),9)</f>
        <v>9</v>
      </c>
    </row>
    <row r="343" spans="1:33" x14ac:dyDescent="0.25">
      <c r="A343">
        <f>loaded!C343</f>
        <v>0</v>
      </c>
      <c r="B343">
        <f>loaded!I343</f>
        <v>0</v>
      </c>
      <c r="C343">
        <f>IF(loaded!K343="Male",1,IF(loaded!K343="Female",2,9))</f>
        <v>9</v>
      </c>
      <c r="D343" s="8">
        <f>loaded!M343</f>
        <v>0</v>
      </c>
      <c r="E343" t="str">
        <f>LEFT(loaded!O343,3)</f>
        <v/>
      </c>
      <c r="F343" t="e">
        <f>INDEX(cntry_codes,MATCH(loaded!Q343,countries,0))</f>
        <v>#N/A</v>
      </c>
      <c r="G343" t="e">
        <f>INDEX(atsi_codes,MATCH(loaded!S343,atsi,0))</f>
        <v>#N/A</v>
      </c>
      <c r="H343" t="e">
        <f>INDEX(lang_codes,MATCH(loaded!U343,lang,0))</f>
        <v>#N/A</v>
      </c>
      <c r="I343" s="8">
        <f>loaded!W343</f>
        <v>0</v>
      </c>
      <c r="J343" t="e">
        <f>INDEX(us_acc_codes,MATCH(loaded!Y343,us_acc,0))</f>
        <v>#N/A</v>
      </c>
      <c r="K343" t="e">
        <f>INDEX(client_codes,MATCH(loaded!AA343,client,0))</f>
        <v>#N/A</v>
      </c>
      <c r="L343" t="e">
        <f>INDEX(src_ref_codes,MATCH(loaded!AC343,src_ref,0))</f>
        <v>#N/A</v>
      </c>
      <c r="M343" s="8">
        <f>loaded!AE343</f>
        <v>0</v>
      </c>
      <c r="N343" s="8">
        <f>loaded!AG343</f>
        <v>0</v>
      </c>
      <c r="O343" t="e">
        <f>INDEX(reces_codes,MATCH(loaded!AI343,reason,0))</f>
        <v>#N/A</v>
      </c>
      <c r="P343" t="e">
        <f>INDEX(TDS_codes,MATCH(loaded!AK343,TDS,0))</f>
        <v>#N/A</v>
      </c>
      <c r="Q343" t="e">
        <f>IF(K343=2,"",INDEX(method_codes,MATCH(loaded!AM343,method,0)))</f>
        <v>#N/A</v>
      </c>
      <c r="R343" t="e">
        <f>IF(K343=2,"",INDEX(inj_codes,MATCH(loaded!AO343,inj,0)))</f>
        <v>#N/A</v>
      </c>
      <c r="S343" t="e">
        <f>IF(K343=2,"",INDEX(drug_codes,MATCH(loaded!AQ343,drug,0)))</f>
        <v>#N/A</v>
      </c>
      <c r="T343" t="e">
        <f>IF(K343=2,"",_xlfn.IFNA(INDEX(drug_codes,MATCH(loaded!AS343,drug,0)),""))</f>
        <v>#N/A</v>
      </c>
      <c r="U343" t="e">
        <f>IF(K343=2,"",_xlfn.IFNA(INDEX(drug_codes,MATCH(loaded!AU343,drug,0)),""))</f>
        <v>#N/A</v>
      </c>
      <c r="V343" t="e">
        <f>IF(K343=2,"",_xlfn.IFNA(INDEX(drug_codes,MATCH(loaded!AW343,drug,0)),""))</f>
        <v>#N/A</v>
      </c>
      <c r="W343" t="e">
        <f>IF(K343=2,"",_xlfn.IFNA(INDEX(drug_codes,MATCH(loaded!AY343,drug,0)),""))</f>
        <v>#N/A</v>
      </c>
      <c r="X343" t="e">
        <f>IF(K343=2,"",_xlfn.IFNA(INDEX(drug_codes,MATCH(loaded!BA343,drug,0)),""))</f>
        <v>#N/A</v>
      </c>
      <c r="Y343" t="e">
        <f>INDEX(MTT_codes,MATCH(loaded!BC343,MTT,0))</f>
        <v>#N/A</v>
      </c>
      <c r="Z343" t="str">
        <f>_xlfn.IFNA(INDEX(MTT_codes,MATCH(loaded!BE343,MTT,0)),"")</f>
        <v/>
      </c>
      <c r="AA343" t="str">
        <f>_xlfn.IFNA(INDEX(MTT_codes,MATCH(loaded!BG343,MTT,0)),"")</f>
        <v/>
      </c>
      <c r="AB343" t="str">
        <f>_xlfn.IFNA(INDEX(MTT_codes,MATCH(loaded!BI343,MTT,0)),"")</f>
        <v/>
      </c>
      <c r="AC343" t="str">
        <f>_xlfn.IFNA(INDEX(MTT_codes,MATCH(loaded!BK343,MTT,0)),"")</f>
        <v/>
      </c>
      <c r="AD343" t="str">
        <f>_xlfn.IFNA(INDEX(MTT_codes,MATCH(loaded!BM343,MTT,0)),"")</f>
        <v/>
      </c>
      <c r="AE343" t="e">
        <f>INDEX(liv_ar_codes,MATCH(loaded!BO343,liv_ar,0))</f>
        <v>#N/A</v>
      </c>
      <c r="AF343" t="str">
        <f>_xlfn.IFNA(INDEX(MTT_codes,MATCH(loaded!BQ343,MTT,0)),"")</f>
        <v/>
      </c>
      <c r="AG343">
        <f>_xlfn.IFNA(INDEX(mental_codes,MATCH(loaded!BS343,mental,0)),9)</f>
        <v>9</v>
      </c>
    </row>
    <row r="344" spans="1:33" x14ac:dyDescent="0.25">
      <c r="A344">
        <f>loaded!C344</f>
        <v>0</v>
      </c>
      <c r="B344">
        <f>loaded!I344</f>
        <v>0</v>
      </c>
      <c r="C344">
        <f>IF(loaded!K344="Male",1,IF(loaded!K344="Female",2,9))</f>
        <v>9</v>
      </c>
      <c r="D344" s="8">
        <f>loaded!M344</f>
        <v>0</v>
      </c>
      <c r="E344" t="str">
        <f>LEFT(loaded!O344,3)</f>
        <v/>
      </c>
      <c r="F344" t="e">
        <f>INDEX(cntry_codes,MATCH(loaded!Q344,countries,0))</f>
        <v>#N/A</v>
      </c>
      <c r="G344" t="e">
        <f>INDEX(atsi_codes,MATCH(loaded!S344,atsi,0))</f>
        <v>#N/A</v>
      </c>
      <c r="H344" t="e">
        <f>INDEX(lang_codes,MATCH(loaded!U344,lang,0))</f>
        <v>#N/A</v>
      </c>
      <c r="I344" s="8">
        <f>loaded!W344</f>
        <v>0</v>
      </c>
      <c r="J344" t="e">
        <f>INDEX(us_acc_codes,MATCH(loaded!Y344,us_acc,0))</f>
        <v>#N/A</v>
      </c>
      <c r="K344" t="e">
        <f>INDEX(client_codes,MATCH(loaded!AA344,client,0))</f>
        <v>#N/A</v>
      </c>
      <c r="L344" t="e">
        <f>INDEX(src_ref_codes,MATCH(loaded!AC344,src_ref,0))</f>
        <v>#N/A</v>
      </c>
      <c r="M344" s="8">
        <f>loaded!AE344</f>
        <v>0</v>
      </c>
      <c r="N344" s="8">
        <f>loaded!AG344</f>
        <v>0</v>
      </c>
      <c r="O344" t="e">
        <f>INDEX(reces_codes,MATCH(loaded!AI344,reason,0))</f>
        <v>#N/A</v>
      </c>
      <c r="P344" t="e">
        <f>INDEX(TDS_codes,MATCH(loaded!AK344,TDS,0))</f>
        <v>#N/A</v>
      </c>
      <c r="Q344" t="e">
        <f>IF(K344=2,"",INDEX(method_codes,MATCH(loaded!AM344,method,0)))</f>
        <v>#N/A</v>
      </c>
      <c r="R344" t="e">
        <f>IF(K344=2,"",INDEX(inj_codes,MATCH(loaded!AO344,inj,0)))</f>
        <v>#N/A</v>
      </c>
      <c r="S344" t="e">
        <f>IF(K344=2,"",INDEX(drug_codes,MATCH(loaded!AQ344,drug,0)))</f>
        <v>#N/A</v>
      </c>
      <c r="T344" t="e">
        <f>IF(K344=2,"",_xlfn.IFNA(INDEX(drug_codes,MATCH(loaded!AS344,drug,0)),""))</f>
        <v>#N/A</v>
      </c>
      <c r="U344" t="e">
        <f>IF(K344=2,"",_xlfn.IFNA(INDEX(drug_codes,MATCH(loaded!AU344,drug,0)),""))</f>
        <v>#N/A</v>
      </c>
      <c r="V344" t="e">
        <f>IF(K344=2,"",_xlfn.IFNA(INDEX(drug_codes,MATCH(loaded!AW344,drug,0)),""))</f>
        <v>#N/A</v>
      </c>
      <c r="W344" t="e">
        <f>IF(K344=2,"",_xlfn.IFNA(INDEX(drug_codes,MATCH(loaded!AY344,drug,0)),""))</f>
        <v>#N/A</v>
      </c>
      <c r="X344" t="e">
        <f>IF(K344=2,"",_xlfn.IFNA(INDEX(drug_codes,MATCH(loaded!BA344,drug,0)),""))</f>
        <v>#N/A</v>
      </c>
      <c r="Y344" t="e">
        <f>INDEX(MTT_codes,MATCH(loaded!BC344,MTT,0))</f>
        <v>#N/A</v>
      </c>
      <c r="Z344" t="str">
        <f>_xlfn.IFNA(INDEX(MTT_codes,MATCH(loaded!BE344,MTT,0)),"")</f>
        <v/>
      </c>
      <c r="AA344" t="str">
        <f>_xlfn.IFNA(INDEX(MTT_codes,MATCH(loaded!BG344,MTT,0)),"")</f>
        <v/>
      </c>
      <c r="AB344" t="str">
        <f>_xlfn.IFNA(INDEX(MTT_codes,MATCH(loaded!BI344,MTT,0)),"")</f>
        <v/>
      </c>
      <c r="AC344" t="str">
        <f>_xlfn.IFNA(INDEX(MTT_codes,MATCH(loaded!BK344,MTT,0)),"")</f>
        <v/>
      </c>
      <c r="AD344" t="str">
        <f>_xlfn.IFNA(INDEX(MTT_codes,MATCH(loaded!BM344,MTT,0)),"")</f>
        <v/>
      </c>
      <c r="AE344" t="e">
        <f>INDEX(liv_ar_codes,MATCH(loaded!BO344,liv_ar,0))</f>
        <v>#N/A</v>
      </c>
      <c r="AF344" t="str">
        <f>_xlfn.IFNA(INDEX(MTT_codes,MATCH(loaded!BQ344,MTT,0)),"")</f>
        <v/>
      </c>
      <c r="AG344">
        <f>_xlfn.IFNA(INDEX(mental_codes,MATCH(loaded!BS344,mental,0)),9)</f>
        <v>9</v>
      </c>
    </row>
    <row r="345" spans="1:33" x14ac:dyDescent="0.25">
      <c r="A345">
        <f>loaded!C345</f>
        <v>0</v>
      </c>
      <c r="B345">
        <f>loaded!I345</f>
        <v>0</v>
      </c>
      <c r="C345">
        <f>IF(loaded!K345="Male",1,IF(loaded!K345="Female",2,9))</f>
        <v>9</v>
      </c>
      <c r="D345" s="8">
        <f>loaded!M345</f>
        <v>0</v>
      </c>
      <c r="E345" t="str">
        <f>LEFT(loaded!O345,3)</f>
        <v/>
      </c>
      <c r="F345" t="e">
        <f>INDEX(cntry_codes,MATCH(loaded!Q345,countries,0))</f>
        <v>#N/A</v>
      </c>
      <c r="G345" t="e">
        <f>INDEX(atsi_codes,MATCH(loaded!S345,atsi,0))</f>
        <v>#N/A</v>
      </c>
      <c r="H345" t="e">
        <f>INDEX(lang_codes,MATCH(loaded!U345,lang,0))</f>
        <v>#N/A</v>
      </c>
      <c r="I345" s="8">
        <f>loaded!W345</f>
        <v>0</v>
      </c>
      <c r="J345" t="e">
        <f>INDEX(us_acc_codes,MATCH(loaded!Y345,us_acc,0))</f>
        <v>#N/A</v>
      </c>
      <c r="K345" t="e">
        <f>INDEX(client_codes,MATCH(loaded!AA345,client,0))</f>
        <v>#N/A</v>
      </c>
      <c r="L345" t="e">
        <f>INDEX(src_ref_codes,MATCH(loaded!AC345,src_ref,0))</f>
        <v>#N/A</v>
      </c>
      <c r="M345" s="8">
        <f>loaded!AE345</f>
        <v>0</v>
      </c>
      <c r="N345" s="8">
        <f>loaded!AG345</f>
        <v>0</v>
      </c>
      <c r="O345" t="e">
        <f>INDEX(reces_codes,MATCH(loaded!AI345,reason,0))</f>
        <v>#N/A</v>
      </c>
      <c r="P345" t="e">
        <f>INDEX(TDS_codes,MATCH(loaded!AK345,TDS,0))</f>
        <v>#N/A</v>
      </c>
      <c r="Q345" t="e">
        <f>IF(K345=2,"",INDEX(method_codes,MATCH(loaded!AM345,method,0)))</f>
        <v>#N/A</v>
      </c>
      <c r="R345" t="e">
        <f>IF(K345=2,"",INDEX(inj_codes,MATCH(loaded!AO345,inj,0)))</f>
        <v>#N/A</v>
      </c>
      <c r="S345" t="e">
        <f>IF(K345=2,"",INDEX(drug_codes,MATCH(loaded!AQ345,drug,0)))</f>
        <v>#N/A</v>
      </c>
      <c r="T345" t="e">
        <f>IF(K345=2,"",_xlfn.IFNA(INDEX(drug_codes,MATCH(loaded!AS345,drug,0)),""))</f>
        <v>#N/A</v>
      </c>
      <c r="U345" t="e">
        <f>IF(K345=2,"",_xlfn.IFNA(INDEX(drug_codes,MATCH(loaded!AU345,drug,0)),""))</f>
        <v>#N/A</v>
      </c>
      <c r="V345" t="e">
        <f>IF(K345=2,"",_xlfn.IFNA(INDEX(drug_codes,MATCH(loaded!AW345,drug,0)),""))</f>
        <v>#N/A</v>
      </c>
      <c r="W345" t="e">
        <f>IF(K345=2,"",_xlfn.IFNA(INDEX(drug_codes,MATCH(loaded!AY345,drug,0)),""))</f>
        <v>#N/A</v>
      </c>
      <c r="X345" t="e">
        <f>IF(K345=2,"",_xlfn.IFNA(INDEX(drug_codes,MATCH(loaded!BA345,drug,0)),""))</f>
        <v>#N/A</v>
      </c>
      <c r="Y345" t="e">
        <f>INDEX(MTT_codes,MATCH(loaded!BC345,MTT,0))</f>
        <v>#N/A</v>
      </c>
      <c r="Z345" t="str">
        <f>_xlfn.IFNA(INDEX(MTT_codes,MATCH(loaded!BE345,MTT,0)),"")</f>
        <v/>
      </c>
      <c r="AA345" t="str">
        <f>_xlfn.IFNA(INDEX(MTT_codes,MATCH(loaded!BG345,MTT,0)),"")</f>
        <v/>
      </c>
      <c r="AB345" t="str">
        <f>_xlfn.IFNA(INDEX(MTT_codes,MATCH(loaded!BI345,MTT,0)),"")</f>
        <v/>
      </c>
      <c r="AC345" t="str">
        <f>_xlfn.IFNA(INDEX(MTT_codes,MATCH(loaded!BK345,MTT,0)),"")</f>
        <v/>
      </c>
      <c r="AD345" t="str">
        <f>_xlfn.IFNA(INDEX(MTT_codes,MATCH(loaded!BM345,MTT,0)),"")</f>
        <v/>
      </c>
      <c r="AE345" t="e">
        <f>INDEX(liv_ar_codes,MATCH(loaded!BO345,liv_ar,0))</f>
        <v>#N/A</v>
      </c>
      <c r="AF345" t="str">
        <f>_xlfn.IFNA(INDEX(MTT_codes,MATCH(loaded!BQ345,MTT,0)),"")</f>
        <v/>
      </c>
      <c r="AG345">
        <f>_xlfn.IFNA(INDEX(mental_codes,MATCH(loaded!BS345,mental,0)),9)</f>
        <v>9</v>
      </c>
    </row>
    <row r="346" spans="1:33" x14ac:dyDescent="0.25">
      <c r="A346">
        <f>loaded!C346</f>
        <v>0</v>
      </c>
      <c r="B346">
        <f>loaded!I346</f>
        <v>0</v>
      </c>
      <c r="C346">
        <f>IF(loaded!K346="Male",1,IF(loaded!K346="Female",2,9))</f>
        <v>9</v>
      </c>
      <c r="D346" s="8">
        <f>loaded!M346</f>
        <v>0</v>
      </c>
      <c r="E346" t="str">
        <f>LEFT(loaded!O346,3)</f>
        <v/>
      </c>
      <c r="F346" t="e">
        <f>INDEX(cntry_codes,MATCH(loaded!Q346,countries,0))</f>
        <v>#N/A</v>
      </c>
      <c r="G346" t="e">
        <f>INDEX(atsi_codes,MATCH(loaded!S346,atsi,0))</f>
        <v>#N/A</v>
      </c>
      <c r="H346" t="e">
        <f>INDEX(lang_codes,MATCH(loaded!U346,lang,0))</f>
        <v>#N/A</v>
      </c>
      <c r="I346" s="8">
        <f>loaded!W346</f>
        <v>0</v>
      </c>
      <c r="J346" t="e">
        <f>INDEX(us_acc_codes,MATCH(loaded!Y346,us_acc,0))</f>
        <v>#N/A</v>
      </c>
      <c r="K346" t="e">
        <f>INDEX(client_codes,MATCH(loaded!AA346,client,0))</f>
        <v>#N/A</v>
      </c>
      <c r="L346" t="e">
        <f>INDEX(src_ref_codes,MATCH(loaded!AC346,src_ref,0))</f>
        <v>#N/A</v>
      </c>
      <c r="M346" s="8">
        <f>loaded!AE346</f>
        <v>0</v>
      </c>
      <c r="N346" s="8">
        <f>loaded!AG346</f>
        <v>0</v>
      </c>
      <c r="O346" t="e">
        <f>INDEX(reces_codes,MATCH(loaded!AI346,reason,0))</f>
        <v>#N/A</v>
      </c>
      <c r="P346" t="e">
        <f>INDEX(TDS_codes,MATCH(loaded!AK346,TDS,0))</f>
        <v>#N/A</v>
      </c>
      <c r="Q346" t="e">
        <f>IF(K346=2,"",INDEX(method_codes,MATCH(loaded!AM346,method,0)))</f>
        <v>#N/A</v>
      </c>
      <c r="R346" t="e">
        <f>IF(K346=2,"",INDEX(inj_codes,MATCH(loaded!AO346,inj,0)))</f>
        <v>#N/A</v>
      </c>
      <c r="S346" t="e">
        <f>IF(K346=2,"",INDEX(drug_codes,MATCH(loaded!AQ346,drug,0)))</f>
        <v>#N/A</v>
      </c>
      <c r="T346" t="e">
        <f>IF(K346=2,"",_xlfn.IFNA(INDEX(drug_codes,MATCH(loaded!AS346,drug,0)),""))</f>
        <v>#N/A</v>
      </c>
      <c r="U346" t="e">
        <f>IF(K346=2,"",_xlfn.IFNA(INDEX(drug_codes,MATCH(loaded!AU346,drug,0)),""))</f>
        <v>#N/A</v>
      </c>
      <c r="V346" t="e">
        <f>IF(K346=2,"",_xlfn.IFNA(INDEX(drug_codes,MATCH(loaded!AW346,drug,0)),""))</f>
        <v>#N/A</v>
      </c>
      <c r="W346" t="e">
        <f>IF(K346=2,"",_xlfn.IFNA(INDEX(drug_codes,MATCH(loaded!AY346,drug,0)),""))</f>
        <v>#N/A</v>
      </c>
      <c r="X346" t="e">
        <f>IF(K346=2,"",_xlfn.IFNA(INDEX(drug_codes,MATCH(loaded!BA346,drug,0)),""))</f>
        <v>#N/A</v>
      </c>
      <c r="Y346" t="e">
        <f>INDEX(MTT_codes,MATCH(loaded!BC346,MTT,0))</f>
        <v>#N/A</v>
      </c>
      <c r="Z346" t="str">
        <f>_xlfn.IFNA(INDEX(MTT_codes,MATCH(loaded!BE346,MTT,0)),"")</f>
        <v/>
      </c>
      <c r="AA346" t="str">
        <f>_xlfn.IFNA(INDEX(MTT_codes,MATCH(loaded!BG346,MTT,0)),"")</f>
        <v/>
      </c>
      <c r="AB346" t="str">
        <f>_xlfn.IFNA(INDEX(MTT_codes,MATCH(loaded!BI346,MTT,0)),"")</f>
        <v/>
      </c>
      <c r="AC346" t="str">
        <f>_xlfn.IFNA(INDEX(MTT_codes,MATCH(loaded!BK346,MTT,0)),"")</f>
        <v/>
      </c>
      <c r="AD346" t="str">
        <f>_xlfn.IFNA(INDEX(MTT_codes,MATCH(loaded!BM346,MTT,0)),"")</f>
        <v/>
      </c>
      <c r="AE346" t="e">
        <f>INDEX(liv_ar_codes,MATCH(loaded!BO346,liv_ar,0))</f>
        <v>#N/A</v>
      </c>
      <c r="AF346" t="str">
        <f>_xlfn.IFNA(INDEX(MTT_codes,MATCH(loaded!BQ346,MTT,0)),"")</f>
        <v/>
      </c>
      <c r="AG346">
        <f>_xlfn.IFNA(INDEX(mental_codes,MATCH(loaded!BS346,mental,0)),9)</f>
        <v>9</v>
      </c>
    </row>
    <row r="347" spans="1:33" x14ac:dyDescent="0.25">
      <c r="A347">
        <f>loaded!C347</f>
        <v>0</v>
      </c>
      <c r="B347">
        <f>loaded!I347</f>
        <v>0</v>
      </c>
      <c r="C347">
        <f>IF(loaded!K347="Male",1,IF(loaded!K347="Female",2,9))</f>
        <v>9</v>
      </c>
      <c r="D347" s="8">
        <f>loaded!M347</f>
        <v>0</v>
      </c>
      <c r="E347" t="str">
        <f>LEFT(loaded!O347,3)</f>
        <v/>
      </c>
      <c r="F347" t="e">
        <f>INDEX(cntry_codes,MATCH(loaded!Q347,countries,0))</f>
        <v>#N/A</v>
      </c>
      <c r="G347" t="e">
        <f>INDEX(atsi_codes,MATCH(loaded!S347,atsi,0))</f>
        <v>#N/A</v>
      </c>
      <c r="H347" t="e">
        <f>INDEX(lang_codes,MATCH(loaded!U347,lang,0))</f>
        <v>#N/A</v>
      </c>
      <c r="I347" s="8">
        <f>loaded!W347</f>
        <v>0</v>
      </c>
      <c r="J347" t="e">
        <f>INDEX(us_acc_codes,MATCH(loaded!Y347,us_acc,0))</f>
        <v>#N/A</v>
      </c>
      <c r="K347" t="e">
        <f>INDEX(client_codes,MATCH(loaded!AA347,client,0))</f>
        <v>#N/A</v>
      </c>
      <c r="L347" t="e">
        <f>INDEX(src_ref_codes,MATCH(loaded!AC347,src_ref,0))</f>
        <v>#N/A</v>
      </c>
      <c r="M347" s="8">
        <f>loaded!AE347</f>
        <v>0</v>
      </c>
      <c r="N347" s="8">
        <f>loaded!AG347</f>
        <v>0</v>
      </c>
      <c r="O347" t="e">
        <f>INDEX(reces_codes,MATCH(loaded!AI347,reason,0))</f>
        <v>#N/A</v>
      </c>
      <c r="P347" t="e">
        <f>INDEX(TDS_codes,MATCH(loaded!AK347,TDS,0))</f>
        <v>#N/A</v>
      </c>
      <c r="Q347" t="e">
        <f>IF(K347=2,"",INDEX(method_codes,MATCH(loaded!AM347,method,0)))</f>
        <v>#N/A</v>
      </c>
      <c r="R347" t="e">
        <f>IF(K347=2,"",INDEX(inj_codes,MATCH(loaded!AO347,inj,0)))</f>
        <v>#N/A</v>
      </c>
      <c r="S347" t="e">
        <f>IF(K347=2,"",INDEX(drug_codes,MATCH(loaded!AQ347,drug,0)))</f>
        <v>#N/A</v>
      </c>
      <c r="T347" t="e">
        <f>IF(K347=2,"",_xlfn.IFNA(INDEX(drug_codes,MATCH(loaded!AS347,drug,0)),""))</f>
        <v>#N/A</v>
      </c>
      <c r="U347" t="e">
        <f>IF(K347=2,"",_xlfn.IFNA(INDEX(drug_codes,MATCH(loaded!AU347,drug,0)),""))</f>
        <v>#N/A</v>
      </c>
      <c r="V347" t="e">
        <f>IF(K347=2,"",_xlfn.IFNA(INDEX(drug_codes,MATCH(loaded!AW347,drug,0)),""))</f>
        <v>#N/A</v>
      </c>
      <c r="W347" t="e">
        <f>IF(K347=2,"",_xlfn.IFNA(INDEX(drug_codes,MATCH(loaded!AY347,drug,0)),""))</f>
        <v>#N/A</v>
      </c>
      <c r="X347" t="e">
        <f>IF(K347=2,"",_xlfn.IFNA(INDEX(drug_codes,MATCH(loaded!BA347,drug,0)),""))</f>
        <v>#N/A</v>
      </c>
      <c r="Y347" t="e">
        <f>INDEX(MTT_codes,MATCH(loaded!BC347,MTT,0))</f>
        <v>#N/A</v>
      </c>
      <c r="Z347" t="str">
        <f>_xlfn.IFNA(INDEX(MTT_codes,MATCH(loaded!BE347,MTT,0)),"")</f>
        <v/>
      </c>
      <c r="AA347" t="str">
        <f>_xlfn.IFNA(INDEX(MTT_codes,MATCH(loaded!BG347,MTT,0)),"")</f>
        <v/>
      </c>
      <c r="AB347" t="str">
        <f>_xlfn.IFNA(INDEX(MTT_codes,MATCH(loaded!BI347,MTT,0)),"")</f>
        <v/>
      </c>
      <c r="AC347" t="str">
        <f>_xlfn.IFNA(INDEX(MTT_codes,MATCH(loaded!BK347,MTT,0)),"")</f>
        <v/>
      </c>
      <c r="AD347" t="str">
        <f>_xlfn.IFNA(INDEX(MTT_codes,MATCH(loaded!BM347,MTT,0)),"")</f>
        <v/>
      </c>
      <c r="AE347" t="e">
        <f>INDEX(liv_ar_codes,MATCH(loaded!BO347,liv_ar,0))</f>
        <v>#N/A</v>
      </c>
      <c r="AF347" t="str">
        <f>_xlfn.IFNA(INDEX(MTT_codes,MATCH(loaded!BQ347,MTT,0)),"")</f>
        <v/>
      </c>
      <c r="AG347">
        <f>_xlfn.IFNA(INDEX(mental_codes,MATCH(loaded!BS347,mental,0)),9)</f>
        <v>9</v>
      </c>
    </row>
    <row r="348" spans="1:33" x14ac:dyDescent="0.25">
      <c r="A348">
        <f>loaded!C348</f>
        <v>0</v>
      </c>
      <c r="B348">
        <f>loaded!I348</f>
        <v>0</v>
      </c>
      <c r="C348">
        <f>IF(loaded!K348="Male",1,IF(loaded!K348="Female",2,9))</f>
        <v>9</v>
      </c>
      <c r="D348" s="8">
        <f>loaded!M348</f>
        <v>0</v>
      </c>
      <c r="E348" t="str">
        <f>LEFT(loaded!O348,3)</f>
        <v/>
      </c>
      <c r="F348" t="e">
        <f>INDEX(cntry_codes,MATCH(loaded!Q348,countries,0))</f>
        <v>#N/A</v>
      </c>
      <c r="G348" t="e">
        <f>INDEX(atsi_codes,MATCH(loaded!S348,atsi,0))</f>
        <v>#N/A</v>
      </c>
      <c r="H348" t="e">
        <f>INDEX(lang_codes,MATCH(loaded!U348,lang,0))</f>
        <v>#N/A</v>
      </c>
      <c r="I348" s="8">
        <f>loaded!W348</f>
        <v>0</v>
      </c>
      <c r="J348" t="e">
        <f>INDEX(us_acc_codes,MATCH(loaded!Y348,us_acc,0))</f>
        <v>#N/A</v>
      </c>
      <c r="K348" t="e">
        <f>INDEX(client_codes,MATCH(loaded!AA348,client,0))</f>
        <v>#N/A</v>
      </c>
      <c r="L348" t="e">
        <f>INDEX(src_ref_codes,MATCH(loaded!AC348,src_ref,0))</f>
        <v>#N/A</v>
      </c>
      <c r="M348" s="8">
        <f>loaded!AE348</f>
        <v>0</v>
      </c>
      <c r="N348" s="8">
        <f>loaded!AG348</f>
        <v>0</v>
      </c>
      <c r="O348" t="e">
        <f>INDEX(reces_codes,MATCH(loaded!AI348,reason,0))</f>
        <v>#N/A</v>
      </c>
      <c r="P348" t="e">
        <f>INDEX(TDS_codes,MATCH(loaded!AK348,TDS,0))</f>
        <v>#N/A</v>
      </c>
      <c r="Q348" t="e">
        <f>IF(K348=2,"",INDEX(method_codes,MATCH(loaded!AM348,method,0)))</f>
        <v>#N/A</v>
      </c>
      <c r="R348" t="e">
        <f>IF(K348=2,"",INDEX(inj_codes,MATCH(loaded!AO348,inj,0)))</f>
        <v>#N/A</v>
      </c>
      <c r="S348" t="e">
        <f>IF(K348=2,"",INDEX(drug_codes,MATCH(loaded!AQ348,drug,0)))</f>
        <v>#N/A</v>
      </c>
      <c r="T348" t="e">
        <f>IF(K348=2,"",_xlfn.IFNA(INDEX(drug_codes,MATCH(loaded!AS348,drug,0)),""))</f>
        <v>#N/A</v>
      </c>
      <c r="U348" t="e">
        <f>IF(K348=2,"",_xlfn.IFNA(INDEX(drug_codes,MATCH(loaded!AU348,drug,0)),""))</f>
        <v>#N/A</v>
      </c>
      <c r="V348" t="e">
        <f>IF(K348=2,"",_xlfn.IFNA(INDEX(drug_codes,MATCH(loaded!AW348,drug,0)),""))</f>
        <v>#N/A</v>
      </c>
      <c r="W348" t="e">
        <f>IF(K348=2,"",_xlfn.IFNA(INDEX(drug_codes,MATCH(loaded!AY348,drug,0)),""))</f>
        <v>#N/A</v>
      </c>
      <c r="X348" t="e">
        <f>IF(K348=2,"",_xlfn.IFNA(INDEX(drug_codes,MATCH(loaded!BA348,drug,0)),""))</f>
        <v>#N/A</v>
      </c>
      <c r="Y348" t="e">
        <f>INDEX(MTT_codes,MATCH(loaded!BC348,MTT,0))</f>
        <v>#N/A</v>
      </c>
      <c r="Z348" t="str">
        <f>_xlfn.IFNA(INDEX(MTT_codes,MATCH(loaded!BE348,MTT,0)),"")</f>
        <v/>
      </c>
      <c r="AA348" t="str">
        <f>_xlfn.IFNA(INDEX(MTT_codes,MATCH(loaded!BG348,MTT,0)),"")</f>
        <v/>
      </c>
      <c r="AB348" t="str">
        <f>_xlfn.IFNA(INDEX(MTT_codes,MATCH(loaded!BI348,MTT,0)),"")</f>
        <v/>
      </c>
      <c r="AC348" t="str">
        <f>_xlfn.IFNA(INDEX(MTT_codes,MATCH(loaded!BK348,MTT,0)),"")</f>
        <v/>
      </c>
      <c r="AD348" t="str">
        <f>_xlfn.IFNA(INDEX(MTT_codes,MATCH(loaded!BM348,MTT,0)),"")</f>
        <v/>
      </c>
      <c r="AE348" t="e">
        <f>INDEX(liv_ar_codes,MATCH(loaded!BO348,liv_ar,0))</f>
        <v>#N/A</v>
      </c>
      <c r="AF348" t="str">
        <f>_xlfn.IFNA(INDEX(MTT_codes,MATCH(loaded!BQ348,MTT,0)),"")</f>
        <v/>
      </c>
      <c r="AG348">
        <f>_xlfn.IFNA(INDEX(mental_codes,MATCH(loaded!BS348,mental,0)),9)</f>
        <v>9</v>
      </c>
    </row>
    <row r="349" spans="1:33" x14ac:dyDescent="0.25">
      <c r="A349">
        <f>loaded!C349</f>
        <v>0</v>
      </c>
      <c r="B349">
        <f>loaded!I349</f>
        <v>0</v>
      </c>
      <c r="C349">
        <f>IF(loaded!K349="Male",1,IF(loaded!K349="Female",2,9))</f>
        <v>9</v>
      </c>
      <c r="D349" s="8">
        <f>loaded!M349</f>
        <v>0</v>
      </c>
      <c r="E349" t="str">
        <f>LEFT(loaded!O349,3)</f>
        <v/>
      </c>
      <c r="F349" t="e">
        <f>INDEX(cntry_codes,MATCH(loaded!Q349,countries,0))</f>
        <v>#N/A</v>
      </c>
      <c r="G349" t="e">
        <f>INDEX(atsi_codes,MATCH(loaded!S349,atsi,0))</f>
        <v>#N/A</v>
      </c>
      <c r="H349" t="e">
        <f>INDEX(lang_codes,MATCH(loaded!U349,lang,0))</f>
        <v>#N/A</v>
      </c>
      <c r="I349" s="8">
        <f>loaded!W349</f>
        <v>0</v>
      </c>
      <c r="J349" t="e">
        <f>INDEX(us_acc_codes,MATCH(loaded!Y349,us_acc,0))</f>
        <v>#N/A</v>
      </c>
      <c r="K349" t="e">
        <f>INDEX(client_codes,MATCH(loaded!AA349,client,0))</f>
        <v>#N/A</v>
      </c>
      <c r="L349" t="e">
        <f>INDEX(src_ref_codes,MATCH(loaded!AC349,src_ref,0))</f>
        <v>#N/A</v>
      </c>
      <c r="M349" s="8">
        <f>loaded!AE349</f>
        <v>0</v>
      </c>
      <c r="N349" s="8">
        <f>loaded!AG349</f>
        <v>0</v>
      </c>
      <c r="O349" t="e">
        <f>INDEX(reces_codes,MATCH(loaded!AI349,reason,0))</f>
        <v>#N/A</v>
      </c>
      <c r="P349" t="e">
        <f>INDEX(TDS_codes,MATCH(loaded!AK349,TDS,0))</f>
        <v>#N/A</v>
      </c>
      <c r="Q349" t="e">
        <f>IF(K349=2,"",INDEX(method_codes,MATCH(loaded!AM349,method,0)))</f>
        <v>#N/A</v>
      </c>
      <c r="R349" t="e">
        <f>IF(K349=2,"",INDEX(inj_codes,MATCH(loaded!AO349,inj,0)))</f>
        <v>#N/A</v>
      </c>
      <c r="S349" t="e">
        <f>IF(K349=2,"",INDEX(drug_codes,MATCH(loaded!AQ349,drug,0)))</f>
        <v>#N/A</v>
      </c>
      <c r="T349" t="e">
        <f>IF(K349=2,"",_xlfn.IFNA(INDEX(drug_codes,MATCH(loaded!AS349,drug,0)),""))</f>
        <v>#N/A</v>
      </c>
      <c r="U349" t="e">
        <f>IF(K349=2,"",_xlfn.IFNA(INDEX(drug_codes,MATCH(loaded!AU349,drug,0)),""))</f>
        <v>#N/A</v>
      </c>
      <c r="V349" t="e">
        <f>IF(K349=2,"",_xlfn.IFNA(INDEX(drug_codes,MATCH(loaded!AW349,drug,0)),""))</f>
        <v>#N/A</v>
      </c>
      <c r="W349" t="e">
        <f>IF(K349=2,"",_xlfn.IFNA(INDEX(drug_codes,MATCH(loaded!AY349,drug,0)),""))</f>
        <v>#N/A</v>
      </c>
      <c r="X349" t="e">
        <f>IF(K349=2,"",_xlfn.IFNA(INDEX(drug_codes,MATCH(loaded!BA349,drug,0)),""))</f>
        <v>#N/A</v>
      </c>
      <c r="Y349" t="e">
        <f>INDEX(MTT_codes,MATCH(loaded!BC349,MTT,0))</f>
        <v>#N/A</v>
      </c>
      <c r="Z349" t="str">
        <f>_xlfn.IFNA(INDEX(MTT_codes,MATCH(loaded!BE349,MTT,0)),"")</f>
        <v/>
      </c>
      <c r="AA349" t="str">
        <f>_xlfn.IFNA(INDEX(MTT_codes,MATCH(loaded!BG349,MTT,0)),"")</f>
        <v/>
      </c>
      <c r="AB349" t="str">
        <f>_xlfn.IFNA(INDEX(MTT_codes,MATCH(loaded!BI349,MTT,0)),"")</f>
        <v/>
      </c>
      <c r="AC349" t="str">
        <f>_xlfn.IFNA(INDEX(MTT_codes,MATCH(loaded!BK349,MTT,0)),"")</f>
        <v/>
      </c>
      <c r="AD349" t="str">
        <f>_xlfn.IFNA(INDEX(MTT_codes,MATCH(loaded!BM349,MTT,0)),"")</f>
        <v/>
      </c>
      <c r="AE349" t="e">
        <f>INDEX(liv_ar_codes,MATCH(loaded!BO349,liv_ar,0))</f>
        <v>#N/A</v>
      </c>
      <c r="AF349" t="str">
        <f>_xlfn.IFNA(INDEX(MTT_codes,MATCH(loaded!BQ349,MTT,0)),"")</f>
        <v/>
      </c>
      <c r="AG349">
        <f>_xlfn.IFNA(INDEX(mental_codes,MATCH(loaded!BS349,mental,0)),9)</f>
        <v>9</v>
      </c>
    </row>
    <row r="350" spans="1:33" x14ac:dyDescent="0.25">
      <c r="A350">
        <f>loaded!C350</f>
        <v>0</v>
      </c>
      <c r="B350">
        <f>loaded!I350</f>
        <v>0</v>
      </c>
      <c r="C350">
        <f>IF(loaded!K350="Male",1,IF(loaded!K350="Female",2,9))</f>
        <v>9</v>
      </c>
      <c r="D350" s="8">
        <f>loaded!M350</f>
        <v>0</v>
      </c>
      <c r="E350" t="str">
        <f>LEFT(loaded!O350,3)</f>
        <v/>
      </c>
      <c r="F350" t="e">
        <f>INDEX(cntry_codes,MATCH(loaded!Q350,countries,0))</f>
        <v>#N/A</v>
      </c>
      <c r="G350" t="e">
        <f>INDEX(atsi_codes,MATCH(loaded!S350,atsi,0))</f>
        <v>#N/A</v>
      </c>
      <c r="H350" t="e">
        <f>INDEX(lang_codes,MATCH(loaded!U350,lang,0))</f>
        <v>#N/A</v>
      </c>
      <c r="I350" s="8">
        <f>loaded!W350</f>
        <v>0</v>
      </c>
      <c r="J350" t="e">
        <f>INDEX(us_acc_codes,MATCH(loaded!Y350,us_acc,0))</f>
        <v>#N/A</v>
      </c>
      <c r="K350" t="e">
        <f>INDEX(client_codes,MATCH(loaded!AA350,client,0))</f>
        <v>#N/A</v>
      </c>
      <c r="L350" t="e">
        <f>INDEX(src_ref_codes,MATCH(loaded!AC350,src_ref,0))</f>
        <v>#N/A</v>
      </c>
      <c r="M350" s="8">
        <f>loaded!AE350</f>
        <v>0</v>
      </c>
      <c r="N350" s="8">
        <f>loaded!AG350</f>
        <v>0</v>
      </c>
      <c r="O350" t="e">
        <f>INDEX(reces_codes,MATCH(loaded!AI350,reason,0))</f>
        <v>#N/A</v>
      </c>
      <c r="P350" t="e">
        <f>INDEX(TDS_codes,MATCH(loaded!AK350,TDS,0))</f>
        <v>#N/A</v>
      </c>
      <c r="Q350" t="e">
        <f>IF(K350=2,"",INDEX(method_codes,MATCH(loaded!AM350,method,0)))</f>
        <v>#N/A</v>
      </c>
      <c r="R350" t="e">
        <f>IF(K350=2,"",INDEX(inj_codes,MATCH(loaded!AO350,inj,0)))</f>
        <v>#N/A</v>
      </c>
      <c r="S350" t="e">
        <f>IF(K350=2,"",INDEX(drug_codes,MATCH(loaded!AQ350,drug,0)))</f>
        <v>#N/A</v>
      </c>
      <c r="T350" t="e">
        <f>IF(K350=2,"",_xlfn.IFNA(INDEX(drug_codes,MATCH(loaded!AS350,drug,0)),""))</f>
        <v>#N/A</v>
      </c>
      <c r="U350" t="e">
        <f>IF(K350=2,"",_xlfn.IFNA(INDEX(drug_codes,MATCH(loaded!AU350,drug,0)),""))</f>
        <v>#N/A</v>
      </c>
      <c r="V350" t="e">
        <f>IF(K350=2,"",_xlfn.IFNA(INDEX(drug_codes,MATCH(loaded!AW350,drug,0)),""))</f>
        <v>#N/A</v>
      </c>
      <c r="W350" t="e">
        <f>IF(K350=2,"",_xlfn.IFNA(INDEX(drug_codes,MATCH(loaded!AY350,drug,0)),""))</f>
        <v>#N/A</v>
      </c>
      <c r="X350" t="e">
        <f>IF(K350=2,"",_xlfn.IFNA(INDEX(drug_codes,MATCH(loaded!BA350,drug,0)),""))</f>
        <v>#N/A</v>
      </c>
      <c r="Y350" t="e">
        <f>INDEX(MTT_codes,MATCH(loaded!BC350,MTT,0))</f>
        <v>#N/A</v>
      </c>
      <c r="Z350" t="str">
        <f>_xlfn.IFNA(INDEX(MTT_codes,MATCH(loaded!BE350,MTT,0)),"")</f>
        <v/>
      </c>
      <c r="AA350" t="str">
        <f>_xlfn.IFNA(INDEX(MTT_codes,MATCH(loaded!BG350,MTT,0)),"")</f>
        <v/>
      </c>
      <c r="AB350" t="str">
        <f>_xlfn.IFNA(INDEX(MTT_codes,MATCH(loaded!BI350,MTT,0)),"")</f>
        <v/>
      </c>
      <c r="AC350" t="str">
        <f>_xlfn.IFNA(INDEX(MTT_codes,MATCH(loaded!BK350,MTT,0)),"")</f>
        <v/>
      </c>
      <c r="AD350" t="str">
        <f>_xlfn.IFNA(INDEX(MTT_codes,MATCH(loaded!BM350,MTT,0)),"")</f>
        <v/>
      </c>
      <c r="AE350" t="e">
        <f>INDEX(liv_ar_codes,MATCH(loaded!BO350,liv_ar,0))</f>
        <v>#N/A</v>
      </c>
      <c r="AF350" t="str">
        <f>_xlfn.IFNA(INDEX(MTT_codes,MATCH(loaded!BQ350,MTT,0)),"")</f>
        <v/>
      </c>
      <c r="AG350">
        <f>_xlfn.IFNA(INDEX(mental_codes,MATCH(loaded!BS350,mental,0)),9)</f>
        <v>9</v>
      </c>
    </row>
    <row r="351" spans="1:33" x14ac:dyDescent="0.25">
      <c r="A351">
        <f>loaded!C351</f>
        <v>0</v>
      </c>
      <c r="B351">
        <f>loaded!I351</f>
        <v>0</v>
      </c>
      <c r="C351">
        <f>IF(loaded!K351="Male",1,IF(loaded!K351="Female",2,9))</f>
        <v>9</v>
      </c>
      <c r="D351" s="8">
        <f>loaded!M351</f>
        <v>0</v>
      </c>
      <c r="E351" t="str">
        <f>LEFT(loaded!O351,3)</f>
        <v/>
      </c>
      <c r="F351" t="e">
        <f>INDEX(cntry_codes,MATCH(loaded!Q351,countries,0))</f>
        <v>#N/A</v>
      </c>
      <c r="G351" t="e">
        <f>INDEX(atsi_codes,MATCH(loaded!S351,atsi,0))</f>
        <v>#N/A</v>
      </c>
      <c r="H351" t="e">
        <f>INDEX(lang_codes,MATCH(loaded!U351,lang,0))</f>
        <v>#N/A</v>
      </c>
      <c r="I351" s="8">
        <f>loaded!W351</f>
        <v>0</v>
      </c>
      <c r="J351" t="e">
        <f>INDEX(us_acc_codes,MATCH(loaded!Y351,us_acc,0))</f>
        <v>#N/A</v>
      </c>
      <c r="K351" t="e">
        <f>INDEX(client_codes,MATCH(loaded!AA351,client,0))</f>
        <v>#N/A</v>
      </c>
      <c r="L351" t="e">
        <f>INDEX(src_ref_codes,MATCH(loaded!AC351,src_ref,0))</f>
        <v>#N/A</v>
      </c>
      <c r="M351" s="8">
        <f>loaded!AE351</f>
        <v>0</v>
      </c>
      <c r="N351" s="8">
        <f>loaded!AG351</f>
        <v>0</v>
      </c>
      <c r="O351" t="e">
        <f>INDEX(reces_codes,MATCH(loaded!AI351,reason,0))</f>
        <v>#N/A</v>
      </c>
      <c r="P351" t="e">
        <f>INDEX(TDS_codes,MATCH(loaded!AK351,TDS,0))</f>
        <v>#N/A</v>
      </c>
      <c r="Q351" t="e">
        <f>IF(K351=2,"",INDEX(method_codes,MATCH(loaded!AM351,method,0)))</f>
        <v>#N/A</v>
      </c>
      <c r="R351" t="e">
        <f>IF(K351=2,"",INDEX(inj_codes,MATCH(loaded!AO351,inj,0)))</f>
        <v>#N/A</v>
      </c>
      <c r="S351" t="e">
        <f>IF(K351=2,"",INDEX(drug_codes,MATCH(loaded!AQ351,drug,0)))</f>
        <v>#N/A</v>
      </c>
      <c r="T351" t="e">
        <f>IF(K351=2,"",_xlfn.IFNA(INDEX(drug_codes,MATCH(loaded!AS351,drug,0)),""))</f>
        <v>#N/A</v>
      </c>
      <c r="U351" t="e">
        <f>IF(K351=2,"",_xlfn.IFNA(INDEX(drug_codes,MATCH(loaded!AU351,drug,0)),""))</f>
        <v>#N/A</v>
      </c>
      <c r="V351" t="e">
        <f>IF(K351=2,"",_xlfn.IFNA(INDEX(drug_codes,MATCH(loaded!AW351,drug,0)),""))</f>
        <v>#N/A</v>
      </c>
      <c r="W351" t="e">
        <f>IF(K351=2,"",_xlfn.IFNA(INDEX(drug_codes,MATCH(loaded!AY351,drug,0)),""))</f>
        <v>#N/A</v>
      </c>
      <c r="X351" t="e">
        <f>IF(K351=2,"",_xlfn.IFNA(INDEX(drug_codes,MATCH(loaded!BA351,drug,0)),""))</f>
        <v>#N/A</v>
      </c>
      <c r="Y351" t="e">
        <f>INDEX(MTT_codes,MATCH(loaded!BC351,MTT,0))</f>
        <v>#N/A</v>
      </c>
      <c r="Z351" t="str">
        <f>_xlfn.IFNA(INDEX(MTT_codes,MATCH(loaded!BE351,MTT,0)),"")</f>
        <v/>
      </c>
      <c r="AA351" t="str">
        <f>_xlfn.IFNA(INDEX(MTT_codes,MATCH(loaded!BG351,MTT,0)),"")</f>
        <v/>
      </c>
      <c r="AB351" t="str">
        <f>_xlfn.IFNA(INDEX(MTT_codes,MATCH(loaded!BI351,MTT,0)),"")</f>
        <v/>
      </c>
      <c r="AC351" t="str">
        <f>_xlfn.IFNA(INDEX(MTT_codes,MATCH(loaded!BK351,MTT,0)),"")</f>
        <v/>
      </c>
      <c r="AD351" t="str">
        <f>_xlfn.IFNA(INDEX(MTT_codes,MATCH(loaded!BM351,MTT,0)),"")</f>
        <v/>
      </c>
      <c r="AE351" t="e">
        <f>INDEX(liv_ar_codes,MATCH(loaded!BO351,liv_ar,0))</f>
        <v>#N/A</v>
      </c>
      <c r="AF351" t="str">
        <f>_xlfn.IFNA(INDEX(MTT_codes,MATCH(loaded!BQ351,MTT,0)),"")</f>
        <v/>
      </c>
      <c r="AG351">
        <f>_xlfn.IFNA(INDEX(mental_codes,MATCH(loaded!BS351,mental,0)),9)</f>
        <v>9</v>
      </c>
    </row>
    <row r="352" spans="1:33" x14ac:dyDescent="0.25">
      <c r="A352">
        <f>loaded!C352</f>
        <v>0</v>
      </c>
      <c r="B352">
        <f>loaded!I352</f>
        <v>0</v>
      </c>
      <c r="C352">
        <f>IF(loaded!K352="Male",1,IF(loaded!K352="Female",2,9))</f>
        <v>9</v>
      </c>
      <c r="D352" s="8">
        <f>loaded!M352</f>
        <v>0</v>
      </c>
      <c r="E352" t="str">
        <f>LEFT(loaded!O352,3)</f>
        <v/>
      </c>
      <c r="F352" t="e">
        <f>INDEX(cntry_codes,MATCH(loaded!Q352,countries,0))</f>
        <v>#N/A</v>
      </c>
      <c r="G352" t="e">
        <f>INDEX(atsi_codes,MATCH(loaded!S352,atsi,0))</f>
        <v>#N/A</v>
      </c>
      <c r="H352" t="e">
        <f>INDEX(lang_codes,MATCH(loaded!U352,lang,0))</f>
        <v>#N/A</v>
      </c>
      <c r="I352" s="8">
        <f>loaded!W352</f>
        <v>0</v>
      </c>
      <c r="J352" t="e">
        <f>INDEX(us_acc_codes,MATCH(loaded!Y352,us_acc,0))</f>
        <v>#N/A</v>
      </c>
      <c r="K352" t="e">
        <f>INDEX(client_codes,MATCH(loaded!AA352,client,0))</f>
        <v>#N/A</v>
      </c>
      <c r="L352" t="e">
        <f>INDEX(src_ref_codes,MATCH(loaded!AC352,src_ref,0))</f>
        <v>#N/A</v>
      </c>
      <c r="M352" s="8">
        <f>loaded!AE352</f>
        <v>0</v>
      </c>
      <c r="N352" s="8">
        <f>loaded!AG352</f>
        <v>0</v>
      </c>
      <c r="O352" t="e">
        <f>INDEX(reces_codes,MATCH(loaded!AI352,reason,0))</f>
        <v>#N/A</v>
      </c>
      <c r="P352" t="e">
        <f>INDEX(TDS_codes,MATCH(loaded!AK352,TDS,0))</f>
        <v>#N/A</v>
      </c>
      <c r="Q352" t="e">
        <f>IF(K352=2,"",INDEX(method_codes,MATCH(loaded!AM352,method,0)))</f>
        <v>#N/A</v>
      </c>
      <c r="R352" t="e">
        <f>IF(K352=2,"",INDEX(inj_codes,MATCH(loaded!AO352,inj,0)))</f>
        <v>#N/A</v>
      </c>
      <c r="S352" t="e">
        <f>IF(K352=2,"",INDEX(drug_codes,MATCH(loaded!AQ352,drug,0)))</f>
        <v>#N/A</v>
      </c>
      <c r="T352" t="e">
        <f>IF(K352=2,"",_xlfn.IFNA(INDEX(drug_codes,MATCH(loaded!AS352,drug,0)),""))</f>
        <v>#N/A</v>
      </c>
      <c r="U352" t="e">
        <f>IF(K352=2,"",_xlfn.IFNA(INDEX(drug_codes,MATCH(loaded!AU352,drug,0)),""))</f>
        <v>#N/A</v>
      </c>
      <c r="V352" t="e">
        <f>IF(K352=2,"",_xlfn.IFNA(INDEX(drug_codes,MATCH(loaded!AW352,drug,0)),""))</f>
        <v>#N/A</v>
      </c>
      <c r="W352" t="e">
        <f>IF(K352=2,"",_xlfn.IFNA(INDEX(drug_codes,MATCH(loaded!AY352,drug,0)),""))</f>
        <v>#N/A</v>
      </c>
      <c r="X352" t="e">
        <f>IF(K352=2,"",_xlfn.IFNA(INDEX(drug_codes,MATCH(loaded!BA352,drug,0)),""))</f>
        <v>#N/A</v>
      </c>
      <c r="Y352" t="e">
        <f>INDEX(MTT_codes,MATCH(loaded!BC352,MTT,0))</f>
        <v>#N/A</v>
      </c>
      <c r="Z352" t="str">
        <f>_xlfn.IFNA(INDEX(MTT_codes,MATCH(loaded!BE352,MTT,0)),"")</f>
        <v/>
      </c>
      <c r="AA352" t="str">
        <f>_xlfn.IFNA(INDEX(MTT_codes,MATCH(loaded!BG352,MTT,0)),"")</f>
        <v/>
      </c>
      <c r="AB352" t="str">
        <f>_xlfn.IFNA(INDEX(MTT_codes,MATCH(loaded!BI352,MTT,0)),"")</f>
        <v/>
      </c>
      <c r="AC352" t="str">
        <f>_xlfn.IFNA(INDEX(MTT_codes,MATCH(loaded!BK352,MTT,0)),"")</f>
        <v/>
      </c>
      <c r="AD352" t="str">
        <f>_xlfn.IFNA(INDEX(MTT_codes,MATCH(loaded!BM352,MTT,0)),"")</f>
        <v/>
      </c>
      <c r="AE352" t="e">
        <f>INDEX(liv_ar_codes,MATCH(loaded!BO352,liv_ar,0))</f>
        <v>#N/A</v>
      </c>
      <c r="AF352" t="str">
        <f>_xlfn.IFNA(INDEX(MTT_codes,MATCH(loaded!BQ352,MTT,0)),"")</f>
        <v/>
      </c>
      <c r="AG352">
        <f>_xlfn.IFNA(INDEX(mental_codes,MATCH(loaded!BS352,mental,0)),9)</f>
        <v>9</v>
      </c>
    </row>
    <row r="353" spans="1:33" x14ac:dyDescent="0.25">
      <c r="A353">
        <f>loaded!C353</f>
        <v>0</v>
      </c>
      <c r="B353">
        <f>loaded!I353</f>
        <v>0</v>
      </c>
      <c r="C353">
        <f>IF(loaded!K353="Male",1,IF(loaded!K353="Female",2,9))</f>
        <v>9</v>
      </c>
      <c r="D353" s="8">
        <f>loaded!M353</f>
        <v>0</v>
      </c>
      <c r="E353" t="str">
        <f>LEFT(loaded!O353,3)</f>
        <v/>
      </c>
      <c r="F353" t="e">
        <f>INDEX(cntry_codes,MATCH(loaded!Q353,countries,0))</f>
        <v>#N/A</v>
      </c>
      <c r="G353" t="e">
        <f>INDEX(atsi_codes,MATCH(loaded!S353,atsi,0))</f>
        <v>#N/A</v>
      </c>
      <c r="H353" t="e">
        <f>INDEX(lang_codes,MATCH(loaded!U353,lang,0))</f>
        <v>#N/A</v>
      </c>
      <c r="I353" s="8">
        <f>loaded!W353</f>
        <v>0</v>
      </c>
      <c r="J353" t="e">
        <f>INDEX(us_acc_codes,MATCH(loaded!Y353,us_acc,0))</f>
        <v>#N/A</v>
      </c>
      <c r="K353" t="e">
        <f>INDEX(client_codes,MATCH(loaded!AA353,client,0))</f>
        <v>#N/A</v>
      </c>
      <c r="L353" t="e">
        <f>INDEX(src_ref_codes,MATCH(loaded!AC353,src_ref,0))</f>
        <v>#N/A</v>
      </c>
      <c r="M353" s="8">
        <f>loaded!AE353</f>
        <v>0</v>
      </c>
      <c r="N353" s="8">
        <f>loaded!AG353</f>
        <v>0</v>
      </c>
      <c r="O353" t="e">
        <f>INDEX(reces_codes,MATCH(loaded!AI353,reason,0))</f>
        <v>#N/A</v>
      </c>
      <c r="P353" t="e">
        <f>INDEX(TDS_codes,MATCH(loaded!AK353,TDS,0))</f>
        <v>#N/A</v>
      </c>
      <c r="Q353" t="e">
        <f>IF(K353=2,"",INDEX(method_codes,MATCH(loaded!AM353,method,0)))</f>
        <v>#N/A</v>
      </c>
      <c r="R353" t="e">
        <f>IF(K353=2,"",INDEX(inj_codes,MATCH(loaded!AO353,inj,0)))</f>
        <v>#N/A</v>
      </c>
      <c r="S353" t="e">
        <f>IF(K353=2,"",INDEX(drug_codes,MATCH(loaded!AQ353,drug,0)))</f>
        <v>#N/A</v>
      </c>
      <c r="T353" t="e">
        <f>IF(K353=2,"",_xlfn.IFNA(INDEX(drug_codes,MATCH(loaded!AS353,drug,0)),""))</f>
        <v>#N/A</v>
      </c>
      <c r="U353" t="e">
        <f>IF(K353=2,"",_xlfn.IFNA(INDEX(drug_codes,MATCH(loaded!AU353,drug,0)),""))</f>
        <v>#N/A</v>
      </c>
      <c r="V353" t="e">
        <f>IF(K353=2,"",_xlfn.IFNA(INDEX(drug_codes,MATCH(loaded!AW353,drug,0)),""))</f>
        <v>#N/A</v>
      </c>
      <c r="W353" t="e">
        <f>IF(K353=2,"",_xlfn.IFNA(INDEX(drug_codes,MATCH(loaded!AY353,drug,0)),""))</f>
        <v>#N/A</v>
      </c>
      <c r="X353" t="e">
        <f>IF(K353=2,"",_xlfn.IFNA(INDEX(drug_codes,MATCH(loaded!BA353,drug,0)),""))</f>
        <v>#N/A</v>
      </c>
      <c r="Y353" t="e">
        <f>INDEX(MTT_codes,MATCH(loaded!BC353,MTT,0))</f>
        <v>#N/A</v>
      </c>
      <c r="Z353" t="str">
        <f>_xlfn.IFNA(INDEX(MTT_codes,MATCH(loaded!BE353,MTT,0)),"")</f>
        <v/>
      </c>
      <c r="AA353" t="str">
        <f>_xlfn.IFNA(INDEX(MTT_codes,MATCH(loaded!BG353,MTT,0)),"")</f>
        <v/>
      </c>
      <c r="AB353" t="str">
        <f>_xlfn.IFNA(INDEX(MTT_codes,MATCH(loaded!BI353,MTT,0)),"")</f>
        <v/>
      </c>
      <c r="AC353" t="str">
        <f>_xlfn.IFNA(INDEX(MTT_codes,MATCH(loaded!BK353,MTT,0)),"")</f>
        <v/>
      </c>
      <c r="AD353" t="str">
        <f>_xlfn.IFNA(INDEX(MTT_codes,MATCH(loaded!BM353,MTT,0)),"")</f>
        <v/>
      </c>
      <c r="AE353" t="e">
        <f>INDEX(liv_ar_codes,MATCH(loaded!BO353,liv_ar,0))</f>
        <v>#N/A</v>
      </c>
      <c r="AF353" t="str">
        <f>_xlfn.IFNA(INDEX(MTT_codes,MATCH(loaded!BQ353,MTT,0)),"")</f>
        <v/>
      </c>
      <c r="AG353">
        <f>_xlfn.IFNA(INDEX(mental_codes,MATCH(loaded!BS353,mental,0)),9)</f>
        <v>9</v>
      </c>
    </row>
    <row r="354" spans="1:33" x14ac:dyDescent="0.25">
      <c r="A354">
        <f>loaded!C354</f>
        <v>0</v>
      </c>
      <c r="B354">
        <f>loaded!I354</f>
        <v>0</v>
      </c>
      <c r="C354">
        <f>IF(loaded!K354="Male",1,IF(loaded!K354="Female",2,9))</f>
        <v>9</v>
      </c>
      <c r="D354" s="8">
        <f>loaded!M354</f>
        <v>0</v>
      </c>
      <c r="E354" t="str">
        <f>LEFT(loaded!O354,3)</f>
        <v/>
      </c>
      <c r="F354" t="e">
        <f>INDEX(cntry_codes,MATCH(loaded!Q354,countries,0))</f>
        <v>#N/A</v>
      </c>
      <c r="G354" t="e">
        <f>INDEX(atsi_codes,MATCH(loaded!S354,atsi,0))</f>
        <v>#N/A</v>
      </c>
      <c r="H354" t="e">
        <f>INDEX(lang_codes,MATCH(loaded!U354,lang,0))</f>
        <v>#N/A</v>
      </c>
      <c r="I354" s="8">
        <f>loaded!W354</f>
        <v>0</v>
      </c>
      <c r="J354" t="e">
        <f>INDEX(us_acc_codes,MATCH(loaded!Y354,us_acc,0))</f>
        <v>#N/A</v>
      </c>
      <c r="K354" t="e">
        <f>INDEX(client_codes,MATCH(loaded!AA354,client,0))</f>
        <v>#N/A</v>
      </c>
      <c r="L354" t="e">
        <f>INDEX(src_ref_codes,MATCH(loaded!AC354,src_ref,0))</f>
        <v>#N/A</v>
      </c>
      <c r="M354" s="8">
        <f>loaded!AE354</f>
        <v>0</v>
      </c>
      <c r="N354" s="8">
        <f>loaded!AG354</f>
        <v>0</v>
      </c>
      <c r="O354" t="e">
        <f>INDEX(reces_codes,MATCH(loaded!AI354,reason,0))</f>
        <v>#N/A</v>
      </c>
      <c r="P354" t="e">
        <f>INDEX(TDS_codes,MATCH(loaded!AK354,TDS,0))</f>
        <v>#N/A</v>
      </c>
      <c r="Q354" t="e">
        <f>IF(K354=2,"",INDEX(method_codes,MATCH(loaded!AM354,method,0)))</f>
        <v>#N/A</v>
      </c>
      <c r="R354" t="e">
        <f>IF(K354=2,"",INDEX(inj_codes,MATCH(loaded!AO354,inj,0)))</f>
        <v>#N/A</v>
      </c>
      <c r="S354" t="e">
        <f>IF(K354=2,"",INDEX(drug_codes,MATCH(loaded!AQ354,drug,0)))</f>
        <v>#N/A</v>
      </c>
      <c r="T354" t="e">
        <f>IF(K354=2,"",_xlfn.IFNA(INDEX(drug_codes,MATCH(loaded!AS354,drug,0)),""))</f>
        <v>#N/A</v>
      </c>
      <c r="U354" t="e">
        <f>IF(K354=2,"",_xlfn.IFNA(INDEX(drug_codes,MATCH(loaded!AU354,drug,0)),""))</f>
        <v>#N/A</v>
      </c>
      <c r="V354" t="e">
        <f>IF(K354=2,"",_xlfn.IFNA(INDEX(drug_codes,MATCH(loaded!AW354,drug,0)),""))</f>
        <v>#N/A</v>
      </c>
      <c r="W354" t="e">
        <f>IF(K354=2,"",_xlfn.IFNA(INDEX(drug_codes,MATCH(loaded!AY354,drug,0)),""))</f>
        <v>#N/A</v>
      </c>
      <c r="X354" t="e">
        <f>IF(K354=2,"",_xlfn.IFNA(INDEX(drug_codes,MATCH(loaded!BA354,drug,0)),""))</f>
        <v>#N/A</v>
      </c>
      <c r="Y354" t="e">
        <f>INDEX(MTT_codes,MATCH(loaded!BC354,MTT,0))</f>
        <v>#N/A</v>
      </c>
      <c r="Z354" t="str">
        <f>_xlfn.IFNA(INDEX(MTT_codes,MATCH(loaded!BE354,MTT,0)),"")</f>
        <v/>
      </c>
      <c r="AA354" t="str">
        <f>_xlfn.IFNA(INDEX(MTT_codes,MATCH(loaded!BG354,MTT,0)),"")</f>
        <v/>
      </c>
      <c r="AB354" t="str">
        <f>_xlfn.IFNA(INDEX(MTT_codes,MATCH(loaded!BI354,MTT,0)),"")</f>
        <v/>
      </c>
      <c r="AC354" t="str">
        <f>_xlfn.IFNA(INDEX(MTT_codes,MATCH(loaded!BK354,MTT,0)),"")</f>
        <v/>
      </c>
      <c r="AD354" t="str">
        <f>_xlfn.IFNA(INDEX(MTT_codes,MATCH(loaded!BM354,MTT,0)),"")</f>
        <v/>
      </c>
      <c r="AE354" t="e">
        <f>INDEX(liv_ar_codes,MATCH(loaded!BO354,liv_ar,0))</f>
        <v>#N/A</v>
      </c>
      <c r="AF354" t="str">
        <f>_xlfn.IFNA(INDEX(MTT_codes,MATCH(loaded!BQ354,MTT,0)),"")</f>
        <v/>
      </c>
      <c r="AG354">
        <f>_xlfn.IFNA(INDEX(mental_codes,MATCH(loaded!BS354,mental,0)),9)</f>
        <v>9</v>
      </c>
    </row>
    <row r="355" spans="1:33" x14ac:dyDescent="0.25">
      <c r="A355">
        <f>loaded!C355</f>
        <v>0</v>
      </c>
      <c r="B355">
        <f>loaded!I355</f>
        <v>0</v>
      </c>
      <c r="C355">
        <f>IF(loaded!K355="Male",1,IF(loaded!K355="Female",2,9))</f>
        <v>9</v>
      </c>
      <c r="D355" s="8">
        <f>loaded!M355</f>
        <v>0</v>
      </c>
      <c r="E355" t="str">
        <f>LEFT(loaded!O355,3)</f>
        <v/>
      </c>
      <c r="F355" t="e">
        <f>INDEX(cntry_codes,MATCH(loaded!Q355,countries,0))</f>
        <v>#N/A</v>
      </c>
      <c r="G355" t="e">
        <f>INDEX(atsi_codes,MATCH(loaded!S355,atsi,0))</f>
        <v>#N/A</v>
      </c>
      <c r="H355" t="e">
        <f>INDEX(lang_codes,MATCH(loaded!U355,lang,0))</f>
        <v>#N/A</v>
      </c>
      <c r="I355" s="8">
        <f>loaded!W355</f>
        <v>0</v>
      </c>
      <c r="J355" t="e">
        <f>INDEX(us_acc_codes,MATCH(loaded!Y355,us_acc,0))</f>
        <v>#N/A</v>
      </c>
      <c r="K355" t="e">
        <f>INDEX(client_codes,MATCH(loaded!AA355,client,0))</f>
        <v>#N/A</v>
      </c>
      <c r="L355" t="e">
        <f>INDEX(src_ref_codes,MATCH(loaded!AC355,src_ref,0))</f>
        <v>#N/A</v>
      </c>
      <c r="M355" s="8">
        <f>loaded!AE355</f>
        <v>0</v>
      </c>
      <c r="N355" s="8">
        <f>loaded!AG355</f>
        <v>0</v>
      </c>
      <c r="O355" t="e">
        <f>INDEX(reces_codes,MATCH(loaded!AI355,reason,0))</f>
        <v>#N/A</v>
      </c>
      <c r="P355" t="e">
        <f>INDEX(TDS_codes,MATCH(loaded!AK355,TDS,0))</f>
        <v>#N/A</v>
      </c>
      <c r="Q355" t="e">
        <f>IF(K355=2,"",INDEX(method_codes,MATCH(loaded!AM355,method,0)))</f>
        <v>#N/A</v>
      </c>
      <c r="R355" t="e">
        <f>IF(K355=2,"",INDEX(inj_codes,MATCH(loaded!AO355,inj,0)))</f>
        <v>#N/A</v>
      </c>
      <c r="S355" t="e">
        <f>IF(K355=2,"",INDEX(drug_codes,MATCH(loaded!AQ355,drug,0)))</f>
        <v>#N/A</v>
      </c>
      <c r="T355" t="e">
        <f>IF(K355=2,"",_xlfn.IFNA(INDEX(drug_codes,MATCH(loaded!AS355,drug,0)),""))</f>
        <v>#N/A</v>
      </c>
      <c r="U355" t="e">
        <f>IF(K355=2,"",_xlfn.IFNA(INDEX(drug_codes,MATCH(loaded!AU355,drug,0)),""))</f>
        <v>#N/A</v>
      </c>
      <c r="V355" t="e">
        <f>IF(K355=2,"",_xlfn.IFNA(INDEX(drug_codes,MATCH(loaded!AW355,drug,0)),""))</f>
        <v>#N/A</v>
      </c>
      <c r="W355" t="e">
        <f>IF(K355=2,"",_xlfn.IFNA(INDEX(drug_codes,MATCH(loaded!AY355,drug,0)),""))</f>
        <v>#N/A</v>
      </c>
      <c r="X355" t="e">
        <f>IF(K355=2,"",_xlfn.IFNA(INDEX(drug_codes,MATCH(loaded!BA355,drug,0)),""))</f>
        <v>#N/A</v>
      </c>
      <c r="Y355" t="e">
        <f>INDEX(MTT_codes,MATCH(loaded!BC355,MTT,0))</f>
        <v>#N/A</v>
      </c>
      <c r="Z355" t="str">
        <f>_xlfn.IFNA(INDEX(MTT_codes,MATCH(loaded!BE355,MTT,0)),"")</f>
        <v/>
      </c>
      <c r="AA355" t="str">
        <f>_xlfn.IFNA(INDEX(MTT_codes,MATCH(loaded!BG355,MTT,0)),"")</f>
        <v/>
      </c>
      <c r="AB355" t="str">
        <f>_xlfn.IFNA(INDEX(MTT_codes,MATCH(loaded!BI355,MTT,0)),"")</f>
        <v/>
      </c>
      <c r="AC355" t="str">
        <f>_xlfn.IFNA(INDEX(MTT_codes,MATCH(loaded!BK355,MTT,0)),"")</f>
        <v/>
      </c>
      <c r="AD355" t="str">
        <f>_xlfn.IFNA(INDEX(MTT_codes,MATCH(loaded!BM355,MTT,0)),"")</f>
        <v/>
      </c>
      <c r="AE355" t="e">
        <f>INDEX(liv_ar_codes,MATCH(loaded!BO355,liv_ar,0))</f>
        <v>#N/A</v>
      </c>
      <c r="AF355" t="str">
        <f>_xlfn.IFNA(INDEX(MTT_codes,MATCH(loaded!BQ355,MTT,0)),"")</f>
        <v/>
      </c>
      <c r="AG355">
        <f>_xlfn.IFNA(INDEX(mental_codes,MATCH(loaded!BS355,mental,0)),9)</f>
        <v>9</v>
      </c>
    </row>
    <row r="356" spans="1:33" x14ac:dyDescent="0.25">
      <c r="A356">
        <f>loaded!C356</f>
        <v>0</v>
      </c>
      <c r="B356">
        <f>loaded!I356</f>
        <v>0</v>
      </c>
      <c r="C356">
        <f>IF(loaded!K356="Male",1,IF(loaded!K356="Female",2,9))</f>
        <v>9</v>
      </c>
      <c r="D356" s="8">
        <f>loaded!M356</f>
        <v>0</v>
      </c>
      <c r="E356" t="str">
        <f>LEFT(loaded!O356,3)</f>
        <v/>
      </c>
      <c r="F356" t="e">
        <f>INDEX(cntry_codes,MATCH(loaded!Q356,countries,0))</f>
        <v>#N/A</v>
      </c>
      <c r="G356" t="e">
        <f>INDEX(atsi_codes,MATCH(loaded!S356,atsi,0))</f>
        <v>#N/A</v>
      </c>
      <c r="H356" t="e">
        <f>INDEX(lang_codes,MATCH(loaded!U356,lang,0))</f>
        <v>#N/A</v>
      </c>
      <c r="I356" s="8">
        <f>loaded!W356</f>
        <v>0</v>
      </c>
      <c r="J356" t="e">
        <f>INDEX(us_acc_codes,MATCH(loaded!Y356,us_acc,0))</f>
        <v>#N/A</v>
      </c>
      <c r="K356" t="e">
        <f>INDEX(client_codes,MATCH(loaded!AA356,client,0))</f>
        <v>#N/A</v>
      </c>
      <c r="L356" t="e">
        <f>INDEX(src_ref_codes,MATCH(loaded!AC356,src_ref,0))</f>
        <v>#N/A</v>
      </c>
      <c r="M356" s="8">
        <f>loaded!AE356</f>
        <v>0</v>
      </c>
      <c r="N356" s="8">
        <f>loaded!AG356</f>
        <v>0</v>
      </c>
      <c r="O356" t="e">
        <f>INDEX(reces_codes,MATCH(loaded!AI356,reason,0))</f>
        <v>#N/A</v>
      </c>
      <c r="P356" t="e">
        <f>INDEX(TDS_codes,MATCH(loaded!AK356,TDS,0))</f>
        <v>#N/A</v>
      </c>
      <c r="Q356" t="e">
        <f>IF(K356=2,"",INDEX(method_codes,MATCH(loaded!AM356,method,0)))</f>
        <v>#N/A</v>
      </c>
      <c r="R356" t="e">
        <f>IF(K356=2,"",INDEX(inj_codes,MATCH(loaded!AO356,inj,0)))</f>
        <v>#N/A</v>
      </c>
      <c r="S356" t="e">
        <f>IF(K356=2,"",INDEX(drug_codes,MATCH(loaded!AQ356,drug,0)))</f>
        <v>#N/A</v>
      </c>
      <c r="T356" t="e">
        <f>IF(K356=2,"",_xlfn.IFNA(INDEX(drug_codes,MATCH(loaded!AS356,drug,0)),""))</f>
        <v>#N/A</v>
      </c>
      <c r="U356" t="e">
        <f>IF(K356=2,"",_xlfn.IFNA(INDEX(drug_codes,MATCH(loaded!AU356,drug,0)),""))</f>
        <v>#N/A</v>
      </c>
      <c r="V356" t="e">
        <f>IF(K356=2,"",_xlfn.IFNA(INDEX(drug_codes,MATCH(loaded!AW356,drug,0)),""))</f>
        <v>#N/A</v>
      </c>
      <c r="W356" t="e">
        <f>IF(K356=2,"",_xlfn.IFNA(INDEX(drug_codes,MATCH(loaded!AY356,drug,0)),""))</f>
        <v>#N/A</v>
      </c>
      <c r="X356" t="e">
        <f>IF(K356=2,"",_xlfn.IFNA(INDEX(drug_codes,MATCH(loaded!BA356,drug,0)),""))</f>
        <v>#N/A</v>
      </c>
      <c r="Y356" t="e">
        <f>INDEX(MTT_codes,MATCH(loaded!BC356,MTT,0))</f>
        <v>#N/A</v>
      </c>
      <c r="Z356" t="str">
        <f>_xlfn.IFNA(INDEX(MTT_codes,MATCH(loaded!BE356,MTT,0)),"")</f>
        <v/>
      </c>
      <c r="AA356" t="str">
        <f>_xlfn.IFNA(INDEX(MTT_codes,MATCH(loaded!BG356,MTT,0)),"")</f>
        <v/>
      </c>
      <c r="AB356" t="str">
        <f>_xlfn.IFNA(INDEX(MTT_codes,MATCH(loaded!BI356,MTT,0)),"")</f>
        <v/>
      </c>
      <c r="AC356" t="str">
        <f>_xlfn.IFNA(INDEX(MTT_codes,MATCH(loaded!BK356,MTT,0)),"")</f>
        <v/>
      </c>
      <c r="AD356" t="str">
        <f>_xlfn.IFNA(INDEX(MTT_codes,MATCH(loaded!BM356,MTT,0)),"")</f>
        <v/>
      </c>
      <c r="AE356" t="e">
        <f>INDEX(liv_ar_codes,MATCH(loaded!BO356,liv_ar,0))</f>
        <v>#N/A</v>
      </c>
      <c r="AF356" t="str">
        <f>_xlfn.IFNA(INDEX(MTT_codes,MATCH(loaded!BQ356,MTT,0)),"")</f>
        <v/>
      </c>
      <c r="AG356">
        <f>_xlfn.IFNA(INDEX(mental_codes,MATCH(loaded!BS356,mental,0)),9)</f>
        <v>9</v>
      </c>
    </row>
    <row r="357" spans="1:33" x14ac:dyDescent="0.25">
      <c r="A357">
        <f>loaded!C357</f>
        <v>0</v>
      </c>
      <c r="B357">
        <f>loaded!I357</f>
        <v>0</v>
      </c>
      <c r="C357">
        <f>IF(loaded!K357="Male",1,IF(loaded!K357="Female",2,9))</f>
        <v>9</v>
      </c>
      <c r="D357" s="8">
        <f>loaded!M357</f>
        <v>0</v>
      </c>
      <c r="E357" t="str">
        <f>LEFT(loaded!O357,3)</f>
        <v/>
      </c>
      <c r="F357" t="e">
        <f>INDEX(cntry_codes,MATCH(loaded!Q357,countries,0))</f>
        <v>#N/A</v>
      </c>
      <c r="G357" t="e">
        <f>INDEX(atsi_codes,MATCH(loaded!S357,atsi,0))</f>
        <v>#N/A</v>
      </c>
      <c r="H357" t="e">
        <f>INDEX(lang_codes,MATCH(loaded!U357,lang,0))</f>
        <v>#N/A</v>
      </c>
      <c r="I357" s="8">
        <f>loaded!W357</f>
        <v>0</v>
      </c>
      <c r="J357" t="e">
        <f>INDEX(us_acc_codes,MATCH(loaded!Y357,us_acc,0))</f>
        <v>#N/A</v>
      </c>
      <c r="K357" t="e">
        <f>INDEX(client_codes,MATCH(loaded!AA357,client,0))</f>
        <v>#N/A</v>
      </c>
      <c r="L357" t="e">
        <f>INDEX(src_ref_codes,MATCH(loaded!AC357,src_ref,0))</f>
        <v>#N/A</v>
      </c>
      <c r="M357" s="8">
        <f>loaded!AE357</f>
        <v>0</v>
      </c>
      <c r="N357" s="8">
        <f>loaded!AG357</f>
        <v>0</v>
      </c>
      <c r="O357" t="e">
        <f>INDEX(reces_codes,MATCH(loaded!AI357,reason,0))</f>
        <v>#N/A</v>
      </c>
      <c r="P357" t="e">
        <f>INDEX(TDS_codes,MATCH(loaded!AK357,TDS,0))</f>
        <v>#N/A</v>
      </c>
      <c r="Q357" t="e">
        <f>IF(K357=2,"",INDEX(method_codes,MATCH(loaded!AM357,method,0)))</f>
        <v>#N/A</v>
      </c>
      <c r="R357" t="e">
        <f>IF(K357=2,"",INDEX(inj_codes,MATCH(loaded!AO357,inj,0)))</f>
        <v>#N/A</v>
      </c>
      <c r="S357" t="e">
        <f>IF(K357=2,"",INDEX(drug_codes,MATCH(loaded!AQ357,drug,0)))</f>
        <v>#N/A</v>
      </c>
      <c r="T357" t="e">
        <f>IF(K357=2,"",_xlfn.IFNA(INDEX(drug_codes,MATCH(loaded!AS357,drug,0)),""))</f>
        <v>#N/A</v>
      </c>
      <c r="U357" t="e">
        <f>IF(K357=2,"",_xlfn.IFNA(INDEX(drug_codes,MATCH(loaded!AU357,drug,0)),""))</f>
        <v>#N/A</v>
      </c>
      <c r="V357" t="e">
        <f>IF(K357=2,"",_xlfn.IFNA(INDEX(drug_codes,MATCH(loaded!AW357,drug,0)),""))</f>
        <v>#N/A</v>
      </c>
      <c r="W357" t="e">
        <f>IF(K357=2,"",_xlfn.IFNA(INDEX(drug_codes,MATCH(loaded!AY357,drug,0)),""))</f>
        <v>#N/A</v>
      </c>
      <c r="X357" t="e">
        <f>IF(K357=2,"",_xlfn.IFNA(INDEX(drug_codes,MATCH(loaded!BA357,drug,0)),""))</f>
        <v>#N/A</v>
      </c>
      <c r="Y357" t="e">
        <f>INDEX(MTT_codes,MATCH(loaded!BC357,MTT,0))</f>
        <v>#N/A</v>
      </c>
      <c r="Z357" t="str">
        <f>_xlfn.IFNA(INDEX(MTT_codes,MATCH(loaded!BE357,MTT,0)),"")</f>
        <v/>
      </c>
      <c r="AA357" t="str">
        <f>_xlfn.IFNA(INDEX(MTT_codes,MATCH(loaded!BG357,MTT,0)),"")</f>
        <v/>
      </c>
      <c r="AB357" t="str">
        <f>_xlfn.IFNA(INDEX(MTT_codes,MATCH(loaded!BI357,MTT,0)),"")</f>
        <v/>
      </c>
      <c r="AC357" t="str">
        <f>_xlfn.IFNA(INDEX(MTT_codes,MATCH(loaded!BK357,MTT,0)),"")</f>
        <v/>
      </c>
      <c r="AD357" t="str">
        <f>_xlfn.IFNA(INDEX(MTT_codes,MATCH(loaded!BM357,MTT,0)),"")</f>
        <v/>
      </c>
      <c r="AE357" t="e">
        <f>INDEX(liv_ar_codes,MATCH(loaded!BO357,liv_ar,0))</f>
        <v>#N/A</v>
      </c>
      <c r="AF357" t="str">
        <f>_xlfn.IFNA(INDEX(MTT_codes,MATCH(loaded!BQ357,MTT,0)),"")</f>
        <v/>
      </c>
      <c r="AG357">
        <f>_xlfn.IFNA(INDEX(mental_codes,MATCH(loaded!BS357,mental,0)),9)</f>
        <v>9</v>
      </c>
    </row>
    <row r="358" spans="1:33" x14ac:dyDescent="0.25">
      <c r="A358">
        <f>loaded!C358</f>
        <v>0</v>
      </c>
      <c r="B358">
        <f>loaded!I358</f>
        <v>0</v>
      </c>
      <c r="C358">
        <f>IF(loaded!K358="Male",1,IF(loaded!K358="Female",2,9))</f>
        <v>9</v>
      </c>
      <c r="D358" s="8">
        <f>loaded!M358</f>
        <v>0</v>
      </c>
      <c r="E358" t="str">
        <f>LEFT(loaded!O358,3)</f>
        <v/>
      </c>
      <c r="F358" t="e">
        <f>INDEX(cntry_codes,MATCH(loaded!Q358,countries,0))</f>
        <v>#N/A</v>
      </c>
      <c r="G358" t="e">
        <f>INDEX(atsi_codes,MATCH(loaded!S358,atsi,0))</f>
        <v>#N/A</v>
      </c>
      <c r="H358" t="e">
        <f>INDEX(lang_codes,MATCH(loaded!U358,lang,0))</f>
        <v>#N/A</v>
      </c>
      <c r="I358" s="8">
        <f>loaded!W358</f>
        <v>0</v>
      </c>
      <c r="J358" t="e">
        <f>INDEX(us_acc_codes,MATCH(loaded!Y358,us_acc,0))</f>
        <v>#N/A</v>
      </c>
      <c r="K358" t="e">
        <f>INDEX(client_codes,MATCH(loaded!AA358,client,0))</f>
        <v>#N/A</v>
      </c>
      <c r="L358" t="e">
        <f>INDEX(src_ref_codes,MATCH(loaded!AC358,src_ref,0))</f>
        <v>#N/A</v>
      </c>
      <c r="M358" s="8">
        <f>loaded!AE358</f>
        <v>0</v>
      </c>
      <c r="N358" s="8">
        <f>loaded!AG358</f>
        <v>0</v>
      </c>
      <c r="O358" t="e">
        <f>INDEX(reces_codes,MATCH(loaded!AI358,reason,0))</f>
        <v>#N/A</v>
      </c>
      <c r="P358" t="e">
        <f>INDEX(TDS_codes,MATCH(loaded!AK358,TDS,0))</f>
        <v>#N/A</v>
      </c>
      <c r="Q358" t="e">
        <f>IF(K358=2,"",INDEX(method_codes,MATCH(loaded!AM358,method,0)))</f>
        <v>#N/A</v>
      </c>
      <c r="R358" t="e">
        <f>IF(K358=2,"",INDEX(inj_codes,MATCH(loaded!AO358,inj,0)))</f>
        <v>#N/A</v>
      </c>
      <c r="S358" t="e">
        <f>IF(K358=2,"",INDEX(drug_codes,MATCH(loaded!AQ358,drug,0)))</f>
        <v>#N/A</v>
      </c>
      <c r="T358" t="e">
        <f>IF(K358=2,"",_xlfn.IFNA(INDEX(drug_codes,MATCH(loaded!AS358,drug,0)),""))</f>
        <v>#N/A</v>
      </c>
      <c r="U358" t="e">
        <f>IF(K358=2,"",_xlfn.IFNA(INDEX(drug_codes,MATCH(loaded!AU358,drug,0)),""))</f>
        <v>#N/A</v>
      </c>
      <c r="V358" t="e">
        <f>IF(K358=2,"",_xlfn.IFNA(INDEX(drug_codes,MATCH(loaded!AW358,drug,0)),""))</f>
        <v>#N/A</v>
      </c>
      <c r="W358" t="e">
        <f>IF(K358=2,"",_xlfn.IFNA(INDEX(drug_codes,MATCH(loaded!AY358,drug,0)),""))</f>
        <v>#N/A</v>
      </c>
      <c r="X358" t="e">
        <f>IF(K358=2,"",_xlfn.IFNA(INDEX(drug_codes,MATCH(loaded!BA358,drug,0)),""))</f>
        <v>#N/A</v>
      </c>
      <c r="Y358" t="e">
        <f>INDEX(MTT_codes,MATCH(loaded!BC358,MTT,0))</f>
        <v>#N/A</v>
      </c>
      <c r="Z358" t="str">
        <f>_xlfn.IFNA(INDEX(MTT_codes,MATCH(loaded!BE358,MTT,0)),"")</f>
        <v/>
      </c>
      <c r="AA358" t="str">
        <f>_xlfn.IFNA(INDEX(MTT_codes,MATCH(loaded!BG358,MTT,0)),"")</f>
        <v/>
      </c>
      <c r="AB358" t="str">
        <f>_xlfn.IFNA(INDEX(MTT_codes,MATCH(loaded!BI358,MTT,0)),"")</f>
        <v/>
      </c>
      <c r="AC358" t="str">
        <f>_xlfn.IFNA(INDEX(MTT_codes,MATCH(loaded!BK358,MTT,0)),"")</f>
        <v/>
      </c>
      <c r="AD358" t="str">
        <f>_xlfn.IFNA(INDEX(MTT_codes,MATCH(loaded!BM358,MTT,0)),"")</f>
        <v/>
      </c>
      <c r="AE358" t="e">
        <f>INDEX(liv_ar_codes,MATCH(loaded!BO358,liv_ar,0))</f>
        <v>#N/A</v>
      </c>
      <c r="AF358" t="str">
        <f>_xlfn.IFNA(INDEX(MTT_codes,MATCH(loaded!BQ358,MTT,0)),"")</f>
        <v/>
      </c>
      <c r="AG358">
        <f>_xlfn.IFNA(INDEX(mental_codes,MATCH(loaded!BS358,mental,0)),9)</f>
        <v>9</v>
      </c>
    </row>
    <row r="359" spans="1:33" x14ac:dyDescent="0.25">
      <c r="A359">
        <f>loaded!C359</f>
        <v>0</v>
      </c>
      <c r="B359">
        <f>loaded!I359</f>
        <v>0</v>
      </c>
      <c r="C359">
        <f>IF(loaded!K359="Male",1,IF(loaded!K359="Female",2,9))</f>
        <v>9</v>
      </c>
      <c r="D359" s="8">
        <f>loaded!M359</f>
        <v>0</v>
      </c>
      <c r="E359" t="str">
        <f>LEFT(loaded!O359,3)</f>
        <v/>
      </c>
      <c r="F359" t="e">
        <f>INDEX(cntry_codes,MATCH(loaded!Q359,countries,0))</f>
        <v>#N/A</v>
      </c>
      <c r="G359" t="e">
        <f>INDEX(atsi_codes,MATCH(loaded!S359,atsi,0))</f>
        <v>#N/A</v>
      </c>
      <c r="H359" t="e">
        <f>INDEX(lang_codes,MATCH(loaded!U359,lang,0))</f>
        <v>#N/A</v>
      </c>
      <c r="I359" s="8">
        <f>loaded!W359</f>
        <v>0</v>
      </c>
      <c r="J359" t="e">
        <f>INDEX(us_acc_codes,MATCH(loaded!Y359,us_acc,0))</f>
        <v>#N/A</v>
      </c>
      <c r="K359" t="e">
        <f>INDEX(client_codes,MATCH(loaded!AA359,client,0))</f>
        <v>#N/A</v>
      </c>
      <c r="L359" t="e">
        <f>INDEX(src_ref_codes,MATCH(loaded!AC359,src_ref,0))</f>
        <v>#N/A</v>
      </c>
      <c r="M359" s="8">
        <f>loaded!AE359</f>
        <v>0</v>
      </c>
      <c r="N359" s="8">
        <f>loaded!AG359</f>
        <v>0</v>
      </c>
      <c r="O359" t="e">
        <f>INDEX(reces_codes,MATCH(loaded!AI359,reason,0))</f>
        <v>#N/A</v>
      </c>
      <c r="P359" t="e">
        <f>INDEX(TDS_codes,MATCH(loaded!AK359,TDS,0))</f>
        <v>#N/A</v>
      </c>
      <c r="Q359" t="e">
        <f>IF(K359=2,"",INDEX(method_codes,MATCH(loaded!AM359,method,0)))</f>
        <v>#N/A</v>
      </c>
      <c r="R359" t="e">
        <f>IF(K359=2,"",INDEX(inj_codes,MATCH(loaded!AO359,inj,0)))</f>
        <v>#N/A</v>
      </c>
      <c r="S359" t="e">
        <f>IF(K359=2,"",INDEX(drug_codes,MATCH(loaded!AQ359,drug,0)))</f>
        <v>#N/A</v>
      </c>
      <c r="T359" t="e">
        <f>IF(K359=2,"",_xlfn.IFNA(INDEX(drug_codes,MATCH(loaded!AS359,drug,0)),""))</f>
        <v>#N/A</v>
      </c>
      <c r="U359" t="e">
        <f>IF(K359=2,"",_xlfn.IFNA(INDEX(drug_codes,MATCH(loaded!AU359,drug,0)),""))</f>
        <v>#N/A</v>
      </c>
      <c r="V359" t="e">
        <f>IF(K359=2,"",_xlfn.IFNA(INDEX(drug_codes,MATCH(loaded!AW359,drug,0)),""))</f>
        <v>#N/A</v>
      </c>
      <c r="W359" t="e">
        <f>IF(K359=2,"",_xlfn.IFNA(INDEX(drug_codes,MATCH(loaded!AY359,drug,0)),""))</f>
        <v>#N/A</v>
      </c>
      <c r="X359" t="e">
        <f>IF(K359=2,"",_xlfn.IFNA(INDEX(drug_codes,MATCH(loaded!BA359,drug,0)),""))</f>
        <v>#N/A</v>
      </c>
      <c r="Y359" t="e">
        <f>INDEX(MTT_codes,MATCH(loaded!BC359,MTT,0))</f>
        <v>#N/A</v>
      </c>
      <c r="Z359" t="str">
        <f>_xlfn.IFNA(INDEX(MTT_codes,MATCH(loaded!BE359,MTT,0)),"")</f>
        <v/>
      </c>
      <c r="AA359" t="str">
        <f>_xlfn.IFNA(INDEX(MTT_codes,MATCH(loaded!BG359,MTT,0)),"")</f>
        <v/>
      </c>
      <c r="AB359" t="str">
        <f>_xlfn.IFNA(INDEX(MTT_codes,MATCH(loaded!BI359,MTT,0)),"")</f>
        <v/>
      </c>
      <c r="AC359" t="str">
        <f>_xlfn.IFNA(INDEX(MTT_codes,MATCH(loaded!BK359,MTT,0)),"")</f>
        <v/>
      </c>
      <c r="AD359" t="str">
        <f>_xlfn.IFNA(INDEX(MTT_codes,MATCH(loaded!BM359,MTT,0)),"")</f>
        <v/>
      </c>
      <c r="AE359" t="e">
        <f>INDEX(liv_ar_codes,MATCH(loaded!BO359,liv_ar,0))</f>
        <v>#N/A</v>
      </c>
      <c r="AF359" t="str">
        <f>_xlfn.IFNA(INDEX(MTT_codes,MATCH(loaded!BQ359,MTT,0)),"")</f>
        <v/>
      </c>
      <c r="AG359">
        <f>_xlfn.IFNA(INDEX(mental_codes,MATCH(loaded!BS359,mental,0)),9)</f>
        <v>9</v>
      </c>
    </row>
    <row r="360" spans="1:33" x14ac:dyDescent="0.25">
      <c r="A360">
        <f>loaded!C360</f>
        <v>0</v>
      </c>
      <c r="B360">
        <f>loaded!I360</f>
        <v>0</v>
      </c>
      <c r="C360">
        <f>IF(loaded!K360="Male",1,IF(loaded!K360="Female",2,9))</f>
        <v>9</v>
      </c>
      <c r="D360" s="8">
        <f>loaded!M360</f>
        <v>0</v>
      </c>
      <c r="E360" t="str">
        <f>LEFT(loaded!O360,3)</f>
        <v/>
      </c>
      <c r="F360" t="e">
        <f>INDEX(cntry_codes,MATCH(loaded!Q360,countries,0))</f>
        <v>#N/A</v>
      </c>
      <c r="G360" t="e">
        <f>INDEX(atsi_codes,MATCH(loaded!S360,atsi,0))</f>
        <v>#N/A</v>
      </c>
      <c r="H360" t="e">
        <f>INDEX(lang_codes,MATCH(loaded!U360,lang,0))</f>
        <v>#N/A</v>
      </c>
      <c r="I360" s="8">
        <f>loaded!W360</f>
        <v>0</v>
      </c>
      <c r="J360" t="e">
        <f>INDEX(us_acc_codes,MATCH(loaded!Y360,us_acc,0))</f>
        <v>#N/A</v>
      </c>
      <c r="K360" t="e">
        <f>INDEX(client_codes,MATCH(loaded!AA360,client,0))</f>
        <v>#N/A</v>
      </c>
      <c r="L360" t="e">
        <f>INDEX(src_ref_codes,MATCH(loaded!AC360,src_ref,0))</f>
        <v>#N/A</v>
      </c>
      <c r="M360" s="8">
        <f>loaded!AE360</f>
        <v>0</v>
      </c>
      <c r="N360" s="8">
        <f>loaded!AG360</f>
        <v>0</v>
      </c>
      <c r="O360" t="e">
        <f>INDEX(reces_codes,MATCH(loaded!AI360,reason,0))</f>
        <v>#N/A</v>
      </c>
      <c r="P360" t="e">
        <f>INDEX(TDS_codes,MATCH(loaded!AK360,TDS,0))</f>
        <v>#N/A</v>
      </c>
      <c r="Q360" t="e">
        <f>IF(K360=2,"",INDEX(method_codes,MATCH(loaded!AM360,method,0)))</f>
        <v>#N/A</v>
      </c>
      <c r="R360" t="e">
        <f>IF(K360=2,"",INDEX(inj_codes,MATCH(loaded!AO360,inj,0)))</f>
        <v>#N/A</v>
      </c>
      <c r="S360" t="e">
        <f>IF(K360=2,"",INDEX(drug_codes,MATCH(loaded!AQ360,drug,0)))</f>
        <v>#N/A</v>
      </c>
      <c r="T360" t="e">
        <f>IF(K360=2,"",_xlfn.IFNA(INDEX(drug_codes,MATCH(loaded!AS360,drug,0)),""))</f>
        <v>#N/A</v>
      </c>
      <c r="U360" t="e">
        <f>IF(K360=2,"",_xlfn.IFNA(INDEX(drug_codes,MATCH(loaded!AU360,drug,0)),""))</f>
        <v>#N/A</v>
      </c>
      <c r="V360" t="e">
        <f>IF(K360=2,"",_xlfn.IFNA(INDEX(drug_codes,MATCH(loaded!AW360,drug,0)),""))</f>
        <v>#N/A</v>
      </c>
      <c r="W360" t="e">
        <f>IF(K360=2,"",_xlfn.IFNA(INDEX(drug_codes,MATCH(loaded!AY360,drug,0)),""))</f>
        <v>#N/A</v>
      </c>
      <c r="X360" t="e">
        <f>IF(K360=2,"",_xlfn.IFNA(INDEX(drug_codes,MATCH(loaded!BA360,drug,0)),""))</f>
        <v>#N/A</v>
      </c>
      <c r="Y360" t="e">
        <f>INDEX(MTT_codes,MATCH(loaded!BC360,MTT,0))</f>
        <v>#N/A</v>
      </c>
      <c r="Z360" t="str">
        <f>_xlfn.IFNA(INDEX(MTT_codes,MATCH(loaded!BE360,MTT,0)),"")</f>
        <v/>
      </c>
      <c r="AA360" t="str">
        <f>_xlfn.IFNA(INDEX(MTT_codes,MATCH(loaded!BG360,MTT,0)),"")</f>
        <v/>
      </c>
      <c r="AB360" t="str">
        <f>_xlfn.IFNA(INDEX(MTT_codes,MATCH(loaded!BI360,MTT,0)),"")</f>
        <v/>
      </c>
      <c r="AC360" t="str">
        <f>_xlfn.IFNA(INDEX(MTT_codes,MATCH(loaded!BK360,MTT,0)),"")</f>
        <v/>
      </c>
      <c r="AD360" t="str">
        <f>_xlfn.IFNA(INDEX(MTT_codes,MATCH(loaded!BM360,MTT,0)),"")</f>
        <v/>
      </c>
      <c r="AE360" t="e">
        <f>INDEX(liv_ar_codes,MATCH(loaded!BO360,liv_ar,0))</f>
        <v>#N/A</v>
      </c>
      <c r="AF360" t="str">
        <f>_xlfn.IFNA(INDEX(MTT_codes,MATCH(loaded!BQ360,MTT,0)),"")</f>
        <v/>
      </c>
      <c r="AG360">
        <f>_xlfn.IFNA(INDEX(mental_codes,MATCH(loaded!BS360,mental,0)),9)</f>
        <v>9</v>
      </c>
    </row>
    <row r="361" spans="1:33" x14ac:dyDescent="0.25">
      <c r="A361">
        <f>loaded!C361</f>
        <v>0</v>
      </c>
      <c r="B361">
        <f>loaded!I361</f>
        <v>0</v>
      </c>
      <c r="C361">
        <f>IF(loaded!K361="Male",1,IF(loaded!K361="Female",2,9))</f>
        <v>9</v>
      </c>
      <c r="D361" s="8">
        <f>loaded!M361</f>
        <v>0</v>
      </c>
      <c r="E361" t="str">
        <f>LEFT(loaded!O361,3)</f>
        <v/>
      </c>
      <c r="F361" t="e">
        <f>INDEX(cntry_codes,MATCH(loaded!Q361,countries,0))</f>
        <v>#N/A</v>
      </c>
      <c r="G361" t="e">
        <f>INDEX(atsi_codes,MATCH(loaded!S361,atsi,0))</f>
        <v>#N/A</v>
      </c>
      <c r="H361" t="e">
        <f>INDEX(lang_codes,MATCH(loaded!U361,lang,0))</f>
        <v>#N/A</v>
      </c>
      <c r="I361" s="8">
        <f>loaded!W361</f>
        <v>0</v>
      </c>
      <c r="J361" t="e">
        <f>INDEX(us_acc_codes,MATCH(loaded!Y361,us_acc,0))</f>
        <v>#N/A</v>
      </c>
      <c r="K361" t="e">
        <f>INDEX(client_codes,MATCH(loaded!AA361,client,0))</f>
        <v>#N/A</v>
      </c>
      <c r="L361" t="e">
        <f>INDEX(src_ref_codes,MATCH(loaded!AC361,src_ref,0))</f>
        <v>#N/A</v>
      </c>
      <c r="M361" s="8">
        <f>loaded!AE361</f>
        <v>0</v>
      </c>
      <c r="N361" s="8">
        <f>loaded!AG361</f>
        <v>0</v>
      </c>
      <c r="O361" t="e">
        <f>INDEX(reces_codes,MATCH(loaded!AI361,reason,0))</f>
        <v>#N/A</v>
      </c>
      <c r="P361" t="e">
        <f>INDEX(TDS_codes,MATCH(loaded!AK361,TDS,0))</f>
        <v>#N/A</v>
      </c>
      <c r="Q361" t="e">
        <f>IF(K361=2,"",INDEX(method_codes,MATCH(loaded!AM361,method,0)))</f>
        <v>#N/A</v>
      </c>
      <c r="R361" t="e">
        <f>IF(K361=2,"",INDEX(inj_codes,MATCH(loaded!AO361,inj,0)))</f>
        <v>#N/A</v>
      </c>
      <c r="S361" t="e">
        <f>IF(K361=2,"",INDEX(drug_codes,MATCH(loaded!AQ361,drug,0)))</f>
        <v>#N/A</v>
      </c>
      <c r="T361" t="e">
        <f>IF(K361=2,"",_xlfn.IFNA(INDEX(drug_codes,MATCH(loaded!AS361,drug,0)),""))</f>
        <v>#N/A</v>
      </c>
      <c r="U361" t="e">
        <f>IF(K361=2,"",_xlfn.IFNA(INDEX(drug_codes,MATCH(loaded!AU361,drug,0)),""))</f>
        <v>#N/A</v>
      </c>
      <c r="V361" t="e">
        <f>IF(K361=2,"",_xlfn.IFNA(INDEX(drug_codes,MATCH(loaded!AW361,drug,0)),""))</f>
        <v>#N/A</v>
      </c>
      <c r="W361" t="e">
        <f>IF(K361=2,"",_xlfn.IFNA(INDEX(drug_codes,MATCH(loaded!AY361,drug,0)),""))</f>
        <v>#N/A</v>
      </c>
      <c r="X361" t="e">
        <f>IF(K361=2,"",_xlfn.IFNA(INDEX(drug_codes,MATCH(loaded!BA361,drug,0)),""))</f>
        <v>#N/A</v>
      </c>
      <c r="Y361" t="e">
        <f>INDEX(MTT_codes,MATCH(loaded!BC361,MTT,0))</f>
        <v>#N/A</v>
      </c>
      <c r="Z361" t="str">
        <f>_xlfn.IFNA(INDEX(MTT_codes,MATCH(loaded!BE361,MTT,0)),"")</f>
        <v/>
      </c>
      <c r="AA361" t="str">
        <f>_xlfn.IFNA(INDEX(MTT_codes,MATCH(loaded!BG361,MTT,0)),"")</f>
        <v/>
      </c>
      <c r="AB361" t="str">
        <f>_xlfn.IFNA(INDEX(MTT_codes,MATCH(loaded!BI361,MTT,0)),"")</f>
        <v/>
      </c>
      <c r="AC361" t="str">
        <f>_xlfn.IFNA(INDEX(MTT_codes,MATCH(loaded!BK361,MTT,0)),"")</f>
        <v/>
      </c>
      <c r="AD361" t="str">
        <f>_xlfn.IFNA(INDEX(MTT_codes,MATCH(loaded!BM361,MTT,0)),"")</f>
        <v/>
      </c>
      <c r="AE361" t="e">
        <f>INDEX(liv_ar_codes,MATCH(loaded!BO361,liv_ar,0))</f>
        <v>#N/A</v>
      </c>
      <c r="AF361" t="str">
        <f>_xlfn.IFNA(INDEX(MTT_codes,MATCH(loaded!BQ361,MTT,0)),"")</f>
        <v/>
      </c>
      <c r="AG361">
        <f>_xlfn.IFNA(INDEX(mental_codes,MATCH(loaded!BS361,mental,0)),9)</f>
        <v>9</v>
      </c>
    </row>
    <row r="362" spans="1:33" x14ac:dyDescent="0.25">
      <c r="A362">
        <f>loaded!C362</f>
        <v>0</v>
      </c>
      <c r="B362">
        <f>loaded!I362</f>
        <v>0</v>
      </c>
      <c r="C362">
        <f>IF(loaded!K362="Male",1,IF(loaded!K362="Female",2,9))</f>
        <v>9</v>
      </c>
      <c r="D362" s="8">
        <f>loaded!M362</f>
        <v>0</v>
      </c>
      <c r="E362" t="str">
        <f>LEFT(loaded!O362,3)</f>
        <v/>
      </c>
      <c r="F362" t="e">
        <f>INDEX(cntry_codes,MATCH(loaded!Q362,countries,0))</f>
        <v>#N/A</v>
      </c>
      <c r="G362" t="e">
        <f>INDEX(atsi_codes,MATCH(loaded!S362,atsi,0))</f>
        <v>#N/A</v>
      </c>
      <c r="H362" t="e">
        <f>INDEX(lang_codes,MATCH(loaded!U362,lang,0))</f>
        <v>#N/A</v>
      </c>
      <c r="I362" s="8">
        <f>loaded!W362</f>
        <v>0</v>
      </c>
      <c r="J362" t="e">
        <f>INDEX(us_acc_codes,MATCH(loaded!Y362,us_acc,0))</f>
        <v>#N/A</v>
      </c>
      <c r="K362" t="e">
        <f>INDEX(client_codes,MATCH(loaded!AA362,client,0))</f>
        <v>#N/A</v>
      </c>
      <c r="L362" t="e">
        <f>INDEX(src_ref_codes,MATCH(loaded!AC362,src_ref,0))</f>
        <v>#N/A</v>
      </c>
      <c r="M362" s="8">
        <f>loaded!AE362</f>
        <v>0</v>
      </c>
      <c r="N362" s="8">
        <f>loaded!AG362</f>
        <v>0</v>
      </c>
      <c r="O362" t="e">
        <f>INDEX(reces_codes,MATCH(loaded!AI362,reason,0))</f>
        <v>#N/A</v>
      </c>
      <c r="P362" t="e">
        <f>INDEX(TDS_codes,MATCH(loaded!AK362,TDS,0))</f>
        <v>#N/A</v>
      </c>
      <c r="Q362" t="e">
        <f>IF(K362=2,"",INDEX(method_codes,MATCH(loaded!AM362,method,0)))</f>
        <v>#N/A</v>
      </c>
      <c r="R362" t="e">
        <f>IF(K362=2,"",INDEX(inj_codes,MATCH(loaded!AO362,inj,0)))</f>
        <v>#N/A</v>
      </c>
      <c r="S362" t="e">
        <f>IF(K362=2,"",INDEX(drug_codes,MATCH(loaded!AQ362,drug,0)))</f>
        <v>#N/A</v>
      </c>
      <c r="T362" t="e">
        <f>IF(K362=2,"",_xlfn.IFNA(INDEX(drug_codes,MATCH(loaded!AS362,drug,0)),""))</f>
        <v>#N/A</v>
      </c>
      <c r="U362" t="e">
        <f>IF(K362=2,"",_xlfn.IFNA(INDEX(drug_codes,MATCH(loaded!AU362,drug,0)),""))</f>
        <v>#N/A</v>
      </c>
      <c r="V362" t="e">
        <f>IF(K362=2,"",_xlfn.IFNA(INDEX(drug_codes,MATCH(loaded!AW362,drug,0)),""))</f>
        <v>#N/A</v>
      </c>
      <c r="W362" t="e">
        <f>IF(K362=2,"",_xlfn.IFNA(INDEX(drug_codes,MATCH(loaded!AY362,drug,0)),""))</f>
        <v>#N/A</v>
      </c>
      <c r="X362" t="e">
        <f>IF(K362=2,"",_xlfn.IFNA(INDEX(drug_codes,MATCH(loaded!BA362,drug,0)),""))</f>
        <v>#N/A</v>
      </c>
      <c r="Y362" t="e">
        <f>INDEX(MTT_codes,MATCH(loaded!BC362,MTT,0))</f>
        <v>#N/A</v>
      </c>
      <c r="Z362" t="str">
        <f>_xlfn.IFNA(INDEX(MTT_codes,MATCH(loaded!BE362,MTT,0)),"")</f>
        <v/>
      </c>
      <c r="AA362" t="str">
        <f>_xlfn.IFNA(INDEX(MTT_codes,MATCH(loaded!BG362,MTT,0)),"")</f>
        <v/>
      </c>
      <c r="AB362" t="str">
        <f>_xlfn.IFNA(INDEX(MTT_codes,MATCH(loaded!BI362,MTT,0)),"")</f>
        <v/>
      </c>
      <c r="AC362" t="str">
        <f>_xlfn.IFNA(INDEX(MTT_codes,MATCH(loaded!BK362,MTT,0)),"")</f>
        <v/>
      </c>
      <c r="AD362" t="str">
        <f>_xlfn.IFNA(INDEX(MTT_codes,MATCH(loaded!BM362,MTT,0)),"")</f>
        <v/>
      </c>
      <c r="AE362" t="e">
        <f>INDEX(liv_ar_codes,MATCH(loaded!BO362,liv_ar,0))</f>
        <v>#N/A</v>
      </c>
      <c r="AF362" t="str">
        <f>_xlfn.IFNA(INDEX(MTT_codes,MATCH(loaded!BQ362,MTT,0)),"")</f>
        <v/>
      </c>
      <c r="AG362">
        <f>_xlfn.IFNA(INDEX(mental_codes,MATCH(loaded!BS362,mental,0)),9)</f>
        <v>9</v>
      </c>
    </row>
    <row r="363" spans="1:33" x14ac:dyDescent="0.25">
      <c r="A363">
        <f>loaded!C363</f>
        <v>0</v>
      </c>
      <c r="B363">
        <f>loaded!I363</f>
        <v>0</v>
      </c>
      <c r="C363">
        <f>IF(loaded!K363="Male",1,IF(loaded!K363="Female",2,9))</f>
        <v>9</v>
      </c>
      <c r="D363" s="8">
        <f>loaded!M363</f>
        <v>0</v>
      </c>
      <c r="E363" t="str">
        <f>LEFT(loaded!O363,3)</f>
        <v/>
      </c>
      <c r="F363" t="e">
        <f>INDEX(cntry_codes,MATCH(loaded!Q363,countries,0))</f>
        <v>#N/A</v>
      </c>
      <c r="G363" t="e">
        <f>INDEX(atsi_codes,MATCH(loaded!S363,atsi,0))</f>
        <v>#N/A</v>
      </c>
      <c r="H363" t="e">
        <f>INDEX(lang_codes,MATCH(loaded!U363,lang,0))</f>
        <v>#N/A</v>
      </c>
      <c r="I363" s="8">
        <f>loaded!W363</f>
        <v>0</v>
      </c>
      <c r="J363" t="e">
        <f>INDEX(us_acc_codes,MATCH(loaded!Y363,us_acc,0))</f>
        <v>#N/A</v>
      </c>
      <c r="K363" t="e">
        <f>INDEX(client_codes,MATCH(loaded!AA363,client,0))</f>
        <v>#N/A</v>
      </c>
      <c r="L363" t="e">
        <f>INDEX(src_ref_codes,MATCH(loaded!AC363,src_ref,0))</f>
        <v>#N/A</v>
      </c>
      <c r="M363" s="8">
        <f>loaded!AE363</f>
        <v>0</v>
      </c>
      <c r="N363" s="8">
        <f>loaded!AG363</f>
        <v>0</v>
      </c>
      <c r="O363" t="e">
        <f>INDEX(reces_codes,MATCH(loaded!AI363,reason,0))</f>
        <v>#N/A</v>
      </c>
      <c r="P363" t="e">
        <f>INDEX(TDS_codes,MATCH(loaded!AK363,TDS,0))</f>
        <v>#N/A</v>
      </c>
      <c r="Q363" t="e">
        <f>IF(K363=2,"",INDEX(method_codes,MATCH(loaded!AM363,method,0)))</f>
        <v>#N/A</v>
      </c>
      <c r="R363" t="e">
        <f>IF(K363=2,"",INDEX(inj_codes,MATCH(loaded!AO363,inj,0)))</f>
        <v>#N/A</v>
      </c>
      <c r="S363" t="e">
        <f>IF(K363=2,"",INDEX(drug_codes,MATCH(loaded!AQ363,drug,0)))</f>
        <v>#N/A</v>
      </c>
      <c r="T363" t="e">
        <f>IF(K363=2,"",_xlfn.IFNA(INDEX(drug_codes,MATCH(loaded!AS363,drug,0)),""))</f>
        <v>#N/A</v>
      </c>
      <c r="U363" t="e">
        <f>IF(K363=2,"",_xlfn.IFNA(INDEX(drug_codes,MATCH(loaded!AU363,drug,0)),""))</f>
        <v>#N/A</v>
      </c>
      <c r="V363" t="e">
        <f>IF(K363=2,"",_xlfn.IFNA(INDEX(drug_codes,MATCH(loaded!AW363,drug,0)),""))</f>
        <v>#N/A</v>
      </c>
      <c r="W363" t="e">
        <f>IF(K363=2,"",_xlfn.IFNA(INDEX(drug_codes,MATCH(loaded!AY363,drug,0)),""))</f>
        <v>#N/A</v>
      </c>
      <c r="X363" t="e">
        <f>IF(K363=2,"",_xlfn.IFNA(INDEX(drug_codes,MATCH(loaded!BA363,drug,0)),""))</f>
        <v>#N/A</v>
      </c>
      <c r="Y363" t="e">
        <f>INDEX(MTT_codes,MATCH(loaded!BC363,MTT,0))</f>
        <v>#N/A</v>
      </c>
      <c r="Z363" t="str">
        <f>_xlfn.IFNA(INDEX(MTT_codes,MATCH(loaded!BE363,MTT,0)),"")</f>
        <v/>
      </c>
      <c r="AA363" t="str">
        <f>_xlfn.IFNA(INDEX(MTT_codes,MATCH(loaded!BG363,MTT,0)),"")</f>
        <v/>
      </c>
      <c r="AB363" t="str">
        <f>_xlfn.IFNA(INDEX(MTT_codes,MATCH(loaded!BI363,MTT,0)),"")</f>
        <v/>
      </c>
      <c r="AC363" t="str">
        <f>_xlfn.IFNA(INDEX(MTT_codes,MATCH(loaded!BK363,MTT,0)),"")</f>
        <v/>
      </c>
      <c r="AD363" t="str">
        <f>_xlfn.IFNA(INDEX(MTT_codes,MATCH(loaded!BM363,MTT,0)),"")</f>
        <v/>
      </c>
      <c r="AE363" t="e">
        <f>INDEX(liv_ar_codes,MATCH(loaded!BO363,liv_ar,0))</f>
        <v>#N/A</v>
      </c>
      <c r="AF363" t="str">
        <f>_xlfn.IFNA(INDEX(MTT_codes,MATCH(loaded!BQ363,MTT,0)),"")</f>
        <v/>
      </c>
      <c r="AG363">
        <f>_xlfn.IFNA(INDEX(mental_codes,MATCH(loaded!BS363,mental,0)),9)</f>
        <v>9</v>
      </c>
    </row>
    <row r="364" spans="1:33" x14ac:dyDescent="0.25">
      <c r="A364">
        <f>loaded!C364</f>
        <v>0</v>
      </c>
      <c r="B364">
        <f>loaded!I364</f>
        <v>0</v>
      </c>
      <c r="C364">
        <f>IF(loaded!K364="Male",1,IF(loaded!K364="Female",2,9))</f>
        <v>9</v>
      </c>
      <c r="D364" s="8">
        <f>loaded!M364</f>
        <v>0</v>
      </c>
      <c r="E364" t="str">
        <f>LEFT(loaded!O364,3)</f>
        <v/>
      </c>
      <c r="F364" t="e">
        <f>INDEX(cntry_codes,MATCH(loaded!Q364,countries,0))</f>
        <v>#N/A</v>
      </c>
      <c r="G364" t="e">
        <f>INDEX(atsi_codes,MATCH(loaded!S364,atsi,0))</f>
        <v>#N/A</v>
      </c>
      <c r="H364" t="e">
        <f>INDEX(lang_codes,MATCH(loaded!U364,lang,0))</f>
        <v>#N/A</v>
      </c>
      <c r="I364" s="8">
        <f>loaded!W364</f>
        <v>0</v>
      </c>
      <c r="J364" t="e">
        <f>INDEX(us_acc_codes,MATCH(loaded!Y364,us_acc,0))</f>
        <v>#N/A</v>
      </c>
      <c r="K364" t="e">
        <f>INDEX(client_codes,MATCH(loaded!AA364,client,0))</f>
        <v>#N/A</v>
      </c>
      <c r="L364" t="e">
        <f>INDEX(src_ref_codes,MATCH(loaded!AC364,src_ref,0))</f>
        <v>#N/A</v>
      </c>
      <c r="M364" s="8">
        <f>loaded!AE364</f>
        <v>0</v>
      </c>
      <c r="N364" s="8">
        <f>loaded!AG364</f>
        <v>0</v>
      </c>
      <c r="O364" t="e">
        <f>INDEX(reces_codes,MATCH(loaded!AI364,reason,0))</f>
        <v>#N/A</v>
      </c>
      <c r="P364" t="e">
        <f>INDEX(TDS_codes,MATCH(loaded!AK364,TDS,0))</f>
        <v>#N/A</v>
      </c>
      <c r="Q364" t="e">
        <f>IF(K364=2,"",INDEX(method_codes,MATCH(loaded!AM364,method,0)))</f>
        <v>#N/A</v>
      </c>
      <c r="R364" t="e">
        <f>IF(K364=2,"",INDEX(inj_codes,MATCH(loaded!AO364,inj,0)))</f>
        <v>#N/A</v>
      </c>
      <c r="S364" t="e">
        <f>IF(K364=2,"",INDEX(drug_codes,MATCH(loaded!AQ364,drug,0)))</f>
        <v>#N/A</v>
      </c>
      <c r="T364" t="e">
        <f>IF(K364=2,"",_xlfn.IFNA(INDEX(drug_codes,MATCH(loaded!AS364,drug,0)),""))</f>
        <v>#N/A</v>
      </c>
      <c r="U364" t="e">
        <f>IF(K364=2,"",_xlfn.IFNA(INDEX(drug_codes,MATCH(loaded!AU364,drug,0)),""))</f>
        <v>#N/A</v>
      </c>
      <c r="V364" t="e">
        <f>IF(K364=2,"",_xlfn.IFNA(INDEX(drug_codes,MATCH(loaded!AW364,drug,0)),""))</f>
        <v>#N/A</v>
      </c>
      <c r="W364" t="e">
        <f>IF(K364=2,"",_xlfn.IFNA(INDEX(drug_codes,MATCH(loaded!AY364,drug,0)),""))</f>
        <v>#N/A</v>
      </c>
      <c r="X364" t="e">
        <f>IF(K364=2,"",_xlfn.IFNA(INDEX(drug_codes,MATCH(loaded!BA364,drug,0)),""))</f>
        <v>#N/A</v>
      </c>
      <c r="Y364" t="e">
        <f>INDEX(MTT_codes,MATCH(loaded!BC364,MTT,0))</f>
        <v>#N/A</v>
      </c>
      <c r="Z364" t="str">
        <f>_xlfn.IFNA(INDEX(MTT_codes,MATCH(loaded!BE364,MTT,0)),"")</f>
        <v/>
      </c>
      <c r="AA364" t="str">
        <f>_xlfn.IFNA(INDEX(MTT_codes,MATCH(loaded!BG364,MTT,0)),"")</f>
        <v/>
      </c>
      <c r="AB364" t="str">
        <f>_xlfn.IFNA(INDEX(MTT_codes,MATCH(loaded!BI364,MTT,0)),"")</f>
        <v/>
      </c>
      <c r="AC364" t="str">
        <f>_xlfn.IFNA(INDEX(MTT_codes,MATCH(loaded!BK364,MTT,0)),"")</f>
        <v/>
      </c>
      <c r="AD364" t="str">
        <f>_xlfn.IFNA(INDEX(MTT_codes,MATCH(loaded!BM364,MTT,0)),"")</f>
        <v/>
      </c>
      <c r="AE364" t="e">
        <f>INDEX(liv_ar_codes,MATCH(loaded!BO364,liv_ar,0))</f>
        <v>#N/A</v>
      </c>
      <c r="AF364" t="str">
        <f>_xlfn.IFNA(INDEX(MTT_codes,MATCH(loaded!BQ364,MTT,0)),"")</f>
        <v/>
      </c>
      <c r="AG364">
        <f>_xlfn.IFNA(INDEX(mental_codes,MATCH(loaded!BS364,mental,0)),9)</f>
        <v>9</v>
      </c>
    </row>
    <row r="365" spans="1:33" x14ac:dyDescent="0.25">
      <c r="A365">
        <f>loaded!C365</f>
        <v>0</v>
      </c>
      <c r="B365">
        <f>loaded!I365</f>
        <v>0</v>
      </c>
      <c r="C365">
        <f>IF(loaded!K365="Male",1,IF(loaded!K365="Female",2,9))</f>
        <v>9</v>
      </c>
      <c r="D365" s="8">
        <f>loaded!M365</f>
        <v>0</v>
      </c>
      <c r="E365" t="str">
        <f>LEFT(loaded!O365,3)</f>
        <v/>
      </c>
      <c r="F365" t="e">
        <f>INDEX(cntry_codes,MATCH(loaded!Q365,countries,0))</f>
        <v>#N/A</v>
      </c>
      <c r="G365" t="e">
        <f>INDEX(atsi_codes,MATCH(loaded!S365,atsi,0))</f>
        <v>#N/A</v>
      </c>
      <c r="H365" t="e">
        <f>INDEX(lang_codes,MATCH(loaded!U365,lang,0))</f>
        <v>#N/A</v>
      </c>
      <c r="I365" s="8">
        <f>loaded!W365</f>
        <v>0</v>
      </c>
      <c r="J365" t="e">
        <f>INDEX(us_acc_codes,MATCH(loaded!Y365,us_acc,0))</f>
        <v>#N/A</v>
      </c>
      <c r="K365" t="e">
        <f>INDEX(client_codes,MATCH(loaded!AA365,client,0))</f>
        <v>#N/A</v>
      </c>
      <c r="L365" t="e">
        <f>INDEX(src_ref_codes,MATCH(loaded!AC365,src_ref,0))</f>
        <v>#N/A</v>
      </c>
      <c r="M365" s="8">
        <f>loaded!AE365</f>
        <v>0</v>
      </c>
      <c r="N365" s="8">
        <f>loaded!AG365</f>
        <v>0</v>
      </c>
      <c r="O365" t="e">
        <f>INDEX(reces_codes,MATCH(loaded!AI365,reason,0))</f>
        <v>#N/A</v>
      </c>
      <c r="P365" t="e">
        <f>INDEX(TDS_codes,MATCH(loaded!AK365,TDS,0))</f>
        <v>#N/A</v>
      </c>
      <c r="Q365" t="e">
        <f>IF(K365=2,"",INDEX(method_codes,MATCH(loaded!AM365,method,0)))</f>
        <v>#N/A</v>
      </c>
      <c r="R365" t="e">
        <f>IF(K365=2,"",INDEX(inj_codes,MATCH(loaded!AO365,inj,0)))</f>
        <v>#N/A</v>
      </c>
      <c r="S365" t="e">
        <f>IF(K365=2,"",INDEX(drug_codes,MATCH(loaded!AQ365,drug,0)))</f>
        <v>#N/A</v>
      </c>
      <c r="T365" t="e">
        <f>IF(K365=2,"",_xlfn.IFNA(INDEX(drug_codes,MATCH(loaded!AS365,drug,0)),""))</f>
        <v>#N/A</v>
      </c>
      <c r="U365" t="e">
        <f>IF(K365=2,"",_xlfn.IFNA(INDEX(drug_codes,MATCH(loaded!AU365,drug,0)),""))</f>
        <v>#N/A</v>
      </c>
      <c r="V365" t="e">
        <f>IF(K365=2,"",_xlfn.IFNA(INDEX(drug_codes,MATCH(loaded!AW365,drug,0)),""))</f>
        <v>#N/A</v>
      </c>
      <c r="W365" t="e">
        <f>IF(K365=2,"",_xlfn.IFNA(INDEX(drug_codes,MATCH(loaded!AY365,drug,0)),""))</f>
        <v>#N/A</v>
      </c>
      <c r="X365" t="e">
        <f>IF(K365=2,"",_xlfn.IFNA(INDEX(drug_codes,MATCH(loaded!BA365,drug,0)),""))</f>
        <v>#N/A</v>
      </c>
      <c r="Y365" t="e">
        <f>INDEX(MTT_codes,MATCH(loaded!BC365,MTT,0))</f>
        <v>#N/A</v>
      </c>
      <c r="Z365" t="str">
        <f>_xlfn.IFNA(INDEX(MTT_codes,MATCH(loaded!BE365,MTT,0)),"")</f>
        <v/>
      </c>
      <c r="AA365" t="str">
        <f>_xlfn.IFNA(INDEX(MTT_codes,MATCH(loaded!BG365,MTT,0)),"")</f>
        <v/>
      </c>
      <c r="AB365" t="str">
        <f>_xlfn.IFNA(INDEX(MTT_codes,MATCH(loaded!BI365,MTT,0)),"")</f>
        <v/>
      </c>
      <c r="AC365" t="str">
        <f>_xlfn.IFNA(INDEX(MTT_codes,MATCH(loaded!BK365,MTT,0)),"")</f>
        <v/>
      </c>
      <c r="AD365" t="str">
        <f>_xlfn.IFNA(INDEX(MTT_codes,MATCH(loaded!BM365,MTT,0)),"")</f>
        <v/>
      </c>
      <c r="AE365" t="e">
        <f>INDEX(liv_ar_codes,MATCH(loaded!BO365,liv_ar,0))</f>
        <v>#N/A</v>
      </c>
      <c r="AF365" t="str">
        <f>_xlfn.IFNA(INDEX(MTT_codes,MATCH(loaded!BQ365,MTT,0)),"")</f>
        <v/>
      </c>
      <c r="AG365">
        <f>_xlfn.IFNA(INDEX(mental_codes,MATCH(loaded!BS365,mental,0)),9)</f>
        <v>9</v>
      </c>
    </row>
    <row r="366" spans="1:33" x14ac:dyDescent="0.25">
      <c r="A366">
        <f>loaded!C366</f>
        <v>0</v>
      </c>
      <c r="B366">
        <f>loaded!I366</f>
        <v>0</v>
      </c>
      <c r="C366">
        <f>IF(loaded!K366="Male",1,IF(loaded!K366="Female",2,9))</f>
        <v>9</v>
      </c>
      <c r="D366" s="8">
        <f>loaded!M366</f>
        <v>0</v>
      </c>
      <c r="E366" t="str">
        <f>LEFT(loaded!O366,3)</f>
        <v/>
      </c>
      <c r="F366" t="e">
        <f>INDEX(cntry_codes,MATCH(loaded!Q366,countries,0))</f>
        <v>#N/A</v>
      </c>
      <c r="G366" t="e">
        <f>INDEX(atsi_codes,MATCH(loaded!S366,atsi,0))</f>
        <v>#N/A</v>
      </c>
      <c r="H366" t="e">
        <f>INDEX(lang_codes,MATCH(loaded!U366,lang,0))</f>
        <v>#N/A</v>
      </c>
      <c r="I366" s="8">
        <f>loaded!W366</f>
        <v>0</v>
      </c>
      <c r="J366" t="e">
        <f>INDEX(us_acc_codes,MATCH(loaded!Y366,us_acc,0))</f>
        <v>#N/A</v>
      </c>
      <c r="K366" t="e">
        <f>INDEX(client_codes,MATCH(loaded!AA366,client,0))</f>
        <v>#N/A</v>
      </c>
      <c r="L366" t="e">
        <f>INDEX(src_ref_codes,MATCH(loaded!AC366,src_ref,0))</f>
        <v>#N/A</v>
      </c>
      <c r="M366" s="8">
        <f>loaded!AE366</f>
        <v>0</v>
      </c>
      <c r="N366" s="8">
        <f>loaded!AG366</f>
        <v>0</v>
      </c>
      <c r="O366" t="e">
        <f>INDEX(reces_codes,MATCH(loaded!AI366,reason,0))</f>
        <v>#N/A</v>
      </c>
      <c r="P366" t="e">
        <f>INDEX(TDS_codes,MATCH(loaded!AK366,TDS,0))</f>
        <v>#N/A</v>
      </c>
      <c r="Q366" t="e">
        <f>IF(K366=2,"",INDEX(method_codes,MATCH(loaded!AM366,method,0)))</f>
        <v>#N/A</v>
      </c>
      <c r="R366" t="e">
        <f>IF(K366=2,"",INDEX(inj_codes,MATCH(loaded!AO366,inj,0)))</f>
        <v>#N/A</v>
      </c>
      <c r="S366" t="e">
        <f>IF(K366=2,"",INDEX(drug_codes,MATCH(loaded!AQ366,drug,0)))</f>
        <v>#N/A</v>
      </c>
      <c r="T366" t="e">
        <f>IF(K366=2,"",_xlfn.IFNA(INDEX(drug_codes,MATCH(loaded!AS366,drug,0)),""))</f>
        <v>#N/A</v>
      </c>
      <c r="U366" t="e">
        <f>IF(K366=2,"",_xlfn.IFNA(INDEX(drug_codes,MATCH(loaded!AU366,drug,0)),""))</f>
        <v>#N/A</v>
      </c>
      <c r="V366" t="e">
        <f>IF(K366=2,"",_xlfn.IFNA(INDEX(drug_codes,MATCH(loaded!AW366,drug,0)),""))</f>
        <v>#N/A</v>
      </c>
      <c r="W366" t="e">
        <f>IF(K366=2,"",_xlfn.IFNA(INDEX(drug_codes,MATCH(loaded!AY366,drug,0)),""))</f>
        <v>#N/A</v>
      </c>
      <c r="X366" t="e">
        <f>IF(K366=2,"",_xlfn.IFNA(INDEX(drug_codes,MATCH(loaded!BA366,drug,0)),""))</f>
        <v>#N/A</v>
      </c>
      <c r="Y366" t="e">
        <f>INDEX(MTT_codes,MATCH(loaded!BC366,MTT,0))</f>
        <v>#N/A</v>
      </c>
      <c r="Z366" t="str">
        <f>_xlfn.IFNA(INDEX(MTT_codes,MATCH(loaded!BE366,MTT,0)),"")</f>
        <v/>
      </c>
      <c r="AA366" t="str">
        <f>_xlfn.IFNA(INDEX(MTT_codes,MATCH(loaded!BG366,MTT,0)),"")</f>
        <v/>
      </c>
      <c r="AB366" t="str">
        <f>_xlfn.IFNA(INDEX(MTT_codes,MATCH(loaded!BI366,MTT,0)),"")</f>
        <v/>
      </c>
      <c r="AC366" t="str">
        <f>_xlfn.IFNA(INDEX(MTT_codes,MATCH(loaded!BK366,MTT,0)),"")</f>
        <v/>
      </c>
      <c r="AD366" t="str">
        <f>_xlfn.IFNA(INDEX(MTT_codes,MATCH(loaded!BM366,MTT,0)),"")</f>
        <v/>
      </c>
      <c r="AE366" t="e">
        <f>INDEX(liv_ar_codes,MATCH(loaded!BO366,liv_ar,0))</f>
        <v>#N/A</v>
      </c>
      <c r="AF366" t="str">
        <f>_xlfn.IFNA(INDEX(MTT_codes,MATCH(loaded!BQ366,MTT,0)),"")</f>
        <v/>
      </c>
      <c r="AG366">
        <f>_xlfn.IFNA(INDEX(mental_codes,MATCH(loaded!BS366,mental,0)),9)</f>
        <v>9</v>
      </c>
    </row>
    <row r="367" spans="1:33" x14ac:dyDescent="0.25">
      <c r="A367">
        <f>loaded!C367</f>
        <v>0</v>
      </c>
      <c r="B367">
        <f>loaded!I367</f>
        <v>0</v>
      </c>
      <c r="C367">
        <f>IF(loaded!K367="Male",1,IF(loaded!K367="Female",2,9))</f>
        <v>9</v>
      </c>
      <c r="D367" s="8">
        <f>loaded!M367</f>
        <v>0</v>
      </c>
      <c r="E367" t="str">
        <f>LEFT(loaded!O367,3)</f>
        <v/>
      </c>
      <c r="F367" t="e">
        <f>INDEX(cntry_codes,MATCH(loaded!Q367,countries,0))</f>
        <v>#N/A</v>
      </c>
      <c r="G367" t="e">
        <f>INDEX(atsi_codes,MATCH(loaded!S367,atsi,0))</f>
        <v>#N/A</v>
      </c>
      <c r="H367" t="e">
        <f>INDEX(lang_codes,MATCH(loaded!U367,lang,0))</f>
        <v>#N/A</v>
      </c>
      <c r="I367" s="8">
        <f>loaded!W367</f>
        <v>0</v>
      </c>
      <c r="J367" t="e">
        <f>INDEX(us_acc_codes,MATCH(loaded!Y367,us_acc,0))</f>
        <v>#N/A</v>
      </c>
      <c r="K367" t="e">
        <f>INDEX(client_codes,MATCH(loaded!AA367,client,0))</f>
        <v>#N/A</v>
      </c>
      <c r="L367" t="e">
        <f>INDEX(src_ref_codes,MATCH(loaded!AC367,src_ref,0))</f>
        <v>#N/A</v>
      </c>
      <c r="M367" s="8">
        <f>loaded!AE367</f>
        <v>0</v>
      </c>
      <c r="N367" s="8">
        <f>loaded!AG367</f>
        <v>0</v>
      </c>
      <c r="O367" t="e">
        <f>INDEX(reces_codes,MATCH(loaded!AI367,reason,0))</f>
        <v>#N/A</v>
      </c>
      <c r="P367" t="e">
        <f>INDEX(TDS_codes,MATCH(loaded!AK367,TDS,0))</f>
        <v>#N/A</v>
      </c>
      <c r="Q367" t="e">
        <f>IF(K367=2,"",INDEX(method_codes,MATCH(loaded!AM367,method,0)))</f>
        <v>#N/A</v>
      </c>
      <c r="R367" t="e">
        <f>IF(K367=2,"",INDEX(inj_codes,MATCH(loaded!AO367,inj,0)))</f>
        <v>#N/A</v>
      </c>
      <c r="S367" t="e">
        <f>IF(K367=2,"",INDEX(drug_codes,MATCH(loaded!AQ367,drug,0)))</f>
        <v>#N/A</v>
      </c>
      <c r="T367" t="e">
        <f>IF(K367=2,"",_xlfn.IFNA(INDEX(drug_codes,MATCH(loaded!AS367,drug,0)),""))</f>
        <v>#N/A</v>
      </c>
      <c r="U367" t="e">
        <f>IF(K367=2,"",_xlfn.IFNA(INDEX(drug_codes,MATCH(loaded!AU367,drug,0)),""))</f>
        <v>#N/A</v>
      </c>
      <c r="V367" t="e">
        <f>IF(K367=2,"",_xlfn.IFNA(INDEX(drug_codes,MATCH(loaded!AW367,drug,0)),""))</f>
        <v>#N/A</v>
      </c>
      <c r="W367" t="e">
        <f>IF(K367=2,"",_xlfn.IFNA(INDEX(drug_codes,MATCH(loaded!AY367,drug,0)),""))</f>
        <v>#N/A</v>
      </c>
      <c r="X367" t="e">
        <f>IF(K367=2,"",_xlfn.IFNA(INDEX(drug_codes,MATCH(loaded!BA367,drug,0)),""))</f>
        <v>#N/A</v>
      </c>
      <c r="Y367" t="e">
        <f>INDEX(MTT_codes,MATCH(loaded!BC367,MTT,0))</f>
        <v>#N/A</v>
      </c>
      <c r="Z367" t="str">
        <f>_xlfn.IFNA(INDEX(MTT_codes,MATCH(loaded!BE367,MTT,0)),"")</f>
        <v/>
      </c>
      <c r="AA367" t="str">
        <f>_xlfn.IFNA(INDEX(MTT_codes,MATCH(loaded!BG367,MTT,0)),"")</f>
        <v/>
      </c>
      <c r="AB367" t="str">
        <f>_xlfn.IFNA(INDEX(MTT_codes,MATCH(loaded!BI367,MTT,0)),"")</f>
        <v/>
      </c>
      <c r="AC367" t="str">
        <f>_xlfn.IFNA(INDEX(MTT_codes,MATCH(loaded!BK367,MTT,0)),"")</f>
        <v/>
      </c>
      <c r="AD367" t="str">
        <f>_xlfn.IFNA(INDEX(MTT_codes,MATCH(loaded!BM367,MTT,0)),"")</f>
        <v/>
      </c>
      <c r="AE367" t="e">
        <f>INDEX(liv_ar_codes,MATCH(loaded!BO367,liv_ar,0))</f>
        <v>#N/A</v>
      </c>
      <c r="AF367" t="str">
        <f>_xlfn.IFNA(INDEX(MTT_codes,MATCH(loaded!BQ367,MTT,0)),"")</f>
        <v/>
      </c>
      <c r="AG367">
        <f>_xlfn.IFNA(INDEX(mental_codes,MATCH(loaded!BS367,mental,0)),9)</f>
        <v>9</v>
      </c>
    </row>
    <row r="368" spans="1:33" x14ac:dyDescent="0.25">
      <c r="A368">
        <f>loaded!C368</f>
        <v>0</v>
      </c>
      <c r="B368">
        <f>loaded!I368</f>
        <v>0</v>
      </c>
      <c r="C368">
        <f>IF(loaded!K368="Male",1,IF(loaded!K368="Female",2,9))</f>
        <v>9</v>
      </c>
      <c r="D368" s="8">
        <f>loaded!M368</f>
        <v>0</v>
      </c>
      <c r="E368" t="str">
        <f>LEFT(loaded!O368,3)</f>
        <v/>
      </c>
      <c r="F368" t="e">
        <f>INDEX(cntry_codes,MATCH(loaded!Q368,countries,0))</f>
        <v>#N/A</v>
      </c>
      <c r="G368" t="e">
        <f>INDEX(atsi_codes,MATCH(loaded!S368,atsi,0))</f>
        <v>#N/A</v>
      </c>
      <c r="H368" t="e">
        <f>INDEX(lang_codes,MATCH(loaded!U368,lang,0))</f>
        <v>#N/A</v>
      </c>
      <c r="I368" s="8">
        <f>loaded!W368</f>
        <v>0</v>
      </c>
      <c r="J368" t="e">
        <f>INDEX(us_acc_codes,MATCH(loaded!Y368,us_acc,0))</f>
        <v>#N/A</v>
      </c>
      <c r="K368" t="e">
        <f>INDEX(client_codes,MATCH(loaded!AA368,client,0))</f>
        <v>#N/A</v>
      </c>
      <c r="L368" t="e">
        <f>INDEX(src_ref_codes,MATCH(loaded!AC368,src_ref,0))</f>
        <v>#N/A</v>
      </c>
      <c r="M368" s="8">
        <f>loaded!AE368</f>
        <v>0</v>
      </c>
      <c r="N368" s="8">
        <f>loaded!AG368</f>
        <v>0</v>
      </c>
      <c r="O368" t="e">
        <f>INDEX(reces_codes,MATCH(loaded!AI368,reason,0))</f>
        <v>#N/A</v>
      </c>
      <c r="P368" t="e">
        <f>INDEX(TDS_codes,MATCH(loaded!AK368,TDS,0))</f>
        <v>#N/A</v>
      </c>
      <c r="Q368" t="e">
        <f>IF(K368=2,"",INDEX(method_codes,MATCH(loaded!AM368,method,0)))</f>
        <v>#N/A</v>
      </c>
      <c r="R368" t="e">
        <f>IF(K368=2,"",INDEX(inj_codes,MATCH(loaded!AO368,inj,0)))</f>
        <v>#N/A</v>
      </c>
      <c r="S368" t="e">
        <f>IF(K368=2,"",INDEX(drug_codes,MATCH(loaded!AQ368,drug,0)))</f>
        <v>#N/A</v>
      </c>
      <c r="T368" t="e">
        <f>IF(K368=2,"",_xlfn.IFNA(INDEX(drug_codes,MATCH(loaded!AS368,drug,0)),""))</f>
        <v>#N/A</v>
      </c>
      <c r="U368" t="e">
        <f>IF(K368=2,"",_xlfn.IFNA(INDEX(drug_codes,MATCH(loaded!AU368,drug,0)),""))</f>
        <v>#N/A</v>
      </c>
      <c r="V368" t="e">
        <f>IF(K368=2,"",_xlfn.IFNA(INDEX(drug_codes,MATCH(loaded!AW368,drug,0)),""))</f>
        <v>#N/A</v>
      </c>
      <c r="W368" t="e">
        <f>IF(K368=2,"",_xlfn.IFNA(INDEX(drug_codes,MATCH(loaded!AY368,drug,0)),""))</f>
        <v>#N/A</v>
      </c>
      <c r="X368" t="e">
        <f>IF(K368=2,"",_xlfn.IFNA(INDEX(drug_codes,MATCH(loaded!BA368,drug,0)),""))</f>
        <v>#N/A</v>
      </c>
      <c r="Y368" t="e">
        <f>INDEX(MTT_codes,MATCH(loaded!BC368,MTT,0))</f>
        <v>#N/A</v>
      </c>
      <c r="Z368" t="str">
        <f>_xlfn.IFNA(INDEX(MTT_codes,MATCH(loaded!BE368,MTT,0)),"")</f>
        <v/>
      </c>
      <c r="AA368" t="str">
        <f>_xlfn.IFNA(INDEX(MTT_codes,MATCH(loaded!BG368,MTT,0)),"")</f>
        <v/>
      </c>
      <c r="AB368" t="str">
        <f>_xlfn.IFNA(INDEX(MTT_codes,MATCH(loaded!BI368,MTT,0)),"")</f>
        <v/>
      </c>
      <c r="AC368" t="str">
        <f>_xlfn.IFNA(INDEX(MTT_codes,MATCH(loaded!BK368,MTT,0)),"")</f>
        <v/>
      </c>
      <c r="AD368" t="str">
        <f>_xlfn.IFNA(INDEX(MTT_codes,MATCH(loaded!BM368,MTT,0)),"")</f>
        <v/>
      </c>
      <c r="AE368" t="e">
        <f>INDEX(liv_ar_codes,MATCH(loaded!BO368,liv_ar,0))</f>
        <v>#N/A</v>
      </c>
      <c r="AF368" t="str">
        <f>_xlfn.IFNA(INDEX(MTT_codes,MATCH(loaded!BQ368,MTT,0)),"")</f>
        <v/>
      </c>
      <c r="AG368">
        <f>_xlfn.IFNA(INDEX(mental_codes,MATCH(loaded!BS368,mental,0)),9)</f>
        <v>9</v>
      </c>
    </row>
    <row r="369" spans="1:33" x14ac:dyDescent="0.25">
      <c r="A369">
        <f>loaded!C369</f>
        <v>0</v>
      </c>
      <c r="B369">
        <f>loaded!I369</f>
        <v>0</v>
      </c>
      <c r="C369">
        <f>IF(loaded!K369="Male",1,IF(loaded!K369="Female",2,9))</f>
        <v>9</v>
      </c>
      <c r="D369" s="8">
        <f>loaded!M369</f>
        <v>0</v>
      </c>
      <c r="E369" t="str">
        <f>LEFT(loaded!O369,3)</f>
        <v/>
      </c>
      <c r="F369" t="e">
        <f>INDEX(cntry_codes,MATCH(loaded!Q369,countries,0))</f>
        <v>#N/A</v>
      </c>
      <c r="G369" t="e">
        <f>INDEX(atsi_codes,MATCH(loaded!S369,atsi,0))</f>
        <v>#N/A</v>
      </c>
      <c r="H369" t="e">
        <f>INDEX(lang_codes,MATCH(loaded!U369,lang,0))</f>
        <v>#N/A</v>
      </c>
      <c r="I369" s="8">
        <f>loaded!W369</f>
        <v>0</v>
      </c>
      <c r="J369" t="e">
        <f>INDEX(us_acc_codes,MATCH(loaded!Y369,us_acc,0))</f>
        <v>#N/A</v>
      </c>
      <c r="K369" t="e">
        <f>INDEX(client_codes,MATCH(loaded!AA369,client,0))</f>
        <v>#N/A</v>
      </c>
      <c r="L369" t="e">
        <f>INDEX(src_ref_codes,MATCH(loaded!AC369,src_ref,0))</f>
        <v>#N/A</v>
      </c>
      <c r="M369" s="8">
        <f>loaded!AE369</f>
        <v>0</v>
      </c>
      <c r="N369" s="8">
        <f>loaded!AG369</f>
        <v>0</v>
      </c>
      <c r="O369" t="e">
        <f>INDEX(reces_codes,MATCH(loaded!AI369,reason,0))</f>
        <v>#N/A</v>
      </c>
      <c r="P369" t="e">
        <f>INDEX(TDS_codes,MATCH(loaded!AK369,TDS,0))</f>
        <v>#N/A</v>
      </c>
      <c r="Q369" t="e">
        <f>IF(K369=2,"",INDEX(method_codes,MATCH(loaded!AM369,method,0)))</f>
        <v>#N/A</v>
      </c>
      <c r="R369" t="e">
        <f>IF(K369=2,"",INDEX(inj_codes,MATCH(loaded!AO369,inj,0)))</f>
        <v>#N/A</v>
      </c>
      <c r="S369" t="e">
        <f>IF(K369=2,"",INDEX(drug_codes,MATCH(loaded!AQ369,drug,0)))</f>
        <v>#N/A</v>
      </c>
      <c r="T369" t="e">
        <f>IF(K369=2,"",_xlfn.IFNA(INDEX(drug_codes,MATCH(loaded!AS369,drug,0)),""))</f>
        <v>#N/A</v>
      </c>
      <c r="U369" t="e">
        <f>IF(K369=2,"",_xlfn.IFNA(INDEX(drug_codes,MATCH(loaded!AU369,drug,0)),""))</f>
        <v>#N/A</v>
      </c>
      <c r="V369" t="e">
        <f>IF(K369=2,"",_xlfn.IFNA(INDEX(drug_codes,MATCH(loaded!AW369,drug,0)),""))</f>
        <v>#N/A</v>
      </c>
      <c r="W369" t="e">
        <f>IF(K369=2,"",_xlfn.IFNA(INDEX(drug_codes,MATCH(loaded!AY369,drug,0)),""))</f>
        <v>#N/A</v>
      </c>
      <c r="X369" t="e">
        <f>IF(K369=2,"",_xlfn.IFNA(INDEX(drug_codes,MATCH(loaded!BA369,drug,0)),""))</f>
        <v>#N/A</v>
      </c>
      <c r="Y369" t="e">
        <f>INDEX(MTT_codes,MATCH(loaded!BC369,MTT,0))</f>
        <v>#N/A</v>
      </c>
      <c r="Z369" t="str">
        <f>_xlfn.IFNA(INDEX(MTT_codes,MATCH(loaded!BE369,MTT,0)),"")</f>
        <v/>
      </c>
      <c r="AA369" t="str">
        <f>_xlfn.IFNA(INDEX(MTT_codes,MATCH(loaded!BG369,MTT,0)),"")</f>
        <v/>
      </c>
      <c r="AB369" t="str">
        <f>_xlfn.IFNA(INDEX(MTT_codes,MATCH(loaded!BI369,MTT,0)),"")</f>
        <v/>
      </c>
      <c r="AC369" t="str">
        <f>_xlfn.IFNA(INDEX(MTT_codes,MATCH(loaded!BK369,MTT,0)),"")</f>
        <v/>
      </c>
      <c r="AD369" t="str">
        <f>_xlfn.IFNA(INDEX(MTT_codes,MATCH(loaded!BM369,MTT,0)),"")</f>
        <v/>
      </c>
      <c r="AE369" t="e">
        <f>INDEX(liv_ar_codes,MATCH(loaded!BO369,liv_ar,0))</f>
        <v>#N/A</v>
      </c>
      <c r="AF369" t="str">
        <f>_xlfn.IFNA(INDEX(MTT_codes,MATCH(loaded!BQ369,MTT,0)),"")</f>
        <v/>
      </c>
      <c r="AG369">
        <f>_xlfn.IFNA(INDEX(mental_codes,MATCH(loaded!BS369,mental,0)),9)</f>
        <v>9</v>
      </c>
    </row>
    <row r="370" spans="1:33" x14ac:dyDescent="0.25">
      <c r="A370">
        <f>loaded!C370</f>
        <v>0</v>
      </c>
      <c r="B370">
        <f>loaded!I370</f>
        <v>0</v>
      </c>
      <c r="C370">
        <f>IF(loaded!K370="Male",1,IF(loaded!K370="Female",2,9))</f>
        <v>9</v>
      </c>
      <c r="D370" s="8">
        <f>loaded!M370</f>
        <v>0</v>
      </c>
      <c r="E370" t="str">
        <f>LEFT(loaded!O370,3)</f>
        <v/>
      </c>
      <c r="F370" t="e">
        <f>INDEX(cntry_codes,MATCH(loaded!Q370,countries,0))</f>
        <v>#N/A</v>
      </c>
      <c r="G370" t="e">
        <f>INDEX(atsi_codes,MATCH(loaded!S370,atsi,0))</f>
        <v>#N/A</v>
      </c>
      <c r="H370" t="e">
        <f>INDEX(lang_codes,MATCH(loaded!U370,lang,0))</f>
        <v>#N/A</v>
      </c>
      <c r="I370" s="8">
        <f>loaded!W370</f>
        <v>0</v>
      </c>
      <c r="J370" t="e">
        <f>INDEX(us_acc_codes,MATCH(loaded!Y370,us_acc,0))</f>
        <v>#N/A</v>
      </c>
      <c r="K370" t="e">
        <f>INDEX(client_codes,MATCH(loaded!AA370,client,0))</f>
        <v>#N/A</v>
      </c>
      <c r="L370" t="e">
        <f>INDEX(src_ref_codes,MATCH(loaded!AC370,src_ref,0))</f>
        <v>#N/A</v>
      </c>
      <c r="M370" s="8">
        <f>loaded!AE370</f>
        <v>0</v>
      </c>
      <c r="N370" s="8">
        <f>loaded!AG370</f>
        <v>0</v>
      </c>
      <c r="O370" t="e">
        <f>INDEX(reces_codes,MATCH(loaded!AI370,reason,0))</f>
        <v>#N/A</v>
      </c>
      <c r="P370" t="e">
        <f>INDEX(TDS_codes,MATCH(loaded!AK370,TDS,0))</f>
        <v>#N/A</v>
      </c>
      <c r="Q370" t="e">
        <f>IF(K370=2,"",INDEX(method_codes,MATCH(loaded!AM370,method,0)))</f>
        <v>#N/A</v>
      </c>
      <c r="R370" t="e">
        <f>IF(K370=2,"",INDEX(inj_codes,MATCH(loaded!AO370,inj,0)))</f>
        <v>#N/A</v>
      </c>
      <c r="S370" t="e">
        <f>IF(K370=2,"",INDEX(drug_codes,MATCH(loaded!AQ370,drug,0)))</f>
        <v>#N/A</v>
      </c>
      <c r="T370" t="e">
        <f>IF(K370=2,"",_xlfn.IFNA(INDEX(drug_codes,MATCH(loaded!AS370,drug,0)),""))</f>
        <v>#N/A</v>
      </c>
      <c r="U370" t="e">
        <f>IF(K370=2,"",_xlfn.IFNA(INDEX(drug_codes,MATCH(loaded!AU370,drug,0)),""))</f>
        <v>#N/A</v>
      </c>
      <c r="V370" t="e">
        <f>IF(K370=2,"",_xlfn.IFNA(INDEX(drug_codes,MATCH(loaded!AW370,drug,0)),""))</f>
        <v>#N/A</v>
      </c>
      <c r="W370" t="e">
        <f>IF(K370=2,"",_xlfn.IFNA(INDEX(drug_codes,MATCH(loaded!AY370,drug,0)),""))</f>
        <v>#N/A</v>
      </c>
      <c r="X370" t="e">
        <f>IF(K370=2,"",_xlfn.IFNA(INDEX(drug_codes,MATCH(loaded!BA370,drug,0)),""))</f>
        <v>#N/A</v>
      </c>
      <c r="Y370" t="e">
        <f>INDEX(MTT_codes,MATCH(loaded!BC370,MTT,0))</f>
        <v>#N/A</v>
      </c>
      <c r="Z370" t="str">
        <f>_xlfn.IFNA(INDEX(MTT_codes,MATCH(loaded!BE370,MTT,0)),"")</f>
        <v/>
      </c>
      <c r="AA370" t="str">
        <f>_xlfn.IFNA(INDEX(MTT_codes,MATCH(loaded!BG370,MTT,0)),"")</f>
        <v/>
      </c>
      <c r="AB370" t="str">
        <f>_xlfn.IFNA(INDEX(MTT_codes,MATCH(loaded!BI370,MTT,0)),"")</f>
        <v/>
      </c>
      <c r="AC370" t="str">
        <f>_xlfn.IFNA(INDEX(MTT_codes,MATCH(loaded!BK370,MTT,0)),"")</f>
        <v/>
      </c>
      <c r="AD370" t="str">
        <f>_xlfn.IFNA(INDEX(MTT_codes,MATCH(loaded!BM370,MTT,0)),"")</f>
        <v/>
      </c>
      <c r="AE370" t="e">
        <f>INDEX(liv_ar_codes,MATCH(loaded!BO370,liv_ar,0))</f>
        <v>#N/A</v>
      </c>
      <c r="AF370" t="str">
        <f>_xlfn.IFNA(INDEX(MTT_codes,MATCH(loaded!BQ370,MTT,0)),"")</f>
        <v/>
      </c>
      <c r="AG370">
        <f>_xlfn.IFNA(INDEX(mental_codes,MATCH(loaded!BS370,mental,0)),9)</f>
        <v>9</v>
      </c>
    </row>
    <row r="371" spans="1:33" x14ac:dyDescent="0.25">
      <c r="A371">
        <f>loaded!C371</f>
        <v>0</v>
      </c>
      <c r="B371">
        <f>loaded!I371</f>
        <v>0</v>
      </c>
      <c r="C371">
        <f>IF(loaded!K371="Male",1,IF(loaded!K371="Female",2,9))</f>
        <v>9</v>
      </c>
      <c r="D371" s="8">
        <f>loaded!M371</f>
        <v>0</v>
      </c>
      <c r="E371" t="str">
        <f>LEFT(loaded!O371,3)</f>
        <v/>
      </c>
      <c r="F371" t="e">
        <f>INDEX(cntry_codes,MATCH(loaded!Q371,countries,0))</f>
        <v>#N/A</v>
      </c>
      <c r="G371" t="e">
        <f>INDEX(atsi_codes,MATCH(loaded!S371,atsi,0))</f>
        <v>#N/A</v>
      </c>
      <c r="H371" t="e">
        <f>INDEX(lang_codes,MATCH(loaded!U371,lang,0))</f>
        <v>#N/A</v>
      </c>
      <c r="I371" s="8">
        <f>loaded!W371</f>
        <v>0</v>
      </c>
      <c r="J371" t="e">
        <f>INDEX(us_acc_codes,MATCH(loaded!Y371,us_acc,0))</f>
        <v>#N/A</v>
      </c>
      <c r="K371" t="e">
        <f>INDEX(client_codes,MATCH(loaded!AA371,client,0))</f>
        <v>#N/A</v>
      </c>
      <c r="L371" t="e">
        <f>INDEX(src_ref_codes,MATCH(loaded!AC371,src_ref,0))</f>
        <v>#N/A</v>
      </c>
      <c r="M371" s="8">
        <f>loaded!AE371</f>
        <v>0</v>
      </c>
      <c r="N371" s="8">
        <f>loaded!AG371</f>
        <v>0</v>
      </c>
      <c r="O371" t="e">
        <f>INDEX(reces_codes,MATCH(loaded!AI371,reason,0))</f>
        <v>#N/A</v>
      </c>
      <c r="P371" t="e">
        <f>INDEX(TDS_codes,MATCH(loaded!AK371,TDS,0))</f>
        <v>#N/A</v>
      </c>
      <c r="Q371" t="e">
        <f>IF(K371=2,"",INDEX(method_codes,MATCH(loaded!AM371,method,0)))</f>
        <v>#N/A</v>
      </c>
      <c r="R371" t="e">
        <f>IF(K371=2,"",INDEX(inj_codes,MATCH(loaded!AO371,inj,0)))</f>
        <v>#N/A</v>
      </c>
      <c r="S371" t="e">
        <f>IF(K371=2,"",INDEX(drug_codes,MATCH(loaded!AQ371,drug,0)))</f>
        <v>#N/A</v>
      </c>
      <c r="T371" t="e">
        <f>IF(K371=2,"",_xlfn.IFNA(INDEX(drug_codes,MATCH(loaded!AS371,drug,0)),""))</f>
        <v>#N/A</v>
      </c>
      <c r="U371" t="e">
        <f>IF(K371=2,"",_xlfn.IFNA(INDEX(drug_codes,MATCH(loaded!AU371,drug,0)),""))</f>
        <v>#N/A</v>
      </c>
      <c r="V371" t="e">
        <f>IF(K371=2,"",_xlfn.IFNA(INDEX(drug_codes,MATCH(loaded!AW371,drug,0)),""))</f>
        <v>#N/A</v>
      </c>
      <c r="W371" t="e">
        <f>IF(K371=2,"",_xlfn.IFNA(INDEX(drug_codes,MATCH(loaded!AY371,drug,0)),""))</f>
        <v>#N/A</v>
      </c>
      <c r="X371" t="e">
        <f>IF(K371=2,"",_xlfn.IFNA(INDEX(drug_codes,MATCH(loaded!BA371,drug,0)),""))</f>
        <v>#N/A</v>
      </c>
      <c r="Y371" t="e">
        <f>INDEX(MTT_codes,MATCH(loaded!BC371,MTT,0))</f>
        <v>#N/A</v>
      </c>
      <c r="Z371" t="str">
        <f>_xlfn.IFNA(INDEX(MTT_codes,MATCH(loaded!BE371,MTT,0)),"")</f>
        <v/>
      </c>
      <c r="AA371" t="str">
        <f>_xlfn.IFNA(INDEX(MTT_codes,MATCH(loaded!BG371,MTT,0)),"")</f>
        <v/>
      </c>
      <c r="AB371" t="str">
        <f>_xlfn.IFNA(INDEX(MTT_codes,MATCH(loaded!BI371,MTT,0)),"")</f>
        <v/>
      </c>
      <c r="AC371" t="str">
        <f>_xlfn.IFNA(INDEX(MTT_codes,MATCH(loaded!BK371,MTT,0)),"")</f>
        <v/>
      </c>
      <c r="AD371" t="str">
        <f>_xlfn.IFNA(INDEX(MTT_codes,MATCH(loaded!BM371,MTT,0)),"")</f>
        <v/>
      </c>
      <c r="AE371" t="e">
        <f>INDEX(liv_ar_codes,MATCH(loaded!BO371,liv_ar,0))</f>
        <v>#N/A</v>
      </c>
      <c r="AF371" t="str">
        <f>_xlfn.IFNA(INDEX(MTT_codes,MATCH(loaded!BQ371,MTT,0)),"")</f>
        <v/>
      </c>
      <c r="AG371">
        <f>_xlfn.IFNA(INDEX(mental_codes,MATCH(loaded!BS371,mental,0)),9)</f>
        <v>9</v>
      </c>
    </row>
    <row r="372" spans="1:33" x14ac:dyDescent="0.25">
      <c r="A372">
        <f>loaded!C372</f>
        <v>0</v>
      </c>
      <c r="B372">
        <f>loaded!I372</f>
        <v>0</v>
      </c>
      <c r="C372">
        <f>IF(loaded!K372="Male",1,IF(loaded!K372="Female",2,9))</f>
        <v>9</v>
      </c>
      <c r="D372" s="8">
        <f>loaded!M372</f>
        <v>0</v>
      </c>
      <c r="E372" t="str">
        <f>LEFT(loaded!O372,3)</f>
        <v/>
      </c>
      <c r="F372" t="e">
        <f>INDEX(cntry_codes,MATCH(loaded!Q372,countries,0))</f>
        <v>#N/A</v>
      </c>
      <c r="G372" t="e">
        <f>INDEX(atsi_codes,MATCH(loaded!S372,atsi,0))</f>
        <v>#N/A</v>
      </c>
      <c r="H372" t="e">
        <f>INDEX(lang_codes,MATCH(loaded!U372,lang,0))</f>
        <v>#N/A</v>
      </c>
      <c r="I372" s="8">
        <f>loaded!W372</f>
        <v>0</v>
      </c>
      <c r="J372" t="e">
        <f>INDEX(us_acc_codes,MATCH(loaded!Y372,us_acc,0))</f>
        <v>#N/A</v>
      </c>
      <c r="K372" t="e">
        <f>INDEX(client_codes,MATCH(loaded!AA372,client,0))</f>
        <v>#N/A</v>
      </c>
      <c r="L372" t="e">
        <f>INDEX(src_ref_codes,MATCH(loaded!AC372,src_ref,0))</f>
        <v>#N/A</v>
      </c>
      <c r="M372" s="8">
        <f>loaded!AE372</f>
        <v>0</v>
      </c>
      <c r="N372" s="8">
        <f>loaded!AG372</f>
        <v>0</v>
      </c>
      <c r="O372" t="e">
        <f>INDEX(reces_codes,MATCH(loaded!AI372,reason,0))</f>
        <v>#N/A</v>
      </c>
      <c r="P372" t="e">
        <f>INDEX(TDS_codes,MATCH(loaded!AK372,TDS,0))</f>
        <v>#N/A</v>
      </c>
      <c r="Q372" t="e">
        <f>IF(K372=2,"",INDEX(method_codes,MATCH(loaded!AM372,method,0)))</f>
        <v>#N/A</v>
      </c>
      <c r="R372" t="e">
        <f>IF(K372=2,"",INDEX(inj_codes,MATCH(loaded!AO372,inj,0)))</f>
        <v>#N/A</v>
      </c>
      <c r="S372" t="e">
        <f>IF(K372=2,"",INDEX(drug_codes,MATCH(loaded!AQ372,drug,0)))</f>
        <v>#N/A</v>
      </c>
      <c r="T372" t="e">
        <f>IF(K372=2,"",_xlfn.IFNA(INDEX(drug_codes,MATCH(loaded!AS372,drug,0)),""))</f>
        <v>#N/A</v>
      </c>
      <c r="U372" t="e">
        <f>IF(K372=2,"",_xlfn.IFNA(INDEX(drug_codes,MATCH(loaded!AU372,drug,0)),""))</f>
        <v>#N/A</v>
      </c>
      <c r="V372" t="e">
        <f>IF(K372=2,"",_xlfn.IFNA(INDEX(drug_codes,MATCH(loaded!AW372,drug,0)),""))</f>
        <v>#N/A</v>
      </c>
      <c r="W372" t="e">
        <f>IF(K372=2,"",_xlfn.IFNA(INDEX(drug_codes,MATCH(loaded!AY372,drug,0)),""))</f>
        <v>#N/A</v>
      </c>
      <c r="X372" t="e">
        <f>IF(K372=2,"",_xlfn.IFNA(INDEX(drug_codes,MATCH(loaded!BA372,drug,0)),""))</f>
        <v>#N/A</v>
      </c>
      <c r="Y372" t="e">
        <f>INDEX(MTT_codes,MATCH(loaded!BC372,MTT,0))</f>
        <v>#N/A</v>
      </c>
      <c r="Z372" t="str">
        <f>_xlfn.IFNA(INDEX(MTT_codes,MATCH(loaded!BE372,MTT,0)),"")</f>
        <v/>
      </c>
      <c r="AA372" t="str">
        <f>_xlfn.IFNA(INDEX(MTT_codes,MATCH(loaded!BG372,MTT,0)),"")</f>
        <v/>
      </c>
      <c r="AB372" t="str">
        <f>_xlfn.IFNA(INDEX(MTT_codes,MATCH(loaded!BI372,MTT,0)),"")</f>
        <v/>
      </c>
      <c r="AC372" t="str">
        <f>_xlfn.IFNA(INDEX(MTT_codes,MATCH(loaded!BK372,MTT,0)),"")</f>
        <v/>
      </c>
      <c r="AD372" t="str">
        <f>_xlfn.IFNA(INDEX(MTT_codes,MATCH(loaded!BM372,MTT,0)),"")</f>
        <v/>
      </c>
      <c r="AE372" t="e">
        <f>INDEX(liv_ar_codes,MATCH(loaded!BO372,liv_ar,0))</f>
        <v>#N/A</v>
      </c>
      <c r="AF372" t="str">
        <f>_xlfn.IFNA(INDEX(MTT_codes,MATCH(loaded!BQ372,MTT,0)),"")</f>
        <v/>
      </c>
      <c r="AG372">
        <f>_xlfn.IFNA(INDEX(mental_codes,MATCH(loaded!BS372,mental,0)),9)</f>
        <v>9</v>
      </c>
    </row>
    <row r="373" spans="1:33" x14ac:dyDescent="0.25">
      <c r="A373">
        <f>loaded!C373</f>
        <v>0</v>
      </c>
      <c r="B373">
        <f>loaded!I373</f>
        <v>0</v>
      </c>
      <c r="C373">
        <f>IF(loaded!K373="Male",1,IF(loaded!K373="Female",2,9))</f>
        <v>9</v>
      </c>
      <c r="D373" s="8">
        <f>loaded!M373</f>
        <v>0</v>
      </c>
      <c r="E373" t="str">
        <f>LEFT(loaded!O373,3)</f>
        <v/>
      </c>
      <c r="F373" t="e">
        <f>INDEX(cntry_codes,MATCH(loaded!Q373,countries,0))</f>
        <v>#N/A</v>
      </c>
      <c r="G373" t="e">
        <f>INDEX(atsi_codes,MATCH(loaded!S373,atsi,0))</f>
        <v>#N/A</v>
      </c>
      <c r="H373" t="e">
        <f>INDEX(lang_codes,MATCH(loaded!U373,lang,0))</f>
        <v>#N/A</v>
      </c>
      <c r="I373" s="8">
        <f>loaded!W373</f>
        <v>0</v>
      </c>
      <c r="J373" t="e">
        <f>INDEX(us_acc_codes,MATCH(loaded!Y373,us_acc,0))</f>
        <v>#N/A</v>
      </c>
      <c r="K373" t="e">
        <f>INDEX(client_codes,MATCH(loaded!AA373,client,0))</f>
        <v>#N/A</v>
      </c>
      <c r="L373" t="e">
        <f>INDEX(src_ref_codes,MATCH(loaded!AC373,src_ref,0))</f>
        <v>#N/A</v>
      </c>
      <c r="M373" s="8">
        <f>loaded!AE373</f>
        <v>0</v>
      </c>
      <c r="N373" s="8">
        <f>loaded!AG373</f>
        <v>0</v>
      </c>
      <c r="O373" t="e">
        <f>INDEX(reces_codes,MATCH(loaded!AI373,reason,0))</f>
        <v>#N/A</v>
      </c>
      <c r="P373" t="e">
        <f>INDEX(TDS_codes,MATCH(loaded!AK373,TDS,0))</f>
        <v>#N/A</v>
      </c>
      <c r="Q373" t="e">
        <f>IF(K373=2,"",INDEX(method_codes,MATCH(loaded!AM373,method,0)))</f>
        <v>#N/A</v>
      </c>
      <c r="R373" t="e">
        <f>IF(K373=2,"",INDEX(inj_codes,MATCH(loaded!AO373,inj,0)))</f>
        <v>#N/A</v>
      </c>
      <c r="S373" t="e">
        <f>IF(K373=2,"",INDEX(drug_codes,MATCH(loaded!AQ373,drug,0)))</f>
        <v>#N/A</v>
      </c>
      <c r="T373" t="e">
        <f>IF(K373=2,"",_xlfn.IFNA(INDEX(drug_codes,MATCH(loaded!AS373,drug,0)),""))</f>
        <v>#N/A</v>
      </c>
      <c r="U373" t="e">
        <f>IF(K373=2,"",_xlfn.IFNA(INDEX(drug_codes,MATCH(loaded!AU373,drug,0)),""))</f>
        <v>#N/A</v>
      </c>
      <c r="V373" t="e">
        <f>IF(K373=2,"",_xlfn.IFNA(INDEX(drug_codes,MATCH(loaded!AW373,drug,0)),""))</f>
        <v>#N/A</v>
      </c>
      <c r="W373" t="e">
        <f>IF(K373=2,"",_xlfn.IFNA(INDEX(drug_codes,MATCH(loaded!AY373,drug,0)),""))</f>
        <v>#N/A</v>
      </c>
      <c r="X373" t="e">
        <f>IF(K373=2,"",_xlfn.IFNA(INDEX(drug_codes,MATCH(loaded!BA373,drug,0)),""))</f>
        <v>#N/A</v>
      </c>
      <c r="Y373" t="e">
        <f>INDEX(MTT_codes,MATCH(loaded!BC373,MTT,0))</f>
        <v>#N/A</v>
      </c>
      <c r="Z373" t="str">
        <f>_xlfn.IFNA(INDEX(MTT_codes,MATCH(loaded!BE373,MTT,0)),"")</f>
        <v/>
      </c>
      <c r="AA373" t="str">
        <f>_xlfn.IFNA(INDEX(MTT_codes,MATCH(loaded!BG373,MTT,0)),"")</f>
        <v/>
      </c>
      <c r="AB373" t="str">
        <f>_xlfn.IFNA(INDEX(MTT_codes,MATCH(loaded!BI373,MTT,0)),"")</f>
        <v/>
      </c>
      <c r="AC373" t="str">
        <f>_xlfn.IFNA(INDEX(MTT_codes,MATCH(loaded!BK373,MTT,0)),"")</f>
        <v/>
      </c>
      <c r="AD373" t="str">
        <f>_xlfn.IFNA(INDEX(MTT_codes,MATCH(loaded!BM373,MTT,0)),"")</f>
        <v/>
      </c>
      <c r="AE373" t="e">
        <f>INDEX(liv_ar_codes,MATCH(loaded!BO373,liv_ar,0))</f>
        <v>#N/A</v>
      </c>
      <c r="AF373" t="str">
        <f>_xlfn.IFNA(INDEX(MTT_codes,MATCH(loaded!BQ373,MTT,0)),"")</f>
        <v/>
      </c>
      <c r="AG373">
        <f>_xlfn.IFNA(INDEX(mental_codes,MATCH(loaded!BS373,mental,0)),9)</f>
        <v>9</v>
      </c>
    </row>
    <row r="374" spans="1:33" x14ac:dyDescent="0.25">
      <c r="A374">
        <f>loaded!C374</f>
        <v>0</v>
      </c>
      <c r="B374">
        <f>loaded!I374</f>
        <v>0</v>
      </c>
      <c r="C374">
        <f>IF(loaded!K374="Male",1,IF(loaded!K374="Female",2,9))</f>
        <v>9</v>
      </c>
      <c r="D374" s="8">
        <f>loaded!M374</f>
        <v>0</v>
      </c>
      <c r="E374" t="str">
        <f>LEFT(loaded!O374,3)</f>
        <v/>
      </c>
      <c r="F374" t="e">
        <f>INDEX(cntry_codes,MATCH(loaded!Q374,countries,0))</f>
        <v>#N/A</v>
      </c>
      <c r="G374" t="e">
        <f>INDEX(atsi_codes,MATCH(loaded!S374,atsi,0))</f>
        <v>#N/A</v>
      </c>
      <c r="H374" t="e">
        <f>INDEX(lang_codes,MATCH(loaded!U374,lang,0))</f>
        <v>#N/A</v>
      </c>
      <c r="I374" s="8">
        <f>loaded!W374</f>
        <v>0</v>
      </c>
      <c r="J374" t="e">
        <f>INDEX(us_acc_codes,MATCH(loaded!Y374,us_acc,0))</f>
        <v>#N/A</v>
      </c>
      <c r="K374" t="e">
        <f>INDEX(client_codes,MATCH(loaded!AA374,client,0))</f>
        <v>#N/A</v>
      </c>
      <c r="L374" t="e">
        <f>INDEX(src_ref_codes,MATCH(loaded!AC374,src_ref,0))</f>
        <v>#N/A</v>
      </c>
      <c r="M374" s="8">
        <f>loaded!AE374</f>
        <v>0</v>
      </c>
      <c r="N374" s="8">
        <f>loaded!AG374</f>
        <v>0</v>
      </c>
      <c r="O374" t="e">
        <f>INDEX(reces_codes,MATCH(loaded!AI374,reason,0))</f>
        <v>#N/A</v>
      </c>
      <c r="P374" t="e">
        <f>INDEX(TDS_codes,MATCH(loaded!AK374,TDS,0))</f>
        <v>#N/A</v>
      </c>
      <c r="Q374" t="e">
        <f>IF(K374=2,"",INDEX(method_codes,MATCH(loaded!AM374,method,0)))</f>
        <v>#N/A</v>
      </c>
      <c r="R374" t="e">
        <f>IF(K374=2,"",INDEX(inj_codes,MATCH(loaded!AO374,inj,0)))</f>
        <v>#N/A</v>
      </c>
      <c r="S374" t="e">
        <f>IF(K374=2,"",INDEX(drug_codes,MATCH(loaded!AQ374,drug,0)))</f>
        <v>#N/A</v>
      </c>
      <c r="T374" t="e">
        <f>IF(K374=2,"",_xlfn.IFNA(INDEX(drug_codes,MATCH(loaded!AS374,drug,0)),""))</f>
        <v>#N/A</v>
      </c>
      <c r="U374" t="e">
        <f>IF(K374=2,"",_xlfn.IFNA(INDEX(drug_codes,MATCH(loaded!AU374,drug,0)),""))</f>
        <v>#N/A</v>
      </c>
      <c r="V374" t="e">
        <f>IF(K374=2,"",_xlfn.IFNA(INDEX(drug_codes,MATCH(loaded!AW374,drug,0)),""))</f>
        <v>#N/A</v>
      </c>
      <c r="W374" t="e">
        <f>IF(K374=2,"",_xlfn.IFNA(INDEX(drug_codes,MATCH(loaded!AY374,drug,0)),""))</f>
        <v>#N/A</v>
      </c>
      <c r="X374" t="e">
        <f>IF(K374=2,"",_xlfn.IFNA(INDEX(drug_codes,MATCH(loaded!BA374,drug,0)),""))</f>
        <v>#N/A</v>
      </c>
      <c r="Y374" t="e">
        <f>INDEX(MTT_codes,MATCH(loaded!BC374,MTT,0))</f>
        <v>#N/A</v>
      </c>
      <c r="Z374" t="str">
        <f>_xlfn.IFNA(INDEX(MTT_codes,MATCH(loaded!BE374,MTT,0)),"")</f>
        <v/>
      </c>
      <c r="AA374" t="str">
        <f>_xlfn.IFNA(INDEX(MTT_codes,MATCH(loaded!BG374,MTT,0)),"")</f>
        <v/>
      </c>
      <c r="AB374" t="str">
        <f>_xlfn.IFNA(INDEX(MTT_codes,MATCH(loaded!BI374,MTT,0)),"")</f>
        <v/>
      </c>
      <c r="AC374" t="str">
        <f>_xlfn.IFNA(INDEX(MTT_codes,MATCH(loaded!BK374,MTT,0)),"")</f>
        <v/>
      </c>
      <c r="AD374" t="str">
        <f>_xlfn.IFNA(INDEX(MTT_codes,MATCH(loaded!BM374,MTT,0)),"")</f>
        <v/>
      </c>
      <c r="AE374" t="e">
        <f>INDEX(liv_ar_codes,MATCH(loaded!BO374,liv_ar,0))</f>
        <v>#N/A</v>
      </c>
      <c r="AF374" t="str">
        <f>_xlfn.IFNA(INDEX(MTT_codes,MATCH(loaded!BQ374,MTT,0)),"")</f>
        <v/>
      </c>
      <c r="AG374">
        <f>_xlfn.IFNA(INDEX(mental_codes,MATCH(loaded!BS374,mental,0)),9)</f>
        <v>9</v>
      </c>
    </row>
    <row r="375" spans="1:33" x14ac:dyDescent="0.25">
      <c r="A375">
        <f>loaded!C375</f>
        <v>0</v>
      </c>
      <c r="B375">
        <f>loaded!I375</f>
        <v>0</v>
      </c>
      <c r="C375">
        <f>IF(loaded!K375="Male",1,IF(loaded!K375="Female",2,9))</f>
        <v>9</v>
      </c>
      <c r="D375" s="8">
        <f>loaded!M375</f>
        <v>0</v>
      </c>
      <c r="E375" t="str">
        <f>LEFT(loaded!O375,3)</f>
        <v/>
      </c>
      <c r="F375" t="e">
        <f>INDEX(cntry_codes,MATCH(loaded!Q375,countries,0))</f>
        <v>#N/A</v>
      </c>
      <c r="G375" t="e">
        <f>INDEX(atsi_codes,MATCH(loaded!S375,atsi,0))</f>
        <v>#N/A</v>
      </c>
      <c r="H375" t="e">
        <f>INDEX(lang_codes,MATCH(loaded!U375,lang,0))</f>
        <v>#N/A</v>
      </c>
      <c r="I375" s="8">
        <f>loaded!W375</f>
        <v>0</v>
      </c>
      <c r="J375" t="e">
        <f>INDEX(us_acc_codes,MATCH(loaded!Y375,us_acc,0))</f>
        <v>#N/A</v>
      </c>
      <c r="K375" t="e">
        <f>INDEX(client_codes,MATCH(loaded!AA375,client,0))</f>
        <v>#N/A</v>
      </c>
      <c r="L375" t="e">
        <f>INDEX(src_ref_codes,MATCH(loaded!AC375,src_ref,0))</f>
        <v>#N/A</v>
      </c>
      <c r="M375" s="8">
        <f>loaded!AE375</f>
        <v>0</v>
      </c>
      <c r="N375" s="8">
        <f>loaded!AG375</f>
        <v>0</v>
      </c>
      <c r="O375" t="e">
        <f>INDEX(reces_codes,MATCH(loaded!AI375,reason,0))</f>
        <v>#N/A</v>
      </c>
      <c r="P375" t="e">
        <f>INDEX(TDS_codes,MATCH(loaded!AK375,TDS,0))</f>
        <v>#N/A</v>
      </c>
      <c r="Q375" t="e">
        <f>IF(K375=2,"",INDEX(method_codes,MATCH(loaded!AM375,method,0)))</f>
        <v>#N/A</v>
      </c>
      <c r="R375" t="e">
        <f>IF(K375=2,"",INDEX(inj_codes,MATCH(loaded!AO375,inj,0)))</f>
        <v>#N/A</v>
      </c>
      <c r="S375" t="e">
        <f>IF(K375=2,"",INDEX(drug_codes,MATCH(loaded!AQ375,drug,0)))</f>
        <v>#N/A</v>
      </c>
      <c r="T375" t="e">
        <f>IF(K375=2,"",_xlfn.IFNA(INDEX(drug_codes,MATCH(loaded!AS375,drug,0)),""))</f>
        <v>#N/A</v>
      </c>
      <c r="U375" t="e">
        <f>IF(K375=2,"",_xlfn.IFNA(INDEX(drug_codes,MATCH(loaded!AU375,drug,0)),""))</f>
        <v>#N/A</v>
      </c>
      <c r="V375" t="e">
        <f>IF(K375=2,"",_xlfn.IFNA(INDEX(drug_codes,MATCH(loaded!AW375,drug,0)),""))</f>
        <v>#N/A</v>
      </c>
      <c r="W375" t="e">
        <f>IF(K375=2,"",_xlfn.IFNA(INDEX(drug_codes,MATCH(loaded!AY375,drug,0)),""))</f>
        <v>#N/A</v>
      </c>
      <c r="X375" t="e">
        <f>IF(K375=2,"",_xlfn.IFNA(INDEX(drug_codes,MATCH(loaded!BA375,drug,0)),""))</f>
        <v>#N/A</v>
      </c>
      <c r="Y375" t="e">
        <f>INDEX(MTT_codes,MATCH(loaded!BC375,MTT,0))</f>
        <v>#N/A</v>
      </c>
      <c r="Z375" t="str">
        <f>_xlfn.IFNA(INDEX(MTT_codes,MATCH(loaded!BE375,MTT,0)),"")</f>
        <v/>
      </c>
      <c r="AA375" t="str">
        <f>_xlfn.IFNA(INDEX(MTT_codes,MATCH(loaded!BG375,MTT,0)),"")</f>
        <v/>
      </c>
      <c r="AB375" t="str">
        <f>_xlfn.IFNA(INDEX(MTT_codes,MATCH(loaded!BI375,MTT,0)),"")</f>
        <v/>
      </c>
      <c r="AC375" t="str">
        <f>_xlfn.IFNA(INDEX(MTT_codes,MATCH(loaded!BK375,MTT,0)),"")</f>
        <v/>
      </c>
      <c r="AD375" t="str">
        <f>_xlfn.IFNA(INDEX(MTT_codes,MATCH(loaded!BM375,MTT,0)),"")</f>
        <v/>
      </c>
      <c r="AE375" t="e">
        <f>INDEX(liv_ar_codes,MATCH(loaded!BO375,liv_ar,0))</f>
        <v>#N/A</v>
      </c>
      <c r="AF375" t="str">
        <f>_xlfn.IFNA(INDEX(MTT_codes,MATCH(loaded!BQ375,MTT,0)),"")</f>
        <v/>
      </c>
      <c r="AG375">
        <f>_xlfn.IFNA(INDEX(mental_codes,MATCH(loaded!BS375,mental,0)),9)</f>
        <v>9</v>
      </c>
    </row>
    <row r="376" spans="1:33" x14ac:dyDescent="0.25">
      <c r="A376">
        <f>loaded!C376</f>
        <v>0</v>
      </c>
      <c r="B376">
        <f>loaded!I376</f>
        <v>0</v>
      </c>
      <c r="C376">
        <f>IF(loaded!K376="Male",1,IF(loaded!K376="Female",2,9))</f>
        <v>9</v>
      </c>
      <c r="D376" s="8">
        <f>loaded!M376</f>
        <v>0</v>
      </c>
      <c r="E376" t="str">
        <f>LEFT(loaded!O376,3)</f>
        <v/>
      </c>
      <c r="F376" t="e">
        <f>INDEX(cntry_codes,MATCH(loaded!Q376,countries,0))</f>
        <v>#N/A</v>
      </c>
      <c r="G376" t="e">
        <f>INDEX(atsi_codes,MATCH(loaded!S376,atsi,0))</f>
        <v>#N/A</v>
      </c>
      <c r="H376" t="e">
        <f>INDEX(lang_codes,MATCH(loaded!U376,lang,0))</f>
        <v>#N/A</v>
      </c>
      <c r="I376" s="8">
        <f>loaded!W376</f>
        <v>0</v>
      </c>
      <c r="J376" t="e">
        <f>INDEX(us_acc_codes,MATCH(loaded!Y376,us_acc,0))</f>
        <v>#N/A</v>
      </c>
      <c r="K376" t="e">
        <f>INDEX(client_codes,MATCH(loaded!AA376,client,0))</f>
        <v>#N/A</v>
      </c>
      <c r="L376" t="e">
        <f>INDEX(src_ref_codes,MATCH(loaded!AC376,src_ref,0))</f>
        <v>#N/A</v>
      </c>
      <c r="M376" s="8">
        <f>loaded!AE376</f>
        <v>0</v>
      </c>
      <c r="N376" s="8">
        <f>loaded!AG376</f>
        <v>0</v>
      </c>
      <c r="O376" t="e">
        <f>INDEX(reces_codes,MATCH(loaded!AI376,reason,0))</f>
        <v>#N/A</v>
      </c>
      <c r="P376" t="e">
        <f>INDEX(TDS_codes,MATCH(loaded!AK376,TDS,0))</f>
        <v>#N/A</v>
      </c>
      <c r="Q376" t="e">
        <f>IF(K376=2,"",INDEX(method_codes,MATCH(loaded!AM376,method,0)))</f>
        <v>#N/A</v>
      </c>
      <c r="R376" t="e">
        <f>IF(K376=2,"",INDEX(inj_codes,MATCH(loaded!AO376,inj,0)))</f>
        <v>#N/A</v>
      </c>
      <c r="S376" t="e">
        <f>IF(K376=2,"",INDEX(drug_codes,MATCH(loaded!AQ376,drug,0)))</f>
        <v>#N/A</v>
      </c>
      <c r="T376" t="e">
        <f>IF(K376=2,"",_xlfn.IFNA(INDEX(drug_codes,MATCH(loaded!AS376,drug,0)),""))</f>
        <v>#N/A</v>
      </c>
      <c r="U376" t="e">
        <f>IF(K376=2,"",_xlfn.IFNA(INDEX(drug_codes,MATCH(loaded!AU376,drug,0)),""))</f>
        <v>#N/A</v>
      </c>
      <c r="V376" t="e">
        <f>IF(K376=2,"",_xlfn.IFNA(INDEX(drug_codes,MATCH(loaded!AW376,drug,0)),""))</f>
        <v>#N/A</v>
      </c>
      <c r="W376" t="e">
        <f>IF(K376=2,"",_xlfn.IFNA(INDEX(drug_codes,MATCH(loaded!AY376,drug,0)),""))</f>
        <v>#N/A</v>
      </c>
      <c r="X376" t="e">
        <f>IF(K376=2,"",_xlfn.IFNA(INDEX(drug_codes,MATCH(loaded!BA376,drug,0)),""))</f>
        <v>#N/A</v>
      </c>
      <c r="Y376" t="e">
        <f>INDEX(MTT_codes,MATCH(loaded!BC376,MTT,0))</f>
        <v>#N/A</v>
      </c>
      <c r="Z376" t="str">
        <f>_xlfn.IFNA(INDEX(MTT_codes,MATCH(loaded!BE376,MTT,0)),"")</f>
        <v/>
      </c>
      <c r="AA376" t="str">
        <f>_xlfn.IFNA(INDEX(MTT_codes,MATCH(loaded!BG376,MTT,0)),"")</f>
        <v/>
      </c>
      <c r="AB376" t="str">
        <f>_xlfn.IFNA(INDEX(MTT_codes,MATCH(loaded!BI376,MTT,0)),"")</f>
        <v/>
      </c>
      <c r="AC376" t="str">
        <f>_xlfn.IFNA(INDEX(MTT_codes,MATCH(loaded!BK376,MTT,0)),"")</f>
        <v/>
      </c>
      <c r="AD376" t="str">
        <f>_xlfn.IFNA(INDEX(MTT_codes,MATCH(loaded!BM376,MTT,0)),"")</f>
        <v/>
      </c>
      <c r="AE376" t="e">
        <f>INDEX(liv_ar_codes,MATCH(loaded!BO376,liv_ar,0))</f>
        <v>#N/A</v>
      </c>
      <c r="AF376" t="str">
        <f>_xlfn.IFNA(INDEX(MTT_codes,MATCH(loaded!BQ376,MTT,0)),"")</f>
        <v/>
      </c>
      <c r="AG376">
        <f>_xlfn.IFNA(INDEX(mental_codes,MATCH(loaded!BS376,mental,0)),9)</f>
        <v>9</v>
      </c>
    </row>
    <row r="377" spans="1:33" x14ac:dyDescent="0.25">
      <c r="A377">
        <f>loaded!C377</f>
        <v>0</v>
      </c>
      <c r="B377">
        <f>loaded!I377</f>
        <v>0</v>
      </c>
      <c r="C377">
        <f>IF(loaded!K377="Male",1,IF(loaded!K377="Female",2,9))</f>
        <v>9</v>
      </c>
      <c r="D377" s="8">
        <f>loaded!M377</f>
        <v>0</v>
      </c>
      <c r="E377" t="str">
        <f>LEFT(loaded!O377,3)</f>
        <v/>
      </c>
      <c r="F377" t="e">
        <f>INDEX(cntry_codes,MATCH(loaded!Q377,countries,0))</f>
        <v>#N/A</v>
      </c>
      <c r="G377" t="e">
        <f>INDEX(atsi_codes,MATCH(loaded!S377,atsi,0))</f>
        <v>#N/A</v>
      </c>
      <c r="H377" t="e">
        <f>INDEX(lang_codes,MATCH(loaded!U377,lang,0))</f>
        <v>#N/A</v>
      </c>
      <c r="I377" s="8">
        <f>loaded!W377</f>
        <v>0</v>
      </c>
      <c r="J377" t="e">
        <f>INDEX(us_acc_codes,MATCH(loaded!Y377,us_acc,0))</f>
        <v>#N/A</v>
      </c>
      <c r="K377" t="e">
        <f>INDEX(client_codes,MATCH(loaded!AA377,client,0))</f>
        <v>#N/A</v>
      </c>
      <c r="L377" t="e">
        <f>INDEX(src_ref_codes,MATCH(loaded!AC377,src_ref,0))</f>
        <v>#N/A</v>
      </c>
      <c r="M377" s="8">
        <f>loaded!AE377</f>
        <v>0</v>
      </c>
      <c r="N377" s="8">
        <f>loaded!AG377</f>
        <v>0</v>
      </c>
      <c r="O377" t="e">
        <f>INDEX(reces_codes,MATCH(loaded!AI377,reason,0))</f>
        <v>#N/A</v>
      </c>
      <c r="P377" t="e">
        <f>INDEX(TDS_codes,MATCH(loaded!AK377,TDS,0))</f>
        <v>#N/A</v>
      </c>
      <c r="Q377" t="e">
        <f>IF(K377=2,"",INDEX(method_codes,MATCH(loaded!AM377,method,0)))</f>
        <v>#N/A</v>
      </c>
      <c r="R377" t="e">
        <f>IF(K377=2,"",INDEX(inj_codes,MATCH(loaded!AO377,inj,0)))</f>
        <v>#N/A</v>
      </c>
      <c r="S377" t="e">
        <f>IF(K377=2,"",INDEX(drug_codes,MATCH(loaded!AQ377,drug,0)))</f>
        <v>#N/A</v>
      </c>
      <c r="T377" t="e">
        <f>IF(K377=2,"",_xlfn.IFNA(INDEX(drug_codes,MATCH(loaded!AS377,drug,0)),""))</f>
        <v>#N/A</v>
      </c>
      <c r="U377" t="e">
        <f>IF(K377=2,"",_xlfn.IFNA(INDEX(drug_codes,MATCH(loaded!AU377,drug,0)),""))</f>
        <v>#N/A</v>
      </c>
      <c r="V377" t="e">
        <f>IF(K377=2,"",_xlfn.IFNA(INDEX(drug_codes,MATCH(loaded!AW377,drug,0)),""))</f>
        <v>#N/A</v>
      </c>
      <c r="W377" t="e">
        <f>IF(K377=2,"",_xlfn.IFNA(INDEX(drug_codes,MATCH(loaded!AY377,drug,0)),""))</f>
        <v>#N/A</v>
      </c>
      <c r="X377" t="e">
        <f>IF(K377=2,"",_xlfn.IFNA(INDEX(drug_codes,MATCH(loaded!BA377,drug,0)),""))</f>
        <v>#N/A</v>
      </c>
      <c r="Y377" t="e">
        <f>INDEX(MTT_codes,MATCH(loaded!BC377,MTT,0))</f>
        <v>#N/A</v>
      </c>
      <c r="Z377" t="str">
        <f>_xlfn.IFNA(INDEX(MTT_codes,MATCH(loaded!BE377,MTT,0)),"")</f>
        <v/>
      </c>
      <c r="AA377" t="str">
        <f>_xlfn.IFNA(INDEX(MTT_codes,MATCH(loaded!BG377,MTT,0)),"")</f>
        <v/>
      </c>
      <c r="AB377" t="str">
        <f>_xlfn.IFNA(INDEX(MTT_codes,MATCH(loaded!BI377,MTT,0)),"")</f>
        <v/>
      </c>
      <c r="AC377" t="str">
        <f>_xlfn.IFNA(INDEX(MTT_codes,MATCH(loaded!BK377,MTT,0)),"")</f>
        <v/>
      </c>
      <c r="AD377" t="str">
        <f>_xlfn.IFNA(INDEX(MTT_codes,MATCH(loaded!BM377,MTT,0)),"")</f>
        <v/>
      </c>
      <c r="AE377" t="e">
        <f>INDEX(liv_ar_codes,MATCH(loaded!BO377,liv_ar,0))</f>
        <v>#N/A</v>
      </c>
      <c r="AF377" t="str">
        <f>_xlfn.IFNA(INDEX(MTT_codes,MATCH(loaded!BQ377,MTT,0)),"")</f>
        <v/>
      </c>
      <c r="AG377">
        <f>_xlfn.IFNA(INDEX(mental_codes,MATCH(loaded!BS377,mental,0)),9)</f>
        <v>9</v>
      </c>
    </row>
    <row r="378" spans="1:33" x14ac:dyDescent="0.25">
      <c r="A378">
        <f>loaded!C378</f>
        <v>0</v>
      </c>
      <c r="B378">
        <f>loaded!I378</f>
        <v>0</v>
      </c>
      <c r="C378">
        <f>IF(loaded!K378="Male",1,IF(loaded!K378="Female",2,9))</f>
        <v>9</v>
      </c>
      <c r="D378" s="8">
        <f>loaded!M378</f>
        <v>0</v>
      </c>
      <c r="E378" t="str">
        <f>LEFT(loaded!O378,3)</f>
        <v/>
      </c>
      <c r="F378" t="e">
        <f>INDEX(cntry_codes,MATCH(loaded!Q378,countries,0))</f>
        <v>#N/A</v>
      </c>
      <c r="G378" t="e">
        <f>INDEX(atsi_codes,MATCH(loaded!S378,atsi,0))</f>
        <v>#N/A</v>
      </c>
      <c r="H378" t="e">
        <f>INDEX(lang_codes,MATCH(loaded!U378,lang,0))</f>
        <v>#N/A</v>
      </c>
      <c r="I378" s="8">
        <f>loaded!W378</f>
        <v>0</v>
      </c>
      <c r="J378" t="e">
        <f>INDEX(us_acc_codes,MATCH(loaded!Y378,us_acc,0))</f>
        <v>#N/A</v>
      </c>
      <c r="K378" t="e">
        <f>INDEX(client_codes,MATCH(loaded!AA378,client,0))</f>
        <v>#N/A</v>
      </c>
      <c r="L378" t="e">
        <f>INDEX(src_ref_codes,MATCH(loaded!AC378,src_ref,0))</f>
        <v>#N/A</v>
      </c>
      <c r="M378" s="8">
        <f>loaded!AE378</f>
        <v>0</v>
      </c>
      <c r="N378" s="8">
        <f>loaded!AG378</f>
        <v>0</v>
      </c>
      <c r="O378" t="e">
        <f>INDEX(reces_codes,MATCH(loaded!AI378,reason,0))</f>
        <v>#N/A</v>
      </c>
      <c r="P378" t="e">
        <f>INDEX(TDS_codes,MATCH(loaded!AK378,TDS,0))</f>
        <v>#N/A</v>
      </c>
      <c r="Q378" t="e">
        <f>IF(K378=2,"",INDEX(method_codes,MATCH(loaded!AM378,method,0)))</f>
        <v>#N/A</v>
      </c>
      <c r="R378" t="e">
        <f>IF(K378=2,"",INDEX(inj_codes,MATCH(loaded!AO378,inj,0)))</f>
        <v>#N/A</v>
      </c>
      <c r="S378" t="e">
        <f>IF(K378=2,"",INDEX(drug_codes,MATCH(loaded!AQ378,drug,0)))</f>
        <v>#N/A</v>
      </c>
      <c r="T378" t="e">
        <f>IF(K378=2,"",_xlfn.IFNA(INDEX(drug_codes,MATCH(loaded!AS378,drug,0)),""))</f>
        <v>#N/A</v>
      </c>
      <c r="U378" t="e">
        <f>IF(K378=2,"",_xlfn.IFNA(INDEX(drug_codes,MATCH(loaded!AU378,drug,0)),""))</f>
        <v>#N/A</v>
      </c>
      <c r="V378" t="e">
        <f>IF(K378=2,"",_xlfn.IFNA(INDEX(drug_codes,MATCH(loaded!AW378,drug,0)),""))</f>
        <v>#N/A</v>
      </c>
      <c r="W378" t="e">
        <f>IF(K378=2,"",_xlfn.IFNA(INDEX(drug_codes,MATCH(loaded!AY378,drug,0)),""))</f>
        <v>#N/A</v>
      </c>
      <c r="X378" t="e">
        <f>IF(K378=2,"",_xlfn.IFNA(INDEX(drug_codes,MATCH(loaded!BA378,drug,0)),""))</f>
        <v>#N/A</v>
      </c>
      <c r="Y378" t="e">
        <f>INDEX(MTT_codes,MATCH(loaded!BC378,MTT,0))</f>
        <v>#N/A</v>
      </c>
      <c r="Z378" t="str">
        <f>_xlfn.IFNA(INDEX(MTT_codes,MATCH(loaded!BE378,MTT,0)),"")</f>
        <v/>
      </c>
      <c r="AA378" t="str">
        <f>_xlfn.IFNA(INDEX(MTT_codes,MATCH(loaded!BG378,MTT,0)),"")</f>
        <v/>
      </c>
      <c r="AB378" t="str">
        <f>_xlfn.IFNA(INDEX(MTT_codes,MATCH(loaded!BI378,MTT,0)),"")</f>
        <v/>
      </c>
      <c r="AC378" t="str">
        <f>_xlfn.IFNA(INDEX(MTT_codes,MATCH(loaded!BK378,MTT,0)),"")</f>
        <v/>
      </c>
      <c r="AD378" t="str">
        <f>_xlfn.IFNA(INDEX(MTT_codes,MATCH(loaded!BM378,MTT,0)),"")</f>
        <v/>
      </c>
      <c r="AE378" t="e">
        <f>INDEX(liv_ar_codes,MATCH(loaded!BO378,liv_ar,0))</f>
        <v>#N/A</v>
      </c>
      <c r="AF378" t="str">
        <f>_xlfn.IFNA(INDEX(MTT_codes,MATCH(loaded!BQ378,MTT,0)),"")</f>
        <v/>
      </c>
      <c r="AG378">
        <f>_xlfn.IFNA(INDEX(mental_codes,MATCH(loaded!BS378,mental,0)),9)</f>
        <v>9</v>
      </c>
    </row>
    <row r="379" spans="1:33" x14ac:dyDescent="0.25">
      <c r="A379">
        <f>loaded!C379</f>
        <v>0</v>
      </c>
      <c r="B379">
        <f>loaded!I379</f>
        <v>0</v>
      </c>
      <c r="C379">
        <f>IF(loaded!K379="Male",1,IF(loaded!K379="Female",2,9))</f>
        <v>9</v>
      </c>
      <c r="D379" s="8">
        <f>loaded!M379</f>
        <v>0</v>
      </c>
      <c r="E379" t="str">
        <f>LEFT(loaded!O379,3)</f>
        <v/>
      </c>
      <c r="F379" t="e">
        <f>INDEX(cntry_codes,MATCH(loaded!Q379,countries,0))</f>
        <v>#N/A</v>
      </c>
      <c r="G379" t="e">
        <f>INDEX(atsi_codes,MATCH(loaded!S379,atsi,0))</f>
        <v>#N/A</v>
      </c>
      <c r="H379" t="e">
        <f>INDEX(lang_codes,MATCH(loaded!U379,lang,0))</f>
        <v>#N/A</v>
      </c>
      <c r="I379" s="8">
        <f>loaded!W379</f>
        <v>0</v>
      </c>
      <c r="J379" t="e">
        <f>INDEX(us_acc_codes,MATCH(loaded!Y379,us_acc,0))</f>
        <v>#N/A</v>
      </c>
      <c r="K379" t="e">
        <f>INDEX(client_codes,MATCH(loaded!AA379,client,0))</f>
        <v>#N/A</v>
      </c>
      <c r="L379" t="e">
        <f>INDEX(src_ref_codes,MATCH(loaded!AC379,src_ref,0))</f>
        <v>#N/A</v>
      </c>
      <c r="M379" s="8">
        <f>loaded!AE379</f>
        <v>0</v>
      </c>
      <c r="N379" s="8">
        <f>loaded!AG379</f>
        <v>0</v>
      </c>
      <c r="O379" t="e">
        <f>INDEX(reces_codes,MATCH(loaded!AI379,reason,0))</f>
        <v>#N/A</v>
      </c>
      <c r="P379" t="e">
        <f>INDEX(TDS_codes,MATCH(loaded!AK379,TDS,0))</f>
        <v>#N/A</v>
      </c>
      <c r="Q379" t="e">
        <f>IF(K379=2,"",INDEX(method_codes,MATCH(loaded!AM379,method,0)))</f>
        <v>#N/A</v>
      </c>
      <c r="R379" t="e">
        <f>IF(K379=2,"",INDEX(inj_codes,MATCH(loaded!AO379,inj,0)))</f>
        <v>#N/A</v>
      </c>
      <c r="S379" t="e">
        <f>IF(K379=2,"",INDEX(drug_codes,MATCH(loaded!AQ379,drug,0)))</f>
        <v>#N/A</v>
      </c>
      <c r="T379" t="e">
        <f>IF(K379=2,"",_xlfn.IFNA(INDEX(drug_codes,MATCH(loaded!AS379,drug,0)),""))</f>
        <v>#N/A</v>
      </c>
      <c r="U379" t="e">
        <f>IF(K379=2,"",_xlfn.IFNA(INDEX(drug_codes,MATCH(loaded!AU379,drug,0)),""))</f>
        <v>#N/A</v>
      </c>
      <c r="V379" t="e">
        <f>IF(K379=2,"",_xlfn.IFNA(INDEX(drug_codes,MATCH(loaded!AW379,drug,0)),""))</f>
        <v>#N/A</v>
      </c>
      <c r="W379" t="e">
        <f>IF(K379=2,"",_xlfn.IFNA(INDEX(drug_codes,MATCH(loaded!AY379,drug,0)),""))</f>
        <v>#N/A</v>
      </c>
      <c r="X379" t="e">
        <f>IF(K379=2,"",_xlfn.IFNA(INDEX(drug_codes,MATCH(loaded!BA379,drug,0)),""))</f>
        <v>#N/A</v>
      </c>
      <c r="Y379" t="e">
        <f>INDEX(MTT_codes,MATCH(loaded!BC379,MTT,0))</f>
        <v>#N/A</v>
      </c>
      <c r="Z379" t="str">
        <f>_xlfn.IFNA(INDEX(MTT_codes,MATCH(loaded!BE379,MTT,0)),"")</f>
        <v/>
      </c>
      <c r="AA379" t="str">
        <f>_xlfn.IFNA(INDEX(MTT_codes,MATCH(loaded!BG379,MTT,0)),"")</f>
        <v/>
      </c>
      <c r="AB379" t="str">
        <f>_xlfn.IFNA(INDEX(MTT_codes,MATCH(loaded!BI379,MTT,0)),"")</f>
        <v/>
      </c>
      <c r="AC379" t="str">
        <f>_xlfn.IFNA(INDEX(MTT_codes,MATCH(loaded!BK379,MTT,0)),"")</f>
        <v/>
      </c>
      <c r="AD379" t="str">
        <f>_xlfn.IFNA(INDEX(MTT_codes,MATCH(loaded!BM379,MTT,0)),"")</f>
        <v/>
      </c>
      <c r="AE379" t="e">
        <f>INDEX(liv_ar_codes,MATCH(loaded!BO379,liv_ar,0))</f>
        <v>#N/A</v>
      </c>
      <c r="AF379" t="str">
        <f>_xlfn.IFNA(INDEX(MTT_codes,MATCH(loaded!BQ379,MTT,0)),"")</f>
        <v/>
      </c>
      <c r="AG379">
        <f>_xlfn.IFNA(INDEX(mental_codes,MATCH(loaded!BS379,mental,0)),9)</f>
        <v>9</v>
      </c>
    </row>
    <row r="380" spans="1:33" x14ac:dyDescent="0.25">
      <c r="A380">
        <f>loaded!C380</f>
        <v>0</v>
      </c>
      <c r="B380">
        <f>loaded!I380</f>
        <v>0</v>
      </c>
      <c r="C380">
        <f>IF(loaded!K380="Male",1,IF(loaded!K380="Female",2,9))</f>
        <v>9</v>
      </c>
      <c r="D380" s="8">
        <f>loaded!M380</f>
        <v>0</v>
      </c>
      <c r="E380" t="str">
        <f>LEFT(loaded!O380,3)</f>
        <v/>
      </c>
      <c r="F380" t="e">
        <f>INDEX(cntry_codes,MATCH(loaded!Q380,countries,0))</f>
        <v>#N/A</v>
      </c>
      <c r="G380" t="e">
        <f>INDEX(atsi_codes,MATCH(loaded!S380,atsi,0))</f>
        <v>#N/A</v>
      </c>
      <c r="H380" t="e">
        <f>INDEX(lang_codes,MATCH(loaded!U380,lang,0))</f>
        <v>#N/A</v>
      </c>
      <c r="I380" s="8">
        <f>loaded!W380</f>
        <v>0</v>
      </c>
      <c r="J380" t="e">
        <f>INDEX(us_acc_codes,MATCH(loaded!Y380,us_acc,0))</f>
        <v>#N/A</v>
      </c>
      <c r="K380" t="e">
        <f>INDEX(client_codes,MATCH(loaded!AA380,client,0))</f>
        <v>#N/A</v>
      </c>
      <c r="L380" t="e">
        <f>INDEX(src_ref_codes,MATCH(loaded!AC380,src_ref,0))</f>
        <v>#N/A</v>
      </c>
      <c r="M380" s="8">
        <f>loaded!AE380</f>
        <v>0</v>
      </c>
      <c r="N380" s="8">
        <f>loaded!AG380</f>
        <v>0</v>
      </c>
      <c r="O380" t="e">
        <f>INDEX(reces_codes,MATCH(loaded!AI380,reason,0))</f>
        <v>#N/A</v>
      </c>
      <c r="P380" t="e">
        <f>INDEX(TDS_codes,MATCH(loaded!AK380,TDS,0))</f>
        <v>#N/A</v>
      </c>
      <c r="Q380" t="e">
        <f>IF(K380=2,"",INDEX(method_codes,MATCH(loaded!AM380,method,0)))</f>
        <v>#N/A</v>
      </c>
      <c r="R380" t="e">
        <f>IF(K380=2,"",INDEX(inj_codes,MATCH(loaded!AO380,inj,0)))</f>
        <v>#N/A</v>
      </c>
      <c r="S380" t="e">
        <f>IF(K380=2,"",INDEX(drug_codes,MATCH(loaded!AQ380,drug,0)))</f>
        <v>#N/A</v>
      </c>
      <c r="T380" t="e">
        <f>IF(K380=2,"",_xlfn.IFNA(INDEX(drug_codes,MATCH(loaded!AS380,drug,0)),""))</f>
        <v>#N/A</v>
      </c>
      <c r="U380" t="e">
        <f>IF(K380=2,"",_xlfn.IFNA(INDEX(drug_codes,MATCH(loaded!AU380,drug,0)),""))</f>
        <v>#N/A</v>
      </c>
      <c r="V380" t="e">
        <f>IF(K380=2,"",_xlfn.IFNA(INDEX(drug_codes,MATCH(loaded!AW380,drug,0)),""))</f>
        <v>#N/A</v>
      </c>
      <c r="W380" t="e">
        <f>IF(K380=2,"",_xlfn.IFNA(INDEX(drug_codes,MATCH(loaded!AY380,drug,0)),""))</f>
        <v>#N/A</v>
      </c>
      <c r="X380" t="e">
        <f>IF(K380=2,"",_xlfn.IFNA(INDEX(drug_codes,MATCH(loaded!BA380,drug,0)),""))</f>
        <v>#N/A</v>
      </c>
      <c r="Y380" t="e">
        <f>INDEX(MTT_codes,MATCH(loaded!BC380,MTT,0))</f>
        <v>#N/A</v>
      </c>
      <c r="Z380" t="str">
        <f>_xlfn.IFNA(INDEX(MTT_codes,MATCH(loaded!BE380,MTT,0)),"")</f>
        <v/>
      </c>
      <c r="AA380" t="str">
        <f>_xlfn.IFNA(INDEX(MTT_codes,MATCH(loaded!BG380,MTT,0)),"")</f>
        <v/>
      </c>
      <c r="AB380" t="str">
        <f>_xlfn.IFNA(INDEX(MTT_codes,MATCH(loaded!BI380,MTT,0)),"")</f>
        <v/>
      </c>
      <c r="AC380" t="str">
        <f>_xlfn.IFNA(INDEX(MTT_codes,MATCH(loaded!BK380,MTT,0)),"")</f>
        <v/>
      </c>
      <c r="AD380" t="str">
        <f>_xlfn.IFNA(INDEX(MTT_codes,MATCH(loaded!BM380,MTT,0)),"")</f>
        <v/>
      </c>
      <c r="AE380" t="e">
        <f>INDEX(liv_ar_codes,MATCH(loaded!BO380,liv_ar,0))</f>
        <v>#N/A</v>
      </c>
      <c r="AF380" t="str">
        <f>_xlfn.IFNA(INDEX(MTT_codes,MATCH(loaded!BQ380,MTT,0)),"")</f>
        <v/>
      </c>
      <c r="AG380">
        <f>_xlfn.IFNA(INDEX(mental_codes,MATCH(loaded!BS380,mental,0)),9)</f>
        <v>9</v>
      </c>
    </row>
    <row r="381" spans="1:33" x14ac:dyDescent="0.25">
      <c r="A381">
        <f>loaded!C381</f>
        <v>0</v>
      </c>
      <c r="B381">
        <f>loaded!I381</f>
        <v>0</v>
      </c>
      <c r="C381">
        <f>IF(loaded!K381="Male",1,IF(loaded!K381="Female",2,9))</f>
        <v>9</v>
      </c>
      <c r="D381" s="8">
        <f>loaded!M381</f>
        <v>0</v>
      </c>
      <c r="E381" t="str">
        <f>LEFT(loaded!O381,3)</f>
        <v/>
      </c>
      <c r="F381" t="e">
        <f>INDEX(cntry_codes,MATCH(loaded!Q381,countries,0))</f>
        <v>#N/A</v>
      </c>
      <c r="G381" t="e">
        <f>INDEX(atsi_codes,MATCH(loaded!S381,atsi,0))</f>
        <v>#N/A</v>
      </c>
      <c r="H381" t="e">
        <f>INDEX(lang_codes,MATCH(loaded!U381,lang,0))</f>
        <v>#N/A</v>
      </c>
      <c r="I381" s="8">
        <f>loaded!W381</f>
        <v>0</v>
      </c>
      <c r="J381" t="e">
        <f>INDEX(us_acc_codes,MATCH(loaded!Y381,us_acc,0))</f>
        <v>#N/A</v>
      </c>
      <c r="K381" t="e">
        <f>INDEX(client_codes,MATCH(loaded!AA381,client,0))</f>
        <v>#N/A</v>
      </c>
      <c r="L381" t="e">
        <f>INDEX(src_ref_codes,MATCH(loaded!AC381,src_ref,0))</f>
        <v>#N/A</v>
      </c>
      <c r="M381" s="8">
        <f>loaded!AE381</f>
        <v>0</v>
      </c>
      <c r="N381" s="8">
        <f>loaded!AG381</f>
        <v>0</v>
      </c>
      <c r="O381" t="e">
        <f>INDEX(reces_codes,MATCH(loaded!AI381,reason,0))</f>
        <v>#N/A</v>
      </c>
      <c r="P381" t="e">
        <f>INDEX(TDS_codes,MATCH(loaded!AK381,TDS,0))</f>
        <v>#N/A</v>
      </c>
      <c r="Q381" t="e">
        <f>IF(K381=2,"",INDEX(method_codes,MATCH(loaded!AM381,method,0)))</f>
        <v>#N/A</v>
      </c>
      <c r="R381" t="e">
        <f>IF(K381=2,"",INDEX(inj_codes,MATCH(loaded!AO381,inj,0)))</f>
        <v>#N/A</v>
      </c>
      <c r="S381" t="e">
        <f>IF(K381=2,"",INDEX(drug_codes,MATCH(loaded!AQ381,drug,0)))</f>
        <v>#N/A</v>
      </c>
      <c r="T381" t="e">
        <f>IF(K381=2,"",_xlfn.IFNA(INDEX(drug_codes,MATCH(loaded!AS381,drug,0)),""))</f>
        <v>#N/A</v>
      </c>
      <c r="U381" t="e">
        <f>IF(K381=2,"",_xlfn.IFNA(INDEX(drug_codes,MATCH(loaded!AU381,drug,0)),""))</f>
        <v>#N/A</v>
      </c>
      <c r="V381" t="e">
        <f>IF(K381=2,"",_xlfn.IFNA(INDEX(drug_codes,MATCH(loaded!AW381,drug,0)),""))</f>
        <v>#N/A</v>
      </c>
      <c r="W381" t="e">
        <f>IF(K381=2,"",_xlfn.IFNA(INDEX(drug_codes,MATCH(loaded!AY381,drug,0)),""))</f>
        <v>#N/A</v>
      </c>
      <c r="X381" t="e">
        <f>IF(K381=2,"",_xlfn.IFNA(INDEX(drug_codes,MATCH(loaded!BA381,drug,0)),""))</f>
        <v>#N/A</v>
      </c>
      <c r="Y381" t="e">
        <f>INDEX(MTT_codes,MATCH(loaded!BC381,MTT,0))</f>
        <v>#N/A</v>
      </c>
      <c r="Z381" t="str">
        <f>_xlfn.IFNA(INDEX(MTT_codes,MATCH(loaded!BE381,MTT,0)),"")</f>
        <v/>
      </c>
      <c r="AA381" t="str">
        <f>_xlfn.IFNA(INDEX(MTT_codes,MATCH(loaded!BG381,MTT,0)),"")</f>
        <v/>
      </c>
      <c r="AB381" t="str">
        <f>_xlfn.IFNA(INDEX(MTT_codes,MATCH(loaded!BI381,MTT,0)),"")</f>
        <v/>
      </c>
      <c r="AC381" t="str">
        <f>_xlfn.IFNA(INDEX(MTT_codes,MATCH(loaded!BK381,MTT,0)),"")</f>
        <v/>
      </c>
      <c r="AD381" t="str">
        <f>_xlfn.IFNA(INDEX(MTT_codes,MATCH(loaded!BM381,MTT,0)),"")</f>
        <v/>
      </c>
      <c r="AE381" t="e">
        <f>INDEX(liv_ar_codes,MATCH(loaded!BO381,liv_ar,0))</f>
        <v>#N/A</v>
      </c>
      <c r="AF381" t="str">
        <f>_xlfn.IFNA(INDEX(MTT_codes,MATCH(loaded!BQ381,MTT,0)),"")</f>
        <v/>
      </c>
      <c r="AG381">
        <f>_xlfn.IFNA(INDEX(mental_codes,MATCH(loaded!BS381,mental,0)),9)</f>
        <v>9</v>
      </c>
    </row>
    <row r="382" spans="1:33" x14ac:dyDescent="0.25">
      <c r="A382">
        <f>loaded!C382</f>
        <v>0</v>
      </c>
      <c r="B382">
        <f>loaded!I382</f>
        <v>0</v>
      </c>
      <c r="C382">
        <f>IF(loaded!K382="Male",1,IF(loaded!K382="Female",2,9))</f>
        <v>9</v>
      </c>
      <c r="D382" s="8">
        <f>loaded!M382</f>
        <v>0</v>
      </c>
      <c r="E382" t="str">
        <f>LEFT(loaded!O382,3)</f>
        <v/>
      </c>
      <c r="F382" t="e">
        <f>INDEX(cntry_codes,MATCH(loaded!Q382,countries,0))</f>
        <v>#N/A</v>
      </c>
      <c r="G382" t="e">
        <f>INDEX(atsi_codes,MATCH(loaded!S382,atsi,0))</f>
        <v>#N/A</v>
      </c>
      <c r="H382" t="e">
        <f>INDEX(lang_codes,MATCH(loaded!U382,lang,0))</f>
        <v>#N/A</v>
      </c>
      <c r="I382" s="8">
        <f>loaded!W382</f>
        <v>0</v>
      </c>
      <c r="J382" t="e">
        <f>INDEX(us_acc_codes,MATCH(loaded!Y382,us_acc,0))</f>
        <v>#N/A</v>
      </c>
      <c r="K382" t="e">
        <f>INDEX(client_codes,MATCH(loaded!AA382,client,0))</f>
        <v>#N/A</v>
      </c>
      <c r="L382" t="e">
        <f>INDEX(src_ref_codes,MATCH(loaded!AC382,src_ref,0))</f>
        <v>#N/A</v>
      </c>
      <c r="M382" s="8">
        <f>loaded!AE382</f>
        <v>0</v>
      </c>
      <c r="N382" s="8">
        <f>loaded!AG382</f>
        <v>0</v>
      </c>
      <c r="O382" t="e">
        <f>INDEX(reces_codes,MATCH(loaded!AI382,reason,0))</f>
        <v>#N/A</v>
      </c>
      <c r="P382" t="e">
        <f>INDEX(TDS_codes,MATCH(loaded!AK382,TDS,0))</f>
        <v>#N/A</v>
      </c>
      <c r="Q382" t="e">
        <f>IF(K382=2,"",INDEX(method_codes,MATCH(loaded!AM382,method,0)))</f>
        <v>#N/A</v>
      </c>
      <c r="R382" t="e">
        <f>IF(K382=2,"",INDEX(inj_codes,MATCH(loaded!AO382,inj,0)))</f>
        <v>#N/A</v>
      </c>
      <c r="S382" t="e">
        <f>IF(K382=2,"",INDEX(drug_codes,MATCH(loaded!AQ382,drug,0)))</f>
        <v>#N/A</v>
      </c>
      <c r="T382" t="e">
        <f>IF(K382=2,"",_xlfn.IFNA(INDEX(drug_codes,MATCH(loaded!AS382,drug,0)),""))</f>
        <v>#N/A</v>
      </c>
      <c r="U382" t="e">
        <f>IF(K382=2,"",_xlfn.IFNA(INDEX(drug_codes,MATCH(loaded!AU382,drug,0)),""))</f>
        <v>#N/A</v>
      </c>
      <c r="V382" t="e">
        <f>IF(K382=2,"",_xlfn.IFNA(INDEX(drug_codes,MATCH(loaded!AW382,drug,0)),""))</f>
        <v>#N/A</v>
      </c>
      <c r="W382" t="e">
        <f>IF(K382=2,"",_xlfn.IFNA(INDEX(drug_codes,MATCH(loaded!AY382,drug,0)),""))</f>
        <v>#N/A</v>
      </c>
      <c r="X382" t="e">
        <f>IF(K382=2,"",_xlfn.IFNA(INDEX(drug_codes,MATCH(loaded!BA382,drug,0)),""))</f>
        <v>#N/A</v>
      </c>
      <c r="Y382" t="e">
        <f>INDEX(MTT_codes,MATCH(loaded!BC382,MTT,0))</f>
        <v>#N/A</v>
      </c>
      <c r="Z382" t="str">
        <f>_xlfn.IFNA(INDEX(MTT_codes,MATCH(loaded!BE382,MTT,0)),"")</f>
        <v/>
      </c>
      <c r="AA382" t="str">
        <f>_xlfn.IFNA(INDEX(MTT_codes,MATCH(loaded!BG382,MTT,0)),"")</f>
        <v/>
      </c>
      <c r="AB382" t="str">
        <f>_xlfn.IFNA(INDEX(MTT_codes,MATCH(loaded!BI382,MTT,0)),"")</f>
        <v/>
      </c>
      <c r="AC382" t="str">
        <f>_xlfn.IFNA(INDEX(MTT_codes,MATCH(loaded!BK382,MTT,0)),"")</f>
        <v/>
      </c>
      <c r="AD382" t="str">
        <f>_xlfn.IFNA(INDEX(MTT_codes,MATCH(loaded!BM382,MTT,0)),"")</f>
        <v/>
      </c>
      <c r="AE382" t="e">
        <f>INDEX(liv_ar_codes,MATCH(loaded!BO382,liv_ar,0))</f>
        <v>#N/A</v>
      </c>
      <c r="AF382" t="str">
        <f>_xlfn.IFNA(INDEX(MTT_codes,MATCH(loaded!BQ382,MTT,0)),"")</f>
        <v/>
      </c>
      <c r="AG382">
        <f>_xlfn.IFNA(INDEX(mental_codes,MATCH(loaded!BS382,mental,0)),9)</f>
        <v>9</v>
      </c>
    </row>
    <row r="383" spans="1:33" x14ac:dyDescent="0.25">
      <c r="A383">
        <f>loaded!C383</f>
        <v>0</v>
      </c>
      <c r="B383">
        <f>loaded!I383</f>
        <v>0</v>
      </c>
      <c r="C383">
        <f>IF(loaded!K383="Male",1,IF(loaded!K383="Female",2,9))</f>
        <v>9</v>
      </c>
      <c r="D383" s="8">
        <f>loaded!M383</f>
        <v>0</v>
      </c>
      <c r="E383" t="str">
        <f>LEFT(loaded!O383,3)</f>
        <v/>
      </c>
      <c r="F383" t="e">
        <f>INDEX(cntry_codes,MATCH(loaded!Q383,countries,0))</f>
        <v>#N/A</v>
      </c>
      <c r="G383" t="e">
        <f>INDEX(atsi_codes,MATCH(loaded!S383,atsi,0))</f>
        <v>#N/A</v>
      </c>
      <c r="H383" t="e">
        <f>INDEX(lang_codes,MATCH(loaded!U383,lang,0))</f>
        <v>#N/A</v>
      </c>
      <c r="I383" s="8">
        <f>loaded!W383</f>
        <v>0</v>
      </c>
      <c r="J383" t="e">
        <f>INDEX(us_acc_codes,MATCH(loaded!Y383,us_acc,0))</f>
        <v>#N/A</v>
      </c>
      <c r="K383" t="e">
        <f>INDEX(client_codes,MATCH(loaded!AA383,client,0))</f>
        <v>#N/A</v>
      </c>
      <c r="L383" t="e">
        <f>INDEX(src_ref_codes,MATCH(loaded!AC383,src_ref,0))</f>
        <v>#N/A</v>
      </c>
      <c r="M383" s="8">
        <f>loaded!AE383</f>
        <v>0</v>
      </c>
      <c r="N383" s="8">
        <f>loaded!AG383</f>
        <v>0</v>
      </c>
      <c r="O383" t="e">
        <f>INDEX(reces_codes,MATCH(loaded!AI383,reason,0))</f>
        <v>#N/A</v>
      </c>
      <c r="P383" t="e">
        <f>INDEX(TDS_codes,MATCH(loaded!AK383,TDS,0))</f>
        <v>#N/A</v>
      </c>
      <c r="Q383" t="e">
        <f>IF(K383=2,"",INDEX(method_codes,MATCH(loaded!AM383,method,0)))</f>
        <v>#N/A</v>
      </c>
      <c r="R383" t="e">
        <f>IF(K383=2,"",INDEX(inj_codes,MATCH(loaded!AO383,inj,0)))</f>
        <v>#N/A</v>
      </c>
      <c r="S383" t="e">
        <f>IF(K383=2,"",INDEX(drug_codes,MATCH(loaded!AQ383,drug,0)))</f>
        <v>#N/A</v>
      </c>
      <c r="T383" t="e">
        <f>IF(K383=2,"",_xlfn.IFNA(INDEX(drug_codes,MATCH(loaded!AS383,drug,0)),""))</f>
        <v>#N/A</v>
      </c>
      <c r="U383" t="e">
        <f>IF(K383=2,"",_xlfn.IFNA(INDEX(drug_codes,MATCH(loaded!AU383,drug,0)),""))</f>
        <v>#N/A</v>
      </c>
      <c r="V383" t="e">
        <f>IF(K383=2,"",_xlfn.IFNA(INDEX(drug_codes,MATCH(loaded!AW383,drug,0)),""))</f>
        <v>#N/A</v>
      </c>
      <c r="W383" t="e">
        <f>IF(K383=2,"",_xlfn.IFNA(INDEX(drug_codes,MATCH(loaded!AY383,drug,0)),""))</f>
        <v>#N/A</v>
      </c>
      <c r="X383" t="e">
        <f>IF(K383=2,"",_xlfn.IFNA(INDEX(drug_codes,MATCH(loaded!BA383,drug,0)),""))</f>
        <v>#N/A</v>
      </c>
      <c r="Y383" t="e">
        <f>INDEX(MTT_codes,MATCH(loaded!BC383,MTT,0))</f>
        <v>#N/A</v>
      </c>
      <c r="Z383" t="str">
        <f>_xlfn.IFNA(INDEX(MTT_codes,MATCH(loaded!BE383,MTT,0)),"")</f>
        <v/>
      </c>
      <c r="AA383" t="str">
        <f>_xlfn.IFNA(INDEX(MTT_codes,MATCH(loaded!BG383,MTT,0)),"")</f>
        <v/>
      </c>
      <c r="AB383" t="str">
        <f>_xlfn.IFNA(INDEX(MTT_codes,MATCH(loaded!BI383,MTT,0)),"")</f>
        <v/>
      </c>
      <c r="AC383" t="str">
        <f>_xlfn.IFNA(INDEX(MTT_codes,MATCH(loaded!BK383,MTT,0)),"")</f>
        <v/>
      </c>
      <c r="AD383" t="str">
        <f>_xlfn.IFNA(INDEX(MTT_codes,MATCH(loaded!BM383,MTT,0)),"")</f>
        <v/>
      </c>
      <c r="AE383" t="e">
        <f>INDEX(liv_ar_codes,MATCH(loaded!BO383,liv_ar,0))</f>
        <v>#N/A</v>
      </c>
      <c r="AF383" t="str">
        <f>_xlfn.IFNA(INDEX(MTT_codes,MATCH(loaded!BQ383,MTT,0)),"")</f>
        <v/>
      </c>
      <c r="AG383">
        <f>_xlfn.IFNA(INDEX(mental_codes,MATCH(loaded!BS383,mental,0)),9)</f>
        <v>9</v>
      </c>
    </row>
    <row r="384" spans="1:33" x14ac:dyDescent="0.25">
      <c r="A384">
        <f>loaded!C384</f>
        <v>0</v>
      </c>
      <c r="B384">
        <f>loaded!I384</f>
        <v>0</v>
      </c>
      <c r="C384">
        <f>IF(loaded!K384="Male",1,IF(loaded!K384="Female",2,9))</f>
        <v>9</v>
      </c>
      <c r="D384" s="8">
        <f>loaded!M384</f>
        <v>0</v>
      </c>
      <c r="E384" t="str">
        <f>LEFT(loaded!O384,3)</f>
        <v/>
      </c>
      <c r="F384" t="e">
        <f>INDEX(cntry_codes,MATCH(loaded!Q384,countries,0))</f>
        <v>#N/A</v>
      </c>
      <c r="G384" t="e">
        <f>INDEX(atsi_codes,MATCH(loaded!S384,atsi,0))</f>
        <v>#N/A</v>
      </c>
      <c r="H384" t="e">
        <f>INDEX(lang_codes,MATCH(loaded!U384,lang,0))</f>
        <v>#N/A</v>
      </c>
      <c r="I384" s="8">
        <f>loaded!W384</f>
        <v>0</v>
      </c>
      <c r="J384" t="e">
        <f>INDEX(us_acc_codes,MATCH(loaded!Y384,us_acc,0))</f>
        <v>#N/A</v>
      </c>
      <c r="K384" t="e">
        <f>INDEX(client_codes,MATCH(loaded!AA384,client,0))</f>
        <v>#N/A</v>
      </c>
      <c r="L384" t="e">
        <f>INDEX(src_ref_codes,MATCH(loaded!AC384,src_ref,0))</f>
        <v>#N/A</v>
      </c>
      <c r="M384" s="8">
        <f>loaded!AE384</f>
        <v>0</v>
      </c>
      <c r="N384" s="8">
        <f>loaded!AG384</f>
        <v>0</v>
      </c>
      <c r="O384" t="e">
        <f>INDEX(reces_codes,MATCH(loaded!AI384,reason,0))</f>
        <v>#N/A</v>
      </c>
      <c r="P384" t="e">
        <f>INDEX(TDS_codes,MATCH(loaded!AK384,TDS,0))</f>
        <v>#N/A</v>
      </c>
      <c r="Q384" t="e">
        <f>IF(K384=2,"",INDEX(method_codes,MATCH(loaded!AM384,method,0)))</f>
        <v>#N/A</v>
      </c>
      <c r="R384" t="e">
        <f>IF(K384=2,"",INDEX(inj_codes,MATCH(loaded!AO384,inj,0)))</f>
        <v>#N/A</v>
      </c>
      <c r="S384" t="e">
        <f>IF(K384=2,"",INDEX(drug_codes,MATCH(loaded!AQ384,drug,0)))</f>
        <v>#N/A</v>
      </c>
      <c r="T384" t="e">
        <f>IF(K384=2,"",_xlfn.IFNA(INDEX(drug_codes,MATCH(loaded!AS384,drug,0)),""))</f>
        <v>#N/A</v>
      </c>
      <c r="U384" t="e">
        <f>IF(K384=2,"",_xlfn.IFNA(INDEX(drug_codes,MATCH(loaded!AU384,drug,0)),""))</f>
        <v>#N/A</v>
      </c>
      <c r="V384" t="e">
        <f>IF(K384=2,"",_xlfn.IFNA(INDEX(drug_codes,MATCH(loaded!AW384,drug,0)),""))</f>
        <v>#N/A</v>
      </c>
      <c r="W384" t="e">
        <f>IF(K384=2,"",_xlfn.IFNA(INDEX(drug_codes,MATCH(loaded!AY384,drug,0)),""))</f>
        <v>#N/A</v>
      </c>
      <c r="X384" t="e">
        <f>IF(K384=2,"",_xlfn.IFNA(INDEX(drug_codes,MATCH(loaded!BA384,drug,0)),""))</f>
        <v>#N/A</v>
      </c>
      <c r="Y384" t="e">
        <f>INDEX(MTT_codes,MATCH(loaded!BC384,MTT,0))</f>
        <v>#N/A</v>
      </c>
      <c r="Z384" t="str">
        <f>_xlfn.IFNA(INDEX(MTT_codes,MATCH(loaded!BE384,MTT,0)),"")</f>
        <v/>
      </c>
      <c r="AA384" t="str">
        <f>_xlfn.IFNA(INDEX(MTT_codes,MATCH(loaded!BG384,MTT,0)),"")</f>
        <v/>
      </c>
      <c r="AB384" t="str">
        <f>_xlfn.IFNA(INDEX(MTT_codes,MATCH(loaded!BI384,MTT,0)),"")</f>
        <v/>
      </c>
      <c r="AC384" t="str">
        <f>_xlfn.IFNA(INDEX(MTT_codes,MATCH(loaded!BK384,MTT,0)),"")</f>
        <v/>
      </c>
      <c r="AD384" t="str">
        <f>_xlfn.IFNA(INDEX(MTT_codes,MATCH(loaded!BM384,MTT,0)),"")</f>
        <v/>
      </c>
      <c r="AE384" t="e">
        <f>INDEX(liv_ar_codes,MATCH(loaded!BO384,liv_ar,0))</f>
        <v>#N/A</v>
      </c>
      <c r="AF384" t="str">
        <f>_xlfn.IFNA(INDEX(MTT_codes,MATCH(loaded!BQ384,MTT,0)),"")</f>
        <v/>
      </c>
      <c r="AG384">
        <f>_xlfn.IFNA(INDEX(mental_codes,MATCH(loaded!BS384,mental,0)),9)</f>
        <v>9</v>
      </c>
    </row>
    <row r="385" spans="1:33" x14ac:dyDescent="0.25">
      <c r="A385">
        <f>loaded!C385</f>
        <v>0</v>
      </c>
      <c r="B385">
        <f>loaded!I385</f>
        <v>0</v>
      </c>
      <c r="C385">
        <f>IF(loaded!K385="Male",1,IF(loaded!K385="Female",2,9))</f>
        <v>9</v>
      </c>
      <c r="D385" s="8">
        <f>loaded!M385</f>
        <v>0</v>
      </c>
      <c r="E385" t="str">
        <f>LEFT(loaded!O385,3)</f>
        <v/>
      </c>
      <c r="F385" t="e">
        <f>INDEX(cntry_codes,MATCH(loaded!Q385,countries,0))</f>
        <v>#N/A</v>
      </c>
      <c r="G385" t="e">
        <f>INDEX(atsi_codes,MATCH(loaded!S385,atsi,0))</f>
        <v>#N/A</v>
      </c>
      <c r="H385" t="e">
        <f>INDEX(lang_codes,MATCH(loaded!U385,lang,0))</f>
        <v>#N/A</v>
      </c>
      <c r="I385" s="8">
        <f>loaded!W385</f>
        <v>0</v>
      </c>
      <c r="J385" t="e">
        <f>INDEX(us_acc_codes,MATCH(loaded!Y385,us_acc,0))</f>
        <v>#N/A</v>
      </c>
      <c r="K385" t="e">
        <f>INDEX(client_codes,MATCH(loaded!AA385,client,0))</f>
        <v>#N/A</v>
      </c>
      <c r="L385" t="e">
        <f>INDEX(src_ref_codes,MATCH(loaded!AC385,src_ref,0))</f>
        <v>#N/A</v>
      </c>
      <c r="M385" s="8">
        <f>loaded!AE385</f>
        <v>0</v>
      </c>
      <c r="N385" s="8">
        <f>loaded!AG385</f>
        <v>0</v>
      </c>
      <c r="O385" t="e">
        <f>INDEX(reces_codes,MATCH(loaded!AI385,reason,0))</f>
        <v>#N/A</v>
      </c>
      <c r="P385" t="e">
        <f>INDEX(TDS_codes,MATCH(loaded!AK385,TDS,0))</f>
        <v>#N/A</v>
      </c>
      <c r="Q385" t="e">
        <f>IF(K385=2,"",INDEX(method_codes,MATCH(loaded!AM385,method,0)))</f>
        <v>#N/A</v>
      </c>
      <c r="R385" t="e">
        <f>IF(K385=2,"",INDEX(inj_codes,MATCH(loaded!AO385,inj,0)))</f>
        <v>#N/A</v>
      </c>
      <c r="S385" t="e">
        <f>IF(K385=2,"",INDEX(drug_codes,MATCH(loaded!AQ385,drug,0)))</f>
        <v>#N/A</v>
      </c>
      <c r="T385" t="e">
        <f>IF(K385=2,"",_xlfn.IFNA(INDEX(drug_codes,MATCH(loaded!AS385,drug,0)),""))</f>
        <v>#N/A</v>
      </c>
      <c r="U385" t="e">
        <f>IF(K385=2,"",_xlfn.IFNA(INDEX(drug_codes,MATCH(loaded!AU385,drug,0)),""))</f>
        <v>#N/A</v>
      </c>
      <c r="V385" t="e">
        <f>IF(K385=2,"",_xlfn.IFNA(INDEX(drug_codes,MATCH(loaded!AW385,drug,0)),""))</f>
        <v>#N/A</v>
      </c>
      <c r="W385" t="e">
        <f>IF(K385=2,"",_xlfn.IFNA(INDEX(drug_codes,MATCH(loaded!AY385,drug,0)),""))</f>
        <v>#N/A</v>
      </c>
      <c r="X385" t="e">
        <f>IF(K385=2,"",_xlfn.IFNA(INDEX(drug_codes,MATCH(loaded!BA385,drug,0)),""))</f>
        <v>#N/A</v>
      </c>
      <c r="Y385" t="e">
        <f>INDEX(MTT_codes,MATCH(loaded!BC385,MTT,0))</f>
        <v>#N/A</v>
      </c>
      <c r="Z385" t="str">
        <f>_xlfn.IFNA(INDEX(MTT_codes,MATCH(loaded!BE385,MTT,0)),"")</f>
        <v/>
      </c>
      <c r="AA385" t="str">
        <f>_xlfn.IFNA(INDEX(MTT_codes,MATCH(loaded!BG385,MTT,0)),"")</f>
        <v/>
      </c>
      <c r="AB385" t="str">
        <f>_xlfn.IFNA(INDEX(MTT_codes,MATCH(loaded!BI385,MTT,0)),"")</f>
        <v/>
      </c>
      <c r="AC385" t="str">
        <f>_xlfn.IFNA(INDEX(MTT_codes,MATCH(loaded!BK385,MTT,0)),"")</f>
        <v/>
      </c>
      <c r="AD385" t="str">
        <f>_xlfn.IFNA(INDEX(MTT_codes,MATCH(loaded!BM385,MTT,0)),"")</f>
        <v/>
      </c>
      <c r="AE385" t="e">
        <f>INDEX(liv_ar_codes,MATCH(loaded!BO385,liv_ar,0))</f>
        <v>#N/A</v>
      </c>
      <c r="AF385" t="str">
        <f>_xlfn.IFNA(INDEX(MTT_codes,MATCH(loaded!BQ385,MTT,0)),"")</f>
        <v/>
      </c>
      <c r="AG385">
        <f>_xlfn.IFNA(INDEX(mental_codes,MATCH(loaded!BS385,mental,0)),9)</f>
        <v>9</v>
      </c>
    </row>
    <row r="386" spans="1:33" x14ac:dyDescent="0.25">
      <c r="A386">
        <f>loaded!C386</f>
        <v>0</v>
      </c>
      <c r="B386">
        <f>loaded!I386</f>
        <v>0</v>
      </c>
      <c r="C386">
        <f>IF(loaded!K386="Male",1,IF(loaded!K386="Female",2,9))</f>
        <v>9</v>
      </c>
      <c r="D386" s="8">
        <f>loaded!M386</f>
        <v>0</v>
      </c>
      <c r="E386" t="str">
        <f>LEFT(loaded!O386,3)</f>
        <v/>
      </c>
      <c r="F386" t="e">
        <f>INDEX(cntry_codes,MATCH(loaded!Q386,countries,0))</f>
        <v>#N/A</v>
      </c>
      <c r="G386" t="e">
        <f>INDEX(atsi_codes,MATCH(loaded!S386,atsi,0))</f>
        <v>#N/A</v>
      </c>
      <c r="H386" t="e">
        <f>INDEX(lang_codes,MATCH(loaded!U386,lang,0))</f>
        <v>#N/A</v>
      </c>
      <c r="I386" s="8">
        <f>loaded!W386</f>
        <v>0</v>
      </c>
      <c r="J386" t="e">
        <f>INDEX(us_acc_codes,MATCH(loaded!Y386,us_acc,0))</f>
        <v>#N/A</v>
      </c>
      <c r="K386" t="e">
        <f>INDEX(client_codes,MATCH(loaded!AA386,client,0))</f>
        <v>#N/A</v>
      </c>
      <c r="L386" t="e">
        <f>INDEX(src_ref_codes,MATCH(loaded!AC386,src_ref,0))</f>
        <v>#N/A</v>
      </c>
      <c r="M386" s="8">
        <f>loaded!AE386</f>
        <v>0</v>
      </c>
      <c r="N386" s="8">
        <f>loaded!AG386</f>
        <v>0</v>
      </c>
      <c r="O386" t="e">
        <f>INDEX(reces_codes,MATCH(loaded!AI386,reason,0))</f>
        <v>#N/A</v>
      </c>
      <c r="P386" t="e">
        <f>INDEX(TDS_codes,MATCH(loaded!AK386,TDS,0))</f>
        <v>#N/A</v>
      </c>
      <c r="Q386" t="e">
        <f>IF(K386=2,"",INDEX(method_codes,MATCH(loaded!AM386,method,0)))</f>
        <v>#N/A</v>
      </c>
      <c r="R386" t="e">
        <f>IF(K386=2,"",INDEX(inj_codes,MATCH(loaded!AO386,inj,0)))</f>
        <v>#N/A</v>
      </c>
      <c r="S386" t="e">
        <f>IF(K386=2,"",INDEX(drug_codes,MATCH(loaded!AQ386,drug,0)))</f>
        <v>#N/A</v>
      </c>
      <c r="T386" t="e">
        <f>IF(K386=2,"",_xlfn.IFNA(INDEX(drug_codes,MATCH(loaded!AS386,drug,0)),""))</f>
        <v>#N/A</v>
      </c>
      <c r="U386" t="e">
        <f>IF(K386=2,"",_xlfn.IFNA(INDEX(drug_codes,MATCH(loaded!AU386,drug,0)),""))</f>
        <v>#N/A</v>
      </c>
      <c r="V386" t="e">
        <f>IF(K386=2,"",_xlfn.IFNA(INDEX(drug_codes,MATCH(loaded!AW386,drug,0)),""))</f>
        <v>#N/A</v>
      </c>
      <c r="W386" t="e">
        <f>IF(K386=2,"",_xlfn.IFNA(INDEX(drug_codes,MATCH(loaded!AY386,drug,0)),""))</f>
        <v>#N/A</v>
      </c>
      <c r="X386" t="e">
        <f>IF(K386=2,"",_xlfn.IFNA(INDEX(drug_codes,MATCH(loaded!BA386,drug,0)),""))</f>
        <v>#N/A</v>
      </c>
      <c r="Y386" t="e">
        <f>INDEX(MTT_codes,MATCH(loaded!BC386,MTT,0))</f>
        <v>#N/A</v>
      </c>
      <c r="Z386" t="str">
        <f>_xlfn.IFNA(INDEX(MTT_codes,MATCH(loaded!BE386,MTT,0)),"")</f>
        <v/>
      </c>
      <c r="AA386" t="str">
        <f>_xlfn.IFNA(INDEX(MTT_codes,MATCH(loaded!BG386,MTT,0)),"")</f>
        <v/>
      </c>
      <c r="AB386" t="str">
        <f>_xlfn.IFNA(INDEX(MTT_codes,MATCH(loaded!BI386,MTT,0)),"")</f>
        <v/>
      </c>
      <c r="AC386" t="str">
        <f>_xlfn.IFNA(INDEX(MTT_codes,MATCH(loaded!BK386,MTT,0)),"")</f>
        <v/>
      </c>
      <c r="AD386" t="str">
        <f>_xlfn.IFNA(INDEX(MTT_codes,MATCH(loaded!BM386,MTT,0)),"")</f>
        <v/>
      </c>
      <c r="AE386" t="e">
        <f>INDEX(liv_ar_codes,MATCH(loaded!BO386,liv_ar,0))</f>
        <v>#N/A</v>
      </c>
      <c r="AF386" t="str">
        <f>_xlfn.IFNA(INDEX(MTT_codes,MATCH(loaded!BQ386,MTT,0)),"")</f>
        <v/>
      </c>
      <c r="AG386">
        <f>_xlfn.IFNA(INDEX(mental_codes,MATCH(loaded!BS386,mental,0)),9)</f>
        <v>9</v>
      </c>
    </row>
    <row r="387" spans="1:33" x14ac:dyDescent="0.25">
      <c r="A387">
        <f>loaded!C387</f>
        <v>0</v>
      </c>
      <c r="B387">
        <f>loaded!I387</f>
        <v>0</v>
      </c>
      <c r="C387">
        <f>IF(loaded!K387="Male",1,IF(loaded!K387="Female",2,9))</f>
        <v>9</v>
      </c>
      <c r="D387" s="8">
        <f>loaded!M387</f>
        <v>0</v>
      </c>
      <c r="E387" t="str">
        <f>LEFT(loaded!O387,3)</f>
        <v/>
      </c>
      <c r="F387" t="e">
        <f>INDEX(cntry_codes,MATCH(loaded!Q387,countries,0))</f>
        <v>#N/A</v>
      </c>
      <c r="G387" t="e">
        <f>INDEX(atsi_codes,MATCH(loaded!S387,atsi,0))</f>
        <v>#N/A</v>
      </c>
      <c r="H387" t="e">
        <f>INDEX(lang_codes,MATCH(loaded!U387,lang,0))</f>
        <v>#N/A</v>
      </c>
      <c r="I387" s="8">
        <f>loaded!W387</f>
        <v>0</v>
      </c>
      <c r="J387" t="e">
        <f>INDEX(us_acc_codes,MATCH(loaded!Y387,us_acc,0))</f>
        <v>#N/A</v>
      </c>
      <c r="K387" t="e">
        <f>INDEX(client_codes,MATCH(loaded!AA387,client,0))</f>
        <v>#N/A</v>
      </c>
      <c r="L387" t="e">
        <f>INDEX(src_ref_codes,MATCH(loaded!AC387,src_ref,0))</f>
        <v>#N/A</v>
      </c>
      <c r="M387" s="8">
        <f>loaded!AE387</f>
        <v>0</v>
      </c>
      <c r="N387" s="8">
        <f>loaded!AG387</f>
        <v>0</v>
      </c>
      <c r="O387" t="e">
        <f>INDEX(reces_codes,MATCH(loaded!AI387,reason,0))</f>
        <v>#N/A</v>
      </c>
      <c r="P387" t="e">
        <f>INDEX(TDS_codes,MATCH(loaded!AK387,TDS,0))</f>
        <v>#N/A</v>
      </c>
      <c r="Q387" t="e">
        <f>IF(K387=2,"",INDEX(method_codes,MATCH(loaded!AM387,method,0)))</f>
        <v>#N/A</v>
      </c>
      <c r="R387" t="e">
        <f>IF(K387=2,"",INDEX(inj_codes,MATCH(loaded!AO387,inj,0)))</f>
        <v>#N/A</v>
      </c>
      <c r="S387" t="e">
        <f>IF(K387=2,"",INDEX(drug_codes,MATCH(loaded!AQ387,drug,0)))</f>
        <v>#N/A</v>
      </c>
      <c r="T387" t="e">
        <f>IF(K387=2,"",_xlfn.IFNA(INDEX(drug_codes,MATCH(loaded!AS387,drug,0)),""))</f>
        <v>#N/A</v>
      </c>
      <c r="U387" t="e">
        <f>IF(K387=2,"",_xlfn.IFNA(INDEX(drug_codes,MATCH(loaded!AU387,drug,0)),""))</f>
        <v>#N/A</v>
      </c>
      <c r="V387" t="e">
        <f>IF(K387=2,"",_xlfn.IFNA(INDEX(drug_codes,MATCH(loaded!AW387,drug,0)),""))</f>
        <v>#N/A</v>
      </c>
      <c r="W387" t="e">
        <f>IF(K387=2,"",_xlfn.IFNA(INDEX(drug_codes,MATCH(loaded!AY387,drug,0)),""))</f>
        <v>#N/A</v>
      </c>
      <c r="X387" t="e">
        <f>IF(K387=2,"",_xlfn.IFNA(INDEX(drug_codes,MATCH(loaded!BA387,drug,0)),""))</f>
        <v>#N/A</v>
      </c>
      <c r="Y387" t="e">
        <f>INDEX(MTT_codes,MATCH(loaded!BC387,MTT,0))</f>
        <v>#N/A</v>
      </c>
      <c r="Z387" t="str">
        <f>_xlfn.IFNA(INDEX(MTT_codes,MATCH(loaded!BE387,MTT,0)),"")</f>
        <v/>
      </c>
      <c r="AA387" t="str">
        <f>_xlfn.IFNA(INDEX(MTT_codes,MATCH(loaded!BG387,MTT,0)),"")</f>
        <v/>
      </c>
      <c r="AB387" t="str">
        <f>_xlfn.IFNA(INDEX(MTT_codes,MATCH(loaded!BI387,MTT,0)),"")</f>
        <v/>
      </c>
      <c r="AC387" t="str">
        <f>_xlfn.IFNA(INDEX(MTT_codes,MATCH(loaded!BK387,MTT,0)),"")</f>
        <v/>
      </c>
      <c r="AD387" t="str">
        <f>_xlfn.IFNA(INDEX(MTT_codes,MATCH(loaded!BM387,MTT,0)),"")</f>
        <v/>
      </c>
      <c r="AE387" t="e">
        <f>INDEX(liv_ar_codes,MATCH(loaded!BO387,liv_ar,0))</f>
        <v>#N/A</v>
      </c>
      <c r="AF387" t="str">
        <f>_xlfn.IFNA(INDEX(MTT_codes,MATCH(loaded!BQ387,MTT,0)),"")</f>
        <v/>
      </c>
      <c r="AG387">
        <f>_xlfn.IFNA(INDEX(mental_codes,MATCH(loaded!BS387,mental,0)),9)</f>
        <v>9</v>
      </c>
    </row>
    <row r="388" spans="1:33" x14ac:dyDescent="0.25">
      <c r="A388">
        <f>loaded!C388</f>
        <v>0</v>
      </c>
      <c r="B388">
        <f>loaded!I388</f>
        <v>0</v>
      </c>
      <c r="C388">
        <f>IF(loaded!K388="Male",1,IF(loaded!K388="Female",2,9))</f>
        <v>9</v>
      </c>
      <c r="D388" s="8">
        <f>loaded!M388</f>
        <v>0</v>
      </c>
      <c r="E388" t="str">
        <f>LEFT(loaded!O388,3)</f>
        <v/>
      </c>
      <c r="F388" t="e">
        <f>INDEX(cntry_codes,MATCH(loaded!Q388,countries,0))</f>
        <v>#N/A</v>
      </c>
      <c r="G388" t="e">
        <f>INDEX(atsi_codes,MATCH(loaded!S388,atsi,0))</f>
        <v>#N/A</v>
      </c>
      <c r="H388" t="e">
        <f>INDEX(lang_codes,MATCH(loaded!U388,lang,0))</f>
        <v>#N/A</v>
      </c>
      <c r="I388" s="8">
        <f>loaded!W388</f>
        <v>0</v>
      </c>
      <c r="J388" t="e">
        <f>INDEX(us_acc_codes,MATCH(loaded!Y388,us_acc,0))</f>
        <v>#N/A</v>
      </c>
      <c r="K388" t="e">
        <f>INDEX(client_codes,MATCH(loaded!AA388,client,0))</f>
        <v>#N/A</v>
      </c>
      <c r="L388" t="e">
        <f>INDEX(src_ref_codes,MATCH(loaded!AC388,src_ref,0))</f>
        <v>#N/A</v>
      </c>
      <c r="M388" s="8">
        <f>loaded!AE388</f>
        <v>0</v>
      </c>
      <c r="N388" s="8">
        <f>loaded!AG388</f>
        <v>0</v>
      </c>
      <c r="O388" t="e">
        <f>INDEX(reces_codes,MATCH(loaded!AI388,reason,0))</f>
        <v>#N/A</v>
      </c>
      <c r="P388" t="e">
        <f>INDEX(TDS_codes,MATCH(loaded!AK388,TDS,0))</f>
        <v>#N/A</v>
      </c>
      <c r="Q388" t="e">
        <f>IF(K388=2,"",INDEX(method_codes,MATCH(loaded!AM388,method,0)))</f>
        <v>#N/A</v>
      </c>
      <c r="R388" t="e">
        <f>IF(K388=2,"",INDEX(inj_codes,MATCH(loaded!AO388,inj,0)))</f>
        <v>#N/A</v>
      </c>
      <c r="S388" t="e">
        <f>IF(K388=2,"",INDEX(drug_codes,MATCH(loaded!AQ388,drug,0)))</f>
        <v>#N/A</v>
      </c>
      <c r="T388" t="e">
        <f>IF(K388=2,"",_xlfn.IFNA(INDEX(drug_codes,MATCH(loaded!AS388,drug,0)),""))</f>
        <v>#N/A</v>
      </c>
      <c r="U388" t="e">
        <f>IF(K388=2,"",_xlfn.IFNA(INDEX(drug_codes,MATCH(loaded!AU388,drug,0)),""))</f>
        <v>#N/A</v>
      </c>
      <c r="V388" t="e">
        <f>IF(K388=2,"",_xlfn.IFNA(INDEX(drug_codes,MATCH(loaded!AW388,drug,0)),""))</f>
        <v>#N/A</v>
      </c>
      <c r="W388" t="e">
        <f>IF(K388=2,"",_xlfn.IFNA(INDEX(drug_codes,MATCH(loaded!AY388,drug,0)),""))</f>
        <v>#N/A</v>
      </c>
      <c r="X388" t="e">
        <f>IF(K388=2,"",_xlfn.IFNA(INDEX(drug_codes,MATCH(loaded!BA388,drug,0)),""))</f>
        <v>#N/A</v>
      </c>
      <c r="Y388" t="e">
        <f>INDEX(MTT_codes,MATCH(loaded!BC388,MTT,0))</f>
        <v>#N/A</v>
      </c>
      <c r="Z388" t="str">
        <f>_xlfn.IFNA(INDEX(MTT_codes,MATCH(loaded!BE388,MTT,0)),"")</f>
        <v/>
      </c>
      <c r="AA388" t="str">
        <f>_xlfn.IFNA(INDEX(MTT_codes,MATCH(loaded!BG388,MTT,0)),"")</f>
        <v/>
      </c>
      <c r="AB388" t="str">
        <f>_xlfn.IFNA(INDEX(MTT_codes,MATCH(loaded!BI388,MTT,0)),"")</f>
        <v/>
      </c>
      <c r="AC388" t="str">
        <f>_xlfn.IFNA(INDEX(MTT_codes,MATCH(loaded!BK388,MTT,0)),"")</f>
        <v/>
      </c>
      <c r="AD388" t="str">
        <f>_xlfn.IFNA(INDEX(MTT_codes,MATCH(loaded!BM388,MTT,0)),"")</f>
        <v/>
      </c>
      <c r="AE388" t="e">
        <f>INDEX(liv_ar_codes,MATCH(loaded!BO388,liv_ar,0))</f>
        <v>#N/A</v>
      </c>
      <c r="AF388" t="str">
        <f>_xlfn.IFNA(INDEX(MTT_codes,MATCH(loaded!BQ388,MTT,0)),"")</f>
        <v/>
      </c>
      <c r="AG388">
        <f>_xlfn.IFNA(INDEX(mental_codes,MATCH(loaded!BS388,mental,0)),9)</f>
        <v>9</v>
      </c>
    </row>
    <row r="389" spans="1:33" x14ac:dyDescent="0.25">
      <c r="A389">
        <f>loaded!C389</f>
        <v>0</v>
      </c>
      <c r="B389">
        <f>loaded!I389</f>
        <v>0</v>
      </c>
      <c r="C389">
        <f>IF(loaded!K389="Male",1,IF(loaded!K389="Female",2,9))</f>
        <v>9</v>
      </c>
      <c r="D389" s="8">
        <f>loaded!M389</f>
        <v>0</v>
      </c>
      <c r="E389" t="str">
        <f>LEFT(loaded!O389,3)</f>
        <v/>
      </c>
      <c r="F389" t="e">
        <f>INDEX(cntry_codes,MATCH(loaded!Q389,countries,0))</f>
        <v>#N/A</v>
      </c>
      <c r="G389" t="e">
        <f>INDEX(atsi_codes,MATCH(loaded!S389,atsi,0))</f>
        <v>#N/A</v>
      </c>
      <c r="H389" t="e">
        <f>INDEX(lang_codes,MATCH(loaded!U389,lang,0))</f>
        <v>#N/A</v>
      </c>
      <c r="I389" s="8">
        <f>loaded!W389</f>
        <v>0</v>
      </c>
      <c r="J389" t="e">
        <f>INDEX(us_acc_codes,MATCH(loaded!Y389,us_acc,0))</f>
        <v>#N/A</v>
      </c>
      <c r="K389" t="e">
        <f>INDEX(client_codes,MATCH(loaded!AA389,client,0))</f>
        <v>#N/A</v>
      </c>
      <c r="L389" t="e">
        <f>INDEX(src_ref_codes,MATCH(loaded!AC389,src_ref,0))</f>
        <v>#N/A</v>
      </c>
      <c r="M389" s="8">
        <f>loaded!AE389</f>
        <v>0</v>
      </c>
      <c r="N389" s="8">
        <f>loaded!AG389</f>
        <v>0</v>
      </c>
      <c r="O389" t="e">
        <f>INDEX(reces_codes,MATCH(loaded!AI389,reason,0))</f>
        <v>#N/A</v>
      </c>
      <c r="P389" t="e">
        <f>INDEX(TDS_codes,MATCH(loaded!AK389,TDS,0))</f>
        <v>#N/A</v>
      </c>
      <c r="Q389" t="e">
        <f>IF(K389=2,"",INDEX(method_codes,MATCH(loaded!AM389,method,0)))</f>
        <v>#N/A</v>
      </c>
      <c r="R389" t="e">
        <f>IF(K389=2,"",INDEX(inj_codes,MATCH(loaded!AO389,inj,0)))</f>
        <v>#N/A</v>
      </c>
      <c r="S389" t="e">
        <f>IF(K389=2,"",INDEX(drug_codes,MATCH(loaded!AQ389,drug,0)))</f>
        <v>#N/A</v>
      </c>
      <c r="T389" t="e">
        <f>IF(K389=2,"",_xlfn.IFNA(INDEX(drug_codes,MATCH(loaded!AS389,drug,0)),""))</f>
        <v>#N/A</v>
      </c>
      <c r="U389" t="e">
        <f>IF(K389=2,"",_xlfn.IFNA(INDEX(drug_codes,MATCH(loaded!AU389,drug,0)),""))</f>
        <v>#N/A</v>
      </c>
      <c r="V389" t="e">
        <f>IF(K389=2,"",_xlfn.IFNA(INDEX(drug_codes,MATCH(loaded!AW389,drug,0)),""))</f>
        <v>#N/A</v>
      </c>
      <c r="W389" t="e">
        <f>IF(K389=2,"",_xlfn.IFNA(INDEX(drug_codes,MATCH(loaded!AY389,drug,0)),""))</f>
        <v>#N/A</v>
      </c>
      <c r="X389" t="e">
        <f>IF(K389=2,"",_xlfn.IFNA(INDEX(drug_codes,MATCH(loaded!BA389,drug,0)),""))</f>
        <v>#N/A</v>
      </c>
      <c r="Y389" t="e">
        <f>INDEX(MTT_codes,MATCH(loaded!BC389,MTT,0))</f>
        <v>#N/A</v>
      </c>
      <c r="Z389" t="str">
        <f>_xlfn.IFNA(INDEX(MTT_codes,MATCH(loaded!BE389,MTT,0)),"")</f>
        <v/>
      </c>
      <c r="AA389" t="str">
        <f>_xlfn.IFNA(INDEX(MTT_codes,MATCH(loaded!BG389,MTT,0)),"")</f>
        <v/>
      </c>
      <c r="AB389" t="str">
        <f>_xlfn.IFNA(INDEX(MTT_codes,MATCH(loaded!BI389,MTT,0)),"")</f>
        <v/>
      </c>
      <c r="AC389" t="str">
        <f>_xlfn.IFNA(INDEX(MTT_codes,MATCH(loaded!BK389,MTT,0)),"")</f>
        <v/>
      </c>
      <c r="AD389" t="str">
        <f>_xlfn.IFNA(INDEX(MTT_codes,MATCH(loaded!BM389,MTT,0)),"")</f>
        <v/>
      </c>
      <c r="AE389" t="e">
        <f>INDEX(liv_ar_codes,MATCH(loaded!BO389,liv_ar,0))</f>
        <v>#N/A</v>
      </c>
      <c r="AF389" t="str">
        <f>_xlfn.IFNA(INDEX(MTT_codes,MATCH(loaded!BQ389,MTT,0)),"")</f>
        <v/>
      </c>
      <c r="AG389">
        <f>_xlfn.IFNA(INDEX(mental_codes,MATCH(loaded!BS389,mental,0)),9)</f>
        <v>9</v>
      </c>
    </row>
    <row r="390" spans="1:33" x14ac:dyDescent="0.25">
      <c r="A390">
        <f>loaded!C390</f>
        <v>0</v>
      </c>
      <c r="B390">
        <f>loaded!I390</f>
        <v>0</v>
      </c>
      <c r="C390">
        <f>IF(loaded!K390="Male",1,IF(loaded!K390="Female",2,9))</f>
        <v>9</v>
      </c>
      <c r="D390" s="8">
        <f>loaded!M390</f>
        <v>0</v>
      </c>
      <c r="E390" t="str">
        <f>LEFT(loaded!O390,3)</f>
        <v/>
      </c>
      <c r="F390" t="e">
        <f>INDEX(cntry_codes,MATCH(loaded!Q390,countries,0))</f>
        <v>#N/A</v>
      </c>
      <c r="G390" t="e">
        <f>INDEX(atsi_codes,MATCH(loaded!S390,atsi,0))</f>
        <v>#N/A</v>
      </c>
      <c r="H390" t="e">
        <f>INDEX(lang_codes,MATCH(loaded!U390,lang,0))</f>
        <v>#N/A</v>
      </c>
      <c r="I390" s="8">
        <f>loaded!W390</f>
        <v>0</v>
      </c>
      <c r="J390" t="e">
        <f>INDEX(us_acc_codes,MATCH(loaded!Y390,us_acc,0))</f>
        <v>#N/A</v>
      </c>
      <c r="K390" t="e">
        <f>INDEX(client_codes,MATCH(loaded!AA390,client,0))</f>
        <v>#N/A</v>
      </c>
      <c r="L390" t="e">
        <f>INDEX(src_ref_codes,MATCH(loaded!AC390,src_ref,0))</f>
        <v>#N/A</v>
      </c>
      <c r="M390" s="8">
        <f>loaded!AE390</f>
        <v>0</v>
      </c>
      <c r="N390" s="8">
        <f>loaded!AG390</f>
        <v>0</v>
      </c>
      <c r="O390" t="e">
        <f>INDEX(reces_codes,MATCH(loaded!AI390,reason,0))</f>
        <v>#N/A</v>
      </c>
      <c r="P390" t="e">
        <f>INDEX(TDS_codes,MATCH(loaded!AK390,TDS,0))</f>
        <v>#N/A</v>
      </c>
      <c r="Q390" t="e">
        <f>IF(K390=2,"",INDEX(method_codes,MATCH(loaded!AM390,method,0)))</f>
        <v>#N/A</v>
      </c>
      <c r="R390" t="e">
        <f>IF(K390=2,"",INDEX(inj_codes,MATCH(loaded!AO390,inj,0)))</f>
        <v>#N/A</v>
      </c>
      <c r="S390" t="e">
        <f>IF(K390=2,"",INDEX(drug_codes,MATCH(loaded!AQ390,drug,0)))</f>
        <v>#N/A</v>
      </c>
      <c r="T390" t="e">
        <f>IF(K390=2,"",_xlfn.IFNA(INDEX(drug_codes,MATCH(loaded!AS390,drug,0)),""))</f>
        <v>#N/A</v>
      </c>
      <c r="U390" t="e">
        <f>IF(K390=2,"",_xlfn.IFNA(INDEX(drug_codes,MATCH(loaded!AU390,drug,0)),""))</f>
        <v>#N/A</v>
      </c>
      <c r="V390" t="e">
        <f>IF(K390=2,"",_xlfn.IFNA(INDEX(drug_codes,MATCH(loaded!AW390,drug,0)),""))</f>
        <v>#N/A</v>
      </c>
      <c r="W390" t="e">
        <f>IF(K390=2,"",_xlfn.IFNA(INDEX(drug_codes,MATCH(loaded!AY390,drug,0)),""))</f>
        <v>#N/A</v>
      </c>
      <c r="X390" t="e">
        <f>IF(K390=2,"",_xlfn.IFNA(INDEX(drug_codes,MATCH(loaded!BA390,drug,0)),""))</f>
        <v>#N/A</v>
      </c>
      <c r="Y390" t="e">
        <f>INDEX(MTT_codes,MATCH(loaded!BC390,MTT,0))</f>
        <v>#N/A</v>
      </c>
      <c r="Z390" t="str">
        <f>_xlfn.IFNA(INDEX(MTT_codes,MATCH(loaded!BE390,MTT,0)),"")</f>
        <v/>
      </c>
      <c r="AA390" t="str">
        <f>_xlfn.IFNA(INDEX(MTT_codes,MATCH(loaded!BG390,MTT,0)),"")</f>
        <v/>
      </c>
      <c r="AB390" t="str">
        <f>_xlfn.IFNA(INDEX(MTT_codes,MATCH(loaded!BI390,MTT,0)),"")</f>
        <v/>
      </c>
      <c r="AC390" t="str">
        <f>_xlfn.IFNA(INDEX(MTT_codes,MATCH(loaded!BK390,MTT,0)),"")</f>
        <v/>
      </c>
      <c r="AD390" t="str">
        <f>_xlfn.IFNA(INDEX(MTT_codes,MATCH(loaded!BM390,MTT,0)),"")</f>
        <v/>
      </c>
      <c r="AE390" t="e">
        <f>INDEX(liv_ar_codes,MATCH(loaded!BO390,liv_ar,0))</f>
        <v>#N/A</v>
      </c>
      <c r="AF390" t="str">
        <f>_xlfn.IFNA(INDEX(MTT_codes,MATCH(loaded!BQ390,MTT,0)),"")</f>
        <v/>
      </c>
      <c r="AG390">
        <f>_xlfn.IFNA(INDEX(mental_codes,MATCH(loaded!BS390,mental,0)),9)</f>
        <v>9</v>
      </c>
    </row>
    <row r="391" spans="1:33" x14ac:dyDescent="0.25">
      <c r="A391">
        <f>loaded!C391</f>
        <v>0</v>
      </c>
      <c r="B391">
        <f>loaded!I391</f>
        <v>0</v>
      </c>
      <c r="C391">
        <f>IF(loaded!K391="Male",1,IF(loaded!K391="Female",2,9))</f>
        <v>9</v>
      </c>
      <c r="D391" s="8">
        <f>loaded!M391</f>
        <v>0</v>
      </c>
      <c r="E391" t="str">
        <f>LEFT(loaded!O391,3)</f>
        <v/>
      </c>
      <c r="F391" t="e">
        <f>INDEX(cntry_codes,MATCH(loaded!Q391,countries,0))</f>
        <v>#N/A</v>
      </c>
      <c r="G391" t="e">
        <f>INDEX(atsi_codes,MATCH(loaded!S391,atsi,0))</f>
        <v>#N/A</v>
      </c>
      <c r="H391" t="e">
        <f>INDEX(lang_codes,MATCH(loaded!U391,lang,0))</f>
        <v>#N/A</v>
      </c>
      <c r="I391" s="8">
        <f>loaded!W391</f>
        <v>0</v>
      </c>
      <c r="J391" t="e">
        <f>INDEX(us_acc_codes,MATCH(loaded!Y391,us_acc,0))</f>
        <v>#N/A</v>
      </c>
      <c r="K391" t="e">
        <f>INDEX(client_codes,MATCH(loaded!AA391,client,0))</f>
        <v>#N/A</v>
      </c>
      <c r="L391" t="e">
        <f>INDEX(src_ref_codes,MATCH(loaded!AC391,src_ref,0))</f>
        <v>#N/A</v>
      </c>
      <c r="M391" s="8">
        <f>loaded!AE391</f>
        <v>0</v>
      </c>
      <c r="N391" s="8">
        <f>loaded!AG391</f>
        <v>0</v>
      </c>
      <c r="O391" t="e">
        <f>INDEX(reces_codes,MATCH(loaded!AI391,reason,0))</f>
        <v>#N/A</v>
      </c>
      <c r="P391" t="e">
        <f>INDEX(TDS_codes,MATCH(loaded!AK391,TDS,0))</f>
        <v>#N/A</v>
      </c>
      <c r="Q391" t="e">
        <f>IF(K391=2,"",INDEX(method_codes,MATCH(loaded!AM391,method,0)))</f>
        <v>#N/A</v>
      </c>
      <c r="R391" t="e">
        <f>IF(K391=2,"",INDEX(inj_codes,MATCH(loaded!AO391,inj,0)))</f>
        <v>#N/A</v>
      </c>
      <c r="S391" t="e">
        <f>IF(K391=2,"",INDEX(drug_codes,MATCH(loaded!AQ391,drug,0)))</f>
        <v>#N/A</v>
      </c>
      <c r="T391" t="e">
        <f>IF(K391=2,"",_xlfn.IFNA(INDEX(drug_codes,MATCH(loaded!AS391,drug,0)),""))</f>
        <v>#N/A</v>
      </c>
      <c r="U391" t="e">
        <f>IF(K391=2,"",_xlfn.IFNA(INDEX(drug_codes,MATCH(loaded!AU391,drug,0)),""))</f>
        <v>#N/A</v>
      </c>
      <c r="V391" t="e">
        <f>IF(K391=2,"",_xlfn.IFNA(INDEX(drug_codes,MATCH(loaded!AW391,drug,0)),""))</f>
        <v>#N/A</v>
      </c>
      <c r="W391" t="e">
        <f>IF(K391=2,"",_xlfn.IFNA(INDEX(drug_codes,MATCH(loaded!AY391,drug,0)),""))</f>
        <v>#N/A</v>
      </c>
      <c r="X391" t="e">
        <f>IF(K391=2,"",_xlfn.IFNA(INDEX(drug_codes,MATCH(loaded!BA391,drug,0)),""))</f>
        <v>#N/A</v>
      </c>
      <c r="Y391" t="e">
        <f>INDEX(MTT_codes,MATCH(loaded!BC391,MTT,0))</f>
        <v>#N/A</v>
      </c>
      <c r="Z391" t="str">
        <f>_xlfn.IFNA(INDEX(MTT_codes,MATCH(loaded!BE391,MTT,0)),"")</f>
        <v/>
      </c>
      <c r="AA391" t="str">
        <f>_xlfn.IFNA(INDEX(MTT_codes,MATCH(loaded!BG391,MTT,0)),"")</f>
        <v/>
      </c>
      <c r="AB391" t="str">
        <f>_xlfn.IFNA(INDEX(MTT_codes,MATCH(loaded!BI391,MTT,0)),"")</f>
        <v/>
      </c>
      <c r="AC391" t="str">
        <f>_xlfn.IFNA(INDEX(MTT_codes,MATCH(loaded!BK391,MTT,0)),"")</f>
        <v/>
      </c>
      <c r="AD391" t="str">
        <f>_xlfn.IFNA(INDEX(MTT_codes,MATCH(loaded!BM391,MTT,0)),"")</f>
        <v/>
      </c>
      <c r="AE391" t="e">
        <f>INDEX(liv_ar_codes,MATCH(loaded!BO391,liv_ar,0))</f>
        <v>#N/A</v>
      </c>
      <c r="AF391" t="str">
        <f>_xlfn.IFNA(INDEX(MTT_codes,MATCH(loaded!BQ391,MTT,0)),"")</f>
        <v/>
      </c>
      <c r="AG391">
        <f>_xlfn.IFNA(INDEX(mental_codes,MATCH(loaded!BS391,mental,0)),9)</f>
        <v>9</v>
      </c>
    </row>
    <row r="392" spans="1:33" x14ac:dyDescent="0.25">
      <c r="A392">
        <f>loaded!C392</f>
        <v>0</v>
      </c>
      <c r="B392">
        <f>loaded!I392</f>
        <v>0</v>
      </c>
      <c r="C392">
        <f>IF(loaded!K392="Male",1,IF(loaded!K392="Female",2,9))</f>
        <v>9</v>
      </c>
      <c r="D392" s="8">
        <f>loaded!M392</f>
        <v>0</v>
      </c>
      <c r="E392" t="str">
        <f>LEFT(loaded!O392,3)</f>
        <v/>
      </c>
      <c r="F392" t="e">
        <f>INDEX(cntry_codes,MATCH(loaded!Q392,countries,0))</f>
        <v>#N/A</v>
      </c>
      <c r="G392" t="e">
        <f>INDEX(atsi_codes,MATCH(loaded!S392,atsi,0))</f>
        <v>#N/A</v>
      </c>
      <c r="H392" t="e">
        <f>INDEX(lang_codes,MATCH(loaded!U392,lang,0))</f>
        <v>#N/A</v>
      </c>
      <c r="I392" s="8">
        <f>loaded!W392</f>
        <v>0</v>
      </c>
      <c r="J392" t="e">
        <f>INDEX(us_acc_codes,MATCH(loaded!Y392,us_acc,0))</f>
        <v>#N/A</v>
      </c>
      <c r="K392" t="e">
        <f>INDEX(client_codes,MATCH(loaded!AA392,client,0))</f>
        <v>#N/A</v>
      </c>
      <c r="L392" t="e">
        <f>INDEX(src_ref_codes,MATCH(loaded!AC392,src_ref,0))</f>
        <v>#N/A</v>
      </c>
      <c r="M392" s="8">
        <f>loaded!AE392</f>
        <v>0</v>
      </c>
      <c r="N392" s="8">
        <f>loaded!AG392</f>
        <v>0</v>
      </c>
      <c r="O392" t="e">
        <f>INDEX(reces_codes,MATCH(loaded!AI392,reason,0))</f>
        <v>#N/A</v>
      </c>
      <c r="P392" t="e">
        <f>INDEX(TDS_codes,MATCH(loaded!AK392,TDS,0))</f>
        <v>#N/A</v>
      </c>
      <c r="Q392" t="e">
        <f>IF(K392=2,"",INDEX(method_codes,MATCH(loaded!AM392,method,0)))</f>
        <v>#N/A</v>
      </c>
      <c r="R392" t="e">
        <f>IF(K392=2,"",INDEX(inj_codes,MATCH(loaded!AO392,inj,0)))</f>
        <v>#N/A</v>
      </c>
      <c r="S392" t="e">
        <f>IF(K392=2,"",INDEX(drug_codes,MATCH(loaded!AQ392,drug,0)))</f>
        <v>#N/A</v>
      </c>
      <c r="T392" t="e">
        <f>IF(K392=2,"",_xlfn.IFNA(INDEX(drug_codes,MATCH(loaded!AS392,drug,0)),""))</f>
        <v>#N/A</v>
      </c>
      <c r="U392" t="e">
        <f>IF(K392=2,"",_xlfn.IFNA(INDEX(drug_codes,MATCH(loaded!AU392,drug,0)),""))</f>
        <v>#N/A</v>
      </c>
      <c r="V392" t="e">
        <f>IF(K392=2,"",_xlfn.IFNA(INDEX(drug_codes,MATCH(loaded!AW392,drug,0)),""))</f>
        <v>#N/A</v>
      </c>
      <c r="W392" t="e">
        <f>IF(K392=2,"",_xlfn.IFNA(INDEX(drug_codes,MATCH(loaded!AY392,drug,0)),""))</f>
        <v>#N/A</v>
      </c>
      <c r="X392" t="e">
        <f>IF(K392=2,"",_xlfn.IFNA(INDEX(drug_codes,MATCH(loaded!BA392,drug,0)),""))</f>
        <v>#N/A</v>
      </c>
      <c r="Y392" t="e">
        <f>INDEX(MTT_codes,MATCH(loaded!BC392,MTT,0))</f>
        <v>#N/A</v>
      </c>
      <c r="Z392" t="str">
        <f>_xlfn.IFNA(INDEX(MTT_codes,MATCH(loaded!BE392,MTT,0)),"")</f>
        <v/>
      </c>
      <c r="AA392" t="str">
        <f>_xlfn.IFNA(INDEX(MTT_codes,MATCH(loaded!BG392,MTT,0)),"")</f>
        <v/>
      </c>
      <c r="AB392" t="str">
        <f>_xlfn.IFNA(INDEX(MTT_codes,MATCH(loaded!BI392,MTT,0)),"")</f>
        <v/>
      </c>
      <c r="AC392" t="str">
        <f>_xlfn.IFNA(INDEX(MTT_codes,MATCH(loaded!BK392,MTT,0)),"")</f>
        <v/>
      </c>
      <c r="AD392" t="str">
        <f>_xlfn.IFNA(INDEX(MTT_codes,MATCH(loaded!BM392,MTT,0)),"")</f>
        <v/>
      </c>
      <c r="AE392" t="e">
        <f>INDEX(liv_ar_codes,MATCH(loaded!BO392,liv_ar,0))</f>
        <v>#N/A</v>
      </c>
      <c r="AF392" t="str">
        <f>_xlfn.IFNA(INDEX(MTT_codes,MATCH(loaded!BQ392,MTT,0)),"")</f>
        <v/>
      </c>
      <c r="AG392">
        <f>_xlfn.IFNA(INDEX(mental_codes,MATCH(loaded!BS392,mental,0)),9)</f>
        <v>9</v>
      </c>
    </row>
    <row r="393" spans="1:33" x14ac:dyDescent="0.25">
      <c r="A393">
        <f>loaded!C393</f>
        <v>0</v>
      </c>
      <c r="B393">
        <f>loaded!I393</f>
        <v>0</v>
      </c>
      <c r="C393">
        <f>IF(loaded!K393="Male",1,IF(loaded!K393="Female",2,9))</f>
        <v>9</v>
      </c>
      <c r="D393" s="8">
        <f>loaded!M393</f>
        <v>0</v>
      </c>
      <c r="E393" t="str">
        <f>LEFT(loaded!O393,3)</f>
        <v/>
      </c>
      <c r="F393" t="e">
        <f>INDEX(cntry_codes,MATCH(loaded!Q393,countries,0))</f>
        <v>#N/A</v>
      </c>
      <c r="G393" t="e">
        <f>INDEX(atsi_codes,MATCH(loaded!S393,atsi,0))</f>
        <v>#N/A</v>
      </c>
      <c r="H393" t="e">
        <f>INDEX(lang_codes,MATCH(loaded!U393,lang,0))</f>
        <v>#N/A</v>
      </c>
      <c r="I393" s="8">
        <f>loaded!W393</f>
        <v>0</v>
      </c>
      <c r="J393" t="e">
        <f>INDEX(us_acc_codes,MATCH(loaded!Y393,us_acc,0))</f>
        <v>#N/A</v>
      </c>
      <c r="K393" t="e">
        <f>INDEX(client_codes,MATCH(loaded!AA393,client,0))</f>
        <v>#N/A</v>
      </c>
      <c r="L393" t="e">
        <f>INDEX(src_ref_codes,MATCH(loaded!AC393,src_ref,0))</f>
        <v>#N/A</v>
      </c>
      <c r="M393" s="8">
        <f>loaded!AE393</f>
        <v>0</v>
      </c>
      <c r="N393" s="8">
        <f>loaded!AG393</f>
        <v>0</v>
      </c>
      <c r="O393" t="e">
        <f>INDEX(reces_codes,MATCH(loaded!AI393,reason,0))</f>
        <v>#N/A</v>
      </c>
      <c r="P393" t="e">
        <f>INDEX(TDS_codes,MATCH(loaded!AK393,TDS,0))</f>
        <v>#N/A</v>
      </c>
      <c r="Q393" t="e">
        <f>IF(K393=2,"",INDEX(method_codes,MATCH(loaded!AM393,method,0)))</f>
        <v>#N/A</v>
      </c>
      <c r="R393" t="e">
        <f>IF(K393=2,"",INDEX(inj_codes,MATCH(loaded!AO393,inj,0)))</f>
        <v>#N/A</v>
      </c>
      <c r="S393" t="e">
        <f>IF(K393=2,"",INDEX(drug_codes,MATCH(loaded!AQ393,drug,0)))</f>
        <v>#N/A</v>
      </c>
      <c r="T393" t="e">
        <f>IF(K393=2,"",_xlfn.IFNA(INDEX(drug_codes,MATCH(loaded!AS393,drug,0)),""))</f>
        <v>#N/A</v>
      </c>
      <c r="U393" t="e">
        <f>IF(K393=2,"",_xlfn.IFNA(INDEX(drug_codes,MATCH(loaded!AU393,drug,0)),""))</f>
        <v>#N/A</v>
      </c>
      <c r="V393" t="e">
        <f>IF(K393=2,"",_xlfn.IFNA(INDEX(drug_codes,MATCH(loaded!AW393,drug,0)),""))</f>
        <v>#N/A</v>
      </c>
      <c r="W393" t="e">
        <f>IF(K393=2,"",_xlfn.IFNA(INDEX(drug_codes,MATCH(loaded!AY393,drug,0)),""))</f>
        <v>#N/A</v>
      </c>
      <c r="X393" t="e">
        <f>IF(K393=2,"",_xlfn.IFNA(INDEX(drug_codes,MATCH(loaded!BA393,drug,0)),""))</f>
        <v>#N/A</v>
      </c>
      <c r="Y393" t="e">
        <f>INDEX(MTT_codes,MATCH(loaded!BC393,MTT,0))</f>
        <v>#N/A</v>
      </c>
      <c r="Z393" t="str">
        <f>_xlfn.IFNA(INDEX(MTT_codes,MATCH(loaded!BE393,MTT,0)),"")</f>
        <v/>
      </c>
      <c r="AA393" t="str">
        <f>_xlfn.IFNA(INDEX(MTT_codes,MATCH(loaded!BG393,MTT,0)),"")</f>
        <v/>
      </c>
      <c r="AB393" t="str">
        <f>_xlfn.IFNA(INDEX(MTT_codes,MATCH(loaded!BI393,MTT,0)),"")</f>
        <v/>
      </c>
      <c r="AC393" t="str">
        <f>_xlfn.IFNA(INDEX(MTT_codes,MATCH(loaded!BK393,MTT,0)),"")</f>
        <v/>
      </c>
      <c r="AD393" t="str">
        <f>_xlfn.IFNA(INDEX(MTT_codes,MATCH(loaded!BM393,MTT,0)),"")</f>
        <v/>
      </c>
      <c r="AE393" t="e">
        <f>INDEX(liv_ar_codes,MATCH(loaded!BO393,liv_ar,0))</f>
        <v>#N/A</v>
      </c>
      <c r="AF393" t="str">
        <f>_xlfn.IFNA(INDEX(MTT_codes,MATCH(loaded!BQ393,MTT,0)),"")</f>
        <v/>
      </c>
      <c r="AG393">
        <f>_xlfn.IFNA(INDEX(mental_codes,MATCH(loaded!BS393,mental,0)),9)</f>
        <v>9</v>
      </c>
    </row>
    <row r="394" spans="1:33" x14ac:dyDescent="0.25">
      <c r="A394">
        <f>loaded!C394</f>
        <v>0</v>
      </c>
      <c r="B394">
        <f>loaded!I394</f>
        <v>0</v>
      </c>
      <c r="C394">
        <f>IF(loaded!K394="Male",1,IF(loaded!K394="Female",2,9))</f>
        <v>9</v>
      </c>
      <c r="D394" s="8">
        <f>loaded!M394</f>
        <v>0</v>
      </c>
      <c r="E394" t="str">
        <f>LEFT(loaded!O394,3)</f>
        <v/>
      </c>
      <c r="F394" t="e">
        <f>INDEX(cntry_codes,MATCH(loaded!Q394,countries,0))</f>
        <v>#N/A</v>
      </c>
      <c r="G394" t="e">
        <f>INDEX(atsi_codes,MATCH(loaded!S394,atsi,0))</f>
        <v>#N/A</v>
      </c>
      <c r="H394" t="e">
        <f>INDEX(lang_codes,MATCH(loaded!U394,lang,0))</f>
        <v>#N/A</v>
      </c>
      <c r="I394" s="8">
        <f>loaded!W394</f>
        <v>0</v>
      </c>
      <c r="J394" t="e">
        <f>INDEX(us_acc_codes,MATCH(loaded!Y394,us_acc,0))</f>
        <v>#N/A</v>
      </c>
      <c r="K394" t="e">
        <f>INDEX(client_codes,MATCH(loaded!AA394,client,0))</f>
        <v>#N/A</v>
      </c>
      <c r="L394" t="e">
        <f>INDEX(src_ref_codes,MATCH(loaded!AC394,src_ref,0))</f>
        <v>#N/A</v>
      </c>
      <c r="M394" s="8">
        <f>loaded!AE394</f>
        <v>0</v>
      </c>
      <c r="N394" s="8">
        <f>loaded!AG394</f>
        <v>0</v>
      </c>
      <c r="O394" t="e">
        <f>INDEX(reces_codes,MATCH(loaded!AI394,reason,0))</f>
        <v>#N/A</v>
      </c>
      <c r="P394" t="e">
        <f>INDEX(TDS_codes,MATCH(loaded!AK394,TDS,0))</f>
        <v>#N/A</v>
      </c>
      <c r="Q394" t="e">
        <f>IF(K394=2,"",INDEX(method_codes,MATCH(loaded!AM394,method,0)))</f>
        <v>#N/A</v>
      </c>
      <c r="R394" t="e">
        <f>IF(K394=2,"",INDEX(inj_codes,MATCH(loaded!AO394,inj,0)))</f>
        <v>#N/A</v>
      </c>
      <c r="S394" t="e">
        <f>IF(K394=2,"",INDEX(drug_codes,MATCH(loaded!AQ394,drug,0)))</f>
        <v>#N/A</v>
      </c>
      <c r="T394" t="e">
        <f>IF(K394=2,"",_xlfn.IFNA(INDEX(drug_codes,MATCH(loaded!AS394,drug,0)),""))</f>
        <v>#N/A</v>
      </c>
      <c r="U394" t="e">
        <f>IF(K394=2,"",_xlfn.IFNA(INDEX(drug_codes,MATCH(loaded!AU394,drug,0)),""))</f>
        <v>#N/A</v>
      </c>
      <c r="V394" t="e">
        <f>IF(K394=2,"",_xlfn.IFNA(INDEX(drug_codes,MATCH(loaded!AW394,drug,0)),""))</f>
        <v>#N/A</v>
      </c>
      <c r="W394" t="e">
        <f>IF(K394=2,"",_xlfn.IFNA(INDEX(drug_codes,MATCH(loaded!AY394,drug,0)),""))</f>
        <v>#N/A</v>
      </c>
      <c r="X394" t="e">
        <f>IF(K394=2,"",_xlfn.IFNA(INDEX(drug_codes,MATCH(loaded!BA394,drug,0)),""))</f>
        <v>#N/A</v>
      </c>
      <c r="Y394" t="e">
        <f>INDEX(MTT_codes,MATCH(loaded!BC394,MTT,0))</f>
        <v>#N/A</v>
      </c>
      <c r="Z394" t="str">
        <f>_xlfn.IFNA(INDEX(MTT_codes,MATCH(loaded!BE394,MTT,0)),"")</f>
        <v/>
      </c>
      <c r="AA394" t="str">
        <f>_xlfn.IFNA(INDEX(MTT_codes,MATCH(loaded!BG394,MTT,0)),"")</f>
        <v/>
      </c>
      <c r="AB394" t="str">
        <f>_xlfn.IFNA(INDEX(MTT_codes,MATCH(loaded!BI394,MTT,0)),"")</f>
        <v/>
      </c>
      <c r="AC394" t="str">
        <f>_xlfn.IFNA(INDEX(MTT_codes,MATCH(loaded!BK394,MTT,0)),"")</f>
        <v/>
      </c>
      <c r="AD394" t="str">
        <f>_xlfn.IFNA(INDEX(MTT_codes,MATCH(loaded!BM394,MTT,0)),"")</f>
        <v/>
      </c>
      <c r="AE394" t="e">
        <f>INDEX(liv_ar_codes,MATCH(loaded!BO394,liv_ar,0))</f>
        <v>#N/A</v>
      </c>
      <c r="AF394" t="str">
        <f>_xlfn.IFNA(INDEX(MTT_codes,MATCH(loaded!BQ394,MTT,0)),"")</f>
        <v/>
      </c>
      <c r="AG394">
        <f>_xlfn.IFNA(INDEX(mental_codes,MATCH(loaded!BS394,mental,0)),9)</f>
        <v>9</v>
      </c>
    </row>
    <row r="395" spans="1:33" x14ac:dyDescent="0.25">
      <c r="A395">
        <f>loaded!C395</f>
        <v>0</v>
      </c>
      <c r="B395">
        <f>loaded!I395</f>
        <v>0</v>
      </c>
      <c r="C395">
        <f>IF(loaded!K395="Male",1,IF(loaded!K395="Female",2,9))</f>
        <v>9</v>
      </c>
      <c r="D395" s="8">
        <f>loaded!M395</f>
        <v>0</v>
      </c>
      <c r="E395" t="str">
        <f>LEFT(loaded!O395,3)</f>
        <v/>
      </c>
      <c r="F395" t="e">
        <f>INDEX(cntry_codes,MATCH(loaded!Q395,countries,0))</f>
        <v>#N/A</v>
      </c>
      <c r="G395" t="e">
        <f>INDEX(atsi_codes,MATCH(loaded!S395,atsi,0))</f>
        <v>#N/A</v>
      </c>
      <c r="H395" t="e">
        <f>INDEX(lang_codes,MATCH(loaded!U395,lang,0))</f>
        <v>#N/A</v>
      </c>
      <c r="I395" s="8">
        <f>loaded!W395</f>
        <v>0</v>
      </c>
      <c r="J395" t="e">
        <f>INDEX(us_acc_codes,MATCH(loaded!Y395,us_acc,0))</f>
        <v>#N/A</v>
      </c>
      <c r="K395" t="e">
        <f>INDEX(client_codes,MATCH(loaded!AA395,client,0))</f>
        <v>#N/A</v>
      </c>
      <c r="L395" t="e">
        <f>INDEX(src_ref_codes,MATCH(loaded!AC395,src_ref,0))</f>
        <v>#N/A</v>
      </c>
      <c r="M395" s="8">
        <f>loaded!AE395</f>
        <v>0</v>
      </c>
      <c r="N395" s="8">
        <f>loaded!AG395</f>
        <v>0</v>
      </c>
      <c r="O395" t="e">
        <f>INDEX(reces_codes,MATCH(loaded!AI395,reason,0))</f>
        <v>#N/A</v>
      </c>
      <c r="P395" t="e">
        <f>INDEX(TDS_codes,MATCH(loaded!AK395,TDS,0))</f>
        <v>#N/A</v>
      </c>
      <c r="Q395" t="e">
        <f>IF(K395=2,"",INDEX(method_codes,MATCH(loaded!AM395,method,0)))</f>
        <v>#N/A</v>
      </c>
      <c r="R395" t="e">
        <f>IF(K395=2,"",INDEX(inj_codes,MATCH(loaded!AO395,inj,0)))</f>
        <v>#N/A</v>
      </c>
      <c r="S395" t="e">
        <f>IF(K395=2,"",INDEX(drug_codes,MATCH(loaded!AQ395,drug,0)))</f>
        <v>#N/A</v>
      </c>
      <c r="T395" t="e">
        <f>IF(K395=2,"",_xlfn.IFNA(INDEX(drug_codes,MATCH(loaded!AS395,drug,0)),""))</f>
        <v>#N/A</v>
      </c>
      <c r="U395" t="e">
        <f>IF(K395=2,"",_xlfn.IFNA(INDEX(drug_codes,MATCH(loaded!AU395,drug,0)),""))</f>
        <v>#N/A</v>
      </c>
      <c r="V395" t="e">
        <f>IF(K395=2,"",_xlfn.IFNA(INDEX(drug_codes,MATCH(loaded!AW395,drug,0)),""))</f>
        <v>#N/A</v>
      </c>
      <c r="W395" t="e">
        <f>IF(K395=2,"",_xlfn.IFNA(INDEX(drug_codes,MATCH(loaded!AY395,drug,0)),""))</f>
        <v>#N/A</v>
      </c>
      <c r="X395" t="e">
        <f>IF(K395=2,"",_xlfn.IFNA(INDEX(drug_codes,MATCH(loaded!BA395,drug,0)),""))</f>
        <v>#N/A</v>
      </c>
      <c r="Y395" t="e">
        <f>INDEX(MTT_codes,MATCH(loaded!BC395,MTT,0))</f>
        <v>#N/A</v>
      </c>
      <c r="Z395" t="str">
        <f>_xlfn.IFNA(INDEX(MTT_codes,MATCH(loaded!BE395,MTT,0)),"")</f>
        <v/>
      </c>
      <c r="AA395" t="str">
        <f>_xlfn.IFNA(INDEX(MTT_codes,MATCH(loaded!BG395,MTT,0)),"")</f>
        <v/>
      </c>
      <c r="AB395" t="str">
        <f>_xlfn.IFNA(INDEX(MTT_codes,MATCH(loaded!BI395,MTT,0)),"")</f>
        <v/>
      </c>
      <c r="AC395" t="str">
        <f>_xlfn.IFNA(INDEX(MTT_codes,MATCH(loaded!BK395,MTT,0)),"")</f>
        <v/>
      </c>
      <c r="AD395" t="str">
        <f>_xlfn.IFNA(INDEX(MTT_codes,MATCH(loaded!BM395,MTT,0)),"")</f>
        <v/>
      </c>
      <c r="AE395" t="e">
        <f>INDEX(liv_ar_codes,MATCH(loaded!BO395,liv_ar,0))</f>
        <v>#N/A</v>
      </c>
      <c r="AF395" t="str">
        <f>_xlfn.IFNA(INDEX(MTT_codes,MATCH(loaded!BQ395,MTT,0)),"")</f>
        <v/>
      </c>
      <c r="AG395">
        <f>_xlfn.IFNA(INDEX(mental_codes,MATCH(loaded!BS395,mental,0)),9)</f>
        <v>9</v>
      </c>
    </row>
    <row r="396" spans="1:33" x14ac:dyDescent="0.25">
      <c r="A396">
        <f>loaded!C396</f>
        <v>0</v>
      </c>
      <c r="B396">
        <f>loaded!I396</f>
        <v>0</v>
      </c>
      <c r="C396">
        <f>IF(loaded!K396="Male",1,IF(loaded!K396="Female",2,9))</f>
        <v>9</v>
      </c>
      <c r="D396" s="8">
        <f>loaded!M396</f>
        <v>0</v>
      </c>
      <c r="E396" t="str">
        <f>LEFT(loaded!O396,3)</f>
        <v/>
      </c>
      <c r="F396" t="e">
        <f>INDEX(cntry_codes,MATCH(loaded!Q396,countries,0))</f>
        <v>#N/A</v>
      </c>
      <c r="G396" t="e">
        <f>INDEX(atsi_codes,MATCH(loaded!S396,atsi,0))</f>
        <v>#N/A</v>
      </c>
      <c r="H396" t="e">
        <f>INDEX(lang_codes,MATCH(loaded!U396,lang,0))</f>
        <v>#N/A</v>
      </c>
      <c r="I396" s="8">
        <f>loaded!W396</f>
        <v>0</v>
      </c>
      <c r="J396" t="e">
        <f>INDEX(us_acc_codes,MATCH(loaded!Y396,us_acc,0))</f>
        <v>#N/A</v>
      </c>
      <c r="K396" t="e">
        <f>INDEX(client_codes,MATCH(loaded!AA396,client,0))</f>
        <v>#N/A</v>
      </c>
      <c r="L396" t="e">
        <f>INDEX(src_ref_codes,MATCH(loaded!AC396,src_ref,0))</f>
        <v>#N/A</v>
      </c>
      <c r="M396" s="8">
        <f>loaded!AE396</f>
        <v>0</v>
      </c>
      <c r="N396" s="8">
        <f>loaded!AG396</f>
        <v>0</v>
      </c>
      <c r="O396" t="e">
        <f>INDEX(reces_codes,MATCH(loaded!AI396,reason,0))</f>
        <v>#N/A</v>
      </c>
      <c r="P396" t="e">
        <f>INDEX(TDS_codes,MATCH(loaded!AK396,TDS,0))</f>
        <v>#N/A</v>
      </c>
      <c r="Q396" t="e">
        <f>IF(K396=2,"",INDEX(method_codes,MATCH(loaded!AM396,method,0)))</f>
        <v>#N/A</v>
      </c>
      <c r="R396" t="e">
        <f>IF(K396=2,"",INDEX(inj_codes,MATCH(loaded!AO396,inj,0)))</f>
        <v>#N/A</v>
      </c>
      <c r="S396" t="e">
        <f>IF(K396=2,"",INDEX(drug_codes,MATCH(loaded!AQ396,drug,0)))</f>
        <v>#N/A</v>
      </c>
      <c r="T396" t="e">
        <f>IF(K396=2,"",_xlfn.IFNA(INDEX(drug_codes,MATCH(loaded!AS396,drug,0)),""))</f>
        <v>#N/A</v>
      </c>
      <c r="U396" t="e">
        <f>IF(K396=2,"",_xlfn.IFNA(INDEX(drug_codes,MATCH(loaded!AU396,drug,0)),""))</f>
        <v>#N/A</v>
      </c>
      <c r="V396" t="e">
        <f>IF(K396=2,"",_xlfn.IFNA(INDEX(drug_codes,MATCH(loaded!AW396,drug,0)),""))</f>
        <v>#N/A</v>
      </c>
      <c r="W396" t="e">
        <f>IF(K396=2,"",_xlfn.IFNA(INDEX(drug_codes,MATCH(loaded!AY396,drug,0)),""))</f>
        <v>#N/A</v>
      </c>
      <c r="X396" t="e">
        <f>IF(K396=2,"",_xlfn.IFNA(INDEX(drug_codes,MATCH(loaded!BA396,drug,0)),""))</f>
        <v>#N/A</v>
      </c>
      <c r="Y396" t="e">
        <f>INDEX(MTT_codes,MATCH(loaded!BC396,MTT,0))</f>
        <v>#N/A</v>
      </c>
      <c r="Z396" t="str">
        <f>_xlfn.IFNA(INDEX(MTT_codes,MATCH(loaded!BE396,MTT,0)),"")</f>
        <v/>
      </c>
      <c r="AA396" t="str">
        <f>_xlfn.IFNA(INDEX(MTT_codes,MATCH(loaded!BG396,MTT,0)),"")</f>
        <v/>
      </c>
      <c r="AB396" t="str">
        <f>_xlfn.IFNA(INDEX(MTT_codes,MATCH(loaded!BI396,MTT,0)),"")</f>
        <v/>
      </c>
      <c r="AC396" t="str">
        <f>_xlfn.IFNA(INDEX(MTT_codes,MATCH(loaded!BK396,MTT,0)),"")</f>
        <v/>
      </c>
      <c r="AD396" t="str">
        <f>_xlfn.IFNA(INDEX(MTT_codes,MATCH(loaded!BM396,MTT,0)),"")</f>
        <v/>
      </c>
      <c r="AE396" t="e">
        <f>INDEX(liv_ar_codes,MATCH(loaded!BO396,liv_ar,0))</f>
        <v>#N/A</v>
      </c>
      <c r="AF396" t="str">
        <f>_xlfn.IFNA(INDEX(MTT_codes,MATCH(loaded!BQ396,MTT,0)),"")</f>
        <v/>
      </c>
      <c r="AG396">
        <f>_xlfn.IFNA(INDEX(mental_codes,MATCH(loaded!BS396,mental,0)),9)</f>
        <v>9</v>
      </c>
    </row>
    <row r="397" spans="1:33" x14ac:dyDescent="0.25">
      <c r="A397">
        <f>loaded!C397</f>
        <v>0</v>
      </c>
      <c r="B397">
        <f>loaded!I397</f>
        <v>0</v>
      </c>
      <c r="C397">
        <f>IF(loaded!K397="Male",1,IF(loaded!K397="Female",2,9))</f>
        <v>9</v>
      </c>
      <c r="D397" s="8">
        <f>loaded!M397</f>
        <v>0</v>
      </c>
      <c r="E397" t="str">
        <f>LEFT(loaded!O397,3)</f>
        <v/>
      </c>
      <c r="F397" t="e">
        <f>INDEX(cntry_codes,MATCH(loaded!Q397,countries,0))</f>
        <v>#N/A</v>
      </c>
      <c r="G397" t="e">
        <f>INDEX(atsi_codes,MATCH(loaded!S397,atsi,0))</f>
        <v>#N/A</v>
      </c>
      <c r="H397" t="e">
        <f>INDEX(lang_codes,MATCH(loaded!U397,lang,0))</f>
        <v>#N/A</v>
      </c>
      <c r="I397" s="8">
        <f>loaded!W397</f>
        <v>0</v>
      </c>
      <c r="J397" t="e">
        <f>INDEX(us_acc_codes,MATCH(loaded!Y397,us_acc,0))</f>
        <v>#N/A</v>
      </c>
      <c r="K397" t="e">
        <f>INDEX(client_codes,MATCH(loaded!AA397,client,0))</f>
        <v>#N/A</v>
      </c>
      <c r="L397" t="e">
        <f>INDEX(src_ref_codes,MATCH(loaded!AC397,src_ref,0))</f>
        <v>#N/A</v>
      </c>
      <c r="M397" s="8">
        <f>loaded!AE397</f>
        <v>0</v>
      </c>
      <c r="N397" s="8">
        <f>loaded!AG397</f>
        <v>0</v>
      </c>
      <c r="O397" t="e">
        <f>INDEX(reces_codes,MATCH(loaded!AI397,reason,0))</f>
        <v>#N/A</v>
      </c>
      <c r="P397" t="e">
        <f>INDEX(TDS_codes,MATCH(loaded!AK397,TDS,0))</f>
        <v>#N/A</v>
      </c>
      <c r="Q397" t="e">
        <f>IF(K397=2,"",INDEX(method_codes,MATCH(loaded!AM397,method,0)))</f>
        <v>#N/A</v>
      </c>
      <c r="R397" t="e">
        <f>IF(K397=2,"",INDEX(inj_codes,MATCH(loaded!AO397,inj,0)))</f>
        <v>#N/A</v>
      </c>
      <c r="S397" t="e">
        <f>IF(K397=2,"",INDEX(drug_codes,MATCH(loaded!AQ397,drug,0)))</f>
        <v>#N/A</v>
      </c>
      <c r="T397" t="e">
        <f>IF(K397=2,"",_xlfn.IFNA(INDEX(drug_codes,MATCH(loaded!AS397,drug,0)),""))</f>
        <v>#N/A</v>
      </c>
      <c r="U397" t="e">
        <f>IF(K397=2,"",_xlfn.IFNA(INDEX(drug_codes,MATCH(loaded!AU397,drug,0)),""))</f>
        <v>#N/A</v>
      </c>
      <c r="V397" t="e">
        <f>IF(K397=2,"",_xlfn.IFNA(INDEX(drug_codes,MATCH(loaded!AW397,drug,0)),""))</f>
        <v>#N/A</v>
      </c>
      <c r="W397" t="e">
        <f>IF(K397=2,"",_xlfn.IFNA(INDEX(drug_codes,MATCH(loaded!AY397,drug,0)),""))</f>
        <v>#N/A</v>
      </c>
      <c r="X397" t="e">
        <f>IF(K397=2,"",_xlfn.IFNA(INDEX(drug_codes,MATCH(loaded!BA397,drug,0)),""))</f>
        <v>#N/A</v>
      </c>
      <c r="Y397" t="e">
        <f>INDEX(MTT_codes,MATCH(loaded!BC397,MTT,0))</f>
        <v>#N/A</v>
      </c>
      <c r="Z397" t="str">
        <f>_xlfn.IFNA(INDEX(MTT_codes,MATCH(loaded!BE397,MTT,0)),"")</f>
        <v/>
      </c>
      <c r="AA397" t="str">
        <f>_xlfn.IFNA(INDEX(MTT_codes,MATCH(loaded!BG397,MTT,0)),"")</f>
        <v/>
      </c>
      <c r="AB397" t="str">
        <f>_xlfn.IFNA(INDEX(MTT_codes,MATCH(loaded!BI397,MTT,0)),"")</f>
        <v/>
      </c>
      <c r="AC397" t="str">
        <f>_xlfn.IFNA(INDEX(MTT_codes,MATCH(loaded!BK397,MTT,0)),"")</f>
        <v/>
      </c>
      <c r="AD397" t="str">
        <f>_xlfn.IFNA(INDEX(MTT_codes,MATCH(loaded!BM397,MTT,0)),"")</f>
        <v/>
      </c>
      <c r="AE397" t="e">
        <f>INDEX(liv_ar_codes,MATCH(loaded!BO397,liv_ar,0))</f>
        <v>#N/A</v>
      </c>
      <c r="AF397" t="str">
        <f>_xlfn.IFNA(INDEX(MTT_codes,MATCH(loaded!BQ397,MTT,0)),"")</f>
        <v/>
      </c>
      <c r="AG397">
        <f>_xlfn.IFNA(INDEX(mental_codes,MATCH(loaded!BS397,mental,0)),9)</f>
        <v>9</v>
      </c>
    </row>
    <row r="398" spans="1:33" x14ac:dyDescent="0.25">
      <c r="A398">
        <f>loaded!C398</f>
        <v>0</v>
      </c>
      <c r="B398">
        <f>loaded!I398</f>
        <v>0</v>
      </c>
      <c r="C398">
        <f>IF(loaded!K398="Male",1,IF(loaded!K398="Female",2,9))</f>
        <v>9</v>
      </c>
      <c r="D398" s="8">
        <f>loaded!M398</f>
        <v>0</v>
      </c>
      <c r="E398" t="str">
        <f>LEFT(loaded!O398,3)</f>
        <v/>
      </c>
      <c r="F398" t="e">
        <f>INDEX(cntry_codes,MATCH(loaded!Q398,countries,0))</f>
        <v>#N/A</v>
      </c>
      <c r="G398" t="e">
        <f>INDEX(atsi_codes,MATCH(loaded!S398,atsi,0))</f>
        <v>#N/A</v>
      </c>
      <c r="H398" t="e">
        <f>INDEX(lang_codes,MATCH(loaded!U398,lang,0))</f>
        <v>#N/A</v>
      </c>
      <c r="I398" s="8">
        <f>loaded!W398</f>
        <v>0</v>
      </c>
      <c r="J398" t="e">
        <f>INDEX(us_acc_codes,MATCH(loaded!Y398,us_acc,0))</f>
        <v>#N/A</v>
      </c>
      <c r="K398" t="e">
        <f>INDEX(client_codes,MATCH(loaded!AA398,client,0))</f>
        <v>#N/A</v>
      </c>
      <c r="L398" t="e">
        <f>INDEX(src_ref_codes,MATCH(loaded!AC398,src_ref,0))</f>
        <v>#N/A</v>
      </c>
      <c r="M398" s="8">
        <f>loaded!AE398</f>
        <v>0</v>
      </c>
      <c r="N398" s="8">
        <f>loaded!AG398</f>
        <v>0</v>
      </c>
      <c r="O398" t="e">
        <f>INDEX(reces_codes,MATCH(loaded!AI398,reason,0))</f>
        <v>#N/A</v>
      </c>
      <c r="P398" t="e">
        <f>INDEX(TDS_codes,MATCH(loaded!AK398,TDS,0))</f>
        <v>#N/A</v>
      </c>
      <c r="Q398" t="e">
        <f>IF(K398=2,"",INDEX(method_codes,MATCH(loaded!AM398,method,0)))</f>
        <v>#N/A</v>
      </c>
      <c r="R398" t="e">
        <f>IF(K398=2,"",INDEX(inj_codes,MATCH(loaded!AO398,inj,0)))</f>
        <v>#N/A</v>
      </c>
      <c r="S398" t="e">
        <f>IF(K398=2,"",INDEX(drug_codes,MATCH(loaded!AQ398,drug,0)))</f>
        <v>#N/A</v>
      </c>
      <c r="T398" t="e">
        <f>IF(K398=2,"",_xlfn.IFNA(INDEX(drug_codes,MATCH(loaded!AS398,drug,0)),""))</f>
        <v>#N/A</v>
      </c>
      <c r="U398" t="e">
        <f>IF(K398=2,"",_xlfn.IFNA(INDEX(drug_codes,MATCH(loaded!AU398,drug,0)),""))</f>
        <v>#N/A</v>
      </c>
      <c r="V398" t="e">
        <f>IF(K398=2,"",_xlfn.IFNA(INDEX(drug_codes,MATCH(loaded!AW398,drug,0)),""))</f>
        <v>#N/A</v>
      </c>
      <c r="W398" t="e">
        <f>IF(K398=2,"",_xlfn.IFNA(INDEX(drug_codes,MATCH(loaded!AY398,drug,0)),""))</f>
        <v>#N/A</v>
      </c>
      <c r="X398" t="e">
        <f>IF(K398=2,"",_xlfn.IFNA(INDEX(drug_codes,MATCH(loaded!BA398,drug,0)),""))</f>
        <v>#N/A</v>
      </c>
      <c r="Y398" t="e">
        <f>INDEX(MTT_codes,MATCH(loaded!BC398,MTT,0))</f>
        <v>#N/A</v>
      </c>
      <c r="Z398" t="str">
        <f>_xlfn.IFNA(INDEX(MTT_codes,MATCH(loaded!BE398,MTT,0)),"")</f>
        <v/>
      </c>
      <c r="AA398" t="str">
        <f>_xlfn.IFNA(INDEX(MTT_codes,MATCH(loaded!BG398,MTT,0)),"")</f>
        <v/>
      </c>
      <c r="AB398" t="str">
        <f>_xlfn.IFNA(INDEX(MTT_codes,MATCH(loaded!BI398,MTT,0)),"")</f>
        <v/>
      </c>
      <c r="AC398" t="str">
        <f>_xlfn.IFNA(INDEX(MTT_codes,MATCH(loaded!BK398,MTT,0)),"")</f>
        <v/>
      </c>
      <c r="AD398" t="str">
        <f>_xlfn.IFNA(INDEX(MTT_codes,MATCH(loaded!BM398,MTT,0)),"")</f>
        <v/>
      </c>
      <c r="AE398" t="e">
        <f>INDEX(liv_ar_codes,MATCH(loaded!BO398,liv_ar,0))</f>
        <v>#N/A</v>
      </c>
      <c r="AF398" t="str">
        <f>_xlfn.IFNA(INDEX(MTT_codes,MATCH(loaded!BQ398,MTT,0)),"")</f>
        <v/>
      </c>
      <c r="AG398">
        <f>_xlfn.IFNA(INDEX(mental_codes,MATCH(loaded!BS398,mental,0)),9)</f>
        <v>9</v>
      </c>
    </row>
    <row r="399" spans="1:33" x14ac:dyDescent="0.25">
      <c r="A399">
        <f>loaded!C399</f>
        <v>0</v>
      </c>
      <c r="B399">
        <f>loaded!I399</f>
        <v>0</v>
      </c>
      <c r="C399">
        <f>IF(loaded!K399="Male",1,IF(loaded!K399="Female",2,9))</f>
        <v>9</v>
      </c>
      <c r="D399" s="8">
        <f>loaded!M399</f>
        <v>0</v>
      </c>
      <c r="E399" t="str">
        <f>LEFT(loaded!O399,3)</f>
        <v/>
      </c>
      <c r="F399" t="e">
        <f>INDEX(cntry_codes,MATCH(loaded!Q399,countries,0))</f>
        <v>#N/A</v>
      </c>
      <c r="G399" t="e">
        <f>INDEX(atsi_codes,MATCH(loaded!S399,atsi,0))</f>
        <v>#N/A</v>
      </c>
      <c r="H399" t="e">
        <f>INDEX(lang_codes,MATCH(loaded!U399,lang,0))</f>
        <v>#N/A</v>
      </c>
      <c r="I399" s="8">
        <f>loaded!W399</f>
        <v>0</v>
      </c>
      <c r="J399" t="e">
        <f>INDEX(us_acc_codes,MATCH(loaded!Y399,us_acc,0))</f>
        <v>#N/A</v>
      </c>
      <c r="K399" t="e">
        <f>INDEX(client_codes,MATCH(loaded!AA399,client,0))</f>
        <v>#N/A</v>
      </c>
      <c r="L399" t="e">
        <f>INDEX(src_ref_codes,MATCH(loaded!AC399,src_ref,0))</f>
        <v>#N/A</v>
      </c>
      <c r="M399" s="8">
        <f>loaded!AE399</f>
        <v>0</v>
      </c>
      <c r="N399" s="8">
        <f>loaded!AG399</f>
        <v>0</v>
      </c>
      <c r="O399" t="e">
        <f>INDEX(reces_codes,MATCH(loaded!AI399,reason,0))</f>
        <v>#N/A</v>
      </c>
      <c r="P399" t="e">
        <f>INDEX(TDS_codes,MATCH(loaded!AK399,TDS,0))</f>
        <v>#N/A</v>
      </c>
      <c r="Q399" t="e">
        <f>IF(K399=2,"",INDEX(method_codes,MATCH(loaded!AM399,method,0)))</f>
        <v>#N/A</v>
      </c>
      <c r="R399" t="e">
        <f>IF(K399=2,"",INDEX(inj_codes,MATCH(loaded!AO399,inj,0)))</f>
        <v>#N/A</v>
      </c>
      <c r="S399" t="e">
        <f>IF(K399=2,"",INDEX(drug_codes,MATCH(loaded!AQ399,drug,0)))</f>
        <v>#N/A</v>
      </c>
      <c r="T399" t="e">
        <f>IF(K399=2,"",_xlfn.IFNA(INDEX(drug_codes,MATCH(loaded!AS399,drug,0)),""))</f>
        <v>#N/A</v>
      </c>
      <c r="U399" t="e">
        <f>IF(K399=2,"",_xlfn.IFNA(INDEX(drug_codes,MATCH(loaded!AU399,drug,0)),""))</f>
        <v>#N/A</v>
      </c>
      <c r="V399" t="e">
        <f>IF(K399=2,"",_xlfn.IFNA(INDEX(drug_codes,MATCH(loaded!AW399,drug,0)),""))</f>
        <v>#N/A</v>
      </c>
      <c r="W399" t="e">
        <f>IF(K399=2,"",_xlfn.IFNA(INDEX(drug_codes,MATCH(loaded!AY399,drug,0)),""))</f>
        <v>#N/A</v>
      </c>
      <c r="X399" t="e">
        <f>IF(K399=2,"",_xlfn.IFNA(INDEX(drug_codes,MATCH(loaded!BA399,drug,0)),""))</f>
        <v>#N/A</v>
      </c>
      <c r="Y399" t="e">
        <f>INDEX(MTT_codes,MATCH(loaded!BC399,MTT,0))</f>
        <v>#N/A</v>
      </c>
      <c r="Z399" t="str">
        <f>_xlfn.IFNA(INDEX(MTT_codes,MATCH(loaded!BE399,MTT,0)),"")</f>
        <v/>
      </c>
      <c r="AA399" t="str">
        <f>_xlfn.IFNA(INDEX(MTT_codes,MATCH(loaded!BG399,MTT,0)),"")</f>
        <v/>
      </c>
      <c r="AB399" t="str">
        <f>_xlfn.IFNA(INDEX(MTT_codes,MATCH(loaded!BI399,MTT,0)),"")</f>
        <v/>
      </c>
      <c r="AC399" t="str">
        <f>_xlfn.IFNA(INDEX(MTT_codes,MATCH(loaded!BK399,MTT,0)),"")</f>
        <v/>
      </c>
      <c r="AD399" t="str">
        <f>_xlfn.IFNA(INDEX(MTT_codes,MATCH(loaded!BM399,MTT,0)),"")</f>
        <v/>
      </c>
      <c r="AE399" t="e">
        <f>INDEX(liv_ar_codes,MATCH(loaded!BO399,liv_ar,0))</f>
        <v>#N/A</v>
      </c>
      <c r="AF399" t="str">
        <f>_xlfn.IFNA(INDEX(MTT_codes,MATCH(loaded!BQ399,MTT,0)),"")</f>
        <v/>
      </c>
      <c r="AG399">
        <f>_xlfn.IFNA(INDEX(mental_codes,MATCH(loaded!BS399,mental,0)),9)</f>
        <v>9</v>
      </c>
    </row>
    <row r="400" spans="1:33" x14ac:dyDescent="0.25">
      <c r="A400">
        <f>loaded!C400</f>
        <v>0</v>
      </c>
      <c r="B400">
        <f>loaded!I400</f>
        <v>0</v>
      </c>
      <c r="C400">
        <f>IF(loaded!K400="Male",1,IF(loaded!K400="Female",2,9))</f>
        <v>9</v>
      </c>
      <c r="D400" s="8">
        <f>loaded!M400</f>
        <v>0</v>
      </c>
      <c r="E400" t="str">
        <f>LEFT(loaded!O400,3)</f>
        <v/>
      </c>
      <c r="F400" t="e">
        <f>INDEX(cntry_codes,MATCH(loaded!Q400,countries,0))</f>
        <v>#N/A</v>
      </c>
      <c r="G400" t="e">
        <f>INDEX(atsi_codes,MATCH(loaded!S400,atsi,0))</f>
        <v>#N/A</v>
      </c>
      <c r="H400" t="e">
        <f>INDEX(lang_codes,MATCH(loaded!U400,lang,0))</f>
        <v>#N/A</v>
      </c>
      <c r="I400" s="8">
        <f>loaded!W400</f>
        <v>0</v>
      </c>
      <c r="J400" t="e">
        <f>INDEX(us_acc_codes,MATCH(loaded!Y400,us_acc,0))</f>
        <v>#N/A</v>
      </c>
      <c r="K400" t="e">
        <f>INDEX(client_codes,MATCH(loaded!AA400,client,0))</f>
        <v>#N/A</v>
      </c>
      <c r="L400" t="e">
        <f>INDEX(src_ref_codes,MATCH(loaded!AC400,src_ref,0))</f>
        <v>#N/A</v>
      </c>
      <c r="M400" s="8">
        <f>loaded!AE400</f>
        <v>0</v>
      </c>
      <c r="N400" s="8">
        <f>loaded!AG400</f>
        <v>0</v>
      </c>
      <c r="O400" t="e">
        <f>INDEX(reces_codes,MATCH(loaded!AI400,reason,0))</f>
        <v>#N/A</v>
      </c>
      <c r="P400" t="e">
        <f>INDEX(TDS_codes,MATCH(loaded!AK400,TDS,0))</f>
        <v>#N/A</v>
      </c>
      <c r="Q400" t="e">
        <f>IF(K400=2,"",INDEX(method_codes,MATCH(loaded!AM400,method,0)))</f>
        <v>#N/A</v>
      </c>
      <c r="R400" t="e">
        <f>IF(K400=2,"",INDEX(inj_codes,MATCH(loaded!AO400,inj,0)))</f>
        <v>#N/A</v>
      </c>
      <c r="S400" t="e">
        <f>IF(K400=2,"",INDEX(drug_codes,MATCH(loaded!AQ400,drug,0)))</f>
        <v>#N/A</v>
      </c>
      <c r="T400" t="e">
        <f>IF(K400=2,"",_xlfn.IFNA(INDEX(drug_codes,MATCH(loaded!AS400,drug,0)),""))</f>
        <v>#N/A</v>
      </c>
      <c r="U400" t="e">
        <f>IF(K400=2,"",_xlfn.IFNA(INDEX(drug_codes,MATCH(loaded!AU400,drug,0)),""))</f>
        <v>#N/A</v>
      </c>
      <c r="V400" t="e">
        <f>IF(K400=2,"",_xlfn.IFNA(INDEX(drug_codes,MATCH(loaded!AW400,drug,0)),""))</f>
        <v>#N/A</v>
      </c>
      <c r="W400" t="e">
        <f>IF(K400=2,"",_xlfn.IFNA(INDEX(drug_codes,MATCH(loaded!AY400,drug,0)),""))</f>
        <v>#N/A</v>
      </c>
      <c r="X400" t="e">
        <f>IF(K400=2,"",_xlfn.IFNA(INDEX(drug_codes,MATCH(loaded!BA400,drug,0)),""))</f>
        <v>#N/A</v>
      </c>
      <c r="Y400" t="e">
        <f>INDEX(MTT_codes,MATCH(loaded!BC400,MTT,0))</f>
        <v>#N/A</v>
      </c>
      <c r="Z400" t="str">
        <f>_xlfn.IFNA(INDEX(MTT_codes,MATCH(loaded!BE400,MTT,0)),"")</f>
        <v/>
      </c>
      <c r="AA400" t="str">
        <f>_xlfn.IFNA(INDEX(MTT_codes,MATCH(loaded!BG400,MTT,0)),"")</f>
        <v/>
      </c>
      <c r="AB400" t="str">
        <f>_xlfn.IFNA(INDEX(MTT_codes,MATCH(loaded!BI400,MTT,0)),"")</f>
        <v/>
      </c>
      <c r="AC400" t="str">
        <f>_xlfn.IFNA(INDEX(MTT_codes,MATCH(loaded!BK400,MTT,0)),"")</f>
        <v/>
      </c>
      <c r="AD400" t="str">
        <f>_xlfn.IFNA(INDEX(MTT_codes,MATCH(loaded!BM400,MTT,0)),"")</f>
        <v/>
      </c>
      <c r="AE400" t="e">
        <f>INDEX(liv_ar_codes,MATCH(loaded!BO400,liv_ar,0))</f>
        <v>#N/A</v>
      </c>
      <c r="AF400" t="str">
        <f>_xlfn.IFNA(INDEX(MTT_codes,MATCH(loaded!BQ400,MTT,0)),"")</f>
        <v/>
      </c>
      <c r="AG400">
        <f>_xlfn.IFNA(INDEX(mental_codes,MATCH(loaded!BS400,mental,0)),9)</f>
        <v>9</v>
      </c>
    </row>
    <row r="401" spans="1:33" x14ac:dyDescent="0.25">
      <c r="A401">
        <f>loaded!C401</f>
        <v>0</v>
      </c>
      <c r="B401">
        <f>loaded!I401</f>
        <v>0</v>
      </c>
      <c r="C401">
        <f>IF(loaded!K401="Male",1,IF(loaded!K401="Female",2,9))</f>
        <v>9</v>
      </c>
      <c r="D401" s="8">
        <f>loaded!M401</f>
        <v>0</v>
      </c>
      <c r="E401" t="str">
        <f>LEFT(loaded!O401,3)</f>
        <v/>
      </c>
      <c r="F401" t="e">
        <f>INDEX(cntry_codes,MATCH(loaded!Q401,countries,0))</f>
        <v>#N/A</v>
      </c>
      <c r="G401" t="e">
        <f>INDEX(atsi_codes,MATCH(loaded!S401,atsi,0))</f>
        <v>#N/A</v>
      </c>
      <c r="H401" t="e">
        <f>INDEX(lang_codes,MATCH(loaded!U401,lang,0))</f>
        <v>#N/A</v>
      </c>
      <c r="I401" s="8">
        <f>loaded!W401</f>
        <v>0</v>
      </c>
      <c r="J401" t="e">
        <f>INDEX(us_acc_codes,MATCH(loaded!Y401,us_acc,0))</f>
        <v>#N/A</v>
      </c>
      <c r="K401" t="e">
        <f>INDEX(client_codes,MATCH(loaded!AA401,client,0))</f>
        <v>#N/A</v>
      </c>
      <c r="L401" t="e">
        <f>INDEX(src_ref_codes,MATCH(loaded!AC401,src_ref,0))</f>
        <v>#N/A</v>
      </c>
      <c r="M401" s="8">
        <f>loaded!AE401</f>
        <v>0</v>
      </c>
      <c r="N401" s="8">
        <f>loaded!AG401</f>
        <v>0</v>
      </c>
      <c r="O401" t="e">
        <f>INDEX(reces_codes,MATCH(loaded!AI401,reason,0))</f>
        <v>#N/A</v>
      </c>
      <c r="P401" t="e">
        <f>INDEX(TDS_codes,MATCH(loaded!AK401,TDS,0))</f>
        <v>#N/A</v>
      </c>
      <c r="Q401" t="e">
        <f>IF(K401=2,"",INDEX(method_codes,MATCH(loaded!AM401,method,0)))</f>
        <v>#N/A</v>
      </c>
      <c r="R401" t="e">
        <f>IF(K401=2,"",INDEX(inj_codes,MATCH(loaded!AO401,inj,0)))</f>
        <v>#N/A</v>
      </c>
      <c r="S401" t="e">
        <f>IF(K401=2,"",INDEX(drug_codes,MATCH(loaded!AQ401,drug,0)))</f>
        <v>#N/A</v>
      </c>
      <c r="T401" t="e">
        <f>IF(K401=2,"",_xlfn.IFNA(INDEX(drug_codes,MATCH(loaded!AS401,drug,0)),""))</f>
        <v>#N/A</v>
      </c>
      <c r="U401" t="e">
        <f>IF(K401=2,"",_xlfn.IFNA(INDEX(drug_codes,MATCH(loaded!AU401,drug,0)),""))</f>
        <v>#N/A</v>
      </c>
      <c r="V401" t="e">
        <f>IF(K401=2,"",_xlfn.IFNA(INDEX(drug_codes,MATCH(loaded!AW401,drug,0)),""))</f>
        <v>#N/A</v>
      </c>
      <c r="W401" t="e">
        <f>IF(K401=2,"",_xlfn.IFNA(INDEX(drug_codes,MATCH(loaded!AY401,drug,0)),""))</f>
        <v>#N/A</v>
      </c>
      <c r="X401" t="e">
        <f>IF(K401=2,"",_xlfn.IFNA(INDEX(drug_codes,MATCH(loaded!BA401,drug,0)),""))</f>
        <v>#N/A</v>
      </c>
      <c r="Y401" t="e">
        <f>INDEX(MTT_codes,MATCH(loaded!BC401,MTT,0))</f>
        <v>#N/A</v>
      </c>
      <c r="Z401" t="str">
        <f>_xlfn.IFNA(INDEX(MTT_codes,MATCH(loaded!BE401,MTT,0)),"")</f>
        <v/>
      </c>
      <c r="AA401" t="str">
        <f>_xlfn.IFNA(INDEX(MTT_codes,MATCH(loaded!BG401,MTT,0)),"")</f>
        <v/>
      </c>
      <c r="AB401" t="str">
        <f>_xlfn.IFNA(INDEX(MTT_codes,MATCH(loaded!BI401,MTT,0)),"")</f>
        <v/>
      </c>
      <c r="AC401" t="str">
        <f>_xlfn.IFNA(INDEX(MTT_codes,MATCH(loaded!BK401,MTT,0)),"")</f>
        <v/>
      </c>
      <c r="AD401" t="str">
        <f>_xlfn.IFNA(INDEX(MTT_codes,MATCH(loaded!BM401,MTT,0)),"")</f>
        <v/>
      </c>
      <c r="AE401" t="e">
        <f>INDEX(liv_ar_codes,MATCH(loaded!BO401,liv_ar,0))</f>
        <v>#N/A</v>
      </c>
      <c r="AF401" t="str">
        <f>_xlfn.IFNA(INDEX(MTT_codes,MATCH(loaded!BQ401,MTT,0)),"")</f>
        <v/>
      </c>
      <c r="AG401">
        <f>_xlfn.IFNA(INDEX(mental_codes,MATCH(loaded!BS401,mental,0)),9)</f>
        <v>9</v>
      </c>
    </row>
    <row r="402" spans="1:33" x14ac:dyDescent="0.25">
      <c r="A402">
        <f>loaded!C402</f>
        <v>0</v>
      </c>
      <c r="B402">
        <f>loaded!I402</f>
        <v>0</v>
      </c>
      <c r="C402">
        <f>IF(loaded!K402="Male",1,IF(loaded!K402="Female",2,9))</f>
        <v>9</v>
      </c>
      <c r="D402" s="8">
        <f>loaded!M402</f>
        <v>0</v>
      </c>
      <c r="E402" t="str">
        <f>LEFT(loaded!O402,3)</f>
        <v/>
      </c>
      <c r="F402" t="e">
        <f>INDEX(cntry_codes,MATCH(loaded!Q402,countries,0))</f>
        <v>#N/A</v>
      </c>
      <c r="G402" t="e">
        <f>INDEX(atsi_codes,MATCH(loaded!S402,atsi,0))</f>
        <v>#N/A</v>
      </c>
      <c r="H402" t="e">
        <f>INDEX(lang_codes,MATCH(loaded!U402,lang,0))</f>
        <v>#N/A</v>
      </c>
      <c r="I402" s="8">
        <f>loaded!W402</f>
        <v>0</v>
      </c>
      <c r="J402" t="e">
        <f>INDEX(us_acc_codes,MATCH(loaded!Y402,us_acc,0))</f>
        <v>#N/A</v>
      </c>
      <c r="K402" t="e">
        <f>INDEX(client_codes,MATCH(loaded!AA402,client,0))</f>
        <v>#N/A</v>
      </c>
      <c r="L402" t="e">
        <f>INDEX(src_ref_codes,MATCH(loaded!AC402,src_ref,0))</f>
        <v>#N/A</v>
      </c>
      <c r="M402" s="8">
        <f>loaded!AE402</f>
        <v>0</v>
      </c>
      <c r="N402" s="8">
        <f>loaded!AG402</f>
        <v>0</v>
      </c>
      <c r="O402" t="e">
        <f>INDEX(reces_codes,MATCH(loaded!AI402,reason,0))</f>
        <v>#N/A</v>
      </c>
      <c r="P402" t="e">
        <f>INDEX(TDS_codes,MATCH(loaded!AK402,TDS,0))</f>
        <v>#N/A</v>
      </c>
      <c r="Q402" t="e">
        <f>IF(K402=2,"",INDEX(method_codes,MATCH(loaded!AM402,method,0)))</f>
        <v>#N/A</v>
      </c>
      <c r="R402" t="e">
        <f>IF(K402=2,"",INDEX(inj_codes,MATCH(loaded!AO402,inj,0)))</f>
        <v>#N/A</v>
      </c>
      <c r="S402" t="e">
        <f>IF(K402=2,"",INDEX(drug_codes,MATCH(loaded!AQ402,drug,0)))</f>
        <v>#N/A</v>
      </c>
      <c r="T402" t="e">
        <f>IF(K402=2,"",_xlfn.IFNA(INDEX(drug_codes,MATCH(loaded!AS402,drug,0)),""))</f>
        <v>#N/A</v>
      </c>
      <c r="U402" t="e">
        <f>IF(K402=2,"",_xlfn.IFNA(INDEX(drug_codes,MATCH(loaded!AU402,drug,0)),""))</f>
        <v>#N/A</v>
      </c>
      <c r="V402" t="e">
        <f>IF(K402=2,"",_xlfn.IFNA(INDEX(drug_codes,MATCH(loaded!AW402,drug,0)),""))</f>
        <v>#N/A</v>
      </c>
      <c r="W402" t="e">
        <f>IF(K402=2,"",_xlfn.IFNA(INDEX(drug_codes,MATCH(loaded!AY402,drug,0)),""))</f>
        <v>#N/A</v>
      </c>
      <c r="X402" t="e">
        <f>IF(K402=2,"",_xlfn.IFNA(INDEX(drug_codes,MATCH(loaded!BA402,drug,0)),""))</f>
        <v>#N/A</v>
      </c>
      <c r="Y402" t="e">
        <f>INDEX(MTT_codes,MATCH(loaded!BC402,MTT,0))</f>
        <v>#N/A</v>
      </c>
      <c r="Z402" t="str">
        <f>_xlfn.IFNA(INDEX(MTT_codes,MATCH(loaded!BE402,MTT,0)),"")</f>
        <v/>
      </c>
      <c r="AA402" t="str">
        <f>_xlfn.IFNA(INDEX(MTT_codes,MATCH(loaded!BG402,MTT,0)),"")</f>
        <v/>
      </c>
      <c r="AB402" t="str">
        <f>_xlfn.IFNA(INDEX(MTT_codes,MATCH(loaded!BI402,MTT,0)),"")</f>
        <v/>
      </c>
      <c r="AC402" t="str">
        <f>_xlfn.IFNA(INDEX(MTT_codes,MATCH(loaded!BK402,MTT,0)),"")</f>
        <v/>
      </c>
      <c r="AD402" t="str">
        <f>_xlfn.IFNA(INDEX(MTT_codes,MATCH(loaded!BM402,MTT,0)),"")</f>
        <v/>
      </c>
      <c r="AE402" t="e">
        <f>INDEX(liv_ar_codes,MATCH(loaded!BO402,liv_ar,0))</f>
        <v>#N/A</v>
      </c>
      <c r="AF402" t="str">
        <f>_xlfn.IFNA(INDEX(MTT_codes,MATCH(loaded!BQ402,MTT,0)),"")</f>
        <v/>
      </c>
      <c r="AG402">
        <f>_xlfn.IFNA(INDEX(mental_codes,MATCH(loaded!BS402,mental,0)),9)</f>
        <v>9</v>
      </c>
    </row>
    <row r="403" spans="1:33" x14ac:dyDescent="0.25">
      <c r="A403">
        <f>loaded!C403</f>
        <v>0</v>
      </c>
      <c r="B403">
        <f>loaded!I403</f>
        <v>0</v>
      </c>
      <c r="C403">
        <f>IF(loaded!K403="Male",1,IF(loaded!K403="Female",2,9))</f>
        <v>9</v>
      </c>
      <c r="D403" s="8">
        <f>loaded!M403</f>
        <v>0</v>
      </c>
      <c r="E403" t="str">
        <f>LEFT(loaded!O403,3)</f>
        <v/>
      </c>
      <c r="F403" t="e">
        <f>INDEX(cntry_codes,MATCH(loaded!Q403,countries,0))</f>
        <v>#N/A</v>
      </c>
      <c r="G403" t="e">
        <f>INDEX(atsi_codes,MATCH(loaded!S403,atsi,0))</f>
        <v>#N/A</v>
      </c>
      <c r="H403" t="e">
        <f>INDEX(lang_codes,MATCH(loaded!U403,lang,0))</f>
        <v>#N/A</v>
      </c>
      <c r="I403" s="8">
        <f>loaded!W403</f>
        <v>0</v>
      </c>
      <c r="J403" t="e">
        <f>INDEX(us_acc_codes,MATCH(loaded!Y403,us_acc,0))</f>
        <v>#N/A</v>
      </c>
      <c r="K403" t="e">
        <f>INDEX(client_codes,MATCH(loaded!AA403,client,0))</f>
        <v>#N/A</v>
      </c>
      <c r="L403" t="e">
        <f>INDEX(src_ref_codes,MATCH(loaded!AC403,src_ref,0))</f>
        <v>#N/A</v>
      </c>
      <c r="M403" s="8">
        <f>loaded!AE403</f>
        <v>0</v>
      </c>
      <c r="N403" s="8">
        <f>loaded!AG403</f>
        <v>0</v>
      </c>
      <c r="O403" t="e">
        <f>INDEX(reces_codes,MATCH(loaded!AI403,reason,0))</f>
        <v>#N/A</v>
      </c>
      <c r="P403" t="e">
        <f>INDEX(TDS_codes,MATCH(loaded!AK403,TDS,0))</f>
        <v>#N/A</v>
      </c>
      <c r="Q403" t="e">
        <f>IF(K403=2,"",INDEX(method_codes,MATCH(loaded!AM403,method,0)))</f>
        <v>#N/A</v>
      </c>
      <c r="R403" t="e">
        <f>IF(K403=2,"",INDEX(inj_codes,MATCH(loaded!AO403,inj,0)))</f>
        <v>#N/A</v>
      </c>
      <c r="S403" t="e">
        <f>IF(K403=2,"",INDEX(drug_codes,MATCH(loaded!AQ403,drug,0)))</f>
        <v>#N/A</v>
      </c>
      <c r="T403" t="e">
        <f>IF(K403=2,"",_xlfn.IFNA(INDEX(drug_codes,MATCH(loaded!AS403,drug,0)),""))</f>
        <v>#N/A</v>
      </c>
      <c r="U403" t="e">
        <f>IF(K403=2,"",_xlfn.IFNA(INDEX(drug_codes,MATCH(loaded!AU403,drug,0)),""))</f>
        <v>#N/A</v>
      </c>
      <c r="V403" t="e">
        <f>IF(K403=2,"",_xlfn.IFNA(INDEX(drug_codes,MATCH(loaded!AW403,drug,0)),""))</f>
        <v>#N/A</v>
      </c>
      <c r="W403" t="e">
        <f>IF(K403=2,"",_xlfn.IFNA(INDEX(drug_codes,MATCH(loaded!AY403,drug,0)),""))</f>
        <v>#N/A</v>
      </c>
      <c r="X403" t="e">
        <f>IF(K403=2,"",_xlfn.IFNA(INDEX(drug_codes,MATCH(loaded!BA403,drug,0)),""))</f>
        <v>#N/A</v>
      </c>
      <c r="Y403" t="e">
        <f>INDEX(MTT_codes,MATCH(loaded!BC403,MTT,0))</f>
        <v>#N/A</v>
      </c>
      <c r="Z403" t="str">
        <f>_xlfn.IFNA(INDEX(MTT_codes,MATCH(loaded!BE403,MTT,0)),"")</f>
        <v/>
      </c>
      <c r="AA403" t="str">
        <f>_xlfn.IFNA(INDEX(MTT_codes,MATCH(loaded!BG403,MTT,0)),"")</f>
        <v/>
      </c>
      <c r="AB403" t="str">
        <f>_xlfn.IFNA(INDEX(MTT_codes,MATCH(loaded!BI403,MTT,0)),"")</f>
        <v/>
      </c>
      <c r="AC403" t="str">
        <f>_xlfn.IFNA(INDEX(MTT_codes,MATCH(loaded!BK403,MTT,0)),"")</f>
        <v/>
      </c>
      <c r="AD403" t="str">
        <f>_xlfn.IFNA(INDEX(MTT_codes,MATCH(loaded!BM403,MTT,0)),"")</f>
        <v/>
      </c>
      <c r="AE403" t="e">
        <f>INDEX(liv_ar_codes,MATCH(loaded!BO403,liv_ar,0))</f>
        <v>#N/A</v>
      </c>
      <c r="AF403" t="str">
        <f>_xlfn.IFNA(INDEX(MTT_codes,MATCH(loaded!BQ403,MTT,0)),"")</f>
        <v/>
      </c>
      <c r="AG403">
        <f>_xlfn.IFNA(INDEX(mental_codes,MATCH(loaded!BS403,mental,0)),9)</f>
        <v>9</v>
      </c>
    </row>
    <row r="404" spans="1:33" x14ac:dyDescent="0.25">
      <c r="A404">
        <f>loaded!C404</f>
        <v>0</v>
      </c>
      <c r="B404">
        <f>loaded!I404</f>
        <v>0</v>
      </c>
      <c r="C404">
        <f>IF(loaded!K404="Male",1,IF(loaded!K404="Female",2,9))</f>
        <v>9</v>
      </c>
      <c r="D404" s="8">
        <f>loaded!M404</f>
        <v>0</v>
      </c>
      <c r="E404" t="str">
        <f>LEFT(loaded!O404,3)</f>
        <v/>
      </c>
      <c r="F404" t="e">
        <f>INDEX(cntry_codes,MATCH(loaded!Q404,countries,0))</f>
        <v>#N/A</v>
      </c>
      <c r="G404" t="e">
        <f>INDEX(atsi_codes,MATCH(loaded!S404,atsi,0))</f>
        <v>#N/A</v>
      </c>
      <c r="H404" t="e">
        <f>INDEX(lang_codes,MATCH(loaded!U404,lang,0))</f>
        <v>#N/A</v>
      </c>
      <c r="I404" s="8">
        <f>loaded!W404</f>
        <v>0</v>
      </c>
      <c r="J404" t="e">
        <f>INDEX(us_acc_codes,MATCH(loaded!Y404,us_acc,0))</f>
        <v>#N/A</v>
      </c>
      <c r="K404" t="e">
        <f>INDEX(client_codes,MATCH(loaded!AA404,client,0))</f>
        <v>#N/A</v>
      </c>
      <c r="L404" t="e">
        <f>INDEX(src_ref_codes,MATCH(loaded!AC404,src_ref,0))</f>
        <v>#N/A</v>
      </c>
      <c r="M404" s="8">
        <f>loaded!AE404</f>
        <v>0</v>
      </c>
      <c r="N404" s="8">
        <f>loaded!AG404</f>
        <v>0</v>
      </c>
      <c r="O404" t="e">
        <f>INDEX(reces_codes,MATCH(loaded!AI404,reason,0))</f>
        <v>#N/A</v>
      </c>
      <c r="P404" t="e">
        <f>INDEX(TDS_codes,MATCH(loaded!AK404,TDS,0))</f>
        <v>#N/A</v>
      </c>
      <c r="Q404" t="e">
        <f>IF(K404=2,"",INDEX(method_codes,MATCH(loaded!AM404,method,0)))</f>
        <v>#N/A</v>
      </c>
      <c r="R404" t="e">
        <f>IF(K404=2,"",INDEX(inj_codes,MATCH(loaded!AO404,inj,0)))</f>
        <v>#N/A</v>
      </c>
      <c r="S404" t="e">
        <f>IF(K404=2,"",INDEX(drug_codes,MATCH(loaded!AQ404,drug,0)))</f>
        <v>#N/A</v>
      </c>
      <c r="T404" t="e">
        <f>IF(K404=2,"",_xlfn.IFNA(INDEX(drug_codes,MATCH(loaded!AS404,drug,0)),""))</f>
        <v>#N/A</v>
      </c>
      <c r="U404" t="e">
        <f>IF(K404=2,"",_xlfn.IFNA(INDEX(drug_codes,MATCH(loaded!AU404,drug,0)),""))</f>
        <v>#N/A</v>
      </c>
      <c r="V404" t="e">
        <f>IF(K404=2,"",_xlfn.IFNA(INDEX(drug_codes,MATCH(loaded!AW404,drug,0)),""))</f>
        <v>#N/A</v>
      </c>
      <c r="W404" t="e">
        <f>IF(K404=2,"",_xlfn.IFNA(INDEX(drug_codes,MATCH(loaded!AY404,drug,0)),""))</f>
        <v>#N/A</v>
      </c>
      <c r="X404" t="e">
        <f>IF(K404=2,"",_xlfn.IFNA(INDEX(drug_codes,MATCH(loaded!BA404,drug,0)),""))</f>
        <v>#N/A</v>
      </c>
      <c r="Y404" t="e">
        <f>INDEX(MTT_codes,MATCH(loaded!BC404,MTT,0))</f>
        <v>#N/A</v>
      </c>
      <c r="Z404" t="str">
        <f>_xlfn.IFNA(INDEX(MTT_codes,MATCH(loaded!BE404,MTT,0)),"")</f>
        <v/>
      </c>
      <c r="AA404" t="str">
        <f>_xlfn.IFNA(INDEX(MTT_codes,MATCH(loaded!BG404,MTT,0)),"")</f>
        <v/>
      </c>
      <c r="AB404" t="str">
        <f>_xlfn.IFNA(INDEX(MTT_codes,MATCH(loaded!BI404,MTT,0)),"")</f>
        <v/>
      </c>
      <c r="AC404" t="str">
        <f>_xlfn.IFNA(INDEX(MTT_codes,MATCH(loaded!BK404,MTT,0)),"")</f>
        <v/>
      </c>
      <c r="AD404" t="str">
        <f>_xlfn.IFNA(INDEX(MTT_codes,MATCH(loaded!BM404,MTT,0)),"")</f>
        <v/>
      </c>
      <c r="AE404" t="e">
        <f>INDEX(liv_ar_codes,MATCH(loaded!BO404,liv_ar,0))</f>
        <v>#N/A</v>
      </c>
      <c r="AF404" t="str">
        <f>_xlfn.IFNA(INDEX(MTT_codes,MATCH(loaded!BQ404,MTT,0)),"")</f>
        <v/>
      </c>
      <c r="AG404">
        <f>_xlfn.IFNA(INDEX(mental_codes,MATCH(loaded!BS404,mental,0)),9)</f>
        <v>9</v>
      </c>
    </row>
    <row r="405" spans="1:33" x14ac:dyDescent="0.25">
      <c r="A405">
        <f>loaded!C405</f>
        <v>0</v>
      </c>
      <c r="B405">
        <f>loaded!I405</f>
        <v>0</v>
      </c>
      <c r="C405">
        <f>IF(loaded!K405="Male",1,IF(loaded!K405="Female",2,9))</f>
        <v>9</v>
      </c>
      <c r="D405" s="8">
        <f>loaded!M405</f>
        <v>0</v>
      </c>
      <c r="E405" t="str">
        <f>LEFT(loaded!O405,3)</f>
        <v/>
      </c>
      <c r="F405" t="e">
        <f>INDEX(cntry_codes,MATCH(loaded!Q405,countries,0))</f>
        <v>#N/A</v>
      </c>
      <c r="G405" t="e">
        <f>INDEX(atsi_codes,MATCH(loaded!S405,atsi,0))</f>
        <v>#N/A</v>
      </c>
      <c r="H405" t="e">
        <f>INDEX(lang_codes,MATCH(loaded!U405,lang,0))</f>
        <v>#N/A</v>
      </c>
      <c r="I405" s="8">
        <f>loaded!W405</f>
        <v>0</v>
      </c>
      <c r="J405" t="e">
        <f>INDEX(us_acc_codes,MATCH(loaded!Y405,us_acc,0))</f>
        <v>#N/A</v>
      </c>
      <c r="K405" t="e">
        <f>INDEX(client_codes,MATCH(loaded!AA405,client,0))</f>
        <v>#N/A</v>
      </c>
      <c r="L405" t="e">
        <f>INDEX(src_ref_codes,MATCH(loaded!AC405,src_ref,0))</f>
        <v>#N/A</v>
      </c>
      <c r="M405" s="8">
        <f>loaded!AE405</f>
        <v>0</v>
      </c>
      <c r="N405" s="8">
        <f>loaded!AG405</f>
        <v>0</v>
      </c>
      <c r="O405" t="e">
        <f>INDEX(reces_codes,MATCH(loaded!AI405,reason,0))</f>
        <v>#N/A</v>
      </c>
      <c r="P405" t="e">
        <f>INDEX(TDS_codes,MATCH(loaded!AK405,TDS,0))</f>
        <v>#N/A</v>
      </c>
      <c r="Q405" t="e">
        <f>IF(K405=2,"",INDEX(method_codes,MATCH(loaded!AM405,method,0)))</f>
        <v>#N/A</v>
      </c>
      <c r="R405" t="e">
        <f>IF(K405=2,"",INDEX(inj_codes,MATCH(loaded!AO405,inj,0)))</f>
        <v>#N/A</v>
      </c>
      <c r="S405" t="e">
        <f>IF(K405=2,"",INDEX(drug_codes,MATCH(loaded!AQ405,drug,0)))</f>
        <v>#N/A</v>
      </c>
      <c r="T405" t="e">
        <f>IF(K405=2,"",_xlfn.IFNA(INDEX(drug_codes,MATCH(loaded!AS405,drug,0)),""))</f>
        <v>#N/A</v>
      </c>
      <c r="U405" t="e">
        <f>IF(K405=2,"",_xlfn.IFNA(INDEX(drug_codes,MATCH(loaded!AU405,drug,0)),""))</f>
        <v>#N/A</v>
      </c>
      <c r="V405" t="e">
        <f>IF(K405=2,"",_xlfn.IFNA(INDEX(drug_codes,MATCH(loaded!AW405,drug,0)),""))</f>
        <v>#N/A</v>
      </c>
      <c r="W405" t="e">
        <f>IF(K405=2,"",_xlfn.IFNA(INDEX(drug_codes,MATCH(loaded!AY405,drug,0)),""))</f>
        <v>#N/A</v>
      </c>
      <c r="X405" t="e">
        <f>IF(K405=2,"",_xlfn.IFNA(INDEX(drug_codes,MATCH(loaded!BA405,drug,0)),""))</f>
        <v>#N/A</v>
      </c>
      <c r="Y405" t="e">
        <f>INDEX(MTT_codes,MATCH(loaded!BC405,MTT,0))</f>
        <v>#N/A</v>
      </c>
      <c r="Z405" t="str">
        <f>_xlfn.IFNA(INDEX(MTT_codes,MATCH(loaded!BE405,MTT,0)),"")</f>
        <v/>
      </c>
      <c r="AA405" t="str">
        <f>_xlfn.IFNA(INDEX(MTT_codes,MATCH(loaded!BG405,MTT,0)),"")</f>
        <v/>
      </c>
      <c r="AB405" t="str">
        <f>_xlfn.IFNA(INDEX(MTT_codes,MATCH(loaded!BI405,MTT,0)),"")</f>
        <v/>
      </c>
      <c r="AC405" t="str">
        <f>_xlfn.IFNA(INDEX(MTT_codes,MATCH(loaded!BK405,MTT,0)),"")</f>
        <v/>
      </c>
      <c r="AD405" t="str">
        <f>_xlfn.IFNA(INDEX(MTT_codes,MATCH(loaded!BM405,MTT,0)),"")</f>
        <v/>
      </c>
      <c r="AE405" t="e">
        <f>INDEX(liv_ar_codes,MATCH(loaded!BO405,liv_ar,0))</f>
        <v>#N/A</v>
      </c>
      <c r="AF405" t="str">
        <f>_xlfn.IFNA(INDEX(MTT_codes,MATCH(loaded!BQ405,MTT,0)),"")</f>
        <v/>
      </c>
      <c r="AG405">
        <f>_xlfn.IFNA(INDEX(mental_codes,MATCH(loaded!BS405,mental,0)),9)</f>
        <v>9</v>
      </c>
    </row>
    <row r="406" spans="1:33" x14ac:dyDescent="0.25">
      <c r="A406">
        <f>loaded!C406</f>
        <v>0</v>
      </c>
      <c r="B406">
        <f>loaded!I406</f>
        <v>0</v>
      </c>
      <c r="C406">
        <f>IF(loaded!K406="Male",1,IF(loaded!K406="Female",2,9))</f>
        <v>9</v>
      </c>
      <c r="D406" s="8">
        <f>loaded!M406</f>
        <v>0</v>
      </c>
      <c r="E406" t="str">
        <f>LEFT(loaded!O406,3)</f>
        <v/>
      </c>
      <c r="F406" t="e">
        <f>INDEX(cntry_codes,MATCH(loaded!Q406,countries,0))</f>
        <v>#N/A</v>
      </c>
      <c r="G406" t="e">
        <f>INDEX(atsi_codes,MATCH(loaded!S406,atsi,0))</f>
        <v>#N/A</v>
      </c>
      <c r="H406" t="e">
        <f>INDEX(lang_codes,MATCH(loaded!U406,lang,0))</f>
        <v>#N/A</v>
      </c>
      <c r="I406" s="8">
        <f>loaded!W406</f>
        <v>0</v>
      </c>
      <c r="J406" t="e">
        <f>INDEX(us_acc_codes,MATCH(loaded!Y406,us_acc,0))</f>
        <v>#N/A</v>
      </c>
      <c r="K406" t="e">
        <f>INDEX(client_codes,MATCH(loaded!AA406,client,0))</f>
        <v>#N/A</v>
      </c>
      <c r="L406" t="e">
        <f>INDEX(src_ref_codes,MATCH(loaded!AC406,src_ref,0))</f>
        <v>#N/A</v>
      </c>
      <c r="M406" s="8">
        <f>loaded!AE406</f>
        <v>0</v>
      </c>
      <c r="N406" s="8">
        <f>loaded!AG406</f>
        <v>0</v>
      </c>
      <c r="O406" t="e">
        <f>INDEX(reces_codes,MATCH(loaded!AI406,reason,0))</f>
        <v>#N/A</v>
      </c>
      <c r="P406" t="e">
        <f>INDEX(TDS_codes,MATCH(loaded!AK406,TDS,0))</f>
        <v>#N/A</v>
      </c>
      <c r="Q406" t="e">
        <f>IF(K406=2,"",INDEX(method_codes,MATCH(loaded!AM406,method,0)))</f>
        <v>#N/A</v>
      </c>
      <c r="R406" t="e">
        <f>IF(K406=2,"",INDEX(inj_codes,MATCH(loaded!AO406,inj,0)))</f>
        <v>#N/A</v>
      </c>
      <c r="S406" t="e">
        <f>IF(K406=2,"",INDEX(drug_codes,MATCH(loaded!AQ406,drug,0)))</f>
        <v>#N/A</v>
      </c>
      <c r="T406" t="e">
        <f>IF(K406=2,"",_xlfn.IFNA(INDEX(drug_codes,MATCH(loaded!AS406,drug,0)),""))</f>
        <v>#N/A</v>
      </c>
      <c r="U406" t="e">
        <f>IF(K406=2,"",_xlfn.IFNA(INDEX(drug_codes,MATCH(loaded!AU406,drug,0)),""))</f>
        <v>#N/A</v>
      </c>
      <c r="V406" t="e">
        <f>IF(K406=2,"",_xlfn.IFNA(INDEX(drug_codes,MATCH(loaded!AW406,drug,0)),""))</f>
        <v>#N/A</v>
      </c>
      <c r="W406" t="e">
        <f>IF(K406=2,"",_xlfn.IFNA(INDEX(drug_codes,MATCH(loaded!AY406,drug,0)),""))</f>
        <v>#N/A</v>
      </c>
      <c r="X406" t="e">
        <f>IF(K406=2,"",_xlfn.IFNA(INDEX(drug_codes,MATCH(loaded!BA406,drug,0)),""))</f>
        <v>#N/A</v>
      </c>
      <c r="Y406" t="e">
        <f>INDEX(MTT_codes,MATCH(loaded!BC406,MTT,0))</f>
        <v>#N/A</v>
      </c>
      <c r="Z406" t="str">
        <f>_xlfn.IFNA(INDEX(MTT_codes,MATCH(loaded!BE406,MTT,0)),"")</f>
        <v/>
      </c>
      <c r="AA406" t="str">
        <f>_xlfn.IFNA(INDEX(MTT_codes,MATCH(loaded!BG406,MTT,0)),"")</f>
        <v/>
      </c>
      <c r="AB406" t="str">
        <f>_xlfn.IFNA(INDEX(MTT_codes,MATCH(loaded!BI406,MTT,0)),"")</f>
        <v/>
      </c>
      <c r="AC406" t="str">
        <f>_xlfn.IFNA(INDEX(MTT_codes,MATCH(loaded!BK406,MTT,0)),"")</f>
        <v/>
      </c>
      <c r="AD406" t="str">
        <f>_xlfn.IFNA(INDEX(MTT_codes,MATCH(loaded!BM406,MTT,0)),"")</f>
        <v/>
      </c>
      <c r="AE406" t="e">
        <f>INDEX(liv_ar_codes,MATCH(loaded!BO406,liv_ar,0))</f>
        <v>#N/A</v>
      </c>
      <c r="AF406" t="str">
        <f>_xlfn.IFNA(INDEX(MTT_codes,MATCH(loaded!BQ406,MTT,0)),"")</f>
        <v/>
      </c>
      <c r="AG406">
        <f>_xlfn.IFNA(INDEX(mental_codes,MATCH(loaded!BS406,mental,0)),9)</f>
        <v>9</v>
      </c>
    </row>
    <row r="407" spans="1:33" x14ac:dyDescent="0.25">
      <c r="A407">
        <f>loaded!C407</f>
        <v>0</v>
      </c>
      <c r="B407">
        <f>loaded!I407</f>
        <v>0</v>
      </c>
      <c r="C407">
        <f>IF(loaded!K407="Male",1,IF(loaded!K407="Female",2,9))</f>
        <v>9</v>
      </c>
      <c r="D407" s="8">
        <f>loaded!M407</f>
        <v>0</v>
      </c>
      <c r="E407" t="str">
        <f>LEFT(loaded!O407,3)</f>
        <v/>
      </c>
      <c r="F407" t="e">
        <f>INDEX(cntry_codes,MATCH(loaded!Q407,countries,0))</f>
        <v>#N/A</v>
      </c>
      <c r="G407" t="e">
        <f>INDEX(atsi_codes,MATCH(loaded!S407,atsi,0))</f>
        <v>#N/A</v>
      </c>
      <c r="H407" t="e">
        <f>INDEX(lang_codes,MATCH(loaded!U407,lang,0))</f>
        <v>#N/A</v>
      </c>
      <c r="I407" s="8">
        <f>loaded!W407</f>
        <v>0</v>
      </c>
      <c r="J407" t="e">
        <f>INDEX(us_acc_codes,MATCH(loaded!Y407,us_acc,0))</f>
        <v>#N/A</v>
      </c>
      <c r="K407" t="e">
        <f>INDEX(client_codes,MATCH(loaded!AA407,client,0))</f>
        <v>#N/A</v>
      </c>
      <c r="L407" t="e">
        <f>INDEX(src_ref_codes,MATCH(loaded!AC407,src_ref,0))</f>
        <v>#N/A</v>
      </c>
      <c r="M407" s="8">
        <f>loaded!AE407</f>
        <v>0</v>
      </c>
      <c r="N407" s="8">
        <f>loaded!AG407</f>
        <v>0</v>
      </c>
      <c r="O407" t="e">
        <f>INDEX(reces_codes,MATCH(loaded!AI407,reason,0))</f>
        <v>#N/A</v>
      </c>
      <c r="P407" t="e">
        <f>INDEX(TDS_codes,MATCH(loaded!AK407,TDS,0))</f>
        <v>#N/A</v>
      </c>
      <c r="Q407" t="e">
        <f>IF(K407=2,"",INDEX(method_codes,MATCH(loaded!AM407,method,0)))</f>
        <v>#N/A</v>
      </c>
      <c r="R407" t="e">
        <f>IF(K407=2,"",INDEX(inj_codes,MATCH(loaded!AO407,inj,0)))</f>
        <v>#N/A</v>
      </c>
      <c r="S407" t="e">
        <f>IF(K407=2,"",INDEX(drug_codes,MATCH(loaded!AQ407,drug,0)))</f>
        <v>#N/A</v>
      </c>
      <c r="T407" t="e">
        <f>IF(K407=2,"",_xlfn.IFNA(INDEX(drug_codes,MATCH(loaded!AS407,drug,0)),""))</f>
        <v>#N/A</v>
      </c>
      <c r="U407" t="e">
        <f>IF(K407=2,"",_xlfn.IFNA(INDEX(drug_codes,MATCH(loaded!AU407,drug,0)),""))</f>
        <v>#N/A</v>
      </c>
      <c r="V407" t="e">
        <f>IF(K407=2,"",_xlfn.IFNA(INDEX(drug_codes,MATCH(loaded!AW407,drug,0)),""))</f>
        <v>#N/A</v>
      </c>
      <c r="W407" t="e">
        <f>IF(K407=2,"",_xlfn.IFNA(INDEX(drug_codes,MATCH(loaded!AY407,drug,0)),""))</f>
        <v>#N/A</v>
      </c>
      <c r="X407" t="e">
        <f>IF(K407=2,"",_xlfn.IFNA(INDEX(drug_codes,MATCH(loaded!BA407,drug,0)),""))</f>
        <v>#N/A</v>
      </c>
      <c r="Y407" t="e">
        <f>INDEX(MTT_codes,MATCH(loaded!BC407,MTT,0))</f>
        <v>#N/A</v>
      </c>
      <c r="Z407" t="str">
        <f>_xlfn.IFNA(INDEX(MTT_codes,MATCH(loaded!BE407,MTT,0)),"")</f>
        <v/>
      </c>
      <c r="AA407" t="str">
        <f>_xlfn.IFNA(INDEX(MTT_codes,MATCH(loaded!BG407,MTT,0)),"")</f>
        <v/>
      </c>
      <c r="AB407" t="str">
        <f>_xlfn.IFNA(INDEX(MTT_codes,MATCH(loaded!BI407,MTT,0)),"")</f>
        <v/>
      </c>
      <c r="AC407" t="str">
        <f>_xlfn.IFNA(INDEX(MTT_codes,MATCH(loaded!BK407,MTT,0)),"")</f>
        <v/>
      </c>
      <c r="AD407" t="str">
        <f>_xlfn.IFNA(INDEX(MTT_codes,MATCH(loaded!BM407,MTT,0)),"")</f>
        <v/>
      </c>
      <c r="AE407" t="e">
        <f>INDEX(liv_ar_codes,MATCH(loaded!BO407,liv_ar,0))</f>
        <v>#N/A</v>
      </c>
      <c r="AF407" t="str">
        <f>_xlfn.IFNA(INDEX(MTT_codes,MATCH(loaded!BQ407,MTT,0)),"")</f>
        <v/>
      </c>
      <c r="AG407">
        <f>_xlfn.IFNA(INDEX(mental_codes,MATCH(loaded!BS407,mental,0)),9)</f>
        <v>9</v>
      </c>
    </row>
    <row r="408" spans="1:33" x14ac:dyDescent="0.25">
      <c r="A408">
        <f>loaded!C408</f>
        <v>0</v>
      </c>
      <c r="B408">
        <f>loaded!I408</f>
        <v>0</v>
      </c>
      <c r="C408">
        <f>IF(loaded!K408="Male",1,IF(loaded!K408="Female",2,9))</f>
        <v>9</v>
      </c>
      <c r="D408" s="8">
        <f>loaded!M408</f>
        <v>0</v>
      </c>
      <c r="E408" t="str">
        <f>LEFT(loaded!O408,3)</f>
        <v/>
      </c>
      <c r="F408" t="e">
        <f>INDEX(cntry_codes,MATCH(loaded!Q408,countries,0))</f>
        <v>#N/A</v>
      </c>
      <c r="G408" t="e">
        <f>INDEX(atsi_codes,MATCH(loaded!S408,atsi,0))</f>
        <v>#N/A</v>
      </c>
      <c r="H408" t="e">
        <f>INDEX(lang_codes,MATCH(loaded!U408,lang,0))</f>
        <v>#N/A</v>
      </c>
      <c r="I408" s="8">
        <f>loaded!W408</f>
        <v>0</v>
      </c>
      <c r="J408" t="e">
        <f>INDEX(us_acc_codes,MATCH(loaded!Y408,us_acc,0))</f>
        <v>#N/A</v>
      </c>
      <c r="K408" t="e">
        <f>INDEX(client_codes,MATCH(loaded!AA408,client,0))</f>
        <v>#N/A</v>
      </c>
      <c r="L408" t="e">
        <f>INDEX(src_ref_codes,MATCH(loaded!AC408,src_ref,0))</f>
        <v>#N/A</v>
      </c>
      <c r="M408" s="8">
        <f>loaded!AE408</f>
        <v>0</v>
      </c>
      <c r="N408" s="8">
        <f>loaded!AG408</f>
        <v>0</v>
      </c>
      <c r="O408" t="e">
        <f>INDEX(reces_codes,MATCH(loaded!AI408,reason,0))</f>
        <v>#N/A</v>
      </c>
      <c r="P408" t="e">
        <f>INDEX(TDS_codes,MATCH(loaded!AK408,TDS,0))</f>
        <v>#N/A</v>
      </c>
      <c r="Q408" t="e">
        <f>IF(K408=2,"",INDEX(method_codes,MATCH(loaded!AM408,method,0)))</f>
        <v>#N/A</v>
      </c>
      <c r="R408" t="e">
        <f>IF(K408=2,"",INDEX(inj_codes,MATCH(loaded!AO408,inj,0)))</f>
        <v>#N/A</v>
      </c>
      <c r="S408" t="e">
        <f>IF(K408=2,"",INDEX(drug_codes,MATCH(loaded!AQ408,drug,0)))</f>
        <v>#N/A</v>
      </c>
      <c r="T408" t="e">
        <f>IF(K408=2,"",_xlfn.IFNA(INDEX(drug_codes,MATCH(loaded!AS408,drug,0)),""))</f>
        <v>#N/A</v>
      </c>
      <c r="U408" t="e">
        <f>IF(K408=2,"",_xlfn.IFNA(INDEX(drug_codes,MATCH(loaded!AU408,drug,0)),""))</f>
        <v>#N/A</v>
      </c>
      <c r="V408" t="e">
        <f>IF(K408=2,"",_xlfn.IFNA(INDEX(drug_codes,MATCH(loaded!AW408,drug,0)),""))</f>
        <v>#N/A</v>
      </c>
      <c r="W408" t="e">
        <f>IF(K408=2,"",_xlfn.IFNA(INDEX(drug_codes,MATCH(loaded!AY408,drug,0)),""))</f>
        <v>#N/A</v>
      </c>
      <c r="X408" t="e">
        <f>IF(K408=2,"",_xlfn.IFNA(INDEX(drug_codes,MATCH(loaded!BA408,drug,0)),""))</f>
        <v>#N/A</v>
      </c>
      <c r="Y408" t="e">
        <f>INDEX(MTT_codes,MATCH(loaded!BC408,MTT,0))</f>
        <v>#N/A</v>
      </c>
      <c r="Z408" t="str">
        <f>_xlfn.IFNA(INDEX(MTT_codes,MATCH(loaded!BE408,MTT,0)),"")</f>
        <v/>
      </c>
      <c r="AA408" t="str">
        <f>_xlfn.IFNA(INDEX(MTT_codes,MATCH(loaded!BG408,MTT,0)),"")</f>
        <v/>
      </c>
      <c r="AB408" t="str">
        <f>_xlfn.IFNA(INDEX(MTT_codes,MATCH(loaded!BI408,MTT,0)),"")</f>
        <v/>
      </c>
      <c r="AC408" t="str">
        <f>_xlfn.IFNA(INDEX(MTT_codes,MATCH(loaded!BK408,MTT,0)),"")</f>
        <v/>
      </c>
      <c r="AD408" t="str">
        <f>_xlfn.IFNA(INDEX(MTT_codes,MATCH(loaded!BM408,MTT,0)),"")</f>
        <v/>
      </c>
      <c r="AE408" t="e">
        <f>INDEX(liv_ar_codes,MATCH(loaded!BO408,liv_ar,0))</f>
        <v>#N/A</v>
      </c>
      <c r="AF408" t="str">
        <f>_xlfn.IFNA(INDEX(MTT_codes,MATCH(loaded!BQ408,MTT,0)),"")</f>
        <v/>
      </c>
      <c r="AG408">
        <f>_xlfn.IFNA(INDEX(mental_codes,MATCH(loaded!BS408,mental,0)),9)</f>
        <v>9</v>
      </c>
    </row>
    <row r="409" spans="1:33" x14ac:dyDescent="0.25">
      <c r="A409">
        <f>loaded!C409</f>
        <v>0</v>
      </c>
      <c r="B409">
        <f>loaded!I409</f>
        <v>0</v>
      </c>
      <c r="C409">
        <f>IF(loaded!K409="Male",1,IF(loaded!K409="Female",2,9))</f>
        <v>9</v>
      </c>
      <c r="D409" s="8">
        <f>loaded!M409</f>
        <v>0</v>
      </c>
      <c r="E409" t="str">
        <f>LEFT(loaded!O409,3)</f>
        <v/>
      </c>
      <c r="F409" t="e">
        <f>INDEX(cntry_codes,MATCH(loaded!Q409,countries,0))</f>
        <v>#N/A</v>
      </c>
      <c r="G409" t="e">
        <f>INDEX(atsi_codes,MATCH(loaded!S409,atsi,0))</f>
        <v>#N/A</v>
      </c>
      <c r="H409" t="e">
        <f>INDEX(lang_codes,MATCH(loaded!U409,lang,0))</f>
        <v>#N/A</v>
      </c>
      <c r="I409" s="8">
        <f>loaded!W409</f>
        <v>0</v>
      </c>
      <c r="J409" t="e">
        <f>INDEX(us_acc_codes,MATCH(loaded!Y409,us_acc,0))</f>
        <v>#N/A</v>
      </c>
      <c r="K409" t="e">
        <f>INDEX(client_codes,MATCH(loaded!AA409,client,0))</f>
        <v>#N/A</v>
      </c>
      <c r="L409" t="e">
        <f>INDEX(src_ref_codes,MATCH(loaded!AC409,src_ref,0))</f>
        <v>#N/A</v>
      </c>
      <c r="M409" s="8">
        <f>loaded!AE409</f>
        <v>0</v>
      </c>
      <c r="N409" s="8">
        <f>loaded!AG409</f>
        <v>0</v>
      </c>
      <c r="O409" t="e">
        <f>INDEX(reces_codes,MATCH(loaded!AI409,reason,0))</f>
        <v>#N/A</v>
      </c>
      <c r="P409" t="e">
        <f>INDEX(TDS_codes,MATCH(loaded!AK409,TDS,0))</f>
        <v>#N/A</v>
      </c>
      <c r="Q409" t="e">
        <f>IF(K409=2,"",INDEX(method_codes,MATCH(loaded!AM409,method,0)))</f>
        <v>#N/A</v>
      </c>
      <c r="R409" t="e">
        <f>IF(K409=2,"",INDEX(inj_codes,MATCH(loaded!AO409,inj,0)))</f>
        <v>#N/A</v>
      </c>
      <c r="S409" t="e">
        <f>IF(K409=2,"",INDEX(drug_codes,MATCH(loaded!AQ409,drug,0)))</f>
        <v>#N/A</v>
      </c>
      <c r="T409" t="e">
        <f>IF(K409=2,"",_xlfn.IFNA(INDEX(drug_codes,MATCH(loaded!AS409,drug,0)),""))</f>
        <v>#N/A</v>
      </c>
      <c r="U409" t="e">
        <f>IF(K409=2,"",_xlfn.IFNA(INDEX(drug_codes,MATCH(loaded!AU409,drug,0)),""))</f>
        <v>#N/A</v>
      </c>
      <c r="V409" t="e">
        <f>IF(K409=2,"",_xlfn.IFNA(INDEX(drug_codes,MATCH(loaded!AW409,drug,0)),""))</f>
        <v>#N/A</v>
      </c>
      <c r="W409" t="e">
        <f>IF(K409=2,"",_xlfn.IFNA(INDEX(drug_codes,MATCH(loaded!AY409,drug,0)),""))</f>
        <v>#N/A</v>
      </c>
      <c r="X409" t="e">
        <f>IF(K409=2,"",_xlfn.IFNA(INDEX(drug_codes,MATCH(loaded!BA409,drug,0)),""))</f>
        <v>#N/A</v>
      </c>
      <c r="Y409" t="e">
        <f>INDEX(MTT_codes,MATCH(loaded!BC409,MTT,0))</f>
        <v>#N/A</v>
      </c>
      <c r="Z409" t="str">
        <f>_xlfn.IFNA(INDEX(MTT_codes,MATCH(loaded!BE409,MTT,0)),"")</f>
        <v/>
      </c>
      <c r="AA409" t="str">
        <f>_xlfn.IFNA(INDEX(MTT_codes,MATCH(loaded!BG409,MTT,0)),"")</f>
        <v/>
      </c>
      <c r="AB409" t="str">
        <f>_xlfn.IFNA(INDEX(MTT_codes,MATCH(loaded!BI409,MTT,0)),"")</f>
        <v/>
      </c>
      <c r="AC409" t="str">
        <f>_xlfn.IFNA(INDEX(MTT_codes,MATCH(loaded!BK409,MTT,0)),"")</f>
        <v/>
      </c>
      <c r="AD409" t="str">
        <f>_xlfn.IFNA(INDEX(MTT_codes,MATCH(loaded!BM409,MTT,0)),"")</f>
        <v/>
      </c>
      <c r="AE409" t="e">
        <f>INDEX(liv_ar_codes,MATCH(loaded!BO409,liv_ar,0))</f>
        <v>#N/A</v>
      </c>
      <c r="AF409" t="str">
        <f>_xlfn.IFNA(INDEX(MTT_codes,MATCH(loaded!BQ409,MTT,0)),"")</f>
        <v/>
      </c>
      <c r="AG409">
        <f>_xlfn.IFNA(INDEX(mental_codes,MATCH(loaded!BS409,mental,0)),9)</f>
        <v>9</v>
      </c>
    </row>
    <row r="410" spans="1:33" x14ac:dyDescent="0.25">
      <c r="A410">
        <f>loaded!C410</f>
        <v>0</v>
      </c>
      <c r="B410">
        <f>loaded!I410</f>
        <v>0</v>
      </c>
      <c r="C410">
        <f>IF(loaded!K410="Male",1,IF(loaded!K410="Female",2,9))</f>
        <v>9</v>
      </c>
      <c r="D410" s="8">
        <f>loaded!M410</f>
        <v>0</v>
      </c>
      <c r="E410" t="str">
        <f>LEFT(loaded!O410,3)</f>
        <v/>
      </c>
      <c r="F410" t="e">
        <f>INDEX(cntry_codes,MATCH(loaded!Q410,countries,0))</f>
        <v>#N/A</v>
      </c>
      <c r="G410" t="e">
        <f>INDEX(atsi_codes,MATCH(loaded!S410,atsi,0))</f>
        <v>#N/A</v>
      </c>
      <c r="H410" t="e">
        <f>INDEX(lang_codes,MATCH(loaded!U410,lang,0))</f>
        <v>#N/A</v>
      </c>
      <c r="I410" s="8">
        <f>loaded!W410</f>
        <v>0</v>
      </c>
      <c r="J410" t="e">
        <f>INDEX(us_acc_codes,MATCH(loaded!Y410,us_acc,0))</f>
        <v>#N/A</v>
      </c>
      <c r="K410" t="e">
        <f>INDEX(client_codes,MATCH(loaded!AA410,client,0))</f>
        <v>#N/A</v>
      </c>
      <c r="L410" t="e">
        <f>INDEX(src_ref_codes,MATCH(loaded!AC410,src_ref,0))</f>
        <v>#N/A</v>
      </c>
      <c r="M410" s="8">
        <f>loaded!AE410</f>
        <v>0</v>
      </c>
      <c r="N410" s="8">
        <f>loaded!AG410</f>
        <v>0</v>
      </c>
      <c r="O410" t="e">
        <f>INDEX(reces_codes,MATCH(loaded!AI410,reason,0))</f>
        <v>#N/A</v>
      </c>
      <c r="P410" t="e">
        <f>INDEX(TDS_codes,MATCH(loaded!AK410,TDS,0))</f>
        <v>#N/A</v>
      </c>
      <c r="Q410" t="e">
        <f>IF(K410=2,"",INDEX(method_codes,MATCH(loaded!AM410,method,0)))</f>
        <v>#N/A</v>
      </c>
      <c r="R410" t="e">
        <f>IF(K410=2,"",INDEX(inj_codes,MATCH(loaded!AO410,inj,0)))</f>
        <v>#N/A</v>
      </c>
      <c r="S410" t="e">
        <f>IF(K410=2,"",INDEX(drug_codes,MATCH(loaded!AQ410,drug,0)))</f>
        <v>#N/A</v>
      </c>
      <c r="T410" t="e">
        <f>IF(K410=2,"",_xlfn.IFNA(INDEX(drug_codes,MATCH(loaded!AS410,drug,0)),""))</f>
        <v>#N/A</v>
      </c>
      <c r="U410" t="e">
        <f>IF(K410=2,"",_xlfn.IFNA(INDEX(drug_codes,MATCH(loaded!AU410,drug,0)),""))</f>
        <v>#N/A</v>
      </c>
      <c r="V410" t="e">
        <f>IF(K410=2,"",_xlfn.IFNA(INDEX(drug_codes,MATCH(loaded!AW410,drug,0)),""))</f>
        <v>#N/A</v>
      </c>
      <c r="W410" t="e">
        <f>IF(K410=2,"",_xlfn.IFNA(INDEX(drug_codes,MATCH(loaded!AY410,drug,0)),""))</f>
        <v>#N/A</v>
      </c>
      <c r="X410" t="e">
        <f>IF(K410=2,"",_xlfn.IFNA(INDEX(drug_codes,MATCH(loaded!BA410,drug,0)),""))</f>
        <v>#N/A</v>
      </c>
      <c r="Y410" t="e">
        <f>INDEX(MTT_codes,MATCH(loaded!BC410,MTT,0))</f>
        <v>#N/A</v>
      </c>
      <c r="Z410" t="str">
        <f>_xlfn.IFNA(INDEX(MTT_codes,MATCH(loaded!BE410,MTT,0)),"")</f>
        <v/>
      </c>
      <c r="AA410" t="str">
        <f>_xlfn.IFNA(INDEX(MTT_codes,MATCH(loaded!BG410,MTT,0)),"")</f>
        <v/>
      </c>
      <c r="AB410" t="str">
        <f>_xlfn.IFNA(INDEX(MTT_codes,MATCH(loaded!BI410,MTT,0)),"")</f>
        <v/>
      </c>
      <c r="AC410" t="str">
        <f>_xlfn.IFNA(INDEX(MTT_codes,MATCH(loaded!BK410,MTT,0)),"")</f>
        <v/>
      </c>
      <c r="AD410" t="str">
        <f>_xlfn.IFNA(INDEX(MTT_codes,MATCH(loaded!BM410,MTT,0)),"")</f>
        <v/>
      </c>
      <c r="AE410" t="e">
        <f>INDEX(liv_ar_codes,MATCH(loaded!BO410,liv_ar,0))</f>
        <v>#N/A</v>
      </c>
      <c r="AF410" t="str">
        <f>_xlfn.IFNA(INDEX(MTT_codes,MATCH(loaded!BQ410,MTT,0)),"")</f>
        <v/>
      </c>
      <c r="AG410">
        <f>_xlfn.IFNA(INDEX(mental_codes,MATCH(loaded!BS410,mental,0)),9)</f>
        <v>9</v>
      </c>
    </row>
    <row r="411" spans="1:33" x14ac:dyDescent="0.25">
      <c r="A411">
        <f>loaded!C411</f>
        <v>0</v>
      </c>
      <c r="B411">
        <f>loaded!I411</f>
        <v>0</v>
      </c>
      <c r="C411">
        <f>IF(loaded!K411="Male",1,IF(loaded!K411="Female",2,9))</f>
        <v>9</v>
      </c>
      <c r="D411" s="8">
        <f>loaded!M411</f>
        <v>0</v>
      </c>
      <c r="E411" t="str">
        <f>LEFT(loaded!O411,3)</f>
        <v/>
      </c>
      <c r="F411" t="e">
        <f>INDEX(cntry_codes,MATCH(loaded!Q411,countries,0))</f>
        <v>#N/A</v>
      </c>
      <c r="G411" t="e">
        <f>INDEX(atsi_codes,MATCH(loaded!S411,atsi,0))</f>
        <v>#N/A</v>
      </c>
      <c r="H411" t="e">
        <f>INDEX(lang_codes,MATCH(loaded!U411,lang,0))</f>
        <v>#N/A</v>
      </c>
      <c r="I411" s="8">
        <f>loaded!W411</f>
        <v>0</v>
      </c>
      <c r="J411" t="e">
        <f>INDEX(us_acc_codes,MATCH(loaded!Y411,us_acc,0))</f>
        <v>#N/A</v>
      </c>
      <c r="K411" t="e">
        <f>INDEX(client_codes,MATCH(loaded!AA411,client,0))</f>
        <v>#N/A</v>
      </c>
      <c r="L411" t="e">
        <f>INDEX(src_ref_codes,MATCH(loaded!AC411,src_ref,0))</f>
        <v>#N/A</v>
      </c>
      <c r="M411" s="8">
        <f>loaded!AE411</f>
        <v>0</v>
      </c>
      <c r="N411" s="8">
        <f>loaded!AG411</f>
        <v>0</v>
      </c>
      <c r="O411" t="e">
        <f>INDEX(reces_codes,MATCH(loaded!AI411,reason,0))</f>
        <v>#N/A</v>
      </c>
      <c r="P411" t="e">
        <f>INDEX(TDS_codes,MATCH(loaded!AK411,TDS,0))</f>
        <v>#N/A</v>
      </c>
      <c r="Q411" t="e">
        <f>IF(K411=2,"",INDEX(method_codes,MATCH(loaded!AM411,method,0)))</f>
        <v>#N/A</v>
      </c>
      <c r="R411" t="e">
        <f>IF(K411=2,"",INDEX(inj_codes,MATCH(loaded!AO411,inj,0)))</f>
        <v>#N/A</v>
      </c>
      <c r="S411" t="e">
        <f>IF(K411=2,"",INDEX(drug_codes,MATCH(loaded!AQ411,drug,0)))</f>
        <v>#N/A</v>
      </c>
      <c r="T411" t="e">
        <f>IF(K411=2,"",_xlfn.IFNA(INDEX(drug_codes,MATCH(loaded!AS411,drug,0)),""))</f>
        <v>#N/A</v>
      </c>
      <c r="U411" t="e">
        <f>IF(K411=2,"",_xlfn.IFNA(INDEX(drug_codes,MATCH(loaded!AU411,drug,0)),""))</f>
        <v>#N/A</v>
      </c>
      <c r="V411" t="e">
        <f>IF(K411=2,"",_xlfn.IFNA(INDEX(drug_codes,MATCH(loaded!AW411,drug,0)),""))</f>
        <v>#N/A</v>
      </c>
      <c r="W411" t="e">
        <f>IF(K411=2,"",_xlfn.IFNA(INDEX(drug_codes,MATCH(loaded!AY411,drug,0)),""))</f>
        <v>#N/A</v>
      </c>
      <c r="X411" t="e">
        <f>IF(K411=2,"",_xlfn.IFNA(INDEX(drug_codes,MATCH(loaded!BA411,drug,0)),""))</f>
        <v>#N/A</v>
      </c>
      <c r="Y411" t="e">
        <f>INDEX(MTT_codes,MATCH(loaded!BC411,MTT,0))</f>
        <v>#N/A</v>
      </c>
      <c r="Z411" t="str">
        <f>_xlfn.IFNA(INDEX(MTT_codes,MATCH(loaded!BE411,MTT,0)),"")</f>
        <v/>
      </c>
      <c r="AA411" t="str">
        <f>_xlfn.IFNA(INDEX(MTT_codes,MATCH(loaded!BG411,MTT,0)),"")</f>
        <v/>
      </c>
      <c r="AB411" t="str">
        <f>_xlfn.IFNA(INDEX(MTT_codes,MATCH(loaded!BI411,MTT,0)),"")</f>
        <v/>
      </c>
      <c r="AC411" t="str">
        <f>_xlfn.IFNA(INDEX(MTT_codes,MATCH(loaded!BK411,MTT,0)),"")</f>
        <v/>
      </c>
      <c r="AD411" t="str">
        <f>_xlfn.IFNA(INDEX(MTT_codes,MATCH(loaded!BM411,MTT,0)),"")</f>
        <v/>
      </c>
      <c r="AE411" t="e">
        <f>INDEX(liv_ar_codes,MATCH(loaded!BO411,liv_ar,0))</f>
        <v>#N/A</v>
      </c>
      <c r="AF411" t="str">
        <f>_xlfn.IFNA(INDEX(MTT_codes,MATCH(loaded!BQ411,MTT,0)),"")</f>
        <v/>
      </c>
      <c r="AG411">
        <f>_xlfn.IFNA(INDEX(mental_codes,MATCH(loaded!BS411,mental,0)),9)</f>
        <v>9</v>
      </c>
    </row>
    <row r="412" spans="1:33" x14ac:dyDescent="0.25">
      <c r="A412">
        <f>loaded!C412</f>
        <v>0</v>
      </c>
      <c r="B412">
        <f>loaded!I412</f>
        <v>0</v>
      </c>
      <c r="C412">
        <f>IF(loaded!K412="Male",1,IF(loaded!K412="Female",2,9))</f>
        <v>9</v>
      </c>
      <c r="D412" s="8">
        <f>loaded!M412</f>
        <v>0</v>
      </c>
      <c r="E412" t="str">
        <f>LEFT(loaded!O412,3)</f>
        <v/>
      </c>
      <c r="F412" t="e">
        <f>INDEX(cntry_codes,MATCH(loaded!Q412,countries,0))</f>
        <v>#N/A</v>
      </c>
      <c r="G412" t="e">
        <f>INDEX(atsi_codes,MATCH(loaded!S412,atsi,0))</f>
        <v>#N/A</v>
      </c>
      <c r="H412" t="e">
        <f>INDEX(lang_codes,MATCH(loaded!U412,lang,0))</f>
        <v>#N/A</v>
      </c>
      <c r="I412" s="8">
        <f>loaded!W412</f>
        <v>0</v>
      </c>
      <c r="J412" t="e">
        <f>INDEX(us_acc_codes,MATCH(loaded!Y412,us_acc,0))</f>
        <v>#N/A</v>
      </c>
      <c r="K412" t="e">
        <f>INDEX(client_codes,MATCH(loaded!AA412,client,0))</f>
        <v>#N/A</v>
      </c>
      <c r="L412" t="e">
        <f>INDEX(src_ref_codes,MATCH(loaded!AC412,src_ref,0))</f>
        <v>#N/A</v>
      </c>
      <c r="M412" s="8">
        <f>loaded!AE412</f>
        <v>0</v>
      </c>
      <c r="N412" s="8">
        <f>loaded!AG412</f>
        <v>0</v>
      </c>
      <c r="O412" t="e">
        <f>INDEX(reces_codes,MATCH(loaded!AI412,reason,0))</f>
        <v>#N/A</v>
      </c>
      <c r="P412" t="e">
        <f>INDEX(TDS_codes,MATCH(loaded!AK412,TDS,0))</f>
        <v>#N/A</v>
      </c>
      <c r="Q412" t="e">
        <f>IF(K412=2,"",INDEX(method_codes,MATCH(loaded!AM412,method,0)))</f>
        <v>#N/A</v>
      </c>
      <c r="R412" t="e">
        <f>IF(K412=2,"",INDEX(inj_codes,MATCH(loaded!AO412,inj,0)))</f>
        <v>#N/A</v>
      </c>
      <c r="S412" t="e">
        <f>IF(K412=2,"",INDEX(drug_codes,MATCH(loaded!AQ412,drug,0)))</f>
        <v>#N/A</v>
      </c>
      <c r="T412" t="e">
        <f>IF(K412=2,"",_xlfn.IFNA(INDEX(drug_codes,MATCH(loaded!AS412,drug,0)),""))</f>
        <v>#N/A</v>
      </c>
      <c r="U412" t="e">
        <f>IF(K412=2,"",_xlfn.IFNA(INDEX(drug_codes,MATCH(loaded!AU412,drug,0)),""))</f>
        <v>#N/A</v>
      </c>
      <c r="V412" t="e">
        <f>IF(K412=2,"",_xlfn.IFNA(INDEX(drug_codes,MATCH(loaded!AW412,drug,0)),""))</f>
        <v>#N/A</v>
      </c>
      <c r="W412" t="e">
        <f>IF(K412=2,"",_xlfn.IFNA(INDEX(drug_codes,MATCH(loaded!AY412,drug,0)),""))</f>
        <v>#N/A</v>
      </c>
      <c r="X412" t="e">
        <f>IF(K412=2,"",_xlfn.IFNA(INDEX(drug_codes,MATCH(loaded!BA412,drug,0)),""))</f>
        <v>#N/A</v>
      </c>
      <c r="Y412" t="e">
        <f>INDEX(MTT_codes,MATCH(loaded!BC412,MTT,0))</f>
        <v>#N/A</v>
      </c>
      <c r="Z412" t="str">
        <f>_xlfn.IFNA(INDEX(MTT_codes,MATCH(loaded!BE412,MTT,0)),"")</f>
        <v/>
      </c>
      <c r="AA412" t="str">
        <f>_xlfn.IFNA(INDEX(MTT_codes,MATCH(loaded!BG412,MTT,0)),"")</f>
        <v/>
      </c>
      <c r="AB412" t="str">
        <f>_xlfn.IFNA(INDEX(MTT_codes,MATCH(loaded!BI412,MTT,0)),"")</f>
        <v/>
      </c>
      <c r="AC412" t="str">
        <f>_xlfn.IFNA(INDEX(MTT_codes,MATCH(loaded!BK412,MTT,0)),"")</f>
        <v/>
      </c>
      <c r="AD412" t="str">
        <f>_xlfn.IFNA(INDEX(MTT_codes,MATCH(loaded!BM412,MTT,0)),"")</f>
        <v/>
      </c>
      <c r="AE412" t="e">
        <f>INDEX(liv_ar_codes,MATCH(loaded!BO412,liv_ar,0))</f>
        <v>#N/A</v>
      </c>
      <c r="AF412" t="str">
        <f>_xlfn.IFNA(INDEX(MTT_codes,MATCH(loaded!BQ412,MTT,0)),"")</f>
        <v/>
      </c>
      <c r="AG412">
        <f>_xlfn.IFNA(INDEX(mental_codes,MATCH(loaded!BS412,mental,0)),9)</f>
        <v>9</v>
      </c>
    </row>
    <row r="413" spans="1:33" x14ac:dyDescent="0.25">
      <c r="A413">
        <f>loaded!C413</f>
        <v>0</v>
      </c>
      <c r="B413">
        <f>loaded!I413</f>
        <v>0</v>
      </c>
      <c r="C413">
        <f>IF(loaded!K413="Male",1,IF(loaded!K413="Female",2,9))</f>
        <v>9</v>
      </c>
      <c r="D413" s="8">
        <f>loaded!M413</f>
        <v>0</v>
      </c>
      <c r="E413" t="str">
        <f>LEFT(loaded!O413,3)</f>
        <v/>
      </c>
      <c r="F413" t="e">
        <f>INDEX(cntry_codes,MATCH(loaded!Q413,countries,0))</f>
        <v>#N/A</v>
      </c>
      <c r="G413" t="e">
        <f>INDEX(atsi_codes,MATCH(loaded!S413,atsi,0))</f>
        <v>#N/A</v>
      </c>
      <c r="H413" t="e">
        <f>INDEX(lang_codes,MATCH(loaded!U413,lang,0))</f>
        <v>#N/A</v>
      </c>
      <c r="I413" s="8">
        <f>loaded!W413</f>
        <v>0</v>
      </c>
      <c r="J413" t="e">
        <f>INDEX(us_acc_codes,MATCH(loaded!Y413,us_acc,0))</f>
        <v>#N/A</v>
      </c>
      <c r="K413" t="e">
        <f>INDEX(client_codes,MATCH(loaded!AA413,client,0))</f>
        <v>#N/A</v>
      </c>
      <c r="L413" t="e">
        <f>INDEX(src_ref_codes,MATCH(loaded!AC413,src_ref,0))</f>
        <v>#N/A</v>
      </c>
      <c r="M413" s="8">
        <f>loaded!AE413</f>
        <v>0</v>
      </c>
      <c r="N413" s="8">
        <f>loaded!AG413</f>
        <v>0</v>
      </c>
      <c r="O413" t="e">
        <f>INDEX(reces_codes,MATCH(loaded!AI413,reason,0))</f>
        <v>#N/A</v>
      </c>
      <c r="P413" t="e">
        <f>INDEX(TDS_codes,MATCH(loaded!AK413,TDS,0))</f>
        <v>#N/A</v>
      </c>
      <c r="Q413" t="e">
        <f>IF(K413=2,"",INDEX(method_codes,MATCH(loaded!AM413,method,0)))</f>
        <v>#N/A</v>
      </c>
      <c r="R413" t="e">
        <f>IF(K413=2,"",INDEX(inj_codes,MATCH(loaded!AO413,inj,0)))</f>
        <v>#N/A</v>
      </c>
      <c r="S413" t="e">
        <f>IF(K413=2,"",INDEX(drug_codes,MATCH(loaded!AQ413,drug,0)))</f>
        <v>#N/A</v>
      </c>
      <c r="T413" t="e">
        <f>IF(K413=2,"",_xlfn.IFNA(INDEX(drug_codes,MATCH(loaded!AS413,drug,0)),""))</f>
        <v>#N/A</v>
      </c>
      <c r="U413" t="e">
        <f>IF(K413=2,"",_xlfn.IFNA(INDEX(drug_codes,MATCH(loaded!AU413,drug,0)),""))</f>
        <v>#N/A</v>
      </c>
      <c r="V413" t="e">
        <f>IF(K413=2,"",_xlfn.IFNA(INDEX(drug_codes,MATCH(loaded!AW413,drug,0)),""))</f>
        <v>#N/A</v>
      </c>
      <c r="W413" t="e">
        <f>IF(K413=2,"",_xlfn.IFNA(INDEX(drug_codes,MATCH(loaded!AY413,drug,0)),""))</f>
        <v>#N/A</v>
      </c>
      <c r="X413" t="e">
        <f>IF(K413=2,"",_xlfn.IFNA(INDEX(drug_codes,MATCH(loaded!BA413,drug,0)),""))</f>
        <v>#N/A</v>
      </c>
      <c r="Y413" t="e">
        <f>INDEX(MTT_codes,MATCH(loaded!BC413,MTT,0))</f>
        <v>#N/A</v>
      </c>
      <c r="Z413" t="str">
        <f>_xlfn.IFNA(INDEX(MTT_codes,MATCH(loaded!BE413,MTT,0)),"")</f>
        <v/>
      </c>
      <c r="AA413" t="str">
        <f>_xlfn.IFNA(INDEX(MTT_codes,MATCH(loaded!BG413,MTT,0)),"")</f>
        <v/>
      </c>
      <c r="AB413" t="str">
        <f>_xlfn.IFNA(INDEX(MTT_codes,MATCH(loaded!BI413,MTT,0)),"")</f>
        <v/>
      </c>
      <c r="AC413" t="str">
        <f>_xlfn.IFNA(INDEX(MTT_codes,MATCH(loaded!BK413,MTT,0)),"")</f>
        <v/>
      </c>
      <c r="AD413" t="str">
        <f>_xlfn.IFNA(INDEX(MTT_codes,MATCH(loaded!BM413,MTT,0)),"")</f>
        <v/>
      </c>
      <c r="AE413" t="e">
        <f>INDEX(liv_ar_codes,MATCH(loaded!BO413,liv_ar,0))</f>
        <v>#N/A</v>
      </c>
      <c r="AF413" t="str">
        <f>_xlfn.IFNA(INDEX(MTT_codes,MATCH(loaded!BQ413,MTT,0)),"")</f>
        <v/>
      </c>
      <c r="AG413">
        <f>_xlfn.IFNA(INDEX(mental_codes,MATCH(loaded!BS413,mental,0)),9)</f>
        <v>9</v>
      </c>
    </row>
    <row r="414" spans="1:33" x14ac:dyDescent="0.25">
      <c r="A414">
        <f>loaded!C414</f>
        <v>0</v>
      </c>
      <c r="B414">
        <f>loaded!I414</f>
        <v>0</v>
      </c>
      <c r="C414">
        <f>IF(loaded!K414="Male",1,IF(loaded!K414="Female",2,9))</f>
        <v>9</v>
      </c>
      <c r="D414" s="8">
        <f>loaded!M414</f>
        <v>0</v>
      </c>
      <c r="E414" t="str">
        <f>LEFT(loaded!O414,3)</f>
        <v/>
      </c>
      <c r="F414" t="e">
        <f>INDEX(cntry_codes,MATCH(loaded!Q414,countries,0))</f>
        <v>#N/A</v>
      </c>
      <c r="G414" t="e">
        <f>INDEX(atsi_codes,MATCH(loaded!S414,atsi,0))</f>
        <v>#N/A</v>
      </c>
      <c r="H414" t="e">
        <f>INDEX(lang_codes,MATCH(loaded!U414,lang,0))</f>
        <v>#N/A</v>
      </c>
      <c r="I414" s="8">
        <f>loaded!W414</f>
        <v>0</v>
      </c>
      <c r="J414" t="e">
        <f>INDEX(us_acc_codes,MATCH(loaded!Y414,us_acc,0))</f>
        <v>#N/A</v>
      </c>
      <c r="K414" t="e">
        <f>INDEX(client_codes,MATCH(loaded!AA414,client,0))</f>
        <v>#N/A</v>
      </c>
      <c r="L414" t="e">
        <f>INDEX(src_ref_codes,MATCH(loaded!AC414,src_ref,0))</f>
        <v>#N/A</v>
      </c>
      <c r="M414" s="8">
        <f>loaded!AE414</f>
        <v>0</v>
      </c>
      <c r="N414" s="8">
        <f>loaded!AG414</f>
        <v>0</v>
      </c>
      <c r="O414" t="e">
        <f>INDEX(reces_codes,MATCH(loaded!AI414,reason,0))</f>
        <v>#N/A</v>
      </c>
      <c r="P414" t="e">
        <f>INDEX(TDS_codes,MATCH(loaded!AK414,TDS,0))</f>
        <v>#N/A</v>
      </c>
      <c r="Q414" t="e">
        <f>IF(K414=2,"",INDEX(method_codes,MATCH(loaded!AM414,method,0)))</f>
        <v>#N/A</v>
      </c>
      <c r="R414" t="e">
        <f>IF(K414=2,"",INDEX(inj_codes,MATCH(loaded!AO414,inj,0)))</f>
        <v>#N/A</v>
      </c>
      <c r="S414" t="e">
        <f>IF(K414=2,"",INDEX(drug_codes,MATCH(loaded!AQ414,drug,0)))</f>
        <v>#N/A</v>
      </c>
      <c r="T414" t="e">
        <f>IF(K414=2,"",_xlfn.IFNA(INDEX(drug_codes,MATCH(loaded!AS414,drug,0)),""))</f>
        <v>#N/A</v>
      </c>
      <c r="U414" t="e">
        <f>IF(K414=2,"",_xlfn.IFNA(INDEX(drug_codes,MATCH(loaded!AU414,drug,0)),""))</f>
        <v>#N/A</v>
      </c>
      <c r="V414" t="e">
        <f>IF(K414=2,"",_xlfn.IFNA(INDEX(drug_codes,MATCH(loaded!AW414,drug,0)),""))</f>
        <v>#N/A</v>
      </c>
      <c r="W414" t="e">
        <f>IF(K414=2,"",_xlfn.IFNA(INDEX(drug_codes,MATCH(loaded!AY414,drug,0)),""))</f>
        <v>#N/A</v>
      </c>
      <c r="X414" t="e">
        <f>IF(K414=2,"",_xlfn.IFNA(INDEX(drug_codes,MATCH(loaded!BA414,drug,0)),""))</f>
        <v>#N/A</v>
      </c>
      <c r="Y414" t="e">
        <f>INDEX(MTT_codes,MATCH(loaded!BC414,MTT,0))</f>
        <v>#N/A</v>
      </c>
      <c r="Z414" t="str">
        <f>_xlfn.IFNA(INDEX(MTT_codes,MATCH(loaded!BE414,MTT,0)),"")</f>
        <v/>
      </c>
      <c r="AA414" t="str">
        <f>_xlfn.IFNA(INDEX(MTT_codes,MATCH(loaded!BG414,MTT,0)),"")</f>
        <v/>
      </c>
      <c r="AB414" t="str">
        <f>_xlfn.IFNA(INDEX(MTT_codes,MATCH(loaded!BI414,MTT,0)),"")</f>
        <v/>
      </c>
      <c r="AC414" t="str">
        <f>_xlfn.IFNA(INDEX(MTT_codes,MATCH(loaded!BK414,MTT,0)),"")</f>
        <v/>
      </c>
      <c r="AD414" t="str">
        <f>_xlfn.IFNA(INDEX(MTT_codes,MATCH(loaded!BM414,MTT,0)),"")</f>
        <v/>
      </c>
      <c r="AE414" t="e">
        <f>INDEX(liv_ar_codes,MATCH(loaded!BO414,liv_ar,0))</f>
        <v>#N/A</v>
      </c>
      <c r="AF414" t="str">
        <f>_xlfn.IFNA(INDEX(MTT_codes,MATCH(loaded!BQ414,MTT,0)),"")</f>
        <v/>
      </c>
      <c r="AG414">
        <f>_xlfn.IFNA(INDEX(mental_codes,MATCH(loaded!BS414,mental,0)),9)</f>
        <v>9</v>
      </c>
    </row>
    <row r="415" spans="1:33" x14ac:dyDescent="0.25">
      <c r="A415">
        <f>loaded!C415</f>
        <v>0</v>
      </c>
      <c r="B415">
        <f>loaded!I415</f>
        <v>0</v>
      </c>
      <c r="C415">
        <f>IF(loaded!K415="Male",1,IF(loaded!K415="Female",2,9))</f>
        <v>9</v>
      </c>
      <c r="D415" s="8">
        <f>loaded!M415</f>
        <v>0</v>
      </c>
      <c r="E415" t="str">
        <f>LEFT(loaded!O415,3)</f>
        <v/>
      </c>
      <c r="F415" t="e">
        <f>INDEX(cntry_codes,MATCH(loaded!Q415,countries,0))</f>
        <v>#N/A</v>
      </c>
      <c r="G415" t="e">
        <f>INDEX(atsi_codes,MATCH(loaded!S415,atsi,0))</f>
        <v>#N/A</v>
      </c>
      <c r="H415" t="e">
        <f>INDEX(lang_codes,MATCH(loaded!U415,lang,0))</f>
        <v>#N/A</v>
      </c>
      <c r="I415" s="8">
        <f>loaded!W415</f>
        <v>0</v>
      </c>
      <c r="J415" t="e">
        <f>INDEX(us_acc_codes,MATCH(loaded!Y415,us_acc,0))</f>
        <v>#N/A</v>
      </c>
      <c r="K415" t="e">
        <f>INDEX(client_codes,MATCH(loaded!AA415,client,0))</f>
        <v>#N/A</v>
      </c>
      <c r="L415" t="e">
        <f>INDEX(src_ref_codes,MATCH(loaded!AC415,src_ref,0))</f>
        <v>#N/A</v>
      </c>
      <c r="M415" s="8">
        <f>loaded!AE415</f>
        <v>0</v>
      </c>
      <c r="N415" s="8">
        <f>loaded!AG415</f>
        <v>0</v>
      </c>
      <c r="O415" t="e">
        <f>INDEX(reces_codes,MATCH(loaded!AI415,reason,0))</f>
        <v>#N/A</v>
      </c>
      <c r="P415" t="e">
        <f>INDEX(TDS_codes,MATCH(loaded!AK415,TDS,0))</f>
        <v>#N/A</v>
      </c>
      <c r="Q415" t="e">
        <f>IF(K415=2,"",INDEX(method_codes,MATCH(loaded!AM415,method,0)))</f>
        <v>#N/A</v>
      </c>
      <c r="R415" t="e">
        <f>IF(K415=2,"",INDEX(inj_codes,MATCH(loaded!AO415,inj,0)))</f>
        <v>#N/A</v>
      </c>
      <c r="S415" t="e">
        <f>IF(K415=2,"",INDEX(drug_codes,MATCH(loaded!AQ415,drug,0)))</f>
        <v>#N/A</v>
      </c>
      <c r="T415" t="e">
        <f>IF(K415=2,"",_xlfn.IFNA(INDEX(drug_codes,MATCH(loaded!AS415,drug,0)),""))</f>
        <v>#N/A</v>
      </c>
      <c r="U415" t="e">
        <f>IF(K415=2,"",_xlfn.IFNA(INDEX(drug_codes,MATCH(loaded!AU415,drug,0)),""))</f>
        <v>#N/A</v>
      </c>
      <c r="V415" t="e">
        <f>IF(K415=2,"",_xlfn.IFNA(INDEX(drug_codes,MATCH(loaded!AW415,drug,0)),""))</f>
        <v>#N/A</v>
      </c>
      <c r="W415" t="e">
        <f>IF(K415=2,"",_xlfn.IFNA(INDEX(drug_codes,MATCH(loaded!AY415,drug,0)),""))</f>
        <v>#N/A</v>
      </c>
      <c r="X415" t="e">
        <f>IF(K415=2,"",_xlfn.IFNA(INDEX(drug_codes,MATCH(loaded!BA415,drug,0)),""))</f>
        <v>#N/A</v>
      </c>
      <c r="Y415" t="e">
        <f>INDEX(MTT_codes,MATCH(loaded!BC415,MTT,0))</f>
        <v>#N/A</v>
      </c>
      <c r="Z415" t="str">
        <f>_xlfn.IFNA(INDEX(MTT_codes,MATCH(loaded!BE415,MTT,0)),"")</f>
        <v/>
      </c>
      <c r="AA415" t="str">
        <f>_xlfn.IFNA(INDEX(MTT_codes,MATCH(loaded!BG415,MTT,0)),"")</f>
        <v/>
      </c>
      <c r="AB415" t="str">
        <f>_xlfn.IFNA(INDEX(MTT_codes,MATCH(loaded!BI415,MTT,0)),"")</f>
        <v/>
      </c>
      <c r="AC415" t="str">
        <f>_xlfn.IFNA(INDEX(MTT_codes,MATCH(loaded!BK415,MTT,0)),"")</f>
        <v/>
      </c>
      <c r="AD415" t="str">
        <f>_xlfn.IFNA(INDEX(MTT_codes,MATCH(loaded!BM415,MTT,0)),"")</f>
        <v/>
      </c>
      <c r="AE415" t="e">
        <f>INDEX(liv_ar_codes,MATCH(loaded!BO415,liv_ar,0))</f>
        <v>#N/A</v>
      </c>
      <c r="AF415" t="str">
        <f>_xlfn.IFNA(INDEX(MTT_codes,MATCH(loaded!BQ415,MTT,0)),"")</f>
        <v/>
      </c>
      <c r="AG415">
        <f>_xlfn.IFNA(INDEX(mental_codes,MATCH(loaded!BS415,mental,0)),9)</f>
        <v>9</v>
      </c>
    </row>
    <row r="416" spans="1:33" x14ac:dyDescent="0.25">
      <c r="A416">
        <f>loaded!C416</f>
        <v>0</v>
      </c>
      <c r="B416">
        <f>loaded!I416</f>
        <v>0</v>
      </c>
      <c r="C416">
        <f>IF(loaded!K416="Male",1,IF(loaded!K416="Female",2,9))</f>
        <v>9</v>
      </c>
      <c r="D416" s="8">
        <f>loaded!M416</f>
        <v>0</v>
      </c>
      <c r="E416" t="str">
        <f>LEFT(loaded!O416,3)</f>
        <v/>
      </c>
      <c r="F416" t="e">
        <f>INDEX(cntry_codes,MATCH(loaded!Q416,countries,0))</f>
        <v>#N/A</v>
      </c>
      <c r="G416" t="e">
        <f>INDEX(atsi_codes,MATCH(loaded!S416,atsi,0))</f>
        <v>#N/A</v>
      </c>
      <c r="H416" t="e">
        <f>INDEX(lang_codes,MATCH(loaded!U416,lang,0))</f>
        <v>#N/A</v>
      </c>
      <c r="I416" s="8">
        <f>loaded!W416</f>
        <v>0</v>
      </c>
      <c r="J416" t="e">
        <f>INDEX(us_acc_codes,MATCH(loaded!Y416,us_acc,0))</f>
        <v>#N/A</v>
      </c>
      <c r="K416" t="e">
        <f>INDEX(client_codes,MATCH(loaded!AA416,client,0))</f>
        <v>#N/A</v>
      </c>
      <c r="L416" t="e">
        <f>INDEX(src_ref_codes,MATCH(loaded!AC416,src_ref,0))</f>
        <v>#N/A</v>
      </c>
      <c r="M416" s="8">
        <f>loaded!AE416</f>
        <v>0</v>
      </c>
      <c r="N416" s="8">
        <f>loaded!AG416</f>
        <v>0</v>
      </c>
      <c r="O416" t="e">
        <f>INDEX(reces_codes,MATCH(loaded!AI416,reason,0))</f>
        <v>#N/A</v>
      </c>
      <c r="P416" t="e">
        <f>INDEX(TDS_codes,MATCH(loaded!AK416,TDS,0))</f>
        <v>#N/A</v>
      </c>
      <c r="Q416" t="e">
        <f>IF(K416=2,"",INDEX(method_codes,MATCH(loaded!AM416,method,0)))</f>
        <v>#N/A</v>
      </c>
      <c r="R416" t="e">
        <f>IF(K416=2,"",INDEX(inj_codes,MATCH(loaded!AO416,inj,0)))</f>
        <v>#N/A</v>
      </c>
      <c r="S416" t="e">
        <f>IF(K416=2,"",INDEX(drug_codes,MATCH(loaded!AQ416,drug,0)))</f>
        <v>#N/A</v>
      </c>
      <c r="T416" t="e">
        <f>IF(K416=2,"",_xlfn.IFNA(INDEX(drug_codes,MATCH(loaded!AS416,drug,0)),""))</f>
        <v>#N/A</v>
      </c>
      <c r="U416" t="e">
        <f>IF(K416=2,"",_xlfn.IFNA(INDEX(drug_codes,MATCH(loaded!AU416,drug,0)),""))</f>
        <v>#N/A</v>
      </c>
      <c r="V416" t="e">
        <f>IF(K416=2,"",_xlfn.IFNA(INDEX(drug_codes,MATCH(loaded!AW416,drug,0)),""))</f>
        <v>#N/A</v>
      </c>
      <c r="W416" t="e">
        <f>IF(K416=2,"",_xlfn.IFNA(INDEX(drug_codes,MATCH(loaded!AY416,drug,0)),""))</f>
        <v>#N/A</v>
      </c>
      <c r="X416" t="e">
        <f>IF(K416=2,"",_xlfn.IFNA(INDEX(drug_codes,MATCH(loaded!BA416,drug,0)),""))</f>
        <v>#N/A</v>
      </c>
      <c r="Y416" t="e">
        <f>INDEX(MTT_codes,MATCH(loaded!BC416,MTT,0))</f>
        <v>#N/A</v>
      </c>
      <c r="Z416" t="str">
        <f>_xlfn.IFNA(INDEX(MTT_codes,MATCH(loaded!BE416,MTT,0)),"")</f>
        <v/>
      </c>
      <c r="AA416" t="str">
        <f>_xlfn.IFNA(INDEX(MTT_codes,MATCH(loaded!BG416,MTT,0)),"")</f>
        <v/>
      </c>
      <c r="AB416" t="str">
        <f>_xlfn.IFNA(INDEX(MTT_codes,MATCH(loaded!BI416,MTT,0)),"")</f>
        <v/>
      </c>
      <c r="AC416" t="str">
        <f>_xlfn.IFNA(INDEX(MTT_codes,MATCH(loaded!BK416,MTT,0)),"")</f>
        <v/>
      </c>
      <c r="AD416" t="str">
        <f>_xlfn.IFNA(INDEX(MTT_codes,MATCH(loaded!BM416,MTT,0)),"")</f>
        <v/>
      </c>
      <c r="AE416" t="e">
        <f>INDEX(liv_ar_codes,MATCH(loaded!BO416,liv_ar,0))</f>
        <v>#N/A</v>
      </c>
      <c r="AF416" t="str">
        <f>_xlfn.IFNA(INDEX(MTT_codes,MATCH(loaded!BQ416,MTT,0)),"")</f>
        <v/>
      </c>
      <c r="AG416">
        <f>_xlfn.IFNA(INDEX(mental_codes,MATCH(loaded!BS416,mental,0)),9)</f>
        <v>9</v>
      </c>
    </row>
    <row r="417" spans="1:33" x14ac:dyDescent="0.25">
      <c r="A417">
        <f>loaded!C417</f>
        <v>0</v>
      </c>
      <c r="B417">
        <f>loaded!I417</f>
        <v>0</v>
      </c>
      <c r="C417">
        <f>IF(loaded!K417="Male",1,IF(loaded!K417="Female",2,9))</f>
        <v>9</v>
      </c>
      <c r="D417" s="8">
        <f>loaded!M417</f>
        <v>0</v>
      </c>
      <c r="E417" t="str">
        <f>LEFT(loaded!O417,3)</f>
        <v/>
      </c>
      <c r="F417" t="e">
        <f>INDEX(cntry_codes,MATCH(loaded!Q417,countries,0))</f>
        <v>#N/A</v>
      </c>
      <c r="G417" t="e">
        <f>INDEX(atsi_codes,MATCH(loaded!S417,atsi,0))</f>
        <v>#N/A</v>
      </c>
      <c r="H417" t="e">
        <f>INDEX(lang_codes,MATCH(loaded!U417,lang,0))</f>
        <v>#N/A</v>
      </c>
      <c r="I417" s="8">
        <f>loaded!W417</f>
        <v>0</v>
      </c>
      <c r="J417" t="e">
        <f>INDEX(us_acc_codes,MATCH(loaded!Y417,us_acc,0))</f>
        <v>#N/A</v>
      </c>
      <c r="K417" t="e">
        <f>INDEX(client_codes,MATCH(loaded!AA417,client,0))</f>
        <v>#N/A</v>
      </c>
      <c r="L417" t="e">
        <f>INDEX(src_ref_codes,MATCH(loaded!AC417,src_ref,0))</f>
        <v>#N/A</v>
      </c>
      <c r="M417" s="8">
        <f>loaded!AE417</f>
        <v>0</v>
      </c>
      <c r="N417" s="8">
        <f>loaded!AG417</f>
        <v>0</v>
      </c>
      <c r="O417" t="e">
        <f>INDEX(reces_codes,MATCH(loaded!AI417,reason,0))</f>
        <v>#N/A</v>
      </c>
      <c r="P417" t="e">
        <f>INDEX(TDS_codes,MATCH(loaded!AK417,TDS,0))</f>
        <v>#N/A</v>
      </c>
      <c r="Q417" t="e">
        <f>IF(K417=2,"",INDEX(method_codes,MATCH(loaded!AM417,method,0)))</f>
        <v>#N/A</v>
      </c>
      <c r="R417" t="e">
        <f>IF(K417=2,"",INDEX(inj_codes,MATCH(loaded!AO417,inj,0)))</f>
        <v>#N/A</v>
      </c>
      <c r="S417" t="e">
        <f>IF(K417=2,"",INDEX(drug_codes,MATCH(loaded!AQ417,drug,0)))</f>
        <v>#N/A</v>
      </c>
      <c r="T417" t="e">
        <f>IF(K417=2,"",_xlfn.IFNA(INDEX(drug_codes,MATCH(loaded!AS417,drug,0)),""))</f>
        <v>#N/A</v>
      </c>
      <c r="U417" t="e">
        <f>IF(K417=2,"",_xlfn.IFNA(INDEX(drug_codes,MATCH(loaded!AU417,drug,0)),""))</f>
        <v>#N/A</v>
      </c>
      <c r="V417" t="e">
        <f>IF(K417=2,"",_xlfn.IFNA(INDEX(drug_codes,MATCH(loaded!AW417,drug,0)),""))</f>
        <v>#N/A</v>
      </c>
      <c r="W417" t="e">
        <f>IF(K417=2,"",_xlfn.IFNA(INDEX(drug_codes,MATCH(loaded!AY417,drug,0)),""))</f>
        <v>#N/A</v>
      </c>
      <c r="X417" t="e">
        <f>IF(K417=2,"",_xlfn.IFNA(INDEX(drug_codes,MATCH(loaded!BA417,drug,0)),""))</f>
        <v>#N/A</v>
      </c>
      <c r="Y417" t="e">
        <f>INDEX(MTT_codes,MATCH(loaded!BC417,MTT,0))</f>
        <v>#N/A</v>
      </c>
      <c r="Z417" t="str">
        <f>_xlfn.IFNA(INDEX(MTT_codes,MATCH(loaded!BE417,MTT,0)),"")</f>
        <v/>
      </c>
      <c r="AA417" t="str">
        <f>_xlfn.IFNA(INDEX(MTT_codes,MATCH(loaded!BG417,MTT,0)),"")</f>
        <v/>
      </c>
      <c r="AB417" t="str">
        <f>_xlfn.IFNA(INDEX(MTT_codes,MATCH(loaded!BI417,MTT,0)),"")</f>
        <v/>
      </c>
      <c r="AC417" t="str">
        <f>_xlfn.IFNA(INDEX(MTT_codes,MATCH(loaded!BK417,MTT,0)),"")</f>
        <v/>
      </c>
      <c r="AD417" t="str">
        <f>_xlfn.IFNA(INDEX(MTT_codes,MATCH(loaded!BM417,MTT,0)),"")</f>
        <v/>
      </c>
      <c r="AE417" t="e">
        <f>INDEX(liv_ar_codes,MATCH(loaded!BO417,liv_ar,0))</f>
        <v>#N/A</v>
      </c>
      <c r="AF417" t="str">
        <f>_xlfn.IFNA(INDEX(MTT_codes,MATCH(loaded!BQ417,MTT,0)),"")</f>
        <v/>
      </c>
      <c r="AG417">
        <f>_xlfn.IFNA(INDEX(mental_codes,MATCH(loaded!BS417,mental,0)),9)</f>
        <v>9</v>
      </c>
    </row>
    <row r="418" spans="1:33" x14ac:dyDescent="0.25">
      <c r="A418">
        <f>loaded!C418</f>
        <v>0</v>
      </c>
      <c r="B418">
        <f>loaded!I418</f>
        <v>0</v>
      </c>
      <c r="C418">
        <f>IF(loaded!K418="Male",1,IF(loaded!K418="Female",2,9))</f>
        <v>9</v>
      </c>
      <c r="D418" s="8">
        <f>loaded!M418</f>
        <v>0</v>
      </c>
      <c r="E418" t="str">
        <f>LEFT(loaded!O418,3)</f>
        <v/>
      </c>
      <c r="F418" t="e">
        <f>INDEX(cntry_codes,MATCH(loaded!Q418,countries,0))</f>
        <v>#N/A</v>
      </c>
      <c r="G418" t="e">
        <f>INDEX(atsi_codes,MATCH(loaded!S418,atsi,0))</f>
        <v>#N/A</v>
      </c>
      <c r="H418" t="e">
        <f>INDEX(lang_codes,MATCH(loaded!U418,lang,0))</f>
        <v>#N/A</v>
      </c>
      <c r="I418" s="8">
        <f>loaded!W418</f>
        <v>0</v>
      </c>
      <c r="J418" t="e">
        <f>INDEX(us_acc_codes,MATCH(loaded!Y418,us_acc,0))</f>
        <v>#N/A</v>
      </c>
      <c r="K418" t="e">
        <f>INDEX(client_codes,MATCH(loaded!AA418,client,0))</f>
        <v>#N/A</v>
      </c>
      <c r="L418" t="e">
        <f>INDEX(src_ref_codes,MATCH(loaded!AC418,src_ref,0))</f>
        <v>#N/A</v>
      </c>
      <c r="M418" s="8">
        <f>loaded!AE418</f>
        <v>0</v>
      </c>
      <c r="N418" s="8">
        <f>loaded!AG418</f>
        <v>0</v>
      </c>
      <c r="O418" t="e">
        <f>INDEX(reces_codes,MATCH(loaded!AI418,reason,0))</f>
        <v>#N/A</v>
      </c>
      <c r="P418" t="e">
        <f>INDEX(TDS_codes,MATCH(loaded!AK418,TDS,0))</f>
        <v>#N/A</v>
      </c>
      <c r="Q418" t="e">
        <f>IF(K418=2,"",INDEX(method_codes,MATCH(loaded!AM418,method,0)))</f>
        <v>#N/A</v>
      </c>
      <c r="R418" t="e">
        <f>IF(K418=2,"",INDEX(inj_codes,MATCH(loaded!AO418,inj,0)))</f>
        <v>#N/A</v>
      </c>
      <c r="S418" t="e">
        <f>IF(K418=2,"",INDEX(drug_codes,MATCH(loaded!AQ418,drug,0)))</f>
        <v>#N/A</v>
      </c>
      <c r="T418" t="e">
        <f>IF(K418=2,"",_xlfn.IFNA(INDEX(drug_codes,MATCH(loaded!AS418,drug,0)),""))</f>
        <v>#N/A</v>
      </c>
      <c r="U418" t="e">
        <f>IF(K418=2,"",_xlfn.IFNA(INDEX(drug_codes,MATCH(loaded!AU418,drug,0)),""))</f>
        <v>#N/A</v>
      </c>
      <c r="V418" t="e">
        <f>IF(K418=2,"",_xlfn.IFNA(INDEX(drug_codes,MATCH(loaded!AW418,drug,0)),""))</f>
        <v>#N/A</v>
      </c>
      <c r="W418" t="e">
        <f>IF(K418=2,"",_xlfn.IFNA(INDEX(drug_codes,MATCH(loaded!AY418,drug,0)),""))</f>
        <v>#N/A</v>
      </c>
      <c r="X418" t="e">
        <f>IF(K418=2,"",_xlfn.IFNA(INDEX(drug_codes,MATCH(loaded!BA418,drug,0)),""))</f>
        <v>#N/A</v>
      </c>
      <c r="Y418" t="e">
        <f>INDEX(MTT_codes,MATCH(loaded!BC418,MTT,0))</f>
        <v>#N/A</v>
      </c>
      <c r="Z418" t="str">
        <f>_xlfn.IFNA(INDEX(MTT_codes,MATCH(loaded!BE418,MTT,0)),"")</f>
        <v/>
      </c>
      <c r="AA418" t="str">
        <f>_xlfn.IFNA(INDEX(MTT_codes,MATCH(loaded!BG418,MTT,0)),"")</f>
        <v/>
      </c>
      <c r="AB418" t="str">
        <f>_xlfn.IFNA(INDEX(MTT_codes,MATCH(loaded!BI418,MTT,0)),"")</f>
        <v/>
      </c>
      <c r="AC418" t="str">
        <f>_xlfn.IFNA(INDEX(MTT_codes,MATCH(loaded!BK418,MTT,0)),"")</f>
        <v/>
      </c>
      <c r="AD418" t="str">
        <f>_xlfn.IFNA(INDEX(MTT_codes,MATCH(loaded!BM418,MTT,0)),"")</f>
        <v/>
      </c>
      <c r="AE418" t="e">
        <f>INDEX(liv_ar_codes,MATCH(loaded!BO418,liv_ar,0))</f>
        <v>#N/A</v>
      </c>
      <c r="AF418" t="str">
        <f>_xlfn.IFNA(INDEX(MTT_codes,MATCH(loaded!BQ418,MTT,0)),"")</f>
        <v/>
      </c>
      <c r="AG418">
        <f>_xlfn.IFNA(INDEX(mental_codes,MATCH(loaded!BS418,mental,0)),9)</f>
        <v>9</v>
      </c>
    </row>
    <row r="419" spans="1:33" x14ac:dyDescent="0.25">
      <c r="A419">
        <f>loaded!C419</f>
        <v>0</v>
      </c>
      <c r="B419">
        <f>loaded!I419</f>
        <v>0</v>
      </c>
      <c r="C419">
        <f>IF(loaded!K419="Male",1,IF(loaded!K419="Female",2,9))</f>
        <v>9</v>
      </c>
      <c r="D419" s="8">
        <f>loaded!M419</f>
        <v>0</v>
      </c>
      <c r="E419" t="str">
        <f>LEFT(loaded!O419,3)</f>
        <v/>
      </c>
      <c r="F419" t="e">
        <f>INDEX(cntry_codes,MATCH(loaded!Q419,countries,0))</f>
        <v>#N/A</v>
      </c>
      <c r="G419" t="e">
        <f>INDEX(atsi_codes,MATCH(loaded!S419,atsi,0))</f>
        <v>#N/A</v>
      </c>
      <c r="H419" t="e">
        <f>INDEX(lang_codes,MATCH(loaded!U419,lang,0))</f>
        <v>#N/A</v>
      </c>
      <c r="I419" s="8">
        <f>loaded!W419</f>
        <v>0</v>
      </c>
      <c r="J419" t="e">
        <f>INDEX(us_acc_codes,MATCH(loaded!Y419,us_acc,0))</f>
        <v>#N/A</v>
      </c>
      <c r="K419" t="e">
        <f>INDEX(client_codes,MATCH(loaded!AA419,client,0))</f>
        <v>#N/A</v>
      </c>
      <c r="L419" t="e">
        <f>INDEX(src_ref_codes,MATCH(loaded!AC419,src_ref,0))</f>
        <v>#N/A</v>
      </c>
      <c r="M419" s="8">
        <f>loaded!AE419</f>
        <v>0</v>
      </c>
      <c r="N419" s="8">
        <f>loaded!AG419</f>
        <v>0</v>
      </c>
      <c r="O419" t="e">
        <f>INDEX(reces_codes,MATCH(loaded!AI419,reason,0))</f>
        <v>#N/A</v>
      </c>
      <c r="P419" t="e">
        <f>INDEX(TDS_codes,MATCH(loaded!AK419,TDS,0))</f>
        <v>#N/A</v>
      </c>
      <c r="Q419" t="e">
        <f>IF(K419=2,"",INDEX(method_codes,MATCH(loaded!AM419,method,0)))</f>
        <v>#N/A</v>
      </c>
      <c r="R419" t="e">
        <f>IF(K419=2,"",INDEX(inj_codes,MATCH(loaded!AO419,inj,0)))</f>
        <v>#N/A</v>
      </c>
      <c r="S419" t="e">
        <f>IF(K419=2,"",INDEX(drug_codes,MATCH(loaded!AQ419,drug,0)))</f>
        <v>#N/A</v>
      </c>
      <c r="T419" t="e">
        <f>IF(K419=2,"",_xlfn.IFNA(INDEX(drug_codes,MATCH(loaded!AS419,drug,0)),""))</f>
        <v>#N/A</v>
      </c>
      <c r="U419" t="e">
        <f>IF(K419=2,"",_xlfn.IFNA(INDEX(drug_codes,MATCH(loaded!AU419,drug,0)),""))</f>
        <v>#N/A</v>
      </c>
      <c r="V419" t="e">
        <f>IF(K419=2,"",_xlfn.IFNA(INDEX(drug_codes,MATCH(loaded!AW419,drug,0)),""))</f>
        <v>#N/A</v>
      </c>
      <c r="W419" t="e">
        <f>IF(K419=2,"",_xlfn.IFNA(INDEX(drug_codes,MATCH(loaded!AY419,drug,0)),""))</f>
        <v>#N/A</v>
      </c>
      <c r="X419" t="e">
        <f>IF(K419=2,"",_xlfn.IFNA(INDEX(drug_codes,MATCH(loaded!BA419,drug,0)),""))</f>
        <v>#N/A</v>
      </c>
      <c r="Y419" t="e">
        <f>INDEX(MTT_codes,MATCH(loaded!BC419,MTT,0))</f>
        <v>#N/A</v>
      </c>
      <c r="Z419" t="str">
        <f>_xlfn.IFNA(INDEX(MTT_codes,MATCH(loaded!BE419,MTT,0)),"")</f>
        <v/>
      </c>
      <c r="AA419" t="str">
        <f>_xlfn.IFNA(INDEX(MTT_codes,MATCH(loaded!BG419,MTT,0)),"")</f>
        <v/>
      </c>
      <c r="AB419" t="str">
        <f>_xlfn.IFNA(INDEX(MTT_codes,MATCH(loaded!BI419,MTT,0)),"")</f>
        <v/>
      </c>
      <c r="AC419" t="str">
        <f>_xlfn.IFNA(INDEX(MTT_codes,MATCH(loaded!BK419,MTT,0)),"")</f>
        <v/>
      </c>
      <c r="AD419" t="str">
        <f>_xlfn.IFNA(INDEX(MTT_codes,MATCH(loaded!BM419,MTT,0)),"")</f>
        <v/>
      </c>
      <c r="AE419" t="e">
        <f>INDEX(liv_ar_codes,MATCH(loaded!BO419,liv_ar,0))</f>
        <v>#N/A</v>
      </c>
      <c r="AF419" t="str">
        <f>_xlfn.IFNA(INDEX(MTT_codes,MATCH(loaded!BQ419,MTT,0)),"")</f>
        <v/>
      </c>
      <c r="AG419">
        <f>_xlfn.IFNA(INDEX(mental_codes,MATCH(loaded!BS419,mental,0)),9)</f>
        <v>9</v>
      </c>
    </row>
    <row r="420" spans="1:33" x14ac:dyDescent="0.25">
      <c r="A420">
        <f>loaded!C420</f>
        <v>0</v>
      </c>
      <c r="B420">
        <f>loaded!I420</f>
        <v>0</v>
      </c>
      <c r="C420">
        <f>IF(loaded!K420="Male",1,IF(loaded!K420="Female",2,9))</f>
        <v>9</v>
      </c>
      <c r="D420" s="8">
        <f>loaded!M420</f>
        <v>0</v>
      </c>
      <c r="E420" t="str">
        <f>LEFT(loaded!O420,3)</f>
        <v/>
      </c>
      <c r="F420" t="e">
        <f>INDEX(cntry_codes,MATCH(loaded!Q420,countries,0))</f>
        <v>#N/A</v>
      </c>
      <c r="G420" t="e">
        <f>INDEX(atsi_codes,MATCH(loaded!S420,atsi,0))</f>
        <v>#N/A</v>
      </c>
      <c r="H420" t="e">
        <f>INDEX(lang_codes,MATCH(loaded!U420,lang,0))</f>
        <v>#N/A</v>
      </c>
      <c r="I420" s="8">
        <f>loaded!W420</f>
        <v>0</v>
      </c>
      <c r="J420" t="e">
        <f>INDEX(us_acc_codes,MATCH(loaded!Y420,us_acc,0))</f>
        <v>#N/A</v>
      </c>
      <c r="K420" t="e">
        <f>INDEX(client_codes,MATCH(loaded!AA420,client,0))</f>
        <v>#N/A</v>
      </c>
      <c r="L420" t="e">
        <f>INDEX(src_ref_codes,MATCH(loaded!AC420,src_ref,0))</f>
        <v>#N/A</v>
      </c>
      <c r="M420" s="8">
        <f>loaded!AE420</f>
        <v>0</v>
      </c>
      <c r="N420" s="8">
        <f>loaded!AG420</f>
        <v>0</v>
      </c>
      <c r="O420" t="e">
        <f>INDEX(reces_codes,MATCH(loaded!AI420,reason,0))</f>
        <v>#N/A</v>
      </c>
      <c r="P420" t="e">
        <f>INDEX(TDS_codes,MATCH(loaded!AK420,TDS,0))</f>
        <v>#N/A</v>
      </c>
      <c r="Q420" t="e">
        <f>IF(K420=2,"",INDEX(method_codes,MATCH(loaded!AM420,method,0)))</f>
        <v>#N/A</v>
      </c>
      <c r="R420" t="e">
        <f>IF(K420=2,"",INDEX(inj_codes,MATCH(loaded!AO420,inj,0)))</f>
        <v>#N/A</v>
      </c>
      <c r="S420" t="e">
        <f>IF(K420=2,"",INDEX(drug_codes,MATCH(loaded!AQ420,drug,0)))</f>
        <v>#N/A</v>
      </c>
      <c r="T420" t="e">
        <f>IF(K420=2,"",_xlfn.IFNA(INDEX(drug_codes,MATCH(loaded!AS420,drug,0)),""))</f>
        <v>#N/A</v>
      </c>
      <c r="U420" t="e">
        <f>IF(K420=2,"",_xlfn.IFNA(INDEX(drug_codes,MATCH(loaded!AU420,drug,0)),""))</f>
        <v>#N/A</v>
      </c>
      <c r="V420" t="e">
        <f>IF(K420=2,"",_xlfn.IFNA(INDEX(drug_codes,MATCH(loaded!AW420,drug,0)),""))</f>
        <v>#N/A</v>
      </c>
      <c r="W420" t="e">
        <f>IF(K420=2,"",_xlfn.IFNA(INDEX(drug_codes,MATCH(loaded!AY420,drug,0)),""))</f>
        <v>#N/A</v>
      </c>
      <c r="X420" t="e">
        <f>IF(K420=2,"",_xlfn.IFNA(INDEX(drug_codes,MATCH(loaded!BA420,drug,0)),""))</f>
        <v>#N/A</v>
      </c>
      <c r="Y420" t="e">
        <f>INDEX(MTT_codes,MATCH(loaded!BC420,MTT,0))</f>
        <v>#N/A</v>
      </c>
      <c r="Z420" t="str">
        <f>_xlfn.IFNA(INDEX(MTT_codes,MATCH(loaded!BE420,MTT,0)),"")</f>
        <v/>
      </c>
      <c r="AA420" t="str">
        <f>_xlfn.IFNA(INDEX(MTT_codes,MATCH(loaded!BG420,MTT,0)),"")</f>
        <v/>
      </c>
      <c r="AB420" t="str">
        <f>_xlfn.IFNA(INDEX(MTT_codes,MATCH(loaded!BI420,MTT,0)),"")</f>
        <v/>
      </c>
      <c r="AC420" t="str">
        <f>_xlfn.IFNA(INDEX(MTT_codes,MATCH(loaded!BK420,MTT,0)),"")</f>
        <v/>
      </c>
      <c r="AD420" t="str">
        <f>_xlfn.IFNA(INDEX(MTT_codes,MATCH(loaded!BM420,MTT,0)),"")</f>
        <v/>
      </c>
      <c r="AE420" t="e">
        <f>INDEX(liv_ar_codes,MATCH(loaded!BO420,liv_ar,0))</f>
        <v>#N/A</v>
      </c>
      <c r="AF420" t="str">
        <f>_xlfn.IFNA(INDEX(MTT_codes,MATCH(loaded!BQ420,MTT,0)),"")</f>
        <v/>
      </c>
      <c r="AG420">
        <f>_xlfn.IFNA(INDEX(mental_codes,MATCH(loaded!BS420,mental,0)),9)</f>
        <v>9</v>
      </c>
    </row>
    <row r="421" spans="1:33" x14ac:dyDescent="0.25">
      <c r="A421">
        <f>loaded!C421</f>
        <v>0</v>
      </c>
      <c r="B421">
        <f>loaded!I421</f>
        <v>0</v>
      </c>
      <c r="C421">
        <f>IF(loaded!K421="Male",1,IF(loaded!K421="Female",2,9))</f>
        <v>9</v>
      </c>
      <c r="D421" s="8">
        <f>loaded!M421</f>
        <v>0</v>
      </c>
      <c r="E421" t="str">
        <f>LEFT(loaded!O421,3)</f>
        <v/>
      </c>
      <c r="F421" t="e">
        <f>INDEX(cntry_codes,MATCH(loaded!Q421,countries,0))</f>
        <v>#N/A</v>
      </c>
      <c r="G421" t="e">
        <f>INDEX(atsi_codes,MATCH(loaded!S421,atsi,0))</f>
        <v>#N/A</v>
      </c>
      <c r="H421" t="e">
        <f>INDEX(lang_codes,MATCH(loaded!U421,lang,0))</f>
        <v>#N/A</v>
      </c>
      <c r="I421" s="8">
        <f>loaded!W421</f>
        <v>0</v>
      </c>
      <c r="J421" t="e">
        <f>INDEX(us_acc_codes,MATCH(loaded!Y421,us_acc,0))</f>
        <v>#N/A</v>
      </c>
      <c r="K421" t="e">
        <f>INDEX(client_codes,MATCH(loaded!AA421,client,0))</f>
        <v>#N/A</v>
      </c>
      <c r="L421" t="e">
        <f>INDEX(src_ref_codes,MATCH(loaded!AC421,src_ref,0))</f>
        <v>#N/A</v>
      </c>
      <c r="M421" s="8">
        <f>loaded!AE421</f>
        <v>0</v>
      </c>
      <c r="N421" s="8">
        <f>loaded!AG421</f>
        <v>0</v>
      </c>
      <c r="O421" t="e">
        <f>INDEX(reces_codes,MATCH(loaded!AI421,reason,0))</f>
        <v>#N/A</v>
      </c>
      <c r="P421" t="e">
        <f>INDEX(TDS_codes,MATCH(loaded!AK421,TDS,0))</f>
        <v>#N/A</v>
      </c>
      <c r="Q421" t="e">
        <f>IF(K421=2,"",INDEX(method_codes,MATCH(loaded!AM421,method,0)))</f>
        <v>#N/A</v>
      </c>
      <c r="R421" t="e">
        <f>IF(K421=2,"",INDEX(inj_codes,MATCH(loaded!AO421,inj,0)))</f>
        <v>#N/A</v>
      </c>
      <c r="S421" t="e">
        <f>IF(K421=2,"",INDEX(drug_codes,MATCH(loaded!AQ421,drug,0)))</f>
        <v>#N/A</v>
      </c>
      <c r="T421" t="e">
        <f>IF(K421=2,"",_xlfn.IFNA(INDEX(drug_codes,MATCH(loaded!AS421,drug,0)),""))</f>
        <v>#N/A</v>
      </c>
      <c r="U421" t="e">
        <f>IF(K421=2,"",_xlfn.IFNA(INDEX(drug_codes,MATCH(loaded!AU421,drug,0)),""))</f>
        <v>#N/A</v>
      </c>
      <c r="V421" t="e">
        <f>IF(K421=2,"",_xlfn.IFNA(INDEX(drug_codes,MATCH(loaded!AW421,drug,0)),""))</f>
        <v>#N/A</v>
      </c>
      <c r="W421" t="e">
        <f>IF(K421=2,"",_xlfn.IFNA(INDEX(drug_codes,MATCH(loaded!AY421,drug,0)),""))</f>
        <v>#N/A</v>
      </c>
      <c r="X421" t="e">
        <f>IF(K421=2,"",_xlfn.IFNA(INDEX(drug_codes,MATCH(loaded!BA421,drug,0)),""))</f>
        <v>#N/A</v>
      </c>
      <c r="Y421" t="e">
        <f>INDEX(MTT_codes,MATCH(loaded!BC421,MTT,0))</f>
        <v>#N/A</v>
      </c>
      <c r="Z421" t="str">
        <f>_xlfn.IFNA(INDEX(MTT_codes,MATCH(loaded!BE421,MTT,0)),"")</f>
        <v/>
      </c>
      <c r="AA421" t="str">
        <f>_xlfn.IFNA(INDEX(MTT_codes,MATCH(loaded!BG421,MTT,0)),"")</f>
        <v/>
      </c>
      <c r="AB421" t="str">
        <f>_xlfn.IFNA(INDEX(MTT_codes,MATCH(loaded!BI421,MTT,0)),"")</f>
        <v/>
      </c>
      <c r="AC421" t="str">
        <f>_xlfn.IFNA(INDEX(MTT_codes,MATCH(loaded!BK421,MTT,0)),"")</f>
        <v/>
      </c>
      <c r="AD421" t="str">
        <f>_xlfn.IFNA(INDEX(MTT_codes,MATCH(loaded!BM421,MTT,0)),"")</f>
        <v/>
      </c>
      <c r="AE421" t="e">
        <f>INDEX(liv_ar_codes,MATCH(loaded!BO421,liv_ar,0))</f>
        <v>#N/A</v>
      </c>
      <c r="AF421" t="str">
        <f>_xlfn.IFNA(INDEX(MTT_codes,MATCH(loaded!BQ421,MTT,0)),"")</f>
        <v/>
      </c>
      <c r="AG421">
        <f>_xlfn.IFNA(INDEX(mental_codes,MATCH(loaded!BS421,mental,0)),9)</f>
        <v>9</v>
      </c>
    </row>
    <row r="422" spans="1:33" x14ac:dyDescent="0.25">
      <c r="A422">
        <f>loaded!C422</f>
        <v>0</v>
      </c>
      <c r="B422">
        <f>loaded!I422</f>
        <v>0</v>
      </c>
      <c r="C422">
        <f>IF(loaded!K422="Male",1,IF(loaded!K422="Female",2,9))</f>
        <v>9</v>
      </c>
      <c r="D422" s="8">
        <f>loaded!M422</f>
        <v>0</v>
      </c>
      <c r="E422" t="str">
        <f>LEFT(loaded!O422,3)</f>
        <v/>
      </c>
      <c r="F422" t="e">
        <f>INDEX(cntry_codes,MATCH(loaded!Q422,countries,0))</f>
        <v>#N/A</v>
      </c>
      <c r="G422" t="e">
        <f>INDEX(atsi_codes,MATCH(loaded!S422,atsi,0))</f>
        <v>#N/A</v>
      </c>
      <c r="H422" t="e">
        <f>INDEX(lang_codes,MATCH(loaded!U422,lang,0))</f>
        <v>#N/A</v>
      </c>
      <c r="I422" s="8">
        <f>loaded!W422</f>
        <v>0</v>
      </c>
      <c r="J422" t="e">
        <f>INDEX(us_acc_codes,MATCH(loaded!Y422,us_acc,0))</f>
        <v>#N/A</v>
      </c>
      <c r="K422" t="e">
        <f>INDEX(client_codes,MATCH(loaded!AA422,client,0))</f>
        <v>#N/A</v>
      </c>
      <c r="L422" t="e">
        <f>INDEX(src_ref_codes,MATCH(loaded!AC422,src_ref,0))</f>
        <v>#N/A</v>
      </c>
      <c r="M422" s="8">
        <f>loaded!AE422</f>
        <v>0</v>
      </c>
      <c r="N422" s="8">
        <f>loaded!AG422</f>
        <v>0</v>
      </c>
      <c r="O422" t="e">
        <f>INDEX(reces_codes,MATCH(loaded!AI422,reason,0))</f>
        <v>#N/A</v>
      </c>
      <c r="P422" t="e">
        <f>INDEX(TDS_codes,MATCH(loaded!AK422,TDS,0))</f>
        <v>#N/A</v>
      </c>
      <c r="Q422" t="e">
        <f>IF(K422=2,"",INDEX(method_codes,MATCH(loaded!AM422,method,0)))</f>
        <v>#N/A</v>
      </c>
      <c r="R422" t="e">
        <f>IF(K422=2,"",INDEX(inj_codes,MATCH(loaded!AO422,inj,0)))</f>
        <v>#N/A</v>
      </c>
      <c r="S422" t="e">
        <f>IF(K422=2,"",INDEX(drug_codes,MATCH(loaded!AQ422,drug,0)))</f>
        <v>#N/A</v>
      </c>
      <c r="T422" t="e">
        <f>IF(K422=2,"",_xlfn.IFNA(INDEX(drug_codes,MATCH(loaded!AS422,drug,0)),""))</f>
        <v>#N/A</v>
      </c>
      <c r="U422" t="e">
        <f>IF(K422=2,"",_xlfn.IFNA(INDEX(drug_codes,MATCH(loaded!AU422,drug,0)),""))</f>
        <v>#N/A</v>
      </c>
      <c r="V422" t="e">
        <f>IF(K422=2,"",_xlfn.IFNA(INDEX(drug_codes,MATCH(loaded!AW422,drug,0)),""))</f>
        <v>#N/A</v>
      </c>
      <c r="W422" t="e">
        <f>IF(K422=2,"",_xlfn.IFNA(INDEX(drug_codes,MATCH(loaded!AY422,drug,0)),""))</f>
        <v>#N/A</v>
      </c>
      <c r="X422" t="e">
        <f>IF(K422=2,"",_xlfn.IFNA(INDEX(drug_codes,MATCH(loaded!BA422,drug,0)),""))</f>
        <v>#N/A</v>
      </c>
      <c r="Y422" t="e">
        <f>INDEX(MTT_codes,MATCH(loaded!BC422,MTT,0))</f>
        <v>#N/A</v>
      </c>
      <c r="Z422" t="str">
        <f>_xlfn.IFNA(INDEX(MTT_codes,MATCH(loaded!BE422,MTT,0)),"")</f>
        <v/>
      </c>
      <c r="AA422" t="str">
        <f>_xlfn.IFNA(INDEX(MTT_codes,MATCH(loaded!BG422,MTT,0)),"")</f>
        <v/>
      </c>
      <c r="AB422" t="str">
        <f>_xlfn.IFNA(INDEX(MTT_codes,MATCH(loaded!BI422,MTT,0)),"")</f>
        <v/>
      </c>
      <c r="AC422" t="str">
        <f>_xlfn.IFNA(INDEX(MTT_codes,MATCH(loaded!BK422,MTT,0)),"")</f>
        <v/>
      </c>
      <c r="AD422" t="str">
        <f>_xlfn.IFNA(INDEX(MTT_codes,MATCH(loaded!BM422,MTT,0)),"")</f>
        <v/>
      </c>
      <c r="AE422" t="e">
        <f>INDEX(liv_ar_codes,MATCH(loaded!BO422,liv_ar,0))</f>
        <v>#N/A</v>
      </c>
      <c r="AF422" t="str">
        <f>_xlfn.IFNA(INDEX(MTT_codes,MATCH(loaded!BQ422,MTT,0)),"")</f>
        <v/>
      </c>
      <c r="AG422">
        <f>_xlfn.IFNA(INDEX(mental_codes,MATCH(loaded!BS422,mental,0)),9)</f>
        <v>9</v>
      </c>
    </row>
    <row r="423" spans="1:33" x14ac:dyDescent="0.25">
      <c r="A423">
        <f>loaded!C423</f>
        <v>0</v>
      </c>
      <c r="B423">
        <f>loaded!I423</f>
        <v>0</v>
      </c>
      <c r="C423">
        <f>IF(loaded!K423="Male",1,IF(loaded!K423="Female",2,9))</f>
        <v>9</v>
      </c>
      <c r="D423" s="8">
        <f>loaded!M423</f>
        <v>0</v>
      </c>
      <c r="E423" t="str">
        <f>LEFT(loaded!O423,3)</f>
        <v/>
      </c>
      <c r="F423" t="e">
        <f>INDEX(cntry_codes,MATCH(loaded!Q423,countries,0))</f>
        <v>#N/A</v>
      </c>
      <c r="G423" t="e">
        <f>INDEX(atsi_codes,MATCH(loaded!S423,atsi,0))</f>
        <v>#N/A</v>
      </c>
      <c r="H423" t="e">
        <f>INDEX(lang_codes,MATCH(loaded!U423,lang,0))</f>
        <v>#N/A</v>
      </c>
      <c r="I423" s="8">
        <f>loaded!W423</f>
        <v>0</v>
      </c>
      <c r="J423" t="e">
        <f>INDEX(us_acc_codes,MATCH(loaded!Y423,us_acc,0))</f>
        <v>#N/A</v>
      </c>
      <c r="K423" t="e">
        <f>INDEX(client_codes,MATCH(loaded!AA423,client,0))</f>
        <v>#N/A</v>
      </c>
      <c r="L423" t="e">
        <f>INDEX(src_ref_codes,MATCH(loaded!AC423,src_ref,0))</f>
        <v>#N/A</v>
      </c>
      <c r="M423" s="8">
        <f>loaded!AE423</f>
        <v>0</v>
      </c>
      <c r="N423" s="8">
        <f>loaded!AG423</f>
        <v>0</v>
      </c>
      <c r="O423" t="e">
        <f>INDEX(reces_codes,MATCH(loaded!AI423,reason,0))</f>
        <v>#N/A</v>
      </c>
      <c r="P423" t="e">
        <f>INDEX(TDS_codes,MATCH(loaded!AK423,TDS,0))</f>
        <v>#N/A</v>
      </c>
      <c r="Q423" t="e">
        <f>IF(K423=2,"",INDEX(method_codes,MATCH(loaded!AM423,method,0)))</f>
        <v>#N/A</v>
      </c>
      <c r="R423" t="e">
        <f>IF(K423=2,"",INDEX(inj_codes,MATCH(loaded!AO423,inj,0)))</f>
        <v>#N/A</v>
      </c>
      <c r="S423" t="e">
        <f>IF(K423=2,"",INDEX(drug_codes,MATCH(loaded!AQ423,drug,0)))</f>
        <v>#N/A</v>
      </c>
      <c r="T423" t="e">
        <f>IF(K423=2,"",_xlfn.IFNA(INDEX(drug_codes,MATCH(loaded!AS423,drug,0)),""))</f>
        <v>#N/A</v>
      </c>
      <c r="U423" t="e">
        <f>IF(K423=2,"",_xlfn.IFNA(INDEX(drug_codes,MATCH(loaded!AU423,drug,0)),""))</f>
        <v>#N/A</v>
      </c>
      <c r="V423" t="e">
        <f>IF(K423=2,"",_xlfn.IFNA(INDEX(drug_codes,MATCH(loaded!AW423,drug,0)),""))</f>
        <v>#N/A</v>
      </c>
      <c r="W423" t="e">
        <f>IF(K423=2,"",_xlfn.IFNA(INDEX(drug_codes,MATCH(loaded!AY423,drug,0)),""))</f>
        <v>#N/A</v>
      </c>
      <c r="X423" t="e">
        <f>IF(K423=2,"",_xlfn.IFNA(INDEX(drug_codes,MATCH(loaded!BA423,drug,0)),""))</f>
        <v>#N/A</v>
      </c>
      <c r="Y423" t="e">
        <f>INDEX(MTT_codes,MATCH(loaded!BC423,MTT,0))</f>
        <v>#N/A</v>
      </c>
      <c r="Z423" t="str">
        <f>_xlfn.IFNA(INDEX(MTT_codes,MATCH(loaded!BE423,MTT,0)),"")</f>
        <v/>
      </c>
      <c r="AA423" t="str">
        <f>_xlfn.IFNA(INDEX(MTT_codes,MATCH(loaded!BG423,MTT,0)),"")</f>
        <v/>
      </c>
      <c r="AB423" t="str">
        <f>_xlfn.IFNA(INDEX(MTT_codes,MATCH(loaded!BI423,MTT,0)),"")</f>
        <v/>
      </c>
      <c r="AC423" t="str">
        <f>_xlfn.IFNA(INDEX(MTT_codes,MATCH(loaded!BK423,MTT,0)),"")</f>
        <v/>
      </c>
      <c r="AD423" t="str">
        <f>_xlfn.IFNA(INDEX(MTT_codes,MATCH(loaded!BM423,MTT,0)),"")</f>
        <v/>
      </c>
      <c r="AE423" t="e">
        <f>INDEX(liv_ar_codes,MATCH(loaded!BO423,liv_ar,0))</f>
        <v>#N/A</v>
      </c>
      <c r="AF423" t="str">
        <f>_xlfn.IFNA(INDEX(MTT_codes,MATCH(loaded!BQ423,MTT,0)),"")</f>
        <v/>
      </c>
      <c r="AG423">
        <f>_xlfn.IFNA(INDEX(mental_codes,MATCH(loaded!BS423,mental,0)),9)</f>
        <v>9</v>
      </c>
    </row>
    <row r="424" spans="1:33" x14ac:dyDescent="0.25">
      <c r="A424">
        <f>loaded!C424</f>
        <v>0</v>
      </c>
      <c r="B424">
        <f>loaded!I424</f>
        <v>0</v>
      </c>
      <c r="C424">
        <f>IF(loaded!K424="Male",1,IF(loaded!K424="Female",2,9))</f>
        <v>9</v>
      </c>
      <c r="D424" s="8">
        <f>loaded!M424</f>
        <v>0</v>
      </c>
      <c r="E424" t="str">
        <f>LEFT(loaded!O424,3)</f>
        <v/>
      </c>
      <c r="F424" t="e">
        <f>INDEX(cntry_codes,MATCH(loaded!Q424,countries,0))</f>
        <v>#N/A</v>
      </c>
      <c r="G424" t="e">
        <f>INDEX(atsi_codes,MATCH(loaded!S424,atsi,0))</f>
        <v>#N/A</v>
      </c>
      <c r="H424" t="e">
        <f>INDEX(lang_codes,MATCH(loaded!U424,lang,0))</f>
        <v>#N/A</v>
      </c>
      <c r="I424" s="8">
        <f>loaded!W424</f>
        <v>0</v>
      </c>
      <c r="J424" t="e">
        <f>INDEX(us_acc_codes,MATCH(loaded!Y424,us_acc,0))</f>
        <v>#N/A</v>
      </c>
      <c r="K424" t="e">
        <f>INDEX(client_codes,MATCH(loaded!AA424,client,0))</f>
        <v>#N/A</v>
      </c>
      <c r="L424" t="e">
        <f>INDEX(src_ref_codes,MATCH(loaded!AC424,src_ref,0))</f>
        <v>#N/A</v>
      </c>
      <c r="M424" s="8">
        <f>loaded!AE424</f>
        <v>0</v>
      </c>
      <c r="N424" s="8">
        <f>loaded!AG424</f>
        <v>0</v>
      </c>
      <c r="O424" t="e">
        <f>INDEX(reces_codes,MATCH(loaded!AI424,reason,0))</f>
        <v>#N/A</v>
      </c>
      <c r="P424" t="e">
        <f>INDEX(TDS_codes,MATCH(loaded!AK424,TDS,0))</f>
        <v>#N/A</v>
      </c>
      <c r="Q424" t="e">
        <f>IF(K424=2,"",INDEX(method_codes,MATCH(loaded!AM424,method,0)))</f>
        <v>#N/A</v>
      </c>
      <c r="R424" t="e">
        <f>IF(K424=2,"",INDEX(inj_codes,MATCH(loaded!AO424,inj,0)))</f>
        <v>#N/A</v>
      </c>
      <c r="S424" t="e">
        <f>IF(K424=2,"",INDEX(drug_codes,MATCH(loaded!AQ424,drug,0)))</f>
        <v>#N/A</v>
      </c>
      <c r="T424" t="e">
        <f>IF(K424=2,"",_xlfn.IFNA(INDEX(drug_codes,MATCH(loaded!AS424,drug,0)),""))</f>
        <v>#N/A</v>
      </c>
      <c r="U424" t="e">
        <f>IF(K424=2,"",_xlfn.IFNA(INDEX(drug_codes,MATCH(loaded!AU424,drug,0)),""))</f>
        <v>#N/A</v>
      </c>
      <c r="V424" t="e">
        <f>IF(K424=2,"",_xlfn.IFNA(INDEX(drug_codes,MATCH(loaded!AW424,drug,0)),""))</f>
        <v>#N/A</v>
      </c>
      <c r="W424" t="e">
        <f>IF(K424=2,"",_xlfn.IFNA(INDEX(drug_codes,MATCH(loaded!AY424,drug,0)),""))</f>
        <v>#N/A</v>
      </c>
      <c r="X424" t="e">
        <f>IF(K424=2,"",_xlfn.IFNA(INDEX(drug_codes,MATCH(loaded!BA424,drug,0)),""))</f>
        <v>#N/A</v>
      </c>
      <c r="Y424" t="e">
        <f>INDEX(MTT_codes,MATCH(loaded!BC424,MTT,0))</f>
        <v>#N/A</v>
      </c>
      <c r="Z424" t="str">
        <f>_xlfn.IFNA(INDEX(MTT_codes,MATCH(loaded!BE424,MTT,0)),"")</f>
        <v/>
      </c>
      <c r="AA424" t="str">
        <f>_xlfn.IFNA(INDEX(MTT_codes,MATCH(loaded!BG424,MTT,0)),"")</f>
        <v/>
      </c>
      <c r="AB424" t="str">
        <f>_xlfn.IFNA(INDEX(MTT_codes,MATCH(loaded!BI424,MTT,0)),"")</f>
        <v/>
      </c>
      <c r="AC424" t="str">
        <f>_xlfn.IFNA(INDEX(MTT_codes,MATCH(loaded!BK424,MTT,0)),"")</f>
        <v/>
      </c>
      <c r="AD424" t="str">
        <f>_xlfn.IFNA(INDEX(MTT_codes,MATCH(loaded!BM424,MTT,0)),"")</f>
        <v/>
      </c>
      <c r="AE424" t="e">
        <f>INDEX(liv_ar_codes,MATCH(loaded!BO424,liv_ar,0))</f>
        <v>#N/A</v>
      </c>
      <c r="AF424" t="str">
        <f>_xlfn.IFNA(INDEX(MTT_codes,MATCH(loaded!BQ424,MTT,0)),"")</f>
        <v/>
      </c>
      <c r="AG424">
        <f>_xlfn.IFNA(INDEX(mental_codes,MATCH(loaded!BS424,mental,0)),9)</f>
        <v>9</v>
      </c>
    </row>
    <row r="425" spans="1:33" x14ac:dyDescent="0.25">
      <c r="A425">
        <f>loaded!C425</f>
        <v>0</v>
      </c>
      <c r="B425">
        <f>loaded!I425</f>
        <v>0</v>
      </c>
      <c r="C425">
        <f>IF(loaded!K425="Male",1,IF(loaded!K425="Female",2,9))</f>
        <v>9</v>
      </c>
      <c r="D425" s="8">
        <f>loaded!M425</f>
        <v>0</v>
      </c>
      <c r="E425" t="str">
        <f>LEFT(loaded!O425,3)</f>
        <v/>
      </c>
      <c r="F425" t="e">
        <f>INDEX(cntry_codes,MATCH(loaded!Q425,countries,0))</f>
        <v>#N/A</v>
      </c>
      <c r="G425" t="e">
        <f>INDEX(atsi_codes,MATCH(loaded!S425,atsi,0))</f>
        <v>#N/A</v>
      </c>
      <c r="H425" t="e">
        <f>INDEX(lang_codes,MATCH(loaded!U425,lang,0))</f>
        <v>#N/A</v>
      </c>
      <c r="I425" s="8">
        <f>loaded!W425</f>
        <v>0</v>
      </c>
      <c r="J425" t="e">
        <f>INDEX(us_acc_codes,MATCH(loaded!Y425,us_acc,0))</f>
        <v>#N/A</v>
      </c>
      <c r="K425" t="e">
        <f>INDEX(client_codes,MATCH(loaded!AA425,client,0))</f>
        <v>#N/A</v>
      </c>
      <c r="L425" t="e">
        <f>INDEX(src_ref_codes,MATCH(loaded!AC425,src_ref,0))</f>
        <v>#N/A</v>
      </c>
      <c r="M425" s="8">
        <f>loaded!AE425</f>
        <v>0</v>
      </c>
      <c r="N425" s="8">
        <f>loaded!AG425</f>
        <v>0</v>
      </c>
      <c r="O425" t="e">
        <f>INDEX(reces_codes,MATCH(loaded!AI425,reason,0))</f>
        <v>#N/A</v>
      </c>
      <c r="P425" t="e">
        <f>INDEX(TDS_codes,MATCH(loaded!AK425,TDS,0))</f>
        <v>#N/A</v>
      </c>
      <c r="Q425" t="e">
        <f>IF(K425=2,"",INDEX(method_codes,MATCH(loaded!AM425,method,0)))</f>
        <v>#N/A</v>
      </c>
      <c r="R425" t="e">
        <f>IF(K425=2,"",INDEX(inj_codes,MATCH(loaded!AO425,inj,0)))</f>
        <v>#N/A</v>
      </c>
      <c r="S425" t="e">
        <f>IF(K425=2,"",INDEX(drug_codes,MATCH(loaded!AQ425,drug,0)))</f>
        <v>#N/A</v>
      </c>
      <c r="T425" t="e">
        <f>IF(K425=2,"",_xlfn.IFNA(INDEX(drug_codes,MATCH(loaded!AS425,drug,0)),""))</f>
        <v>#N/A</v>
      </c>
      <c r="U425" t="e">
        <f>IF(K425=2,"",_xlfn.IFNA(INDEX(drug_codes,MATCH(loaded!AU425,drug,0)),""))</f>
        <v>#N/A</v>
      </c>
      <c r="V425" t="e">
        <f>IF(K425=2,"",_xlfn.IFNA(INDEX(drug_codes,MATCH(loaded!AW425,drug,0)),""))</f>
        <v>#N/A</v>
      </c>
      <c r="W425" t="e">
        <f>IF(K425=2,"",_xlfn.IFNA(INDEX(drug_codes,MATCH(loaded!AY425,drug,0)),""))</f>
        <v>#N/A</v>
      </c>
      <c r="X425" t="e">
        <f>IF(K425=2,"",_xlfn.IFNA(INDEX(drug_codes,MATCH(loaded!BA425,drug,0)),""))</f>
        <v>#N/A</v>
      </c>
      <c r="Y425" t="e">
        <f>INDEX(MTT_codes,MATCH(loaded!BC425,MTT,0))</f>
        <v>#N/A</v>
      </c>
      <c r="Z425" t="str">
        <f>_xlfn.IFNA(INDEX(MTT_codes,MATCH(loaded!BE425,MTT,0)),"")</f>
        <v/>
      </c>
      <c r="AA425" t="str">
        <f>_xlfn.IFNA(INDEX(MTT_codes,MATCH(loaded!BG425,MTT,0)),"")</f>
        <v/>
      </c>
      <c r="AB425" t="str">
        <f>_xlfn.IFNA(INDEX(MTT_codes,MATCH(loaded!BI425,MTT,0)),"")</f>
        <v/>
      </c>
      <c r="AC425" t="str">
        <f>_xlfn.IFNA(INDEX(MTT_codes,MATCH(loaded!BK425,MTT,0)),"")</f>
        <v/>
      </c>
      <c r="AD425" t="str">
        <f>_xlfn.IFNA(INDEX(MTT_codes,MATCH(loaded!BM425,MTT,0)),"")</f>
        <v/>
      </c>
      <c r="AE425" t="e">
        <f>INDEX(liv_ar_codes,MATCH(loaded!BO425,liv_ar,0))</f>
        <v>#N/A</v>
      </c>
      <c r="AF425" t="str">
        <f>_xlfn.IFNA(INDEX(MTT_codes,MATCH(loaded!BQ425,MTT,0)),"")</f>
        <v/>
      </c>
      <c r="AG425">
        <f>_xlfn.IFNA(INDEX(mental_codes,MATCH(loaded!BS425,mental,0)),9)</f>
        <v>9</v>
      </c>
    </row>
    <row r="426" spans="1:33" x14ac:dyDescent="0.25">
      <c r="A426">
        <f>loaded!C426</f>
        <v>0</v>
      </c>
      <c r="B426">
        <f>loaded!I426</f>
        <v>0</v>
      </c>
      <c r="C426">
        <f>IF(loaded!K426="Male",1,IF(loaded!K426="Female",2,9))</f>
        <v>9</v>
      </c>
      <c r="D426" s="8">
        <f>loaded!M426</f>
        <v>0</v>
      </c>
      <c r="E426" t="str">
        <f>LEFT(loaded!O426,3)</f>
        <v/>
      </c>
      <c r="F426" t="e">
        <f>INDEX(cntry_codes,MATCH(loaded!Q426,countries,0))</f>
        <v>#N/A</v>
      </c>
      <c r="G426" t="e">
        <f>INDEX(atsi_codes,MATCH(loaded!S426,atsi,0))</f>
        <v>#N/A</v>
      </c>
      <c r="H426" t="e">
        <f>INDEX(lang_codes,MATCH(loaded!U426,lang,0))</f>
        <v>#N/A</v>
      </c>
      <c r="I426" s="8">
        <f>loaded!W426</f>
        <v>0</v>
      </c>
      <c r="J426" t="e">
        <f>INDEX(us_acc_codes,MATCH(loaded!Y426,us_acc,0))</f>
        <v>#N/A</v>
      </c>
      <c r="K426" t="e">
        <f>INDEX(client_codes,MATCH(loaded!AA426,client,0))</f>
        <v>#N/A</v>
      </c>
      <c r="L426" t="e">
        <f>INDEX(src_ref_codes,MATCH(loaded!AC426,src_ref,0))</f>
        <v>#N/A</v>
      </c>
      <c r="M426" s="8">
        <f>loaded!AE426</f>
        <v>0</v>
      </c>
      <c r="N426" s="8">
        <f>loaded!AG426</f>
        <v>0</v>
      </c>
      <c r="O426" t="e">
        <f>INDEX(reces_codes,MATCH(loaded!AI426,reason,0))</f>
        <v>#N/A</v>
      </c>
      <c r="P426" t="e">
        <f>INDEX(TDS_codes,MATCH(loaded!AK426,TDS,0))</f>
        <v>#N/A</v>
      </c>
      <c r="Q426" t="e">
        <f>IF(K426=2,"",INDEX(method_codes,MATCH(loaded!AM426,method,0)))</f>
        <v>#N/A</v>
      </c>
      <c r="R426" t="e">
        <f>IF(K426=2,"",INDEX(inj_codes,MATCH(loaded!AO426,inj,0)))</f>
        <v>#N/A</v>
      </c>
      <c r="S426" t="e">
        <f>IF(K426=2,"",INDEX(drug_codes,MATCH(loaded!AQ426,drug,0)))</f>
        <v>#N/A</v>
      </c>
      <c r="T426" t="e">
        <f>IF(K426=2,"",_xlfn.IFNA(INDEX(drug_codes,MATCH(loaded!AS426,drug,0)),""))</f>
        <v>#N/A</v>
      </c>
      <c r="U426" t="e">
        <f>IF(K426=2,"",_xlfn.IFNA(INDEX(drug_codes,MATCH(loaded!AU426,drug,0)),""))</f>
        <v>#N/A</v>
      </c>
      <c r="V426" t="e">
        <f>IF(K426=2,"",_xlfn.IFNA(INDEX(drug_codes,MATCH(loaded!AW426,drug,0)),""))</f>
        <v>#N/A</v>
      </c>
      <c r="W426" t="e">
        <f>IF(K426=2,"",_xlfn.IFNA(INDEX(drug_codes,MATCH(loaded!AY426,drug,0)),""))</f>
        <v>#N/A</v>
      </c>
      <c r="X426" t="e">
        <f>IF(K426=2,"",_xlfn.IFNA(INDEX(drug_codes,MATCH(loaded!BA426,drug,0)),""))</f>
        <v>#N/A</v>
      </c>
      <c r="Y426" t="e">
        <f>INDEX(MTT_codes,MATCH(loaded!BC426,MTT,0))</f>
        <v>#N/A</v>
      </c>
      <c r="Z426" t="str">
        <f>_xlfn.IFNA(INDEX(MTT_codes,MATCH(loaded!BE426,MTT,0)),"")</f>
        <v/>
      </c>
      <c r="AA426" t="str">
        <f>_xlfn.IFNA(INDEX(MTT_codes,MATCH(loaded!BG426,MTT,0)),"")</f>
        <v/>
      </c>
      <c r="AB426" t="str">
        <f>_xlfn.IFNA(INDEX(MTT_codes,MATCH(loaded!BI426,MTT,0)),"")</f>
        <v/>
      </c>
      <c r="AC426" t="str">
        <f>_xlfn.IFNA(INDEX(MTT_codes,MATCH(loaded!BK426,MTT,0)),"")</f>
        <v/>
      </c>
      <c r="AD426" t="str">
        <f>_xlfn.IFNA(INDEX(MTT_codes,MATCH(loaded!BM426,MTT,0)),"")</f>
        <v/>
      </c>
      <c r="AE426" t="e">
        <f>INDEX(liv_ar_codes,MATCH(loaded!BO426,liv_ar,0))</f>
        <v>#N/A</v>
      </c>
      <c r="AF426" t="str">
        <f>_xlfn.IFNA(INDEX(MTT_codes,MATCH(loaded!BQ426,MTT,0)),"")</f>
        <v/>
      </c>
      <c r="AG426">
        <f>_xlfn.IFNA(INDEX(mental_codes,MATCH(loaded!BS426,mental,0)),9)</f>
        <v>9</v>
      </c>
    </row>
    <row r="427" spans="1:33" x14ac:dyDescent="0.25">
      <c r="A427">
        <f>loaded!C427</f>
        <v>0</v>
      </c>
      <c r="B427">
        <f>loaded!I427</f>
        <v>0</v>
      </c>
      <c r="C427">
        <f>IF(loaded!K427="Male",1,IF(loaded!K427="Female",2,9))</f>
        <v>9</v>
      </c>
      <c r="D427" s="8">
        <f>loaded!M427</f>
        <v>0</v>
      </c>
      <c r="E427" t="str">
        <f>LEFT(loaded!O427,3)</f>
        <v/>
      </c>
      <c r="F427" t="e">
        <f>INDEX(cntry_codes,MATCH(loaded!Q427,countries,0))</f>
        <v>#N/A</v>
      </c>
      <c r="G427" t="e">
        <f>INDEX(atsi_codes,MATCH(loaded!S427,atsi,0))</f>
        <v>#N/A</v>
      </c>
      <c r="H427" t="e">
        <f>INDEX(lang_codes,MATCH(loaded!U427,lang,0))</f>
        <v>#N/A</v>
      </c>
      <c r="I427" s="8">
        <f>loaded!W427</f>
        <v>0</v>
      </c>
      <c r="J427" t="e">
        <f>INDEX(us_acc_codes,MATCH(loaded!Y427,us_acc,0))</f>
        <v>#N/A</v>
      </c>
      <c r="K427" t="e">
        <f>INDEX(client_codes,MATCH(loaded!AA427,client,0))</f>
        <v>#N/A</v>
      </c>
      <c r="L427" t="e">
        <f>INDEX(src_ref_codes,MATCH(loaded!AC427,src_ref,0))</f>
        <v>#N/A</v>
      </c>
      <c r="M427" s="8">
        <f>loaded!AE427</f>
        <v>0</v>
      </c>
      <c r="N427" s="8">
        <f>loaded!AG427</f>
        <v>0</v>
      </c>
      <c r="O427" t="e">
        <f>INDEX(reces_codes,MATCH(loaded!AI427,reason,0))</f>
        <v>#N/A</v>
      </c>
      <c r="P427" t="e">
        <f>INDEX(TDS_codes,MATCH(loaded!AK427,TDS,0))</f>
        <v>#N/A</v>
      </c>
      <c r="Q427" t="e">
        <f>IF(K427=2,"",INDEX(method_codes,MATCH(loaded!AM427,method,0)))</f>
        <v>#N/A</v>
      </c>
      <c r="R427" t="e">
        <f>IF(K427=2,"",INDEX(inj_codes,MATCH(loaded!AO427,inj,0)))</f>
        <v>#N/A</v>
      </c>
      <c r="S427" t="e">
        <f>IF(K427=2,"",INDEX(drug_codes,MATCH(loaded!AQ427,drug,0)))</f>
        <v>#N/A</v>
      </c>
      <c r="T427" t="e">
        <f>IF(K427=2,"",_xlfn.IFNA(INDEX(drug_codes,MATCH(loaded!AS427,drug,0)),""))</f>
        <v>#N/A</v>
      </c>
      <c r="U427" t="e">
        <f>IF(K427=2,"",_xlfn.IFNA(INDEX(drug_codes,MATCH(loaded!AU427,drug,0)),""))</f>
        <v>#N/A</v>
      </c>
      <c r="V427" t="e">
        <f>IF(K427=2,"",_xlfn.IFNA(INDEX(drug_codes,MATCH(loaded!AW427,drug,0)),""))</f>
        <v>#N/A</v>
      </c>
      <c r="W427" t="e">
        <f>IF(K427=2,"",_xlfn.IFNA(INDEX(drug_codes,MATCH(loaded!AY427,drug,0)),""))</f>
        <v>#N/A</v>
      </c>
      <c r="X427" t="e">
        <f>IF(K427=2,"",_xlfn.IFNA(INDEX(drug_codes,MATCH(loaded!BA427,drug,0)),""))</f>
        <v>#N/A</v>
      </c>
      <c r="Y427" t="e">
        <f>INDEX(MTT_codes,MATCH(loaded!BC427,MTT,0))</f>
        <v>#N/A</v>
      </c>
      <c r="Z427" t="str">
        <f>_xlfn.IFNA(INDEX(MTT_codes,MATCH(loaded!BE427,MTT,0)),"")</f>
        <v/>
      </c>
      <c r="AA427" t="str">
        <f>_xlfn.IFNA(INDEX(MTT_codes,MATCH(loaded!BG427,MTT,0)),"")</f>
        <v/>
      </c>
      <c r="AB427" t="str">
        <f>_xlfn.IFNA(INDEX(MTT_codes,MATCH(loaded!BI427,MTT,0)),"")</f>
        <v/>
      </c>
      <c r="AC427" t="str">
        <f>_xlfn.IFNA(INDEX(MTT_codes,MATCH(loaded!BK427,MTT,0)),"")</f>
        <v/>
      </c>
      <c r="AD427" t="str">
        <f>_xlfn.IFNA(INDEX(MTT_codes,MATCH(loaded!BM427,MTT,0)),"")</f>
        <v/>
      </c>
      <c r="AE427" t="e">
        <f>INDEX(liv_ar_codes,MATCH(loaded!BO427,liv_ar,0))</f>
        <v>#N/A</v>
      </c>
      <c r="AF427" t="str">
        <f>_xlfn.IFNA(INDEX(MTT_codes,MATCH(loaded!BQ427,MTT,0)),"")</f>
        <v/>
      </c>
      <c r="AG427">
        <f>_xlfn.IFNA(INDEX(mental_codes,MATCH(loaded!BS427,mental,0)),9)</f>
        <v>9</v>
      </c>
    </row>
    <row r="428" spans="1:33" x14ac:dyDescent="0.25">
      <c r="A428">
        <f>loaded!C428</f>
        <v>0</v>
      </c>
      <c r="B428">
        <f>loaded!I428</f>
        <v>0</v>
      </c>
      <c r="C428">
        <f>IF(loaded!K428="Male",1,IF(loaded!K428="Female",2,9))</f>
        <v>9</v>
      </c>
      <c r="D428" s="8">
        <f>loaded!M428</f>
        <v>0</v>
      </c>
      <c r="E428" t="str">
        <f>LEFT(loaded!O428,3)</f>
        <v/>
      </c>
      <c r="F428" t="e">
        <f>INDEX(cntry_codes,MATCH(loaded!Q428,countries,0))</f>
        <v>#N/A</v>
      </c>
      <c r="G428" t="e">
        <f>INDEX(atsi_codes,MATCH(loaded!S428,atsi,0))</f>
        <v>#N/A</v>
      </c>
      <c r="H428" t="e">
        <f>INDEX(lang_codes,MATCH(loaded!U428,lang,0))</f>
        <v>#N/A</v>
      </c>
      <c r="I428" s="8">
        <f>loaded!W428</f>
        <v>0</v>
      </c>
      <c r="J428" t="e">
        <f>INDEX(us_acc_codes,MATCH(loaded!Y428,us_acc,0))</f>
        <v>#N/A</v>
      </c>
      <c r="K428" t="e">
        <f>INDEX(client_codes,MATCH(loaded!AA428,client,0))</f>
        <v>#N/A</v>
      </c>
      <c r="L428" t="e">
        <f>INDEX(src_ref_codes,MATCH(loaded!AC428,src_ref,0))</f>
        <v>#N/A</v>
      </c>
      <c r="M428" s="8">
        <f>loaded!AE428</f>
        <v>0</v>
      </c>
      <c r="N428" s="8">
        <f>loaded!AG428</f>
        <v>0</v>
      </c>
      <c r="O428" t="e">
        <f>INDEX(reces_codes,MATCH(loaded!AI428,reason,0))</f>
        <v>#N/A</v>
      </c>
      <c r="P428" t="e">
        <f>INDEX(TDS_codes,MATCH(loaded!AK428,TDS,0))</f>
        <v>#N/A</v>
      </c>
      <c r="Q428" t="e">
        <f>IF(K428=2,"",INDEX(method_codes,MATCH(loaded!AM428,method,0)))</f>
        <v>#N/A</v>
      </c>
      <c r="R428" t="e">
        <f>IF(K428=2,"",INDEX(inj_codes,MATCH(loaded!AO428,inj,0)))</f>
        <v>#N/A</v>
      </c>
      <c r="S428" t="e">
        <f>IF(K428=2,"",INDEX(drug_codes,MATCH(loaded!AQ428,drug,0)))</f>
        <v>#N/A</v>
      </c>
      <c r="T428" t="e">
        <f>IF(K428=2,"",_xlfn.IFNA(INDEX(drug_codes,MATCH(loaded!AS428,drug,0)),""))</f>
        <v>#N/A</v>
      </c>
      <c r="U428" t="e">
        <f>IF(K428=2,"",_xlfn.IFNA(INDEX(drug_codes,MATCH(loaded!AU428,drug,0)),""))</f>
        <v>#N/A</v>
      </c>
      <c r="V428" t="e">
        <f>IF(K428=2,"",_xlfn.IFNA(INDEX(drug_codes,MATCH(loaded!AW428,drug,0)),""))</f>
        <v>#N/A</v>
      </c>
      <c r="W428" t="e">
        <f>IF(K428=2,"",_xlfn.IFNA(INDEX(drug_codes,MATCH(loaded!AY428,drug,0)),""))</f>
        <v>#N/A</v>
      </c>
      <c r="X428" t="e">
        <f>IF(K428=2,"",_xlfn.IFNA(INDEX(drug_codes,MATCH(loaded!BA428,drug,0)),""))</f>
        <v>#N/A</v>
      </c>
      <c r="Y428" t="e">
        <f>INDEX(MTT_codes,MATCH(loaded!BC428,MTT,0))</f>
        <v>#N/A</v>
      </c>
      <c r="Z428" t="str">
        <f>_xlfn.IFNA(INDEX(MTT_codes,MATCH(loaded!BE428,MTT,0)),"")</f>
        <v/>
      </c>
      <c r="AA428" t="str">
        <f>_xlfn.IFNA(INDEX(MTT_codes,MATCH(loaded!BG428,MTT,0)),"")</f>
        <v/>
      </c>
      <c r="AB428" t="str">
        <f>_xlfn.IFNA(INDEX(MTT_codes,MATCH(loaded!BI428,MTT,0)),"")</f>
        <v/>
      </c>
      <c r="AC428" t="str">
        <f>_xlfn.IFNA(INDEX(MTT_codes,MATCH(loaded!BK428,MTT,0)),"")</f>
        <v/>
      </c>
      <c r="AD428" t="str">
        <f>_xlfn.IFNA(INDEX(MTT_codes,MATCH(loaded!BM428,MTT,0)),"")</f>
        <v/>
      </c>
      <c r="AE428" t="e">
        <f>INDEX(liv_ar_codes,MATCH(loaded!BO428,liv_ar,0))</f>
        <v>#N/A</v>
      </c>
      <c r="AF428" t="str">
        <f>_xlfn.IFNA(INDEX(MTT_codes,MATCH(loaded!BQ428,MTT,0)),"")</f>
        <v/>
      </c>
      <c r="AG428">
        <f>_xlfn.IFNA(INDEX(mental_codes,MATCH(loaded!BS428,mental,0)),9)</f>
        <v>9</v>
      </c>
    </row>
    <row r="429" spans="1:33" x14ac:dyDescent="0.25">
      <c r="A429">
        <f>loaded!C429</f>
        <v>0</v>
      </c>
      <c r="B429">
        <f>loaded!I429</f>
        <v>0</v>
      </c>
      <c r="C429">
        <f>IF(loaded!K429="Male",1,IF(loaded!K429="Female",2,9))</f>
        <v>9</v>
      </c>
      <c r="D429" s="8">
        <f>loaded!M429</f>
        <v>0</v>
      </c>
      <c r="E429" t="str">
        <f>LEFT(loaded!O429,3)</f>
        <v/>
      </c>
      <c r="F429" t="e">
        <f>INDEX(cntry_codes,MATCH(loaded!Q429,countries,0))</f>
        <v>#N/A</v>
      </c>
      <c r="G429" t="e">
        <f>INDEX(atsi_codes,MATCH(loaded!S429,atsi,0))</f>
        <v>#N/A</v>
      </c>
      <c r="H429" t="e">
        <f>INDEX(lang_codes,MATCH(loaded!U429,lang,0))</f>
        <v>#N/A</v>
      </c>
      <c r="I429" s="8">
        <f>loaded!W429</f>
        <v>0</v>
      </c>
      <c r="J429" t="e">
        <f>INDEX(us_acc_codes,MATCH(loaded!Y429,us_acc,0))</f>
        <v>#N/A</v>
      </c>
      <c r="K429" t="e">
        <f>INDEX(client_codes,MATCH(loaded!AA429,client,0))</f>
        <v>#N/A</v>
      </c>
      <c r="L429" t="e">
        <f>INDEX(src_ref_codes,MATCH(loaded!AC429,src_ref,0))</f>
        <v>#N/A</v>
      </c>
      <c r="M429" s="8">
        <f>loaded!AE429</f>
        <v>0</v>
      </c>
      <c r="N429" s="8">
        <f>loaded!AG429</f>
        <v>0</v>
      </c>
      <c r="O429" t="e">
        <f>INDEX(reces_codes,MATCH(loaded!AI429,reason,0))</f>
        <v>#N/A</v>
      </c>
      <c r="P429" t="e">
        <f>INDEX(TDS_codes,MATCH(loaded!AK429,TDS,0))</f>
        <v>#N/A</v>
      </c>
      <c r="Q429" t="e">
        <f>IF(K429=2,"",INDEX(method_codes,MATCH(loaded!AM429,method,0)))</f>
        <v>#N/A</v>
      </c>
      <c r="R429" t="e">
        <f>IF(K429=2,"",INDEX(inj_codes,MATCH(loaded!AO429,inj,0)))</f>
        <v>#N/A</v>
      </c>
      <c r="S429" t="e">
        <f>IF(K429=2,"",INDEX(drug_codes,MATCH(loaded!AQ429,drug,0)))</f>
        <v>#N/A</v>
      </c>
      <c r="T429" t="e">
        <f>IF(K429=2,"",_xlfn.IFNA(INDEX(drug_codes,MATCH(loaded!AS429,drug,0)),""))</f>
        <v>#N/A</v>
      </c>
      <c r="U429" t="e">
        <f>IF(K429=2,"",_xlfn.IFNA(INDEX(drug_codes,MATCH(loaded!AU429,drug,0)),""))</f>
        <v>#N/A</v>
      </c>
      <c r="V429" t="e">
        <f>IF(K429=2,"",_xlfn.IFNA(INDEX(drug_codes,MATCH(loaded!AW429,drug,0)),""))</f>
        <v>#N/A</v>
      </c>
      <c r="W429" t="e">
        <f>IF(K429=2,"",_xlfn.IFNA(INDEX(drug_codes,MATCH(loaded!AY429,drug,0)),""))</f>
        <v>#N/A</v>
      </c>
      <c r="X429" t="e">
        <f>IF(K429=2,"",_xlfn.IFNA(INDEX(drug_codes,MATCH(loaded!BA429,drug,0)),""))</f>
        <v>#N/A</v>
      </c>
      <c r="Y429" t="e">
        <f>INDEX(MTT_codes,MATCH(loaded!BC429,MTT,0))</f>
        <v>#N/A</v>
      </c>
      <c r="Z429" t="str">
        <f>_xlfn.IFNA(INDEX(MTT_codes,MATCH(loaded!BE429,MTT,0)),"")</f>
        <v/>
      </c>
      <c r="AA429" t="str">
        <f>_xlfn.IFNA(INDEX(MTT_codes,MATCH(loaded!BG429,MTT,0)),"")</f>
        <v/>
      </c>
      <c r="AB429" t="str">
        <f>_xlfn.IFNA(INDEX(MTT_codes,MATCH(loaded!BI429,MTT,0)),"")</f>
        <v/>
      </c>
      <c r="AC429" t="str">
        <f>_xlfn.IFNA(INDEX(MTT_codes,MATCH(loaded!BK429,MTT,0)),"")</f>
        <v/>
      </c>
      <c r="AD429" t="str">
        <f>_xlfn.IFNA(INDEX(MTT_codes,MATCH(loaded!BM429,MTT,0)),"")</f>
        <v/>
      </c>
      <c r="AE429" t="e">
        <f>INDEX(liv_ar_codes,MATCH(loaded!BO429,liv_ar,0))</f>
        <v>#N/A</v>
      </c>
      <c r="AF429" t="str">
        <f>_xlfn.IFNA(INDEX(MTT_codes,MATCH(loaded!BQ429,MTT,0)),"")</f>
        <v/>
      </c>
      <c r="AG429">
        <f>_xlfn.IFNA(INDEX(mental_codes,MATCH(loaded!BS429,mental,0)),9)</f>
        <v>9</v>
      </c>
    </row>
    <row r="430" spans="1:33" x14ac:dyDescent="0.25">
      <c r="A430">
        <f>loaded!C430</f>
        <v>0</v>
      </c>
      <c r="B430">
        <f>loaded!I430</f>
        <v>0</v>
      </c>
      <c r="C430">
        <f>IF(loaded!K430="Male",1,IF(loaded!K430="Female",2,9))</f>
        <v>9</v>
      </c>
      <c r="D430" s="8">
        <f>loaded!M430</f>
        <v>0</v>
      </c>
      <c r="E430" t="str">
        <f>LEFT(loaded!O430,3)</f>
        <v/>
      </c>
      <c r="F430" t="e">
        <f>INDEX(cntry_codes,MATCH(loaded!Q430,countries,0))</f>
        <v>#N/A</v>
      </c>
      <c r="G430" t="e">
        <f>INDEX(atsi_codes,MATCH(loaded!S430,atsi,0))</f>
        <v>#N/A</v>
      </c>
      <c r="H430" t="e">
        <f>INDEX(lang_codes,MATCH(loaded!U430,lang,0))</f>
        <v>#N/A</v>
      </c>
      <c r="I430" s="8">
        <f>loaded!W430</f>
        <v>0</v>
      </c>
      <c r="J430" t="e">
        <f>INDEX(us_acc_codes,MATCH(loaded!Y430,us_acc,0))</f>
        <v>#N/A</v>
      </c>
      <c r="K430" t="e">
        <f>INDEX(client_codes,MATCH(loaded!AA430,client,0))</f>
        <v>#N/A</v>
      </c>
      <c r="L430" t="e">
        <f>INDEX(src_ref_codes,MATCH(loaded!AC430,src_ref,0))</f>
        <v>#N/A</v>
      </c>
      <c r="M430" s="8">
        <f>loaded!AE430</f>
        <v>0</v>
      </c>
      <c r="N430" s="8">
        <f>loaded!AG430</f>
        <v>0</v>
      </c>
      <c r="O430" t="e">
        <f>INDEX(reces_codes,MATCH(loaded!AI430,reason,0))</f>
        <v>#N/A</v>
      </c>
      <c r="P430" t="e">
        <f>INDEX(TDS_codes,MATCH(loaded!AK430,TDS,0))</f>
        <v>#N/A</v>
      </c>
      <c r="Q430" t="e">
        <f>IF(K430=2,"",INDEX(method_codes,MATCH(loaded!AM430,method,0)))</f>
        <v>#N/A</v>
      </c>
      <c r="R430" t="e">
        <f>IF(K430=2,"",INDEX(inj_codes,MATCH(loaded!AO430,inj,0)))</f>
        <v>#N/A</v>
      </c>
      <c r="S430" t="e">
        <f>IF(K430=2,"",INDEX(drug_codes,MATCH(loaded!AQ430,drug,0)))</f>
        <v>#N/A</v>
      </c>
      <c r="T430" t="e">
        <f>IF(K430=2,"",_xlfn.IFNA(INDEX(drug_codes,MATCH(loaded!AS430,drug,0)),""))</f>
        <v>#N/A</v>
      </c>
      <c r="U430" t="e">
        <f>IF(K430=2,"",_xlfn.IFNA(INDEX(drug_codes,MATCH(loaded!AU430,drug,0)),""))</f>
        <v>#N/A</v>
      </c>
      <c r="V430" t="e">
        <f>IF(K430=2,"",_xlfn.IFNA(INDEX(drug_codes,MATCH(loaded!AW430,drug,0)),""))</f>
        <v>#N/A</v>
      </c>
      <c r="W430" t="e">
        <f>IF(K430=2,"",_xlfn.IFNA(INDEX(drug_codes,MATCH(loaded!AY430,drug,0)),""))</f>
        <v>#N/A</v>
      </c>
      <c r="X430" t="e">
        <f>IF(K430=2,"",_xlfn.IFNA(INDEX(drug_codes,MATCH(loaded!BA430,drug,0)),""))</f>
        <v>#N/A</v>
      </c>
      <c r="Y430" t="e">
        <f>INDEX(MTT_codes,MATCH(loaded!BC430,MTT,0))</f>
        <v>#N/A</v>
      </c>
      <c r="Z430" t="str">
        <f>_xlfn.IFNA(INDEX(MTT_codes,MATCH(loaded!BE430,MTT,0)),"")</f>
        <v/>
      </c>
      <c r="AA430" t="str">
        <f>_xlfn.IFNA(INDEX(MTT_codes,MATCH(loaded!BG430,MTT,0)),"")</f>
        <v/>
      </c>
      <c r="AB430" t="str">
        <f>_xlfn.IFNA(INDEX(MTT_codes,MATCH(loaded!BI430,MTT,0)),"")</f>
        <v/>
      </c>
      <c r="AC430" t="str">
        <f>_xlfn.IFNA(INDEX(MTT_codes,MATCH(loaded!BK430,MTT,0)),"")</f>
        <v/>
      </c>
      <c r="AD430" t="str">
        <f>_xlfn.IFNA(INDEX(MTT_codes,MATCH(loaded!BM430,MTT,0)),"")</f>
        <v/>
      </c>
      <c r="AE430" t="e">
        <f>INDEX(liv_ar_codes,MATCH(loaded!BO430,liv_ar,0))</f>
        <v>#N/A</v>
      </c>
      <c r="AF430" t="str">
        <f>_xlfn.IFNA(INDEX(MTT_codes,MATCH(loaded!BQ430,MTT,0)),"")</f>
        <v/>
      </c>
      <c r="AG430">
        <f>_xlfn.IFNA(INDEX(mental_codes,MATCH(loaded!BS430,mental,0)),9)</f>
        <v>9</v>
      </c>
    </row>
    <row r="431" spans="1:33" x14ac:dyDescent="0.25">
      <c r="A431">
        <f>loaded!C431</f>
        <v>0</v>
      </c>
      <c r="B431">
        <f>loaded!I431</f>
        <v>0</v>
      </c>
      <c r="C431">
        <f>IF(loaded!K431="Male",1,IF(loaded!K431="Female",2,9))</f>
        <v>9</v>
      </c>
      <c r="D431" s="8">
        <f>loaded!M431</f>
        <v>0</v>
      </c>
      <c r="E431" t="str">
        <f>LEFT(loaded!O431,3)</f>
        <v/>
      </c>
      <c r="F431" t="e">
        <f>INDEX(cntry_codes,MATCH(loaded!Q431,countries,0))</f>
        <v>#N/A</v>
      </c>
      <c r="G431" t="e">
        <f>INDEX(atsi_codes,MATCH(loaded!S431,atsi,0))</f>
        <v>#N/A</v>
      </c>
      <c r="H431" t="e">
        <f>INDEX(lang_codes,MATCH(loaded!U431,lang,0))</f>
        <v>#N/A</v>
      </c>
      <c r="I431" s="8">
        <f>loaded!W431</f>
        <v>0</v>
      </c>
      <c r="J431" t="e">
        <f>INDEX(us_acc_codes,MATCH(loaded!Y431,us_acc,0))</f>
        <v>#N/A</v>
      </c>
      <c r="K431" t="e">
        <f>INDEX(client_codes,MATCH(loaded!AA431,client,0))</f>
        <v>#N/A</v>
      </c>
      <c r="L431" t="e">
        <f>INDEX(src_ref_codes,MATCH(loaded!AC431,src_ref,0))</f>
        <v>#N/A</v>
      </c>
      <c r="M431" s="8">
        <f>loaded!AE431</f>
        <v>0</v>
      </c>
      <c r="N431" s="8">
        <f>loaded!AG431</f>
        <v>0</v>
      </c>
      <c r="O431" t="e">
        <f>INDEX(reces_codes,MATCH(loaded!AI431,reason,0))</f>
        <v>#N/A</v>
      </c>
      <c r="P431" t="e">
        <f>INDEX(TDS_codes,MATCH(loaded!AK431,TDS,0))</f>
        <v>#N/A</v>
      </c>
      <c r="Q431" t="e">
        <f>IF(K431=2,"",INDEX(method_codes,MATCH(loaded!AM431,method,0)))</f>
        <v>#N/A</v>
      </c>
      <c r="R431" t="e">
        <f>IF(K431=2,"",INDEX(inj_codes,MATCH(loaded!AO431,inj,0)))</f>
        <v>#N/A</v>
      </c>
      <c r="S431" t="e">
        <f>IF(K431=2,"",INDEX(drug_codes,MATCH(loaded!AQ431,drug,0)))</f>
        <v>#N/A</v>
      </c>
      <c r="T431" t="e">
        <f>IF(K431=2,"",_xlfn.IFNA(INDEX(drug_codes,MATCH(loaded!AS431,drug,0)),""))</f>
        <v>#N/A</v>
      </c>
      <c r="U431" t="e">
        <f>IF(K431=2,"",_xlfn.IFNA(INDEX(drug_codes,MATCH(loaded!AU431,drug,0)),""))</f>
        <v>#N/A</v>
      </c>
      <c r="V431" t="e">
        <f>IF(K431=2,"",_xlfn.IFNA(INDEX(drug_codes,MATCH(loaded!AW431,drug,0)),""))</f>
        <v>#N/A</v>
      </c>
      <c r="W431" t="e">
        <f>IF(K431=2,"",_xlfn.IFNA(INDEX(drug_codes,MATCH(loaded!AY431,drug,0)),""))</f>
        <v>#N/A</v>
      </c>
      <c r="X431" t="e">
        <f>IF(K431=2,"",_xlfn.IFNA(INDEX(drug_codes,MATCH(loaded!BA431,drug,0)),""))</f>
        <v>#N/A</v>
      </c>
      <c r="Y431" t="e">
        <f>INDEX(MTT_codes,MATCH(loaded!BC431,MTT,0))</f>
        <v>#N/A</v>
      </c>
      <c r="Z431" t="str">
        <f>_xlfn.IFNA(INDEX(MTT_codes,MATCH(loaded!BE431,MTT,0)),"")</f>
        <v/>
      </c>
      <c r="AA431" t="str">
        <f>_xlfn.IFNA(INDEX(MTT_codes,MATCH(loaded!BG431,MTT,0)),"")</f>
        <v/>
      </c>
      <c r="AB431" t="str">
        <f>_xlfn.IFNA(INDEX(MTT_codes,MATCH(loaded!BI431,MTT,0)),"")</f>
        <v/>
      </c>
      <c r="AC431" t="str">
        <f>_xlfn.IFNA(INDEX(MTT_codes,MATCH(loaded!BK431,MTT,0)),"")</f>
        <v/>
      </c>
      <c r="AD431" t="str">
        <f>_xlfn.IFNA(INDEX(MTT_codes,MATCH(loaded!BM431,MTT,0)),"")</f>
        <v/>
      </c>
      <c r="AE431" t="e">
        <f>INDEX(liv_ar_codes,MATCH(loaded!BO431,liv_ar,0))</f>
        <v>#N/A</v>
      </c>
      <c r="AF431" t="str">
        <f>_xlfn.IFNA(INDEX(MTT_codes,MATCH(loaded!BQ431,MTT,0)),"")</f>
        <v/>
      </c>
      <c r="AG431">
        <f>_xlfn.IFNA(INDEX(mental_codes,MATCH(loaded!BS431,mental,0)),9)</f>
        <v>9</v>
      </c>
    </row>
    <row r="432" spans="1:33" x14ac:dyDescent="0.25">
      <c r="A432">
        <f>loaded!C432</f>
        <v>0</v>
      </c>
      <c r="B432">
        <f>loaded!I432</f>
        <v>0</v>
      </c>
      <c r="C432">
        <f>IF(loaded!K432="Male",1,IF(loaded!K432="Female",2,9))</f>
        <v>9</v>
      </c>
      <c r="D432" s="8">
        <f>loaded!M432</f>
        <v>0</v>
      </c>
      <c r="E432" t="str">
        <f>LEFT(loaded!O432,3)</f>
        <v/>
      </c>
      <c r="F432" t="e">
        <f>INDEX(cntry_codes,MATCH(loaded!Q432,countries,0))</f>
        <v>#N/A</v>
      </c>
      <c r="G432" t="e">
        <f>INDEX(atsi_codes,MATCH(loaded!S432,atsi,0))</f>
        <v>#N/A</v>
      </c>
      <c r="H432" t="e">
        <f>INDEX(lang_codes,MATCH(loaded!U432,lang,0))</f>
        <v>#N/A</v>
      </c>
      <c r="I432" s="8">
        <f>loaded!W432</f>
        <v>0</v>
      </c>
      <c r="J432" t="e">
        <f>INDEX(us_acc_codes,MATCH(loaded!Y432,us_acc,0))</f>
        <v>#N/A</v>
      </c>
      <c r="K432" t="e">
        <f>INDEX(client_codes,MATCH(loaded!AA432,client,0))</f>
        <v>#N/A</v>
      </c>
      <c r="L432" t="e">
        <f>INDEX(src_ref_codes,MATCH(loaded!AC432,src_ref,0))</f>
        <v>#N/A</v>
      </c>
      <c r="M432" s="8">
        <f>loaded!AE432</f>
        <v>0</v>
      </c>
      <c r="N432" s="8">
        <f>loaded!AG432</f>
        <v>0</v>
      </c>
      <c r="O432" t="e">
        <f>INDEX(reces_codes,MATCH(loaded!AI432,reason,0))</f>
        <v>#N/A</v>
      </c>
      <c r="P432" t="e">
        <f>INDEX(TDS_codes,MATCH(loaded!AK432,TDS,0))</f>
        <v>#N/A</v>
      </c>
      <c r="Q432" t="e">
        <f>IF(K432=2,"",INDEX(method_codes,MATCH(loaded!AM432,method,0)))</f>
        <v>#N/A</v>
      </c>
      <c r="R432" t="e">
        <f>IF(K432=2,"",INDEX(inj_codes,MATCH(loaded!AO432,inj,0)))</f>
        <v>#N/A</v>
      </c>
      <c r="S432" t="e">
        <f>IF(K432=2,"",INDEX(drug_codes,MATCH(loaded!AQ432,drug,0)))</f>
        <v>#N/A</v>
      </c>
      <c r="T432" t="e">
        <f>IF(K432=2,"",_xlfn.IFNA(INDEX(drug_codes,MATCH(loaded!AS432,drug,0)),""))</f>
        <v>#N/A</v>
      </c>
      <c r="U432" t="e">
        <f>IF(K432=2,"",_xlfn.IFNA(INDEX(drug_codes,MATCH(loaded!AU432,drug,0)),""))</f>
        <v>#N/A</v>
      </c>
      <c r="V432" t="e">
        <f>IF(K432=2,"",_xlfn.IFNA(INDEX(drug_codes,MATCH(loaded!AW432,drug,0)),""))</f>
        <v>#N/A</v>
      </c>
      <c r="W432" t="e">
        <f>IF(K432=2,"",_xlfn.IFNA(INDEX(drug_codes,MATCH(loaded!AY432,drug,0)),""))</f>
        <v>#N/A</v>
      </c>
      <c r="X432" t="e">
        <f>IF(K432=2,"",_xlfn.IFNA(INDEX(drug_codes,MATCH(loaded!BA432,drug,0)),""))</f>
        <v>#N/A</v>
      </c>
      <c r="Y432" t="e">
        <f>INDEX(MTT_codes,MATCH(loaded!BC432,MTT,0))</f>
        <v>#N/A</v>
      </c>
      <c r="Z432" t="str">
        <f>_xlfn.IFNA(INDEX(MTT_codes,MATCH(loaded!BE432,MTT,0)),"")</f>
        <v/>
      </c>
      <c r="AA432" t="str">
        <f>_xlfn.IFNA(INDEX(MTT_codes,MATCH(loaded!BG432,MTT,0)),"")</f>
        <v/>
      </c>
      <c r="AB432" t="str">
        <f>_xlfn.IFNA(INDEX(MTT_codes,MATCH(loaded!BI432,MTT,0)),"")</f>
        <v/>
      </c>
      <c r="AC432" t="str">
        <f>_xlfn.IFNA(INDEX(MTT_codes,MATCH(loaded!BK432,MTT,0)),"")</f>
        <v/>
      </c>
      <c r="AD432" t="str">
        <f>_xlfn.IFNA(INDEX(MTT_codes,MATCH(loaded!BM432,MTT,0)),"")</f>
        <v/>
      </c>
      <c r="AE432" t="e">
        <f>INDEX(liv_ar_codes,MATCH(loaded!BO432,liv_ar,0))</f>
        <v>#N/A</v>
      </c>
      <c r="AF432" t="str">
        <f>_xlfn.IFNA(INDEX(MTT_codes,MATCH(loaded!BQ432,MTT,0)),"")</f>
        <v/>
      </c>
      <c r="AG432">
        <f>_xlfn.IFNA(INDEX(mental_codes,MATCH(loaded!BS432,mental,0)),9)</f>
        <v>9</v>
      </c>
    </row>
    <row r="433" spans="1:33" x14ac:dyDescent="0.25">
      <c r="A433">
        <f>loaded!C433</f>
        <v>0</v>
      </c>
      <c r="B433">
        <f>loaded!I433</f>
        <v>0</v>
      </c>
      <c r="C433">
        <f>IF(loaded!K433="Male",1,IF(loaded!K433="Female",2,9))</f>
        <v>9</v>
      </c>
      <c r="D433" s="8">
        <f>loaded!M433</f>
        <v>0</v>
      </c>
      <c r="E433" t="str">
        <f>LEFT(loaded!O433,3)</f>
        <v/>
      </c>
      <c r="F433" t="e">
        <f>INDEX(cntry_codes,MATCH(loaded!Q433,countries,0))</f>
        <v>#N/A</v>
      </c>
      <c r="G433" t="e">
        <f>INDEX(atsi_codes,MATCH(loaded!S433,atsi,0))</f>
        <v>#N/A</v>
      </c>
      <c r="H433" t="e">
        <f>INDEX(lang_codes,MATCH(loaded!U433,lang,0))</f>
        <v>#N/A</v>
      </c>
      <c r="I433" s="8">
        <f>loaded!W433</f>
        <v>0</v>
      </c>
      <c r="J433" t="e">
        <f>INDEX(us_acc_codes,MATCH(loaded!Y433,us_acc,0))</f>
        <v>#N/A</v>
      </c>
      <c r="K433" t="e">
        <f>INDEX(client_codes,MATCH(loaded!AA433,client,0))</f>
        <v>#N/A</v>
      </c>
      <c r="L433" t="e">
        <f>INDEX(src_ref_codes,MATCH(loaded!AC433,src_ref,0))</f>
        <v>#N/A</v>
      </c>
      <c r="M433" s="8">
        <f>loaded!AE433</f>
        <v>0</v>
      </c>
      <c r="N433" s="8">
        <f>loaded!AG433</f>
        <v>0</v>
      </c>
      <c r="O433" t="e">
        <f>INDEX(reces_codes,MATCH(loaded!AI433,reason,0))</f>
        <v>#N/A</v>
      </c>
      <c r="P433" t="e">
        <f>INDEX(TDS_codes,MATCH(loaded!AK433,TDS,0))</f>
        <v>#N/A</v>
      </c>
      <c r="Q433" t="e">
        <f>IF(K433=2,"",INDEX(method_codes,MATCH(loaded!AM433,method,0)))</f>
        <v>#N/A</v>
      </c>
      <c r="R433" t="e">
        <f>IF(K433=2,"",INDEX(inj_codes,MATCH(loaded!AO433,inj,0)))</f>
        <v>#N/A</v>
      </c>
      <c r="S433" t="e">
        <f>IF(K433=2,"",INDEX(drug_codes,MATCH(loaded!AQ433,drug,0)))</f>
        <v>#N/A</v>
      </c>
      <c r="T433" t="e">
        <f>IF(K433=2,"",_xlfn.IFNA(INDEX(drug_codes,MATCH(loaded!AS433,drug,0)),""))</f>
        <v>#N/A</v>
      </c>
      <c r="U433" t="e">
        <f>IF(K433=2,"",_xlfn.IFNA(INDEX(drug_codes,MATCH(loaded!AU433,drug,0)),""))</f>
        <v>#N/A</v>
      </c>
      <c r="V433" t="e">
        <f>IF(K433=2,"",_xlfn.IFNA(INDEX(drug_codes,MATCH(loaded!AW433,drug,0)),""))</f>
        <v>#N/A</v>
      </c>
      <c r="W433" t="e">
        <f>IF(K433=2,"",_xlfn.IFNA(INDEX(drug_codes,MATCH(loaded!AY433,drug,0)),""))</f>
        <v>#N/A</v>
      </c>
      <c r="X433" t="e">
        <f>IF(K433=2,"",_xlfn.IFNA(INDEX(drug_codes,MATCH(loaded!BA433,drug,0)),""))</f>
        <v>#N/A</v>
      </c>
      <c r="Y433" t="e">
        <f>INDEX(MTT_codes,MATCH(loaded!BC433,MTT,0))</f>
        <v>#N/A</v>
      </c>
      <c r="Z433" t="str">
        <f>_xlfn.IFNA(INDEX(MTT_codes,MATCH(loaded!BE433,MTT,0)),"")</f>
        <v/>
      </c>
      <c r="AA433" t="str">
        <f>_xlfn.IFNA(INDEX(MTT_codes,MATCH(loaded!BG433,MTT,0)),"")</f>
        <v/>
      </c>
      <c r="AB433" t="str">
        <f>_xlfn.IFNA(INDEX(MTT_codes,MATCH(loaded!BI433,MTT,0)),"")</f>
        <v/>
      </c>
      <c r="AC433" t="str">
        <f>_xlfn.IFNA(INDEX(MTT_codes,MATCH(loaded!BK433,MTT,0)),"")</f>
        <v/>
      </c>
      <c r="AD433" t="str">
        <f>_xlfn.IFNA(INDEX(MTT_codes,MATCH(loaded!BM433,MTT,0)),"")</f>
        <v/>
      </c>
      <c r="AE433" t="e">
        <f>INDEX(liv_ar_codes,MATCH(loaded!BO433,liv_ar,0))</f>
        <v>#N/A</v>
      </c>
      <c r="AF433" t="str">
        <f>_xlfn.IFNA(INDEX(MTT_codes,MATCH(loaded!BQ433,MTT,0)),"")</f>
        <v/>
      </c>
      <c r="AG433">
        <f>_xlfn.IFNA(INDEX(mental_codes,MATCH(loaded!BS433,mental,0)),9)</f>
        <v>9</v>
      </c>
    </row>
    <row r="434" spans="1:33" x14ac:dyDescent="0.25">
      <c r="A434">
        <f>loaded!C434</f>
        <v>0</v>
      </c>
      <c r="B434">
        <f>loaded!I434</f>
        <v>0</v>
      </c>
      <c r="C434">
        <f>IF(loaded!K434="Male",1,IF(loaded!K434="Female",2,9))</f>
        <v>9</v>
      </c>
      <c r="D434" s="8">
        <f>loaded!M434</f>
        <v>0</v>
      </c>
      <c r="E434" t="str">
        <f>LEFT(loaded!O434,3)</f>
        <v/>
      </c>
      <c r="F434" t="e">
        <f>INDEX(cntry_codes,MATCH(loaded!Q434,countries,0))</f>
        <v>#N/A</v>
      </c>
      <c r="G434" t="e">
        <f>INDEX(atsi_codes,MATCH(loaded!S434,atsi,0))</f>
        <v>#N/A</v>
      </c>
      <c r="H434" t="e">
        <f>INDEX(lang_codes,MATCH(loaded!U434,lang,0))</f>
        <v>#N/A</v>
      </c>
      <c r="I434" s="8">
        <f>loaded!W434</f>
        <v>0</v>
      </c>
      <c r="J434" t="e">
        <f>INDEX(us_acc_codes,MATCH(loaded!Y434,us_acc,0))</f>
        <v>#N/A</v>
      </c>
      <c r="K434" t="e">
        <f>INDEX(client_codes,MATCH(loaded!AA434,client,0))</f>
        <v>#N/A</v>
      </c>
      <c r="L434" t="e">
        <f>INDEX(src_ref_codes,MATCH(loaded!AC434,src_ref,0))</f>
        <v>#N/A</v>
      </c>
      <c r="M434" s="8">
        <f>loaded!AE434</f>
        <v>0</v>
      </c>
      <c r="N434" s="8">
        <f>loaded!AG434</f>
        <v>0</v>
      </c>
      <c r="O434" t="e">
        <f>INDEX(reces_codes,MATCH(loaded!AI434,reason,0))</f>
        <v>#N/A</v>
      </c>
      <c r="P434" t="e">
        <f>INDEX(TDS_codes,MATCH(loaded!AK434,TDS,0))</f>
        <v>#N/A</v>
      </c>
      <c r="Q434" t="e">
        <f>IF(K434=2,"",INDEX(method_codes,MATCH(loaded!AM434,method,0)))</f>
        <v>#N/A</v>
      </c>
      <c r="R434" t="e">
        <f>IF(K434=2,"",INDEX(inj_codes,MATCH(loaded!AO434,inj,0)))</f>
        <v>#N/A</v>
      </c>
      <c r="S434" t="e">
        <f>IF(K434=2,"",INDEX(drug_codes,MATCH(loaded!AQ434,drug,0)))</f>
        <v>#N/A</v>
      </c>
      <c r="T434" t="e">
        <f>IF(K434=2,"",_xlfn.IFNA(INDEX(drug_codes,MATCH(loaded!AS434,drug,0)),""))</f>
        <v>#N/A</v>
      </c>
      <c r="U434" t="e">
        <f>IF(K434=2,"",_xlfn.IFNA(INDEX(drug_codes,MATCH(loaded!AU434,drug,0)),""))</f>
        <v>#N/A</v>
      </c>
      <c r="V434" t="e">
        <f>IF(K434=2,"",_xlfn.IFNA(INDEX(drug_codes,MATCH(loaded!AW434,drug,0)),""))</f>
        <v>#N/A</v>
      </c>
      <c r="W434" t="e">
        <f>IF(K434=2,"",_xlfn.IFNA(INDEX(drug_codes,MATCH(loaded!AY434,drug,0)),""))</f>
        <v>#N/A</v>
      </c>
      <c r="X434" t="e">
        <f>IF(K434=2,"",_xlfn.IFNA(INDEX(drug_codes,MATCH(loaded!BA434,drug,0)),""))</f>
        <v>#N/A</v>
      </c>
      <c r="Y434" t="e">
        <f>INDEX(MTT_codes,MATCH(loaded!BC434,MTT,0))</f>
        <v>#N/A</v>
      </c>
      <c r="Z434" t="str">
        <f>_xlfn.IFNA(INDEX(MTT_codes,MATCH(loaded!BE434,MTT,0)),"")</f>
        <v/>
      </c>
      <c r="AA434" t="str">
        <f>_xlfn.IFNA(INDEX(MTT_codes,MATCH(loaded!BG434,MTT,0)),"")</f>
        <v/>
      </c>
      <c r="AB434" t="str">
        <f>_xlfn.IFNA(INDEX(MTT_codes,MATCH(loaded!BI434,MTT,0)),"")</f>
        <v/>
      </c>
      <c r="AC434" t="str">
        <f>_xlfn.IFNA(INDEX(MTT_codes,MATCH(loaded!BK434,MTT,0)),"")</f>
        <v/>
      </c>
      <c r="AD434" t="str">
        <f>_xlfn.IFNA(INDEX(MTT_codes,MATCH(loaded!BM434,MTT,0)),"")</f>
        <v/>
      </c>
      <c r="AE434" t="e">
        <f>INDEX(liv_ar_codes,MATCH(loaded!BO434,liv_ar,0))</f>
        <v>#N/A</v>
      </c>
      <c r="AF434" t="str">
        <f>_xlfn.IFNA(INDEX(MTT_codes,MATCH(loaded!BQ434,MTT,0)),"")</f>
        <v/>
      </c>
      <c r="AG434">
        <f>_xlfn.IFNA(INDEX(mental_codes,MATCH(loaded!BS434,mental,0)),9)</f>
        <v>9</v>
      </c>
    </row>
    <row r="435" spans="1:33" x14ac:dyDescent="0.25">
      <c r="A435">
        <f>loaded!C435</f>
        <v>0</v>
      </c>
      <c r="B435">
        <f>loaded!I435</f>
        <v>0</v>
      </c>
      <c r="C435">
        <f>IF(loaded!K435="Male",1,IF(loaded!K435="Female",2,9))</f>
        <v>9</v>
      </c>
      <c r="D435" s="8">
        <f>loaded!M435</f>
        <v>0</v>
      </c>
      <c r="E435" t="str">
        <f>LEFT(loaded!O435,3)</f>
        <v/>
      </c>
      <c r="F435" t="e">
        <f>INDEX(cntry_codes,MATCH(loaded!Q435,countries,0))</f>
        <v>#N/A</v>
      </c>
      <c r="G435" t="e">
        <f>INDEX(atsi_codes,MATCH(loaded!S435,atsi,0))</f>
        <v>#N/A</v>
      </c>
      <c r="H435" t="e">
        <f>INDEX(lang_codes,MATCH(loaded!U435,lang,0))</f>
        <v>#N/A</v>
      </c>
      <c r="I435" s="8">
        <f>loaded!W435</f>
        <v>0</v>
      </c>
      <c r="J435" t="e">
        <f>INDEX(us_acc_codes,MATCH(loaded!Y435,us_acc,0))</f>
        <v>#N/A</v>
      </c>
      <c r="K435" t="e">
        <f>INDEX(client_codes,MATCH(loaded!AA435,client,0))</f>
        <v>#N/A</v>
      </c>
      <c r="L435" t="e">
        <f>INDEX(src_ref_codes,MATCH(loaded!AC435,src_ref,0))</f>
        <v>#N/A</v>
      </c>
      <c r="M435" s="8">
        <f>loaded!AE435</f>
        <v>0</v>
      </c>
      <c r="N435" s="8">
        <f>loaded!AG435</f>
        <v>0</v>
      </c>
      <c r="O435" t="e">
        <f>INDEX(reces_codes,MATCH(loaded!AI435,reason,0))</f>
        <v>#N/A</v>
      </c>
      <c r="P435" t="e">
        <f>INDEX(TDS_codes,MATCH(loaded!AK435,TDS,0))</f>
        <v>#N/A</v>
      </c>
      <c r="Q435" t="e">
        <f>IF(K435=2,"",INDEX(method_codes,MATCH(loaded!AM435,method,0)))</f>
        <v>#N/A</v>
      </c>
      <c r="R435" t="e">
        <f>IF(K435=2,"",INDEX(inj_codes,MATCH(loaded!AO435,inj,0)))</f>
        <v>#N/A</v>
      </c>
      <c r="S435" t="e">
        <f>IF(K435=2,"",INDEX(drug_codes,MATCH(loaded!AQ435,drug,0)))</f>
        <v>#N/A</v>
      </c>
      <c r="T435" t="e">
        <f>IF(K435=2,"",_xlfn.IFNA(INDEX(drug_codes,MATCH(loaded!AS435,drug,0)),""))</f>
        <v>#N/A</v>
      </c>
      <c r="U435" t="e">
        <f>IF(K435=2,"",_xlfn.IFNA(INDEX(drug_codes,MATCH(loaded!AU435,drug,0)),""))</f>
        <v>#N/A</v>
      </c>
      <c r="V435" t="e">
        <f>IF(K435=2,"",_xlfn.IFNA(INDEX(drug_codes,MATCH(loaded!AW435,drug,0)),""))</f>
        <v>#N/A</v>
      </c>
      <c r="W435" t="e">
        <f>IF(K435=2,"",_xlfn.IFNA(INDEX(drug_codes,MATCH(loaded!AY435,drug,0)),""))</f>
        <v>#N/A</v>
      </c>
      <c r="X435" t="e">
        <f>IF(K435=2,"",_xlfn.IFNA(INDEX(drug_codes,MATCH(loaded!BA435,drug,0)),""))</f>
        <v>#N/A</v>
      </c>
      <c r="Y435" t="e">
        <f>INDEX(MTT_codes,MATCH(loaded!BC435,MTT,0))</f>
        <v>#N/A</v>
      </c>
      <c r="Z435" t="str">
        <f>_xlfn.IFNA(INDEX(MTT_codes,MATCH(loaded!BE435,MTT,0)),"")</f>
        <v/>
      </c>
      <c r="AA435" t="str">
        <f>_xlfn.IFNA(INDEX(MTT_codes,MATCH(loaded!BG435,MTT,0)),"")</f>
        <v/>
      </c>
      <c r="AB435" t="str">
        <f>_xlfn.IFNA(INDEX(MTT_codes,MATCH(loaded!BI435,MTT,0)),"")</f>
        <v/>
      </c>
      <c r="AC435" t="str">
        <f>_xlfn.IFNA(INDEX(MTT_codes,MATCH(loaded!BK435,MTT,0)),"")</f>
        <v/>
      </c>
      <c r="AD435" t="str">
        <f>_xlfn.IFNA(INDEX(MTT_codes,MATCH(loaded!BM435,MTT,0)),"")</f>
        <v/>
      </c>
      <c r="AE435" t="e">
        <f>INDEX(liv_ar_codes,MATCH(loaded!BO435,liv_ar,0))</f>
        <v>#N/A</v>
      </c>
      <c r="AF435" t="str">
        <f>_xlfn.IFNA(INDEX(MTT_codes,MATCH(loaded!BQ435,MTT,0)),"")</f>
        <v/>
      </c>
      <c r="AG435">
        <f>_xlfn.IFNA(INDEX(mental_codes,MATCH(loaded!BS435,mental,0)),9)</f>
        <v>9</v>
      </c>
    </row>
    <row r="436" spans="1:33" x14ac:dyDescent="0.25">
      <c r="A436">
        <f>loaded!C436</f>
        <v>0</v>
      </c>
      <c r="B436">
        <f>loaded!I436</f>
        <v>0</v>
      </c>
      <c r="C436">
        <f>IF(loaded!K436="Male",1,IF(loaded!K436="Female",2,9))</f>
        <v>9</v>
      </c>
      <c r="D436" s="8">
        <f>loaded!M436</f>
        <v>0</v>
      </c>
      <c r="E436" t="str">
        <f>LEFT(loaded!O436,3)</f>
        <v/>
      </c>
      <c r="F436" t="e">
        <f>INDEX(cntry_codes,MATCH(loaded!Q436,countries,0))</f>
        <v>#N/A</v>
      </c>
      <c r="G436" t="e">
        <f>INDEX(atsi_codes,MATCH(loaded!S436,atsi,0))</f>
        <v>#N/A</v>
      </c>
      <c r="H436" t="e">
        <f>INDEX(lang_codes,MATCH(loaded!U436,lang,0))</f>
        <v>#N/A</v>
      </c>
      <c r="I436" s="8">
        <f>loaded!W436</f>
        <v>0</v>
      </c>
      <c r="J436" t="e">
        <f>INDEX(us_acc_codes,MATCH(loaded!Y436,us_acc,0))</f>
        <v>#N/A</v>
      </c>
      <c r="K436" t="e">
        <f>INDEX(client_codes,MATCH(loaded!AA436,client,0))</f>
        <v>#N/A</v>
      </c>
      <c r="L436" t="e">
        <f>INDEX(src_ref_codes,MATCH(loaded!AC436,src_ref,0))</f>
        <v>#N/A</v>
      </c>
      <c r="M436" s="8">
        <f>loaded!AE436</f>
        <v>0</v>
      </c>
      <c r="N436" s="8">
        <f>loaded!AG436</f>
        <v>0</v>
      </c>
      <c r="O436" t="e">
        <f>INDEX(reces_codes,MATCH(loaded!AI436,reason,0))</f>
        <v>#N/A</v>
      </c>
      <c r="P436" t="e">
        <f>INDEX(TDS_codes,MATCH(loaded!AK436,TDS,0))</f>
        <v>#N/A</v>
      </c>
      <c r="Q436" t="e">
        <f>IF(K436=2,"",INDEX(method_codes,MATCH(loaded!AM436,method,0)))</f>
        <v>#N/A</v>
      </c>
      <c r="R436" t="e">
        <f>IF(K436=2,"",INDEX(inj_codes,MATCH(loaded!AO436,inj,0)))</f>
        <v>#N/A</v>
      </c>
      <c r="S436" t="e">
        <f>IF(K436=2,"",INDEX(drug_codes,MATCH(loaded!AQ436,drug,0)))</f>
        <v>#N/A</v>
      </c>
      <c r="T436" t="e">
        <f>IF(K436=2,"",_xlfn.IFNA(INDEX(drug_codes,MATCH(loaded!AS436,drug,0)),""))</f>
        <v>#N/A</v>
      </c>
      <c r="U436" t="e">
        <f>IF(K436=2,"",_xlfn.IFNA(INDEX(drug_codes,MATCH(loaded!AU436,drug,0)),""))</f>
        <v>#N/A</v>
      </c>
      <c r="V436" t="e">
        <f>IF(K436=2,"",_xlfn.IFNA(INDEX(drug_codes,MATCH(loaded!AW436,drug,0)),""))</f>
        <v>#N/A</v>
      </c>
      <c r="W436" t="e">
        <f>IF(K436=2,"",_xlfn.IFNA(INDEX(drug_codes,MATCH(loaded!AY436,drug,0)),""))</f>
        <v>#N/A</v>
      </c>
      <c r="X436" t="e">
        <f>IF(K436=2,"",_xlfn.IFNA(INDEX(drug_codes,MATCH(loaded!BA436,drug,0)),""))</f>
        <v>#N/A</v>
      </c>
      <c r="Y436" t="e">
        <f>INDEX(MTT_codes,MATCH(loaded!BC436,MTT,0))</f>
        <v>#N/A</v>
      </c>
      <c r="Z436" t="str">
        <f>_xlfn.IFNA(INDEX(MTT_codes,MATCH(loaded!BE436,MTT,0)),"")</f>
        <v/>
      </c>
      <c r="AA436" t="str">
        <f>_xlfn.IFNA(INDEX(MTT_codes,MATCH(loaded!BG436,MTT,0)),"")</f>
        <v/>
      </c>
      <c r="AB436" t="str">
        <f>_xlfn.IFNA(INDEX(MTT_codes,MATCH(loaded!BI436,MTT,0)),"")</f>
        <v/>
      </c>
      <c r="AC436" t="str">
        <f>_xlfn.IFNA(INDEX(MTT_codes,MATCH(loaded!BK436,MTT,0)),"")</f>
        <v/>
      </c>
      <c r="AD436" t="str">
        <f>_xlfn.IFNA(INDEX(MTT_codes,MATCH(loaded!BM436,MTT,0)),"")</f>
        <v/>
      </c>
      <c r="AE436" t="e">
        <f>INDEX(liv_ar_codes,MATCH(loaded!BO436,liv_ar,0))</f>
        <v>#N/A</v>
      </c>
      <c r="AF436" t="str">
        <f>_xlfn.IFNA(INDEX(MTT_codes,MATCH(loaded!BQ436,MTT,0)),"")</f>
        <v/>
      </c>
      <c r="AG436">
        <f>_xlfn.IFNA(INDEX(mental_codes,MATCH(loaded!BS436,mental,0)),9)</f>
        <v>9</v>
      </c>
    </row>
    <row r="437" spans="1:33" x14ac:dyDescent="0.25">
      <c r="A437">
        <f>loaded!C437</f>
        <v>0</v>
      </c>
      <c r="B437">
        <f>loaded!I437</f>
        <v>0</v>
      </c>
      <c r="C437">
        <f>IF(loaded!K437="Male",1,IF(loaded!K437="Female",2,9))</f>
        <v>9</v>
      </c>
      <c r="D437" s="8">
        <f>loaded!M437</f>
        <v>0</v>
      </c>
      <c r="E437" t="str">
        <f>LEFT(loaded!O437,3)</f>
        <v/>
      </c>
      <c r="F437" t="e">
        <f>INDEX(cntry_codes,MATCH(loaded!Q437,countries,0))</f>
        <v>#N/A</v>
      </c>
      <c r="G437" t="e">
        <f>INDEX(atsi_codes,MATCH(loaded!S437,atsi,0))</f>
        <v>#N/A</v>
      </c>
      <c r="H437" t="e">
        <f>INDEX(lang_codes,MATCH(loaded!U437,lang,0))</f>
        <v>#N/A</v>
      </c>
      <c r="I437" s="8">
        <f>loaded!W437</f>
        <v>0</v>
      </c>
      <c r="J437" t="e">
        <f>INDEX(us_acc_codes,MATCH(loaded!Y437,us_acc,0))</f>
        <v>#N/A</v>
      </c>
      <c r="K437" t="e">
        <f>INDEX(client_codes,MATCH(loaded!AA437,client,0))</f>
        <v>#N/A</v>
      </c>
      <c r="L437" t="e">
        <f>INDEX(src_ref_codes,MATCH(loaded!AC437,src_ref,0))</f>
        <v>#N/A</v>
      </c>
      <c r="M437" s="8">
        <f>loaded!AE437</f>
        <v>0</v>
      </c>
      <c r="N437" s="8">
        <f>loaded!AG437</f>
        <v>0</v>
      </c>
      <c r="O437" t="e">
        <f>INDEX(reces_codes,MATCH(loaded!AI437,reason,0))</f>
        <v>#N/A</v>
      </c>
      <c r="P437" t="e">
        <f>INDEX(TDS_codes,MATCH(loaded!AK437,TDS,0))</f>
        <v>#N/A</v>
      </c>
      <c r="Q437" t="e">
        <f>IF(K437=2,"",INDEX(method_codes,MATCH(loaded!AM437,method,0)))</f>
        <v>#N/A</v>
      </c>
      <c r="R437" t="e">
        <f>IF(K437=2,"",INDEX(inj_codes,MATCH(loaded!AO437,inj,0)))</f>
        <v>#N/A</v>
      </c>
      <c r="S437" t="e">
        <f>IF(K437=2,"",INDEX(drug_codes,MATCH(loaded!AQ437,drug,0)))</f>
        <v>#N/A</v>
      </c>
      <c r="T437" t="e">
        <f>IF(K437=2,"",_xlfn.IFNA(INDEX(drug_codes,MATCH(loaded!AS437,drug,0)),""))</f>
        <v>#N/A</v>
      </c>
      <c r="U437" t="e">
        <f>IF(K437=2,"",_xlfn.IFNA(INDEX(drug_codes,MATCH(loaded!AU437,drug,0)),""))</f>
        <v>#N/A</v>
      </c>
      <c r="V437" t="e">
        <f>IF(K437=2,"",_xlfn.IFNA(INDEX(drug_codes,MATCH(loaded!AW437,drug,0)),""))</f>
        <v>#N/A</v>
      </c>
      <c r="W437" t="e">
        <f>IF(K437=2,"",_xlfn.IFNA(INDEX(drug_codes,MATCH(loaded!AY437,drug,0)),""))</f>
        <v>#N/A</v>
      </c>
      <c r="X437" t="e">
        <f>IF(K437=2,"",_xlfn.IFNA(INDEX(drug_codes,MATCH(loaded!BA437,drug,0)),""))</f>
        <v>#N/A</v>
      </c>
      <c r="Y437" t="e">
        <f>INDEX(MTT_codes,MATCH(loaded!BC437,MTT,0))</f>
        <v>#N/A</v>
      </c>
      <c r="Z437" t="str">
        <f>_xlfn.IFNA(INDEX(MTT_codes,MATCH(loaded!BE437,MTT,0)),"")</f>
        <v/>
      </c>
      <c r="AA437" t="str">
        <f>_xlfn.IFNA(INDEX(MTT_codes,MATCH(loaded!BG437,MTT,0)),"")</f>
        <v/>
      </c>
      <c r="AB437" t="str">
        <f>_xlfn.IFNA(INDEX(MTT_codes,MATCH(loaded!BI437,MTT,0)),"")</f>
        <v/>
      </c>
      <c r="AC437" t="str">
        <f>_xlfn.IFNA(INDEX(MTT_codes,MATCH(loaded!BK437,MTT,0)),"")</f>
        <v/>
      </c>
      <c r="AD437" t="str">
        <f>_xlfn.IFNA(INDEX(MTT_codes,MATCH(loaded!BM437,MTT,0)),"")</f>
        <v/>
      </c>
      <c r="AE437" t="e">
        <f>INDEX(liv_ar_codes,MATCH(loaded!BO437,liv_ar,0))</f>
        <v>#N/A</v>
      </c>
      <c r="AF437" t="str">
        <f>_xlfn.IFNA(INDEX(MTT_codes,MATCH(loaded!BQ437,MTT,0)),"")</f>
        <v/>
      </c>
      <c r="AG437">
        <f>_xlfn.IFNA(INDEX(mental_codes,MATCH(loaded!BS437,mental,0)),9)</f>
        <v>9</v>
      </c>
    </row>
    <row r="438" spans="1:33" x14ac:dyDescent="0.25">
      <c r="A438">
        <f>loaded!C438</f>
        <v>0</v>
      </c>
      <c r="B438">
        <f>loaded!I438</f>
        <v>0</v>
      </c>
      <c r="C438">
        <f>IF(loaded!K438="Male",1,IF(loaded!K438="Female",2,9))</f>
        <v>9</v>
      </c>
      <c r="D438" s="8">
        <f>loaded!M438</f>
        <v>0</v>
      </c>
      <c r="E438" t="str">
        <f>LEFT(loaded!O438,3)</f>
        <v/>
      </c>
      <c r="F438" t="e">
        <f>INDEX(cntry_codes,MATCH(loaded!Q438,countries,0))</f>
        <v>#N/A</v>
      </c>
      <c r="G438" t="e">
        <f>INDEX(atsi_codes,MATCH(loaded!S438,atsi,0))</f>
        <v>#N/A</v>
      </c>
      <c r="H438" t="e">
        <f>INDEX(lang_codes,MATCH(loaded!U438,lang,0))</f>
        <v>#N/A</v>
      </c>
      <c r="I438" s="8">
        <f>loaded!W438</f>
        <v>0</v>
      </c>
      <c r="J438" t="e">
        <f>INDEX(us_acc_codes,MATCH(loaded!Y438,us_acc,0))</f>
        <v>#N/A</v>
      </c>
      <c r="K438" t="e">
        <f>INDEX(client_codes,MATCH(loaded!AA438,client,0))</f>
        <v>#N/A</v>
      </c>
      <c r="L438" t="e">
        <f>INDEX(src_ref_codes,MATCH(loaded!AC438,src_ref,0))</f>
        <v>#N/A</v>
      </c>
      <c r="M438" s="8">
        <f>loaded!AE438</f>
        <v>0</v>
      </c>
      <c r="N438" s="8">
        <f>loaded!AG438</f>
        <v>0</v>
      </c>
      <c r="O438" t="e">
        <f>INDEX(reces_codes,MATCH(loaded!AI438,reason,0))</f>
        <v>#N/A</v>
      </c>
      <c r="P438" t="e">
        <f>INDEX(TDS_codes,MATCH(loaded!AK438,TDS,0))</f>
        <v>#N/A</v>
      </c>
      <c r="Q438" t="e">
        <f>IF(K438=2,"",INDEX(method_codes,MATCH(loaded!AM438,method,0)))</f>
        <v>#N/A</v>
      </c>
      <c r="R438" t="e">
        <f>IF(K438=2,"",INDEX(inj_codes,MATCH(loaded!AO438,inj,0)))</f>
        <v>#N/A</v>
      </c>
      <c r="S438" t="e">
        <f>IF(K438=2,"",INDEX(drug_codes,MATCH(loaded!AQ438,drug,0)))</f>
        <v>#N/A</v>
      </c>
      <c r="T438" t="e">
        <f>IF(K438=2,"",_xlfn.IFNA(INDEX(drug_codes,MATCH(loaded!AS438,drug,0)),""))</f>
        <v>#N/A</v>
      </c>
      <c r="U438" t="e">
        <f>IF(K438=2,"",_xlfn.IFNA(INDEX(drug_codes,MATCH(loaded!AU438,drug,0)),""))</f>
        <v>#N/A</v>
      </c>
      <c r="V438" t="e">
        <f>IF(K438=2,"",_xlfn.IFNA(INDEX(drug_codes,MATCH(loaded!AW438,drug,0)),""))</f>
        <v>#N/A</v>
      </c>
      <c r="W438" t="e">
        <f>IF(K438=2,"",_xlfn.IFNA(INDEX(drug_codes,MATCH(loaded!AY438,drug,0)),""))</f>
        <v>#N/A</v>
      </c>
      <c r="X438" t="e">
        <f>IF(K438=2,"",_xlfn.IFNA(INDEX(drug_codes,MATCH(loaded!BA438,drug,0)),""))</f>
        <v>#N/A</v>
      </c>
      <c r="Y438" t="e">
        <f>INDEX(MTT_codes,MATCH(loaded!BC438,MTT,0))</f>
        <v>#N/A</v>
      </c>
      <c r="Z438" t="str">
        <f>_xlfn.IFNA(INDEX(MTT_codes,MATCH(loaded!BE438,MTT,0)),"")</f>
        <v/>
      </c>
      <c r="AA438" t="str">
        <f>_xlfn.IFNA(INDEX(MTT_codes,MATCH(loaded!BG438,MTT,0)),"")</f>
        <v/>
      </c>
      <c r="AB438" t="str">
        <f>_xlfn.IFNA(INDEX(MTT_codes,MATCH(loaded!BI438,MTT,0)),"")</f>
        <v/>
      </c>
      <c r="AC438" t="str">
        <f>_xlfn.IFNA(INDEX(MTT_codes,MATCH(loaded!BK438,MTT,0)),"")</f>
        <v/>
      </c>
      <c r="AD438" t="str">
        <f>_xlfn.IFNA(INDEX(MTT_codes,MATCH(loaded!BM438,MTT,0)),"")</f>
        <v/>
      </c>
      <c r="AE438" t="e">
        <f>INDEX(liv_ar_codes,MATCH(loaded!BO438,liv_ar,0))</f>
        <v>#N/A</v>
      </c>
      <c r="AF438" t="str">
        <f>_xlfn.IFNA(INDEX(MTT_codes,MATCH(loaded!BQ438,MTT,0)),"")</f>
        <v/>
      </c>
      <c r="AG438">
        <f>_xlfn.IFNA(INDEX(mental_codes,MATCH(loaded!BS438,mental,0)),9)</f>
        <v>9</v>
      </c>
    </row>
    <row r="439" spans="1:33" x14ac:dyDescent="0.25">
      <c r="A439">
        <f>loaded!C439</f>
        <v>0</v>
      </c>
      <c r="B439">
        <f>loaded!I439</f>
        <v>0</v>
      </c>
      <c r="C439">
        <f>IF(loaded!K439="Male",1,IF(loaded!K439="Female",2,9))</f>
        <v>9</v>
      </c>
      <c r="D439" s="8">
        <f>loaded!M439</f>
        <v>0</v>
      </c>
      <c r="E439" t="str">
        <f>LEFT(loaded!O439,3)</f>
        <v/>
      </c>
      <c r="F439" t="e">
        <f>INDEX(cntry_codes,MATCH(loaded!Q439,countries,0))</f>
        <v>#N/A</v>
      </c>
      <c r="G439" t="e">
        <f>INDEX(atsi_codes,MATCH(loaded!S439,atsi,0))</f>
        <v>#N/A</v>
      </c>
      <c r="H439" t="e">
        <f>INDEX(lang_codes,MATCH(loaded!U439,lang,0))</f>
        <v>#N/A</v>
      </c>
      <c r="I439" s="8">
        <f>loaded!W439</f>
        <v>0</v>
      </c>
      <c r="J439" t="e">
        <f>INDEX(us_acc_codes,MATCH(loaded!Y439,us_acc,0))</f>
        <v>#N/A</v>
      </c>
      <c r="K439" t="e">
        <f>INDEX(client_codes,MATCH(loaded!AA439,client,0))</f>
        <v>#N/A</v>
      </c>
      <c r="L439" t="e">
        <f>INDEX(src_ref_codes,MATCH(loaded!AC439,src_ref,0))</f>
        <v>#N/A</v>
      </c>
      <c r="M439" s="8">
        <f>loaded!AE439</f>
        <v>0</v>
      </c>
      <c r="N439" s="8">
        <f>loaded!AG439</f>
        <v>0</v>
      </c>
      <c r="O439" t="e">
        <f>INDEX(reces_codes,MATCH(loaded!AI439,reason,0))</f>
        <v>#N/A</v>
      </c>
      <c r="P439" t="e">
        <f>INDEX(TDS_codes,MATCH(loaded!AK439,TDS,0))</f>
        <v>#N/A</v>
      </c>
      <c r="Q439" t="e">
        <f>IF(K439=2,"",INDEX(method_codes,MATCH(loaded!AM439,method,0)))</f>
        <v>#N/A</v>
      </c>
      <c r="R439" t="e">
        <f>IF(K439=2,"",INDEX(inj_codes,MATCH(loaded!AO439,inj,0)))</f>
        <v>#N/A</v>
      </c>
      <c r="S439" t="e">
        <f>IF(K439=2,"",INDEX(drug_codes,MATCH(loaded!AQ439,drug,0)))</f>
        <v>#N/A</v>
      </c>
      <c r="T439" t="e">
        <f>IF(K439=2,"",_xlfn.IFNA(INDEX(drug_codes,MATCH(loaded!AS439,drug,0)),""))</f>
        <v>#N/A</v>
      </c>
      <c r="U439" t="e">
        <f>IF(K439=2,"",_xlfn.IFNA(INDEX(drug_codes,MATCH(loaded!AU439,drug,0)),""))</f>
        <v>#N/A</v>
      </c>
      <c r="V439" t="e">
        <f>IF(K439=2,"",_xlfn.IFNA(INDEX(drug_codes,MATCH(loaded!AW439,drug,0)),""))</f>
        <v>#N/A</v>
      </c>
      <c r="W439" t="e">
        <f>IF(K439=2,"",_xlfn.IFNA(INDEX(drug_codes,MATCH(loaded!AY439,drug,0)),""))</f>
        <v>#N/A</v>
      </c>
      <c r="X439" t="e">
        <f>IF(K439=2,"",_xlfn.IFNA(INDEX(drug_codes,MATCH(loaded!BA439,drug,0)),""))</f>
        <v>#N/A</v>
      </c>
      <c r="Y439" t="e">
        <f>INDEX(MTT_codes,MATCH(loaded!BC439,MTT,0))</f>
        <v>#N/A</v>
      </c>
      <c r="Z439" t="str">
        <f>_xlfn.IFNA(INDEX(MTT_codes,MATCH(loaded!BE439,MTT,0)),"")</f>
        <v/>
      </c>
      <c r="AA439" t="str">
        <f>_xlfn.IFNA(INDEX(MTT_codes,MATCH(loaded!BG439,MTT,0)),"")</f>
        <v/>
      </c>
      <c r="AB439" t="str">
        <f>_xlfn.IFNA(INDEX(MTT_codes,MATCH(loaded!BI439,MTT,0)),"")</f>
        <v/>
      </c>
      <c r="AC439" t="str">
        <f>_xlfn.IFNA(INDEX(MTT_codes,MATCH(loaded!BK439,MTT,0)),"")</f>
        <v/>
      </c>
      <c r="AD439" t="str">
        <f>_xlfn.IFNA(INDEX(MTT_codes,MATCH(loaded!BM439,MTT,0)),"")</f>
        <v/>
      </c>
      <c r="AE439" t="e">
        <f>INDEX(liv_ar_codes,MATCH(loaded!BO439,liv_ar,0))</f>
        <v>#N/A</v>
      </c>
      <c r="AF439" t="str">
        <f>_xlfn.IFNA(INDEX(MTT_codes,MATCH(loaded!BQ439,MTT,0)),"")</f>
        <v/>
      </c>
      <c r="AG439">
        <f>_xlfn.IFNA(INDEX(mental_codes,MATCH(loaded!BS439,mental,0)),9)</f>
        <v>9</v>
      </c>
    </row>
    <row r="440" spans="1:33" x14ac:dyDescent="0.25">
      <c r="A440">
        <f>loaded!C440</f>
        <v>0</v>
      </c>
      <c r="B440">
        <f>loaded!I440</f>
        <v>0</v>
      </c>
      <c r="C440">
        <f>IF(loaded!K440="Male",1,IF(loaded!K440="Female",2,9))</f>
        <v>9</v>
      </c>
      <c r="D440" s="8">
        <f>loaded!M440</f>
        <v>0</v>
      </c>
      <c r="E440" t="str">
        <f>LEFT(loaded!O440,3)</f>
        <v/>
      </c>
      <c r="F440" t="e">
        <f>INDEX(cntry_codes,MATCH(loaded!Q440,countries,0))</f>
        <v>#N/A</v>
      </c>
      <c r="G440" t="e">
        <f>INDEX(atsi_codes,MATCH(loaded!S440,atsi,0))</f>
        <v>#N/A</v>
      </c>
      <c r="H440" t="e">
        <f>INDEX(lang_codes,MATCH(loaded!U440,lang,0))</f>
        <v>#N/A</v>
      </c>
      <c r="I440" s="8">
        <f>loaded!W440</f>
        <v>0</v>
      </c>
      <c r="J440" t="e">
        <f>INDEX(us_acc_codes,MATCH(loaded!Y440,us_acc,0))</f>
        <v>#N/A</v>
      </c>
      <c r="K440" t="e">
        <f>INDEX(client_codes,MATCH(loaded!AA440,client,0))</f>
        <v>#N/A</v>
      </c>
      <c r="L440" t="e">
        <f>INDEX(src_ref_codes,MATCH(loaded!AC440,src_ref,0))</f>
        <v>#N/A</v>
      </c>
      <c r="M440" s="8">
        <f>loaded!AE440</f>
        <v>0</v>
      </c>
      <c r="N440" s="8">
        <f>loaded!AG440</f>
        <v>0</v>
      </c>
      <c r="O440" t="e">
        <f>INDEX(reces_codes,MATCH(loaded!AI440,reason,0))</f>
        <v>#N/A</v>
      </c>
      <c r="P440" t="e">
        <f>INDEX(TDS_codes,MATCH(loaded!AK440,TDS,0))</f>
        <v>#N/A</v>
      </c>
      <c r="Q440" t="e">
        <f>IF(K440=2,"",INDEX(method_codes,MATCH(loaded!AM440,method,0)))</f>
        <v>#N/A</v>
      </c>
      <c r="R440" t="e">
        <f>IF(K440=2,"",INDEX(inj_codes,MATCH(loaded!AO440,inj,0)))</f>
        <v>#N/A</v>
      </c>
      <c r="S440" t="e">
        <f>IF(K440=2,"",INDEX(drug_codes,MATCH(loaded!AQ440,drug,0)))</f>
        <v>#N/A</v>
      </c>
      <c r="T440" t="e">
        <f>IF(K440=2,"",_xlfn.IFNA(INDEX(drug_codes,MATCH(loaded!AS440,drug,0)),""))</f>
        <v>#N/A</v>
      </c>
      <c r="U440" t="e">
        <f>IF(K440=2,"",_xlfn.IFNA(INDEX(drug_codes,MATCH(loaded!AU440,drug,0)),""))</f>
        <v>#N/A</v>
      </c>
      <c r="V440" t="e">
        <f>IF(K440=2,"",_xlfn.IFNA(INDEX(drug_codes,MATCH(loaded!AW440,drug,0)),""))</f>
        <v>#N/A</v>
      </c>
      <c r="W440" t="e">
        <f>IF(K440=2,"",_xlfn.IFNA(INDEX(drug_codes,MATCH(loaded!AY440,drug,0)),""))</f>
        <v>#N/A</v>
      </c>
      <c r="X440" t="e">
        <f>IF(K440=2,"",_xlfn.IFNA(INDEX(drug_codes,MATCH(loaded!BA440,drug,0)),""))</f>
        <v>#N/A</v>
      </c>
      <c r="Y440" t="e">
        <f>INDEX(MTT_codes,MATCH(loaded!BC440,MTT,0))</f>
        <v>#N/A</v>
      </c>
      <c r="Z440" t="str">
        <f>_xlfn.IFNA(INDEX(MTT_codes,MATCH(loaded!BE440,MTT,0)),"")</f>
        <v/>
      </c>
      <c r="AA440" t="str">
        <f>_xlfn.IFNA(INDEX(MTT_codes,MATCH(loaded!BG440,MTT,0)),"")</f>
        <v/>
      </c>
      <c r="AB440" t="str">
        <f>_xlfn.IFNA(INDEX(MTT_codes,MATCH(loaded!BI440,MTT,0)),"")</f>
        <v/>
      </c>
      <c r="AC440" t="str">
        <f>_xlfn.IFNA(INDEX(MTT_codes,MATCH(loaded!BK440,MTT,0)),"")</f>
        <v/>
      </c>
      <c r="AD440" t="str">
        <f>_xlfn.IFNA(INDEX(MTT_codes,MATCH(loaded!BM440,MTT,0)),"")</f>
        <v/>
      </c>
      <c r="AE440" t="e">
        <f>INDEX(liv_ar_codes,MATCH(loaded!BO440,liv_ar,0))</f>
        <v>#N/A</v>
      </c>
      <c r="AF440" t="str">
        <f>_xlfn.IFNA(INDEX(MTT_codes,MATCH(loaded!BQ440,MTT,0)),"")</f>
        <v/>
      </c>
      <c r="AG440">
        <f>_xlfn.IFNA(INDEX(mental_codes,MATCH(loaded!BS440,mental,0)),9)</f>
        <v>9</v>
      </c>
    </row>
    <row r="441" spans="1:33" x14ac:dyDescent="0.25">
      <c r="A441">
        <f>loaded!C441</f>
        <v>0</v>
      </c>
      <c r="B441">
        <f>loaded!I441</f>
        <v>0</v>
      </c>
      <c r="C441">
        <f>IF(loaded!K441="Male",1,IF(loaded!K441="Female",2,9))</f>
        <v>9</v>
      </c>
      <c r="D441" s="8">
        <f>loaded!M441</f>
        <v>0</v>
      </c>
      <c r="E441" t="str">
        <f>LEFT(loaded!O441,3)</f>
        <v/>
      </c>
      <c r="F441" t="e">
        <f>INDEX(cntry_codes,MATCH(loaded!Q441,countries,0))</f>
        <v>#N/A</v>
      </c>
      <c r="G441" t="e">
        <f>INDEX(atsi_codes,MATCH(loaded!S441,atsi,0))</f>
        <v>#N/A</v>
      </c>
      <c r="H441" t="e">
        <f>INDEX(lang_codes,MATCH(loaded!U441,lang,0))</f>
        <v>#N/A</v>
      </c>
      <c r="I441" s="8">
        <f>loaded!W441</f>
        <v>0</v>
      </c>
      <c r="J441" t="e">
        <f>INDEX(us_acc_codes,MATCH(loaded!Y441,us_acc,0))</f>
        <v>#N/A</v>
      </c>
      <c r="K441" t="e">
        <f>INDEX(client_codes,MATCH(loaded!AA441,client,0))</f>
        <v>#N/A</v>
      </c>
      <c r="L441" t="e">
        <f>INDEX(src_ref_codes,MATCH(loaded!AC441,src_ref,0))</f>
        <v>#N/A</v>
      </c>
      <c r="M441" s="8">
        <f>loaded!AE441</f>
        <v>0</v>
      </c>
      <c r="N441" s="8">
        <f>loaded!AG441</f>
        <v>0</v>
      </c>
      <c r="O441" t="e">
        <f>INDEX(reces_codes,MATCH(loaded!AI441,reason,0))</f>
        <v>#N/A</v>
      </c>
      <c r="P441" t="e">
        <f>INDEX(TDS_codes,MATCH(loaded!AK441,TDS,0))</f>
        <v>#N/A</v>
      </c>
      <c r="Q441" t="e">
        <f>IF(K441=2,"",INDEX(method_codes,MATCH(loaded!AM441,method,0)))</f>
        <v>#N/A</v>
      </c>
      <c r="R441" t="e">
        <f>IF(K441=2,"",INDEX(inj_codes,MATCH(loaded!AO441,inj,0)))</f>
        <v>#N/A</v>
      </c>
      <c r="S441" t="e">
        <f>IF(K441=2,"",INDEX(drug_codes,MATCH(loaded!AQ441,drug,0)))</f>
        <v>#N/A</v>
      </c>
      <c r="T441" t="e">
        <f>IF(K441=2,"",_xlfn.IFNA(INDEX(drug_codes,MATCH(loaded!AS441,drug,0)),""))</f>
        <v>#N/A</v>
      </c>
      <c r="U441" t="e">
        <f>IF(K441=2,"",_xlfn.IFNA(INDEX(drug_codes,MATCH(loaded!AU441,drug,0)),""))</f>
        <v>#N/A</v>
      </c>
      <c r="V441" t="e">
        <f>IF(K441=2,"",_xlfn.IFNA(INDEX(drug_codes,MATCH(loaded!AW441,drug,0)),""))</f>
        <v>#N/A</v>
      </c>
      <c r="W441" t="e">
        <f>IF(K441=2,"",_xlfn.IFNA(INDEX(drug_codes,MATCH(loaded!AY441,drug,0)),""))</f>
        <v>#N/A</v>
      </c>
      <c r="X441" t="e">
        <f>IF(K441=2,"",_xlfn.IFNA(INDEX(drug_codes,MATCH(loaded!BA441,drug,0)),""))</f>
        <v>#N/A</v>
      </c>
      <c r="Y441" t="e">
        <f>INDEX(MTT_codes,MATCH(loaded!BC441,MTT,0))</f>
        <v>#N/A</v>
      </c>
      <c r="Z441" t="str">
        <f>_xlfn.IFNA(INDEX(MTT_codes,MATCH(loaded!BE441,MTT,0)),"")</f>
        <v/>
      </c>
      <c r="AA441" t="str">
        <f>_xlfn.IFNA(INDEX(MTT_codes,MATCH(loaded!BG441,MTT,0)),"")</f>
        <v/>
      </c>
      <c r="AB441" t="str">
        <f>_xlfn.IFNA(INDEX(MTT_codes,MATCH(loaded!BI441,MTT,0)),"")</f>
        <v/>
      </c>
      <c r="AC441" t="str">
        <f>_xlfn.IFNA(INDEX(MTT_codes,MATCH(loaded!BK441,MTT,0)),"")</f>
        <v/>
      </c>
      <c r="AD441" t="str">
        <f>_xlfn.IFNA(INDEX(MTT_codes,MATCH(loaded!BM441,MTT,0)),"")</f>
        <v/>
      </c>
      <c r="AE441" t="e">
        <f>INDEX(liv_ar_codes,MATCH(loaded!BO441,liv_ar,0))</f>
        <v>#N/A</v>
      </c>
      <c r="AF441" t="str">
        <f>_xlfn.IFNA(INDEX(MTT_codes,MATCH(loaded!BQ441,MTT,0)),"")</f>
        <v/>
      </c>
      <c r="AG441">
        <f>_xlfn.IFNA(INDEX(mental_codes,MATCH(loaded!BS441,mental,0)),9)</f>
        <v>9</v>
      </c>
    </row>
    <row r="442" spans="1:33" x14ac:dyDescent="0.25">
      <c r="A442">
        <f>loaded!C442</f>
        <v>0</v>
      </c>
      <c r="B442">
        <f>loaded!I442</f>
        <v>0</v>
      </c>
      <c r="C442">
        <f>IF(loaded!K442="Male",1,IF(loaded!K442="Female",2,9))</f>
        <v>9</v>
      </c>
      <c r="D442" s="8">
        <f>loaded!M442</f>
        <v>0</v>
      </c>
      <c r="E442" t="str">
        <f>LEFT(loaded!O442,3)</f>
        <v/>
      </c>
      <c r="F442" t="e">
        <f>INDEX(cntry_codes,MATCH(loaded!Q442,countries,0))</f>
        <v>#N/A</v>
      </c>
      <c r="G442" t="e">
        <f>INDEX(atsi_codes,MATCH(loaded!S442,atsi,0))</f>
        <v>#N/A</v>
      </c>
      <c r="H442" t="e">
        <f>INDEX(lang_codes,MATCH(loaded!U442,lang,0))</f>
        <v>#N/A</v>
      </c>
      <c r="I442" s="8">
        <f>loaded!W442</f>
        <v>0</v>
      </c>
      <c r="J442" t="e">
        <f>INDEX(us_acc_codes,MATCH(loaded!Y442,us_acc,0))</f>
        <v>#N/A</v>
      </c>
      <c r="K442" t="e">
        <f>INDEX(client_codes,MATCH(loaded!AA442,client,0))</f>
        <v>#N/A</v>
      </c>
      <c r="L442" t="e">
        <f>INDEX(src_ref_codes,MATCH(loaded!AC442,src_ref,0))</f>
        <v>#N/A</v>
      </c>
      <c r="M442" s="8">
        <f>loaded!AE442</f>
        <v>0</v>
      </c>
      <c r="N442" s="8">
        <f>loaded!AG442</f>
        <v>0</v>
      </c>
      <c r="O442" t="e">
        <f>INDEX(reces_codes,MATCH(loaded!AI442,reason,0))</f>
        <v>#N/A</v>
      </c>
      <c r="P442" t="e">
        <f>INDEX(TDS_codes,MATCH(loaded!AK442,TDS,0))</f>
        <v>#N/A</v>
      </c>
      <c r="Q442" t="e">
        <f>IF(K442=2,"",INDEX(method_codes,MATCH(loaded!AM442,method,0)))</f>
        <v>#N/A</v>
      </c>
      <c r="R442" t="e">
        <f>IF(K442=2,"",INDEX(inj_codes,MATCH(loaded!AO442,inj,0)))</f>
        <v>#N/A</v>
      </c>
      <c r="S442" t="e">
        <f>IF(K442=2,"",INDEX(drug_codes,MATCH(loaded!AQ442,drug,0)))</f>
        <v>#N/A</v>
      </c>
      <c r="T442" t="e">
        <f>IF(K442=2,"",_xlfn.IFNA(INDEX(drug_codes,MATCH(loaded!AS442,drug,0)),""))</f>
        <v>#N/A</v>
      </c>
      <c r="U442" t="e">
        <f>IF(K442=2,"",_xlfn.IFNA(INDEX(drug_codes,MATCH(loaded!AU442,drug,0)),""))</f>
        <v>#N/A</v>
      </c>
      <c r="V442" t="e">
        <f>IF(K442=2,"",_xlfn.IFNA(INDEX(drug_codes,MATCH(loaded!AW442,drug,0)),""))</f>
        <v>#N/A</v>
      </c>
      <c r="W442" t="e">
        <f>IF(K442=2,"",_xlfn.IFNA(INDEX(drug_codes,MATCH(loaded!AY442,drug,0)),""))</f>
        <v>#N/A</v>
      </c>
      <c r="X442" t="e">
        <f>IF(K442=2,"",_xlfn.IFNA(INDEX(drug_codes,MATCH(loaded!BA442,drug,0)),""))</f>
        <v>#N/A</v>
      </c>
      <c r="Y442" t="e">
        <f>INDEX(MTT_codes,MATCH(loaded!BC442,MTT,0))</f>
        <v>#N/A</v>
      </c>
      <c r="Z442" t="str">
        <f>_xlfn.IFNA(INDEX(MTT_codes,MATCH(loaded!BE442,MTT,0)),"")</f>
        <v/>
      </c>
      <c r="AA442" t="str">
        <f>_xlfn.IFNA(INDEX(MTT_codes,MATCH(loaded!BG442,MTT,0)),"")</f>
        <v/>
      </c>
      <c r="AB442" t="str">
        <f>_xlfn.IFNA(INDEX(MTT_codes,MATCH(loaded!BI442,MTT,0)),"")</f>
        <v/>
      </c>
      <c r="AC442" t="str">
        <f>_xlfn.IFNA(INDEX(MTT_codes,MATCH(loaded!BK442,MTT,0)),"")</f>
        <v/>
      </c>
      <c r="AD442" t="str">
        <f>_xlfn.IFNA(INDEX(MTT_codes,MATCH(loaded!BM442,MTT,0)),"")</f>
        <v/>
      </c>
      <c r="AE442" t="e">
        <f>INDEX(liv_ar_codes,MATCH(loaded!BO442,liv_ar,0))</f>
        <v>#N/A</v>
      </c>
      <c r="AF442" t="str">
        <f>_xlfn.IFNA(INDEX(MTT_codes,MATCH(loaded!BQ442,MTT,0)),"")</f>
        <v/>
      </c>
      <c r="AG442">
        <f>_xlfn.IFNA(INDEX(mental_codes,MATCH(loaded!BS442,mental,0)),9)</f>
        <v>9</v>
      </c>
    </row>
    <row r="443" spans="1:33" x14ac:dyDescent="0.25">
      <c r="A443">
        <f>loaded!C443</f>
        <v>0</v>
      </c>
      <c r="B443">
        <f>loaded!I443</f>
        <v>0</v>
      </c>
      <c r="C443">
        <f>IF(loaded!K443="Male",1,IF(loaded!K443="Female",2,9))</f>
        <v>9</v>
      </c>
      <c r="D443" s="8">
        <f>loaded!M443</f>
        <v>0</v>
      </c>
      <c r="E443" t="str">
        <f>LEFT(loaded!O443,3)</f>
        <v/>
      </c>
      <c r="F443" t="e">
        <f>INDEX(cntry_codes,MATCH(loaded!Q443,countries,0))</f>
        <v>#N/A</v>
      </c>
      <c r="G443" t="e">
        <f>INDEX(atsi_codes,MATCH(loaded!S443,atsi,0))</f>
        <v>#N/A</v>
      </c>
      <c r="H443" t="e">
        <f>INDEX(lang_codes,MATCH(loaded!U443,lang,0))</f>
        <v>#N/A</v>
      </c>
      <c r="I443" s="8">
        <f>loaded!W443</f>
        <v>0</v>
      </c>
      <c r="J443" t="e">
        <f>INDEX(us_acc_codes,MATCH(loaded!Y443,us_acc,0))</f>
        <v>#N/A</v>
      </c>
      <c r="K443" t="e">
        <f>INDEX(client_codes,MATCH(loaded!AA443,client,0))</f>
        <v>#N/A</v>
      </c>
      <c r="L443" t="e">
        <f>INDEX(src_ref_codes,MATCH(loaded!AC443,src_ref,0))</f>
        <v>#N/A</v>
      </c>
      <c r="M443" s="8">
        <f>loaded!AE443</f>
        <v>0</v>
      </c>
      <c r="N443" s="8">
        <f>loaded!AG443</f>
        <v>0</v>
      </c>
      <c r="O443" t="e">
        <f>INDEX(reces_codes,MATCH(loaded!AI443,reason,0))</f>
        <v>#N/A</v>
      </c>
      <c r="P443" t="e">
        <f>INDEX(TDS_codes,MATCH(loaded!AK443,TDS,0))</f>
        <v>#N/A</v>
      </c>
      <c r="Q443" t="e">
        <f>IF(K443=2,"",INDEX(method_codes,MATCH(loaded!AM443,method,0)))</f>
        <v>#N/A</v>
      </c>
      <c r="R443" t="e">
        <f>IF(K443=2,"",INDEX(inj_codes,MATCH(loaded!AO443,inj,0)))</f>
        <v>#N/A</v>
      </c>
      <c r="S443" t="e">
        <f>IF(K443=2,"",INDEX(drug_codes,MATCH(loaded!AQ443,drug,0)))</f>
        <v>#N/A</v>
      </c>
      <c r="T443" t="e">
        <f>IF(K443=2,"",_xlfn.IFNA(INDEX(drug_codes,MATCH(loaded!AS443,drug,0)),""))</f>
        <v>#N/A</v>
      </c>
      <c r="U443" t="e">
        <f>IF(K443=2,"",_xlfn.IFNA(INDEX(drug_codes,MATCH(loaded!AU443,drug,0)),""))</f>
        <v>#N/A</v>
      </c>
      <c r="V443" t="e">
        <f>IF(K443=2,"",_xlfn.IFNA(INDEX(drug_codes,MATCH(loaded!AW443,drug,0)),""))</f>
        <v>#N/A</v>
      </c>
      <c r="W443" t="e">
        <f>IF(K443=2,"",_xlfn.IFNA(INDEX(drug_codes,MATCH(loaded!AY443,drug,0)),""))</f>
        <v>#N/A</v>
      </c>
      <c r="X443" t="e">
        <f>IF(K443=2,"",_xlfn.IFNA(INDEX(drug_codes,MATCH(loaded!BA443,drug,0)),""))</f>
        <v>#N/A</v>
      </c>
      <c r="Y443" t="e">
        <f>INDEX(MTT_codes,MATCH(loaded!BC443,MTT,0))</f>
        <v>#N/A</v>
      </c>
      <c r="Z443" t="str">
        <f>_xlfn.IFNA(INDEX(MTT_codes,MATCH(loaded!BE443,MTT,0)),"")</f>
        <v/>
      </c>
      <c r="AA443" t="str">
        <f>_xlfn.IFNA(INDEX(MTT_codes,MATCH(loaded!BG443,MTT,0)),"")</f>
        <v/>
      </c>
      <c r="AB443" t="str">
        <f>_xlfn.IFNA(INDEX(MTT_codes,MATCH(loaded!BI443,MTT,0)),"")</f>
        <v/>
      </c>
      <c r="AC443" t="str">
        <f>_xlfn.IFNA(INDEX(MTT_codes,MATCH(loaded!BK443,MTT,0)),"")</f>
        <v/>
      </c>
      <c r="AD443" t="str">
        <f>_xlfn.IFNA(INDEX(MTT_codes,MATCH(loaded!BM443,MTT,0)),"")</f>
        <v/>
      </c>
      <c r="AE443" t="e">
        <f>INDEX(liv_ar_codes,MATCH(loaded!BO443,liv_ar,0))</f>
        <v>#N/A</v>
      </c>
      <c r="AF443" t="str">
        <f>_xlfn.IFNA(INDEX(MTT_codes,MATCH(loaded!BQ443,MTT,0)),"")</f>
        <v/>
      </c>
      <c r="AG443">
        <f>_xlfn.IFNA(INDEX(mental_codes,MATCH(loaded!BS443,mental,0)),9)</f>
        <v>9</v>
      </c>
    </row>
    <row r="444" spans="1:33" x14ac:dyDescent="0.25">
      <c r="A444">
        <f>loaded!C444</f>
        <v>0</v>
      </c>
      <c r="B444">
        <f>loaded!I444</f>
        <v>0</v>
      </c>
      <c r="C444">
        <f>IF(loaded!K444="Male",1,IF(loaded!K444="Female",2,9))</f>
        <v>9</v>
      </c>
      <c r="D444" s="8">
        <f>loaded!M444</f>
        <v>0</v>
      </c>
      <c r="E444" t="str">
        <f>LEFT(loaded!O444,3)</f>
        <v/>
      </c>
      <c r="F444" t="e">
        <f>INDEX(cntry_codes,MATCH(loaded!Q444,countries,0))</f>
        <v>#N/A</v>
      </c>
      <c r="G444" t="e">
        <f>INDEX(atsi_codes,MATCH(loaded!S444,atsi,0))</f>
        <v>#N/A</v>
      </c>
      <c r="H444" t="e">
        <f>INDEX(lang_codes,MATCH(loaded!U444,lang,0))</f>
        <v>#N/A</v>
      </c>
      <c r="I444" s="8">
        <f>loaded!W444</f>
        <v>0</v>
      </c>
      <c r="J444" t="e">
        <f>INDEX(us_acc_codes,MATCH(loaded!Y444,us_acc,0))</f>
        <v>#N/A</v>
      </c>
      <c r="K444" t="e">
        <f>INDEX(client_codes,MATCH(loaded!AA444,client,0))</f>
        <v>#N/A</v>
      </c>
      <c r="L444" t="e">
        <f>INDEX(src_ref_codes,MATCH(loaded!AC444,src_ref,0))</f>
        <v>#N/A</v>
      </c>
      <c r="M444" s="8">
        <f>loaded!AE444</f>
        <v>0</v>
      </c>
      <c r="N444" s="8">
        <f>loaded!AG444</f>
        <v>0</v>
      </c>
      <c r="O444" t="e">
        <f>INDEX(reces_codes,MATCH(loaded!AI444,reason,0))</f>
        <v>#N/A</v>
      </c>
      <c r="P444" t="e">
        <f>INDEX(TDS_codes,MATCH(loaded!AK444,TDS,0))</f>
        <v>#N/A</v>
      </c>
      <c r="Q444" t="e">
        <f>IF(K444=2,"",INDEX(method_codes,MATCH(loaded!AM444,method,0)))</f>
        <v>#N/A</v>
      </c>
      <c r="R444" t="e">
        <f>IF(K444=2,"",INDEX(inj_codes,MATCH(loaded!AO444,inj,0)))</f>
        <v>#N/A</v>
      </c>
      <c r="S444" t="e">
        <f>IF(K444=2,"",INDEX(drug_codes,MATCH(loaded!AQ444,drug,0)))</f>
        <v>#N/A</v>
      </c>
      <c r="T444" t="e">
        <f>IF(K444=2,"",_xlfn.IFNA(INDEX(drug_codes,MATCH(loaded!AS444,drug,0)),""))</f>
        <v>#N/A</v>
      </c>
      <c r="U444" t="e">
        <f>IF(K444=2,"",_xlfn.IFNA(INDEX(drug_codes,MATCH(loaded!AU444,drug,0)),""))</f>
        <v>#N/A</v>
      </c>
      <c r="V444" t="e">
        <f>IF(K444=2,"",_xlfn.IFNA(INDEX(drug_codes,MATCH(loaded!AW444,drug,0)),""))</f>
        <v>#N/A</v>
      </c>
      <c r="W444" t="e">
        <f>IF(K444=2,"",_xlfn.IFNA(INDEX(drug_codes,MATCH(loaded!AY444,drug,0)),""))</f>
        <v>#N/A</v>
      </c>
      <c r="X444" t="e">
        <f>IF(K444=2,"",_xlfn.IFNA(INDEX(drug_codes,MATCH(loaded!BA444,drug,0)),""))</f>
        <v>#N/A</v>
      </c>
      <c r="Y444" t="e">
        <f>INDEX(MTT_codes,MATCH(loaded!BC444,MTT,0))</f>
        <v>#N/A</v>
      </c>
      <c r="Z444" t="str">
        <f>_xlfn.IFNA(INDEX(MTT_codes,MATCH(loaded!BE444,MTT,0)),"")</f>
        <v/>
      </c>
      <c r="AA444" t="str">
        <f>_xlfn.IFNA(INDEX(MTT_codes,MATCH(loaded!BG444,MTT,0)),"")</f>
        <v/>
      </c>
      <c r="AB444" t="str">
        <f>_xlfn.IFNA(INDEX(MTT_codes,MATCH(loaded!BI444,MTT,0)),"")</f>
        <v/>
      </c>
      <c r="AC444" t="str">
        <f>_xlfn.IFNA(INDEX(MTT_codes,MATCH(loaded!BK444,MTT,0)),"")</f>
        <v/>
      </c>
      <c r="AD444" t="str">
        <f>_xlfn.IFNA(INDEX(MTT_codes,MATCH(loaded!BM444,MTT,0)),"")</f>
        <v/>
      </c>
      <c r="AE444" t="e">
        <f>INDEX(liv_ar_codes,MATCH(loaded!BO444,liv_ar,0))</f>
        <v>#N/A</v>
      </c>
      <c r="AF444" t="str">
        <f>_xlfn.IFNA(INDEX(MTT_codes,MATCH(loaded!BQ444,MTT,0)),"")</f>
        <v/>
      </c>
      <c r="AG444">
        <f>_xlfn.IFNA(INDEX(mental_codes,MATCH(loaded!BS444,mental,0)),9)</f>
        <v>9</v>
      </c>
    </row>
    <row r="445" spans="1:33" x14ac:dyDescent="0.25">
      <c r="A445">
        <f>loaded!C445</f>
        <v>0</v>
      </c>
      <c r="B445">
        <f>loaded!I445</f>
        <v>0</v>
      </c>
      <c r="C445">
        <f>IF(loaded!K445="Male",1,IF(loaded!K445="Female",2,9))</f>
        <v>9</v>
      </c>
      <c r="D445" s="8">
        <f>loaded!M445</f>
        <v>0</v>
      </c>
      <c r="E445" t="str">
        <f>LEFT(loaded!O445,3)</f>
        <v/>
      </c>
      <c r="F445" t="e">
        <f>INDEX(cntry_codes,MATCH(loaded!Q445,countries,0))</f>
        <v>#N/A</v>
      </c>
      <c r="G445" t="e">
        <f>INDEX(atsi_codes,MATCH(loaded!S445,atsi,0))</f>
        <v>#N/A</v>
      </c>
      <c r="H445" t="e">
        <f>INDEX(lang_codes,MATCH(loaded!U445,lang,0))</f>
        <v>#N/A</v>
      </c>
      <c r="I445" s="8">
        <f>loaded!W445</f>
        <v>0</v>
      </c>
      <c r="J445" t="e">
        <f>INDEX(us_acc_codes,MATCH(loaded!Y445,us_acc,0))</f>
        <v>#N/A</v>
      </c>
      <c r="K445" t="e">
        <f>INDEX(client_codes,MATCH(loaded!AA445,client,0))</f>
        <v>#N/A</v>
      </c>
      <c r="L445" t="e">
        <f>INDEX(src_ref_codes,MATCH(loaded!AC445,src_ref,0))</f>
        <v>#N/A</v>
      </c>
      <c r="M445" s="8">
        <f>loaded!AE445</f>
        <v>0</v>
      </c>
      <c r="N445" s="8">
        <f>loaded!AG445</f>
        <v>0</v>
      </c>
      <c r="O445" t="e">
        <f>INDEX(reces_codes,MATCH(loaded!AI445,reason,0))</f>
        <v>#N/A</v>
      </c>
      <c r="P445" t="e">
        <f>INDEX(TDS_codes,MATCH(loaded!AK445,TDS,0))</f>
        <v>#N/A</v>
      </c>
      <c r="Q445" t="e">
        <f>IF(K445=2,"",INDEX(method_codes,MATCH(loaded!AM445,method,0)))</f>
        <v>#N/A</v>
      </c>
      <c r="R445" t="e">
        <f>IF(K445=2,"",INDEX(inj_codes,MATCH(loaded!AO445,inj,0)))</f>
        <v>#N/A</v>
      </c>
      <c r="S445" t="e">
        <f>IF(K445=2,"",INDEX(drug_codes,MATCH(loaded!AQ445,drug,0)))</f>
        <v>#N/A</v>
      </c>
      <c r="T445" t="e">
        <f>IF(K445=2,"",_xlfn.IFNA(INDEX(drug_codes,MATCH(loaded!AS445,drug,0)),""))</f>
        <v>#N/A</v>
      </c>
      <c r="U445" t="e">
        <f>IF(K445=2,"",_xlfn.IFNA(INDEX(drug_codes,MATCH(loaded!AU445,drug,0)),""))</f>
        <v>#N/A</v>
      </c>
      <c r="V445" t="e">
        <f>IF(K445=2,"",_xlfn.IFNA(INDEX(drug_codes,MATCH(loaded!AW445,drug,0)),""))</f>
        <v>#N/A</v>
      </c>
      <c r="W445" t="e">
        <f>IF(K445=2,"",_xlfn.IFNA(INDEX(drug_codes,MATCH(loaded!AY445,drug,0)),""))</f>
        <v>#N/A</v>
      </c>
      <c r="X445" t="e">
        <f>IF(K445=2,"",_xlfn.IFNA(INDEX(drug_codes,MATCH(loaded!BA445,drug,0)),""))</f>
        <v>#N/A</v>
      </c>
      <c r="Y445" t="e">
        <f>INDEX(MTT_codes,MATCH(loaded!BC445,MTT,0))</f>
        <v>#N/A</v>
      </c>
      <c r="Z445" t="str">
        <f>_xlfn.IFNA(INDEX(MTT_codes,MATCH(loaded!BE445,MTT,0)),"")</f>
        <v/>
      </c>
      <c r="AA445" t="str">
        <f>_xlfn.IFNA(INDEX(MTT_codes,MATCH(loaded!BG445,MTT,0)),"")</f>
        <v/>
      </c>
      <c r="AB445" t="str">
        <f>_xlfn.IFNA(INDEX(MTT_codes,MATCH(loaded!BI445,MTT,0)),"")</f>
        <v/>
      </c>
      <c r="AC445" t="str">
        <f>_xlfn.IFNA(INDEX(MTT_codes,MATCH(loaded!BK445,MTT,0)),"")</f>
        <v/>
      </c>
      <c r="AD445" t="str">
        <f>_xlfn.IFNA(INDEX(MTT_codes,MATCH(loaded!BM445,MTT,0)),"")</f>
        <v/>
      </c>
      <c r="AE445" t="e">
        <f>INDEX(liv_ar_codes,MATCH(loaded!BO445,liv_ar,0))</f>
        <v>#N/A</v>
      </c>
      <c r="AF445" t="str">
        <f>_xlfn.IFNA(INDEX(MTT_codes,MATCH(loaded!BQ445,MTT,0)),"")</f>
        <v/>
      </c>
      <c r="AG445">
        <f>_xlfn.IFNA(INDEX(mental_codes,MATCH(loaded!BS445,mental,0)),9)</f>
        <v>9</v>
      </c>
    </row>
    <row r="446" spans="1:33" x14ac:dyDescent="0.25">
      <c r="A446">
        <f>loaded!C446</f>
        <v>0</v>
      </c>
      <c r="B446">
        <f>loaded!I446</f>
        <v>0</v>
      </c>
      <c r="C446">
        <f>IF(loaded!K446="Male",1,IF(loaded!K446="Female",2,9))</f>
        <v>9</v>
      </c>
      <c r="D446" s="8">
        <f>loaded!M446</f>
        <v>0</v>
      </c>
      <c r="E446" t="str">
        <f>LEFT(loaded!O446,3)</f>
        <v/>
      </c>
      <c r="F446" t="e">
        <f>INDEX(cntry_codes,MATCH(loaded!Q446,countries,0))</f>
        <v>#N/A</v>
      </c>
      <c r="G446" t="e">
        <f>INDEX(atsi_codes,MATCH(loaded!S446,atsi,0))</f>
        <v>#N/A</v>
      </c>
      <c r="H446" t="e">
        <f>INDEX(lang_codes,MATCH(loaded!U446,lang,0))</f>
        <v>#N/A</v>
      </c>
      <c r="I446" s="8">
        <f>loaded!W446</f>
        <v>0</v>
      </c>
      <c r="J446" t="e">
        <f>INDEX(us_acc_codes,MATCH(loaded!Y446,us_acc,0))</f>
        <v>#N/A</v>
      </c>
      <c r="K446" t="e">
        <f>INDEX(client_codes,MATCH(loaded!AA446,client,0))</f>
        <v>#N/A</v>
      </c>
      <c r="L446" t="e">
        <f>INDEX(src_ref_codes,MATCH(loaded!AC446,src_ref,0))</f>
        <v>#N/A</v>
      </c>
      <c r="M446" s="8">
        <f>loaded!AE446</f>
        <v>0</v>
      </c>
      <c r="N446" s="8">
        <f>loaded!AG446</f>
        <v>0</v>
      </c>
      <c r="O446" t="e">
        <f>INDEX(reces_codes,MATCH(loaded!AI446,reason,0))</f>
        <v>#N/A</v>
      </c>
      <c r="P446" t="e">
        <f>INDEX(TDS_codes,MATCH(loaded!AK446,TDS,0))</f>
        <v>#N/A</v>
      </c>
      <c r="Q446" t="e">
        <f>IF(K446=2,"",INDEX(method_codes,MATCH(loaded!AM446,method,0)))</f>
        <v>#N/A</v>
      </c>
      <c r="R446" t="e">
        <f>IF(K446=2,"",INDEX(inj_codes,MATCH(loaded!AO446,inj,0)))</f>
        <v>#N/A</v>
      </c>
      <c r="S446" t="e">
        <f>IF(K446=2,"",INDEX(drug_codes,MATCH(loaded!AQ446,drug,0)))</f>
        <v>#N/A</v>
      </c>
      <c r="T446" t="e">
        <f>IF(K446=2,"",_xlfn.IFNA(INDEX(drug_codes,MATCH(loaded!AS446,drug,0)),""))</f>
        <v>#N/A</v>
      </c>
      <c r="U446" t="e">
        <f>IF(K446=2,"",_xlfn.IFNA(INDEX(drug_codes,MATCH(loaded!AU446,drug,0)),""))</f>
        <v>#N/A</v>
      </c>
      <c r="V446" t="e">
        <f>IF(K446=2,"",_xlfn.IFNA(INDEX(drug_codes,MATCH(loaded!AW446,drug,0)),""))</f>
        <v>#N/A</v>
      </c>
      <c r="W446" t="e">
        <f>IF(K446=2,"",_xlfn.IFNA(INDEX(drug_codes,MATCH(loaded!AY446,drug,0)),""))</f>
        <v>#N/A</v>
      </c>
      <c r="X446" t="e">
        <f>IF(K446=2,"",_xlfn.IFNA(INDEX(drug_codes,MATCH(loaded!BA446,drug,0)),""))</f>
        <v>#N/A</v>
      </c>
      <c r="Y446" t="e">
        <f>INDEX(MTT_codes,MATCH(loaded!BC446,MTT,0))</f>
        <v>#N/A</v>
      </c>
      <c r="Z446" t="str">
        <f>_xlfn.IFNA(INDEX(MTT_codes,MATCH(loaded!BE446,MTT,0)),"")</f>
        <v/>
      </c>
      <c r="AA446" t="str">
        <f>_xlfn.IFNA(INDEX(MTT_codes,MATCH(loaded!BG446,MTT,0)),"")</f>
        <v/>
      </c>
      <c r="AB446" t="str">
        <f>_xlfn.IFNA(INDEX(MTT_codes,MATCH(loaded!BI446,MTT,0)),"")</f>
        <v/>
      </c>
      <c r="AC446" t="str">
        <f>_xlfn.IFNA(INDEX(MTT_codes,MATCH(loaded!BK446,MTT,0)),"")</f>
        <v/>
      </c>
      <c r="AD446" t="str">
        <f>_xlfn.IFNA(INDEX(MTT_codes,MATCH(loaded!BM446,MTT,0)),"")</f>
        <v/>
      </c>
      <c r="AE446" t="e">
        <f>INDEX(liv_ar_codes,MATCH(loaded!BO446,liv_ar,0))</f>
        <v>#N/A</v>
      </c>
      <c r="AF446" t="str">
        <f>_xlfn.IFNA(INDEX(MTT_codes,MATCH(loaded!BQ446,MTT,0)),"")</f>
        <v/>
      </c>
      <c r="AG446">
        <f>_xlfn.IFNA(INDEX(mental_codes,MATCH(loaded!BS446,mental,0)),9)</f>
        <v>9</v>
      </c>
    </row>
    <row r="447" spans="1:33" x14ac:dyDescent="0.25">
      <c r="A447">
        <f>loaded!C447</f>
        <v>0</v>
      </c>
      <c r="B447">
        <f>loaded!I447</f>
        <v>0</v>
      </c>
      <c r="C447">
        <f>IF(loaded!K447="Male",1,IF(loaded!K447="Female",2,9))</f>
        <v>9</v>
      </c>
      <c r="D447" s="8">
        <f>loaded!M447</f>
        <v>0</v>
      </c>
      <c r="E447" t="str">
        <f>LEFT(loaded!O447,3)</f>
        <v/>
      </c>
      <c r="F447" t="e">
        <f>INDEX(cntry_codes,MATCH(loaded!Q447,countries,0))</f>
        <v>#N/A</v>
      </c>
      <c r="G447" t="e">
        <f>INDEX(atsi_codes,MATCH(loaded!S447,atsi,0))</f>
        <v>#N/A</v>
      </c>
      <c r="H447" t="e">
        <f>INDEX(lang_codes,MATCH(loaded!U447,lang,0))</f>
        <v>#N/A</v>
      </c>
      <c r="I447" s="8">
        <f>loaded!W447</f>
        <v>0</v>
      </c>
      <c r="J447" t="e">
        <f>INDEX(us_acc_codes,MATCH(loaded!Y447,us_acc,0))</f>
        <v>#N/A</v>
      </c>
      <c r="K447" t="e">
        <f>INDEX(client_codes,MATCH(loaded!AA447,client,0))</f>
        <v>#N/A</v>
      </c>
      <c r="L447" t="e">
        <f>INDEX(src_ref_codes,MATCH(loaded!AC447,src_ref,0))</f>
        <v>#N/A</v>
      </c>
      <c r="M447" s="8">
        <f>loaded!AE447</f>
        <v>0</v>
      </c>
      <c r="N447" s="8">
        <f>loaded!AG447</f>
        <v>0</v>
      </c>
      <c r="O447" t="e">
        <f>INDEX(reces_codes,MATCH(loaded!AI447,reason,0))</f>
        <v>#N/A</v>
      </c>
      <c r="P447" t="e">
        <f>INDEX(TDS_codes,MATCH(loaded!AK447,TDS,0))</f>
        <v>#N/A</v>
      </c>
      <c r="Q447" t="e">
        <f>IF(K447=2,"",INDEX(method_codes,MATCH(loaded!AM447,method,0)))</f>
        <v>#N/A</v>
      </c>
      <c r="R447" t="e">
        <f>IF(K447=2,"",INDEX(inj_codes,MATCH(loaded!AO447,inj,0)))</f>
        <v>#N/A</v>
      </c>
      <c r="S447" t="e">
        <f>IF(K447=2,"",INDEX(drug_codes,MATCH(loaded!AQ447,drug,0)))</f>
        <v>#N/A</v>
      </c>
      <c r="T447" t="e">
        <f>IF(K447=2,"",_xlfn.IFNA(INDEX(drug_codes,MATCH(loaded!AS447,drug,0)),""))</f>
        <v>#N/A</v>
      </c>
      <c r="U447" t="e">
        <f>IF(K447=2,"",_xlfn.IFNA(INDEX(drug_codes,MATCH(loaded!AU447,drug,0)),""))</f>
        <v>#N/A</v>
      </c>
      <c r="V447" t="e">
        <f>IF(K447=2,"",_xlfn.IFNA(INDEX(drug_codes,MATCH(loaded!AW447,drug,0)),""))</f>
        <v>#N/A</v>
      </c>
      <c r="W447" t="e">
        <f>IF(K447=2,"",_xlfn.IFNA(INDEX(drug_codes,MATCH(loaded!AY447,drug,0)),""))</f>
        <v>#N/A</v>
      </c>
      <c r="X447" t="e">
        <f>IF(K447=2,"",_xlfn.IFNA(INDEX(drug_codes,MATCH(loaded!BA447,drug,0)),""))</f>
        <v>#N/A</v>
      </c>
      <c r="Y447" t="e">
        <f>INDEX(MTT_codes,MATCH(loaded!BC447,MTT,0))</f>
        <v>#N/A</v>
      </c>
      <c r="Z447" t="str">
        <f>_xlfn.IFNA(INDEX(MTT_codes,MATCH(loaded!BE447,MTT,0)),"")</f>
        <v/>
      </c>
      <c r="AA447" t="str">
        <f>_xlfn.IFNA(INDEX(MTT_codes,MATCH(loaded!BG447,MTT,0)),"")</f>
        <v/>
      </c>
      <c r="AB447" t="str">
        <f>_xlfn.IFNA(INDEX(MTT_codes,MATCH(loaded!BI447,MTT,0)),"")</f>
        <v/>
      </c>
      <c r="AC447" t="str">
        <f>_xlfn.IFNA(INDEX(MTT_codes,MATCH(loaded!BK447,MTT,0)),"")</f>
        <v/>
      </c>
      <c r="AD447" t="str">
        <f>_xlfn.IFNA(INDEX(MTT_codes,MATCH(loaded!BM447,MTT,0)),"")</f>
        <v/>
      </c>
      <c r="AE447" t="e">
        <f>INDEX(liv_ar_codes,MATCH(loaded!BO447,liv_ar,0))</f>
        <v>#N/A</v>
      </c>
      <c r="AF447" t="str">
        <f>_xlfn.IFNA(INDEX(MTT_codes,MATCH(loaded!BQ447,MTT,0)),"")</f>
        <v/>
      </c>
      <c r="AG447">
        <f>_xlfn.IFNA(INDEX(mental_codes,MATCH(loaded!BS447,mental,0)),9)</f>
        <v>9</v>
      </c>
    </row>
    <row r="448" spans="1:33" x14ac:dyDescent="0.25">
      <c r="A448">
        <f>loaded!C448</f>
        <v>0</v>
      </c>
      <c r="B448">
        <f>loaded!I448</f>
        <v>0</v>
      </c>
      <c r="C448">
        <f>IF(loaded!K448="Male",1,IF(loaded!K448="Female",2,9))</f>
        <v>9</v>
      </c>
      <c r="D448" s="8">
        <f>loaded!M448</f>
        <v>0</v>
      </c>
      <c r="E448" t="str">
        <f>LEFT(loaded!O448,3)</f>
        <v/>
      </c>
      <c r="F448" t="e">
        <f>INDEX(cntry_codes,MATCH(loaded!Q448,countries,0))</f>
        <v>#N/A</v>
      </c>
      <c r="G448" t="e">
        <f>INDEX(atsi_codes,MATCH(loaded!S448,atsi,0))</f>
        <v>#N/A</v>
      </c>
      <c r="H448" t="e">
        <f>INDEX(lang_codes,MATCH(loaded!U448,lang,0))</f>
        <v>#N/A</v>
      </c>
      <c r="I448" s="8">
        <f>loaded!W448</f>
        <v>0</v>
      </c>
      <c r="J448" t="e">
        <f>INDEX(us_acc_codes,MATCH(loaded!Y448,us_acc,0))</f>
        <v>#N/A</v>
      </c>
      <c r="K448" t="e">
        <f>INDEX(client_codes,MATCH(loaded!AA448,client,0))</f>
        <v>#N/A</v>
      </c>
      <c r="L448" t="e">
        <f>INDEX(src_ref_codes,MATCH(loaded!AC448,src_ref,0))</f>
        <v>#N/A</v>
      </c>
      <c r="M448" s="8">
        <f>loaded!AE448</f>
        <v>0</v>
      </c>
      <c r="N448" s="8">
        <f>loaded!AG448</f>
        <v>0</v>
      </c>
      <c r="O448" t="e">
        <f>INDEX(reces_codes,MATCH(loaded!AI448,reason,0))</f>
        <v>#N/A</v>
      </c>
      <c r="P448" t="e">
        <f>INDEX(TDS_codes,MATCH(loaded!AK448,TDS,0))</f>
        <v>#N/A</v>
      </c>
      <c r="Q448" t="e">
        <f>IF(K448=2,"",INDEX(method_codes,MATCH(loaded!AM448,method,0)))</f>
        <v>#N/A</v>
      </c>
      <c r="R448" t="e">
        <f>IF(K448=2,"",INDEX(inj_codes,MATCH(loaded!AO448,inj,0)))</f>
        <v>#N/A</v>
      </c>
      <c r="S448" t="e">
        <f>IF(K448=2,"",INDEX(drug_codes,MATCH(loaded!AQ448,drug,0)))</f>
        <v>#N/A</v>
      </c>
      <c r="T448" t="e">
        <f>IF(K448=2,"",_xlfn.IFNA(INDEX(drug_codes,MATCH(loaded!AS448,drug,0)),""))</f>
        <v>#N/A</v>
      </c>
      <c r="U448" t="e">
        <f>IF(K448=2,"",_xlfn.IFNA(INDEX(drug_codes,MATCH(loaded!AU448,drug,0)),""))</f>
        <v>#N/A</v>
      </c>
      <c r="V448" t="e">
        <f>IF(K448=2,"",_xlfn.IFNA(INDEX(drug_codes,MATCH(loaded!AW448,drug,0)),""))</f>
        <v>#N/A</v>
      </c>
      <c r="W448" t="e">
        <f>IF(K448=2,"",_xlfn.IFNA(INDEX(drug_codes,MATCH(loaded!AY448,drug,0)),""))</f>
        <v>#N/A</v>
      </c>
      <c r="X448" t="e">
        <f>IF(K448=2,"",_xlfn.IFNA(INDEX(drug_codes,MATCH(loaded!BA448,drug,0)),""))</f>
        <v>#N/A</v>
      </c>
      <c r="Y448" t="e">
        <f>INDEX(MTT_codes,MATCH(loaded!BC448,MTT,0))</f>
        <v>#N/A</v>
      </c>
      <c r="Z448" t="str">
        <f>_xlfn.IFNA(INDEX(MTT_codes,MATCH(loaded!BE448,MTT,0)),"")</f>
        <v/>
      </c>
      <c r="AA448" t="str">
        <f>_xlfn.IFNA(INDEX(MTT_codes,MATCH(loaded!BG448,MTT,0)),"")</f>
        <v/>
      </c>
      <c r="AB448" t="str">
        <f>_xlfn.IFNA(INDEX(MTT_codes,MATCH(loaded!BI448,MTT,0)),"")</f>
        <v/>
      </c>
      <c r="AC448" t="str">
        <f>_xlfn.IFNA(INDEX(MTT_codes,MATCH(loaded!BK448,MTT,0)),"")</f>
        <v/>
      </c>
      <c r="AD448" t="str">
        <f>_xlfn.IFNA(INDEX(MTT_codes,MATCH(loaded!BM448,MTT,0)),"")</f>
        <v/>
      </c>
      <c r="AE448" t="e">
        <f>INDEX(liv_ar_codes,MATCH(loaded!BO448,liv_ar,0))</f>
        <v>#N/A</v>
      </c>
      <c r="AF448" t="str">
        <f>_xlfn.IFNA(INDEX(MTT_codes,MATCH(loaded!BQ448,MTT,0)),"")</f>
        <v/>
      </c>
      <c r="AG448">
        <f>_xlfn.IFNA(INDEX(mental_codes,MATCH(loaded!BS448,mental,0)),9)</f>
        <v>9</v>
      </c>
    </row>
    <row r="449" spans="1:33" x14ac:dyDescent="0.25">
      <c r="A449">
        <f>loaded!C449</f>
        <v>0</v>
      </c>
      <c r="B449">
        <f>loaded!I449</f>
        <v>0</v>
      </c>
      <c r="C449">
        <f>IF(loaded!K449="Male",1,IF(loaded!K449="Female",2,9))</f>
        <v>9</v>
      </c>
      <c r="D449" s="8">
        <f>loaded!M449</f>
        <v>0</v>
      </c>
      <c r="E449" t="str">
        <f>LEFT(loaded!O449,3)</f>
        <v/>
      </c>
      <c r="F449" t="e">
        <f>INDEX(cntry_codes,MATCH(loaded!Q449,countries,0))</f>
        <v>#N/A</v>
      </c>
      <c r="G449" t="e">
        <f>INDEX(atsi_codes,MATCH(loaded!S449,atsi,0))</f>
        <v>#N/A</v>
      </c>
      <c r="H449" t="e">
        <f>INDEX(lang_codes,MATCH(loaded!U449,lang,0))</f>
        <v>#N/A</v>
      </c>
      <c r="I449" s="8">
        <f>loaded!W449</f>
        <v>0</v>
      </c>
      <c r="J449" t="e">
        <f>INDEX(us_acc_codes,MATCH(loaded!Y449,us_acc,0))</f>
        <v>#N/A</v>
      </c>
      <c r="K449" t="e">
        <f>INDEX(client_codes,MATCH(loaded!AA449,client,0))</f>
        <v>#N/A</v>
      </c>
      <c r="L449" t="e">
        <f>INDEX(src_ref_codes,MATCH(loaded!AC449,src_ref,0))</f>
        <v>#N/A</v>
      </c>
      <c r="M449" s="8">
        <f>loaded!AE449</f>
        <v>0</v>
      </c>
      <c r="N449" s="8">
        <f>loaded!AG449</f>
        <v>0</v>
      </c>
      <c r="O449" t="e">
        <f>INDEX(reces_codes,MATCH(loaded!AI449,reason,0))</f>
        <v>#N/A</v>
      </c>
      <c r="P449" t="e">
        <f>INDEX(TDS_codes,MATCH(loaded!AK449,TDS,0))</f>
        <v>#N/A</v>
      </c>
      <c r="Q449" t="e">
        <f>IF(K449=2,"",INDEX(method_codes,MATCH(loaded!AM449,method,0)))</f>
        <v>#N/A</v>
      </c>
      <c r="R449" t="e">
        <f>IF(K449=2,"",INDEX(inj_codes,MATCH(loaded!AO449,inj,0)))</f>
        <v>#N/A</v>
      </c>
      <c r="S449" t="e">
        <f>IF(K449=2,"",INDEX(drug_codes,MATCH(loaded!AQ449,drug,0)))</f>
        <v>#N/A</v>
      </c>
      <c r="T449" t="e">
        <f>IF(K449=2,"",_xlfn.IFNA(INDEX(drug_codes,MATCH(loaded!AS449,drug,0)),""))</f>
        <v>#N/A</v>
      </c>
      <c r="U449" t="e">
        <f>IF(K449=2,"",_xlfn.IFNA(INDEX(drug_codes,MATCH(loaded!AU449,drug,0)),""))</f>
        <v>#N/A</v>
      </c>
      <c r="V449" t="e">
        <f>IF(K449=2,"",_xlfn.IFNA(INDEX(drug_codes,MATCH(loaded!AW449,drug,0)),""))</f>
        <v>#N/A</v>
      </c>
      <c r="W449" t="e">
        <f>IF(K449=2,"",_xlfn.IFNA(INDEX(drug_codes,MATCH(loaded!AY449,drug,0)),""))</f>
        <v>#N/A</v>
      </c>
      <c r="X449" t="e">
        <f>IF(K449=2,"",_xlfn.IFNA(INDEX(drug_codes,MATCH(loaded!BA449,drug,0)),""))</f>
        <v>#N/A</v>
      </c>
      <c r="Y449" t="e">
        <f>INDEX(MTT_codes,MATCH(loaded!BC449,MTT,0))</f>
        <v>#N/A</v>
      </c>
      <c r="Z449" t="str">
        <f>_xlfn.IFNA(INDEX(MTT_codes,MATCH(loaded!BE449,MTT,0)),"")</f>
        <v/>
      </c>
      <c r="AA449" t="str">
        <f>_xlfn.IFNA(INDEX(MTT_codes,MATCH(loaded!BG449,MTT,0)),"")</f>
        <v/>
      </c>
      <c r="AB449" t="str">
        <f>_xlfn.IFNA(INDEX(MTT_codes,MATCH(loaded!BI449,MTT,0)),"")</f>
        <v/>
      </c>
      <c r="AC449" t="str">
        <f>_xlfn.IFNA(INDEX(MTT_codes,MATCH(loaded!BK449,MTT,0)),"")</f>
        <v/>
      </c>
      <c r="AD449" t="str">
        <f>_xlfn.IFNA(INDEX(MTT_codes,MATCH(loaded!BM449,MTT,0)),"")</f>
        <v/>
      </c>
      <c r="AE449" t="e">
        <f>INDEX(liv_ar_codes,MATCH(loaded!BO449,liv_ar,0))</f>
        <v>#N/A</v>
      </c>
      <c r="AF449" t="str">
        <f>_xlfn.IFNA(INDEX(MTT_codes,MATCH(loaded!BQ449,MTT,0)),"")</f>
        <v/>
      </c>
      <c r="AG449">
        <f>_xlfn.IFNA(INDEX(mental_codes,MATCH(loaded!BS449,mental,0)),9)</f>
        <v>9</v>
      </c>
    </row>
    <row r="450" spans="1:33" x14ac:dyDescent="0.25">
      <c r="A450">
        <f>loaded!C450</f>
        <v>0</v>
      </c>
      <c r="B450">
        <f>loaded!I450</f>
        <v>0</v>
      </c>
      <c r="C450">
        <f>IF(loaded!K450="Male",1,IF(loaded!K450="Female",2,9))</f>
        <v>9</v>
      </c>
      <c r="D450" s="8">
        <f>loaded!M450</f>
        <v>0</v>
      </c>
      <c r="E450" t="str">
        <f>LEFT(loaded!O450,3)</f>
        <v/>
      </c>
      <c r="F450" t="e">
        <f>INDEX(cntry_codes,MATCH(loaded!Q450,countries,0))</f>
        <v>#N/A</v>
      </c>
      <c r="G450" t="e">
        <f>INDEX(atsi_codes,MATCH(loaded!S450,atsi,0))</f>
        <v>#N/A</v>
      </c>
      <c r="H450" t="e">
        <f>INDEX(lang_codes,MATCH(loaded!U450,lang,0))</f>
        <v>#N/A</v>
      </c>
      <c r="I450" s="8">
        <f>loaded!W450</f>
        <v>0</v>
      </c>
      <c r="J450" t="e">
        <f>INDEX(us_acc_codes,MATCH(loaded!Y450,us_acc,0))</f>
        <v>#N/A</v>
      </c>
      <c r="K450" t="e">
        <f>INDEX(client_codes,MATCH(loaded!AA450,client,0))</f>
        <v>#N/A</v>
      </c>
      <c r="L450" t="e">
        <f>INDEX(src_ref_codes,MATCH(loaded!AC450,src_ref,0))</f>
        <v>#N/A</v>
      </c>
      <c r="M450" s="8">
        <f>loaded!AE450</f>
        <v>0</v>
      </c>
      <c r="N450" s="8">
        <f>loaded!AG450</f>
        <v>0</v>
      </c>
      <c r="O450" t="e">
        <f>INDEX(reces_codes,MATCH(loaded!AI450,reason,0))</f>
        <v>#N/A</v>
      </c>
      <c r="P450" t="e">
        <f>INDEX(TDS_codes,MATCH(loaded!AK450,TDS,0))</f>
        <v>#N/A</v>
      </c>
      <c r="Q450" t="e">
        <f>IF(K450=2,"",INDEX(method_codes,MATCH(loaded!AM450,method,0)))</f>
        <v>#N/A</v>
      </c>
      <c r="R450" t="e">
        <f>IF(K450=2,"",INDEX(inj_codes,MATCH(loaded!AO450,inj,0)))</f>
        <v>#N/A</v>
      </c>
      <c r="S450" t="e">
        <f>IF(K450=2,"",INDEX(drug_codes,MATCH(loaded!AQ450,drug,0)))</f>
        <v>#N/A</v>
      </c>
      <c r="T450" t="e">
        <f>IF(K450=2,"",_xlfn.IFNA(INDEX(drug_codes,MATCH(loaded!AS450,drug,0)),""))</f>
        <v>#N/A</v>
      </c>
      <c r="U450" t="e">
        <f>IF(K450=2,"",_xlfn.IFNA(INDEX(drug_codes,MATCH(loaded!AU450,drug,0)),""))</f>
        <v>#N/A</v>
      </c>
      <c r="V450" t="e">
        <f>IF(K450=2,"",_xlfn.IFNA(INDEX(drug_codes,MATCH(loaded!AW450,drug,0)),""))</f>
        <v>#N/A</v>
      </c>
      <c r="W450" t="e">
        <f>IF(K450=2,"",_xlfn.IFNA(INDEX(drug_codes,MATCH(loaded!AY450,drug,0)),""))</f>
        <v>#N/A</v>
      </c>
      <c r="X450" t="e">
        <f>IF(K450=2,"",_xlfn.IFNA(INDEX(drug_codes,MATCH(loaded!BA450,drug,0)),""))</f>
        <v>#N/A</v>
      </c>
      <c r="Y450" t="e">
        <f>INDEX(MTT_codes,MATCH(loaded!BC450,MTT,0))</f>
        <v>#N/A</v>
      </c>
      <c r="Z450" t="str">
        <f>_xlfn.IFNA(INDEX(MTT_codes,MATCH(loaded!BE450,MTT,0)),"")</f>
        <v/>
      </c>
      <c r="AA450" t="str">
        <f>_xlfn.IFNA(INDEX(MTT_codes,MATCH(loaded!BG450,MTT,0)),"")</f>
        <v/>
      </c>
      <c r="AB450" t="str">
        <f>_xlfn.IFNA(INDEX(MTT_codes,MATCH(loaded!BI450,MTT,0)),"")</f>
        <v/>
      </c>
      <c r="AC450" t="str">
        <f>_xlfn.IFNA(INDEX(MTT_codes,MATCH(loaded!BK450,MTT,0)),"")</f>
        <v/>
      </c>
      <c r="AD450" t="str">
        <f>_xlfn.IFNA(INDEX(MTT_codes,MATCH(loaded!BM450,MTT,0)),"")</f>
        <v/>
      </c>
      <c r="AE450" t="e">
        <f>INDEX(liv_ar_codes,MATCH(loaded!BO450,liv_ar,0))</f>
        <v>#N/A</v>
      </c>
      <c r="AF450" t="str">
        <f>_xlfn.IFNA(INDEX(MTT_codes,MATCH(loaded!BQ450,MTT,0)),"")</f>
        <v/>
      </c>
      <c r="AG450">
        <f>_xlfn.IFNA(INDEX(mental_codes,MATCH(loaded!BS450,mental,0)),9)</f>
        <v>9</v>
      </c>
    </row>
    <row r="451" spans="1:33" x14ac:dyDescent="0.25">
      <c r="A451">
        <f>loaded!C451</f>
        <v>0</v>
      </c>
      <c r="B451">
        <f>loaded!I451</f>
        <v>0</v>
      </c>
      <c r="C451">
        <f>IF(loaded!K451="Male",1,IF(loaded!K451="Female",2,9))</f>
        <v>9</v>
      </c>
      <c r="D451" s="8">
        <f>loaded!M451</f>
        <v>0</v>
      </c>
      <c r="E451" t="str">
        <f>LEFT(loaded!O451,3)</f>
        <v/>
      </c>
      <c r="F451" t="e">
        <f>INDEX(cntry_codes,MATCH(loaded!Q451,countries,0))</f>
        <v>#N/A</v>
      </c>
      <c r="G451" t="e">
        <f>INDEX(atsi_codes,MATCH(loaded!S451,atsi,0))</f>
        <v>#N/A</v>
      </c>
      <c r="H451" t="e">
        <f>INDEX(lang_codes,MATCH(loaded!U451,lang,0))</f>
        <v>#N/A</v>
      </c>
      <c r="I451" s="8">
        <f>loaded!W451</f>
        <v>0</v>
      </c>
      <c r="J451" t="e">
        <f>INDEX(us_acc_codes,MATCH(loaded!Y451,us_acc,0))</f>
        <v>#N/A</v>
      </c>
      <c r="K451" t="e">
        <f>INDEX(client_codes,MATCH(loaded!AA451,client,0))</f>
        <v>#N/A</v>
      </c>
      <c r="L451" t="e">
        <f>INDEX(src_ref_codes,MATCH(loaded!AC451,src_ref,0))</f>
        <v>#N/A</v>
      </c>
      <c r="M451" s="8">
        <f>loaded!AE451</f>
        <v>0</v>
      </c>
      <c r="N451" s="8">
        <f>loaded!AG451</f>
        <v>0</v>
      </c>
      <c r="O451" t="e">
        <f>INDEX(reces_codes,MATCH(loaded!AI451,reason,0))</f>
        <v>#N/A</v>
      </c>
      <c r="P451" t="e">
        <f>INDEX(TDS_codes,MATCH(loaded!AK451,TDS,0))</f>
        <v>#N/A</v>
      </c>
      <c r="Q451" t="e">
        <f>IF(K451=2,"",INDEX(method_codes,MATCH(loaded!AM451,method,0)))</f>
        <v>#N/A</v>
      </c>
      <c r="R451" t="e">
        <f>IF(K451=2,"",INDEX(inj_codes,MATCH(loaded!AO451,inj,0)))</f>
        <v>#N/A</v>
      </c>
      <c r="S451" t="e">
        <f>IF(K451=2,"",INDEX(drug_codes,MATCH(loaded!AQ451,drug,0)))</f>
        <v>#N/A</v>
      </c>
      <c r="T451" t="e">
        <f>IF(K451=2,"",_xlfn.IFNA(INDEX(drug_codes,MATCH(loaded!AS451,drug,0)),""))</f>
        <v>#N/A</v>
      </c>
      <c r="U451" t="e">
        <f>IF(K451=2,"",_xlfn.IFNA(INDEX(drug_codes,MATCH(loaded!AU451,drug,0)),""))</f>
        <v>#N/A</v>
      </c>
      <c r="V451" t="e">
        <f>IF(K451=2,"",_xlfn.IFNA(INDEX(drug_codes,MATCH(loaded!AW451,drug,0)),""))</f>
        <v>#N/A</v>
      </c>
      <c r="W451" t="e">
        <f>IF(K451=2,"",_xlfn.IFNA(INDEX(drug_codes,MATCH(loaded!AY451,drug,0)),""))</f>
        <v>#N/A</v>
      </c>
      <c r="X451" t="e">
        <f>IF(K451=2,"",_xlfn.IFNA(INDEX(drug_codes,MATCH(loaded!BA451,drug,0)),""))</f>
        <v>#N/A</v>
      </c>
      <c r="Y451" t="e">
        <f>INDEX(MTT_codes,MATCH(loaded!BC451,MTT,0))</f>
        <v>#N/A</v>
      </c>
      <c r="Z451" t="str">
        <f>_xlfn.IFNA(INDEX(MTT_codes,MATCH(loaded!BE451,MTT,0)),"")</f>
        <v/>
      </c>
      <c r="AA451" t="str">
        <f>_xlfn.IFNA(INDEX(MTT_codes,MATCH(loaded!BG451,MTT,0)),"")</f>
        <v/>
      </c>
      <c r="AB451" t="str">
        <f>_xlfn.IFNA(INDEX(MTT_codes,MATCH(loaded!BI451,MTT,0)),"")</f>
        <v/>
      </c>
      <c r="AC451" t="str">
        <f>_xlfn.IFNA(INDEX(MTT_codes,MATCH(loaded!BK451,MTT,0)),"")</f>
        <v/>
      </c>
      <c r="AD451" t="str">
        <f>_xlfn.IFNA(INDEX(MTT_codes,MATCH(loaded!BM451,MTT,0)),"")</f>
        <v/>
      </c>
      <c r="AE451" t="e">
        <f>INDEX(liv_ar_codes,MATCH(loaded!BO451,liv_ar,0))</f>
        <v>#N/A</v>
      </c>
      <c r="AF451" t="str">
        <f>_xlfn.IFNA(INDEX(MTT_codes,MATCH(loaded!BQ451,MTT,0)),"")</f>
        <v/>
      </c>
      <c r="AG451">
        <f>_xlfn.IFNA(INDEX(mental_codes,MATCH(loaded!BS451,mental,0)),9)</f>
        <v>9</v>
      </c>
    </row>
    <row r="452" spans="1:33" x14ac:dyDescent="0.25">
      <c r="A452">
        <f>loaded!C452</f>
        <v>0</v>
      </c>
      <c r="B452">
        <f>loaded!I452</f>
        <v>0</v>
      </c>
      <c r="C452">
        <f>IF(loaded!K452="Male",1,IF(loaded!K452="Female",2,9))</f>
        <v>9</v>
      </c>
      <c r="D452" s="8">
        <f>loaded!M452</f>
        <v>0</v>
      </c>
      <c r="E452" t="str">
        <f>LEFT(loaded!O452,3)</f>
        <v/>
      </c>
      <c r="F452" t="e">
        <f>INDEX(cntry_codes,MATCH(loaded!Q452,countries,0))</f>
        <v>#N/A</v>
      </c>
      <c r="G452" t="e">
        <f>INDEX(atsi_codes,MATCH(loaded!S452,atsi,0))</f>
        <v>#N/A</v>
      </c>
      <c r="H452" t="e">
        <f>INDEX(lang_codes,MATCH(loaded!U452,lang,0))</f>
        <v>#N/A</v>
      </c>
      <c r="I452" s="8">
        <f>loaded!W452</f>
        <v>0</v>
      </c>
      <c r="J452" t="e">
        <f>INDEX(us_acc_codes,MATCH(loaded!Y452,us_acc,0))</f>
        <v>#N/A</v>
      </c>
      <c r="K452" t="e">
        <f>INDEX(client_codes,MATCH(loaded!AA452,client,0))</f>
        <v>#N/A</v>
      </c>
      <c r="L452" t="e">
        <f>INDEX(src_ref_codes,MATCH(loaded!AC452,src_ref,0))</f>
        <v>#N/A</v>
      </c>
      <c r="M452" s="8">
        <f>loaded!AE452</f>
        <v>0</v>
      </c>
      <c r="N452" s="8">
        <f>loaded!AG452</f>
        <v>0</v>
      </c>
      <c r="O452" t="e">
        <f>INDEX(reces_codes,MATCH(loaded!AI452,reason,0))</f>
        <v>#N/A</v>
      </c>
      <c r="P452" t="e">
        <f>INDEX(TDS_codes,MATCH(loaded!AK452,TDS,0))</f>
        <v>#N/A</v>
      </c>
      <c r="Q452" t="e">
        <f>IF(K452=2,"",INDEX(method_codes,MATCH(loaded!AM452,method,0)))</f>
        <v>#N/A</v>
      </c>
      <c r="R452" t="e">
        <f>IF(K452=2,"",INDEX(inj_codes,MATCH(loaded!AO452,inj,0)))</f>
        <v>#N/A</v>
      </c>
      <c r="S452" t="e">
        <f>IF(K452=2,"",INDEX(drug_codes,MATCH(loaded!AQ452,drug,0)))</f>
        <v>#N/A</v>
      </c>
      <c r="T452" t="e">
        <f>IF(K452=2,"",_xlfn.IFNA(INDEX(drug_codes,MATCH(loaded!AS452,drug,0)),""))</f>
        <v>#N/A</v>
      </c>
      <c r="U452" t="e">
        <f>IF(K452=2,"",_xlfn.IFNA(INDEX(drug_codes,MATCH(loaded!AU452,drug,0)),""))</f>
        <v>#N/A</v>
      </c>
      <c r="V452" t="e">
        <f>IF(K452=2,"",_xlfn.IFNA(INDEX(drug_codes,MATCH(loaded!AW452,drug,0)),""))</f>
        <v>#N/A</v>
      </c>
      <c r="W452" t="e">
        <f>IF(K452=2,"",_xlfn.IFNA(INDEX(drug_codes,MATCH(loaded!AY452,drug,0)),""))</f>
        <v>#N/A</v>
      </c>
      <c r="X452" t="e">
        <f>IF(K452=2,"",_xlfn.IFNA(INDEX(drug_codes,MATCH(loaded!BA452,drug,0)),""))</f>
        <v>#N/A</v>
      </c>
      <c r="Y452" t="e">
        <f>INDEX(MTT_codes,MATCH(loaded!BC452,MTT,0))</f>
        <v>#N/A</v>
      </c>
      <c r="Z452" t="str">
        <f>_xlfn.IFNA(INDEX(MTT_codes,MATCH(loaded!BE452,MTT,0)),"")</f>
        <v/>
      </c>
      <c r="AA452" t="str">
        <f>_xlfn.IFNA(INDEX(MTT_codes,MATCH(loaded!BG452,MTT,0)),"")</f>
        <v/>
      </c>
      <c r="AB452" t="str">
        <f>_xlfn.IFNA(INDEX(MTT_codes,MATCH(loaded!BI452,MTT,0)),"")</f>
        <v/>
      </c>
      <c r="AC452" t="str">
        <f>_xlfn.IFNA(INDEX(MTT_codes,MATCH(loaded!BK452,MTT,0)),"")</f>
        <v/>
      </c>
      <c r="AD452" t="str">
        <f>_xlfn.IFNA(INDEX(MTT_codes,MATCH(loaded!BM452,MTT,0)),"")</f>
        <v/>
      </c>
      <c r="AE452" t="e">
        <f>INDEX(liv_ar_codes,MATCH(loaded!BO452,liv_ar,0))</f>
        <v>#N/A</v>
      </c>
      <c r="AF452" t="str">
        <f>_xlfn.IFNA(INDEX(MTT_codes,MATCH(loaded!BQ452,MTT,0)),"")</f>
        <v/>
      </c>
      <c r="AG452">
        <f>_xlfn.IFNA(INDEX(mental_codes,MATCH(loaded!BS452,mental,0)),9)</f>
        <v>9</v>
      </c>
    </row>
    <row r="453" spans="1:33" x14ac:dyDescent="0.25">
      <c r="A453">
        <f>loaded!C453</f>
        <v>0</v>
      </c>
      <c r="B453">
        <f>loaded!I453</f>
        <v>0</v>
      </c>
      <c r="C453">
        <f>IF(loaded!K453="Male",1,IF(loaded!K453="Female",2,9))</f>
        <v>9</v>
      </c>
      <c r="D453" s="8">
        <f>loaded!M453</f>
        <v>0</v>
      </c>
      <c r="E453" t="str">
        <f>LEFT(loaded!O453,3)</f>
        <v/>
      </c>
      <c r="F453" t="e">
        <f>INDEX(cntry_codes,MATCH(loaded!Q453,countries,0))</f>
        <v>#N/A</v>
      </c>
      <c r="G453" t="e">
        <f>INDEX(atsi_codes,MATCH(loaded!S453,atsi,0))</f>
        <v>#N/A</v>
      </c>
      <c r="H453" t="e">
        <f>INDEX(lang_codes,MATCH(loaded!U453,lang,0))</f>
        <v>#N/A</v>
      </c>
      <c r="I453" s="8">
        <f>loaded!W453</f>
        <v>0</v>
      </c>
      <c r="J453" t="e">
        <f>INDEX(us_acc_codes,MATCH(loaded!Y453,us_acc,0))</f>
        <v>#N/A</v>
      </c>
      <c r="K453" t="e">
        <f>INDEX(client_codes,MATCH(loaded!AA453,client,0))</f>
        <v>#N/A</v>
      </c>
      <c r="L453" t="e">
        <f>INDEX(src_ref_codes,MATCH(loaded!AC453,src_ref,0))</f>
        <v>#N/A</v>
      </c>
      <c r="M453" s="8">
        <f>loaded!AE453</f>
        <v>0</v>
      </c>
      <c r="N453" s="8">
        <f>loaded!AG453</f>
        <v>0</v>
      </c>
      <c r="O453" t="e">
        <f>INDEX(reces_codes,MATCH(loaded!AI453,reason,0))</f>
        <v>#N/A</v>
      </c>
      <c r="P453" t="e">
        <f>INDEX(TDS_codes,MATCH(loaded!AK453,TDS,0))</f>
        <v>#N/A</v>
      </c>
      <c r="Q453" t="e">
        <f>IF(K453=2,"",INDEX(method_codes,MATCH(loaded!AM453,method,0)))</f>
        <v>#N/A</v>
      </c>
      <c r="R453" t="e">
        <f>IF(K453=2,"",INDEX(inj_codes,MATCH(loaded!AO453,inj,0)))</f>
        <v>#N/A</v>
      </c>
      <c r="S453" t="e">
        <f>IF(K453=2,"",INDEX(drug_codes,MATCH(loaded!AQ453,drug,0)))</f>
        <v>#N/A</v>
      </c>
      <c r="T453" t="e">
        <f>IF(K453=2,"",_xlfn.IFNA(INDEX(drug_codes,MATCH(loaded!AS453,drug,0)),""))</f>
        <v>#N/A</v>
      </c>
      <c r="U453" t="e">
        <f>IF(K453=2,"",_xlfn.IFNA(INDEX(drug_codes,MATCH(loaded!AU453,drug,0)),""))</f>
        <v>#N/A</v>
      </c>
      <c r="V453" t="e">
        <f>IF(K453=2,"",_xlfn.IFNA(INDEX(drug_codes,MATCH(loaded!AW453,drug,0)),""))</f>
        <v>#N/A</v>
      </c>
      <c r="W453" t="e">
        <f>IF(K453=2,"",_xlfn.IFNA(INDEX(drug_codes,MATCH(loaded!AY453,drug,0)),""))</f>
        <v>#N/A</v>
      </c>
      <c r="X453" t="e">
        <f>IF(K453=2,"",_xlfn.IFNA(INDEX(drug_codes,MATCH(loaded!BA453,drug,0)),""))</f>
        <v>#N/A</v>
      </c>
      <c r="Y453" t="e">
        <f>INDEX(MTT_codes,MATCH(loaded!BC453,MTT,0))</f>
        <v>#N/A</v>
      </c>
      <c r="Z453" t="str">
        <f>_xlfn.IFNA(INDEX(MTT_codes,MATCH(loaded!BE453,MTT,0)),"")</f>
        <v/>
      </c>
      <c r="AA453" t="str">
        <f>_xlfn.IFNA(INDEX(MTT_codes,MATCH(loaded!BG453,MTT,0)),"")</f>
        <v/>
      </c>
      <c r="AB453" t="str">
        <f>_xlfn.IFNA(INDEX(MTT_codes,MATCH(loaded!BI453,MTT,0)),"")</f>
        <v/>
      </c>
      <c r="AC453" t="str">
        <f>_xlfn.IFNA(INDEX(MTT_codes,MATCH(loaded!BK453,MTT,0)),"")</f>
        <v/>
      </c>
      <c r="AD453" t="str">
        <f>_xlfn.IFNA(INDEX(MTT_codes,MATCH(loaded!BM453,MTT,0)),"")</f>
        <v/>
      </c>
      <c r="AE453" t="e">
        <f>INDEX(liv_ar_codes,MATCH(loaded!BO453,liv_ar,0))</f>
        <v>#N/A</v>
      </c>
      <c r="AF453" t="str">
        <f>_xlfn.IFNA(INDEX(MTT_codes,MATCH(loaded!BQ453,MTT,0)),"")</f>
        <v/>
      </c>
      <c r="AG453">
        <f>_xlfn.IFNA(INDEX(mental_codes,MATCH(loaded!BS453,mental,0)),9)</f>
        <v>9</v>
      </c>
    </row>
    <row r="454" spans="1:33" x14ac:dyDescent="0.25">
      <c r="A454">
        <f>loaded!C454</f>
        <v>0</v>
      </c>
      <c r="B454">
        <f>loaded!I454</f>
        <v>0</v>
      </c>
      <c r="C454">
        <f>IF(loaded!K454="Male",1,IF(loaded!K454="Female",2,9))</f>
        <v>9</v>
      </c>
      <c r="D454" s="8">
        <f>loaded!M454</f>
        <v>0</v>
      </c>
      <c r="E454" t="str">
        <f>LEFT(loaded!O454,3)</f>
        <v/>
      </c>
      <c r="F454" t="e">
        <f>INDEX(cntry_codes,MATCH(loaded!Q454,countries,0))</f>
        <v>#N/A</v>
      </c>
      <c r="G454" t="e">
        <f>INDEX(atsi_codes,MATCH(loaded!S454,atsi,0))</f>
        <v>#N/A</v>
      </c>
      <c r="H454" t="e">
        <f>INDEX(lang_codes,MATCH(loaded!U454,lang,0))</f>
        <v>#N/A</v>
      </c>
      <c r="I454" s="8">
        <f>loaded!W454</f>
        <v>0</v>
      </c>
      <c r="J454" t="e">
        <f>INDEX(us_acc_codes,MATCH(loaded!Y454,us_acc,0))</f>
        <v>#N/A</v>
      </c>
      <c r="K454" t="e">
        <f>INDEX(client_codes,MATCH(loaded!AA454,client,0))</f>
        <v>#N/A</v>
      </c>
      <c r="L454" t="e">
        <f>INDEX(src_ref_codes,MATCH(loaded!AC454,src_ref,0))</f>
        <v>#N/A</v>
      </c>
      <c r="M454" s="8">
        <f>loaded!AE454</f>
        <v>0</v>
      </c>
      <c r="N454" s="8">
        <f>loaded!AG454</f>
        <v>0</v>
      </c>
      <c r="O454" t="e">
        <f>INDEX(reces_codes,MATCH(loaded!AI454,reason,0))</f>
        <v>#N/A</v>
      </c>
      <c r="P454" t="e">
        <f>INDEX(TDS_codes,MATCH(loaded!AK454,TDS,0))</f>
        <v>#N/A</v>
      </c>
      <c r="Q454" t="e">
        <f>IF(K454=2,"",INDEX(method_codes,MATCH(loaded!AM454,method,0)))</f>
        <v>#N/A</v>
      </c>
      <c r="R454" t="e">
        <f>IF(K454=2,"",INDEX(inj_codes,MATCH(loaded!AO454,inj,0)))</f>
        <v>#N/A</v>
      </c>
      <c r="S454" t="e">
        <f>IF(K454=2,"",INDEX(drug_codes,MATCH(loaded!AQ454,drug,0)))</f>
        <v>#N/A</v>
      </c>
      <c r="T454" t="e">
        <f>IF(K454=2,"",_xlfn.IFNA(INDEX(drug_codes,MATCH(loaded!AS454,drug,0)),""))</f>
        <v>#N/A</v>
      </c>
      <c r="U454" t="e">
        <f>IF(K454=2,"",_xlfn.IFNA(INDEX(drug_codes,MATCH(loaded!AU454,drug,0)),""))</f>
        <v>#N/A</v>
      </c>
      <c r="V454" t="e">
        <f>IF(K454=2,"",_xlfn.IFNA(INDEX(drug_codes,MATCH(loaded!AW454,drug,0)),""))</f>
        <v>#N/A</v>
      </c>
      <c r="W454" t="e">
        <f>IF(K454=2,"",_xlfn.IFNA(INDEX(drug_codes,MATCH(loaded!AY454,drug,0)),""))</f>
        <v>#N/A</v>
      </c>
      <c r="X454" t="e">
        <f>IF(K454=2,"",_xlfn.IFNA(INDEX(drug_codes,MATCH(loaded!BA454,drug,0)),""))</f>
        <v>#N/A</v>
      </c>
      <c r="Y454" t="e">
        <f>INDEX(MTT_codes,MATCH(loaded!BC454,MTT,0))</f>
        <v>#N/A</v>
      </c>
      <c r="Z454" t="str">
        <f>_xlfn.IFNA(INDEX(MTT_codes,MATCH(loaded!BE454,MTT,0)),"")</f>
        <v/>
      </c>
      <c r="AA454" t="str">
        <f>_xlfn.IFNA(INDEX(MTT_codes,MATCH(loaded!BG454,MTT,0)),"")</f>
        <v/>
      </c>
      <c r="AB454" t="str">
        <f>_xlfn.IFNA(INDEX(MTT_codes,MATCH(loaded!BI454,MTT,0)),"")</f>
        <v/>
      </c>
      <c r="AC454" t="str">
        <f>_xlfn.IFNA(INDEX(MTT_codes,MATCH(loaded!BK454,MTT,0)),"")</f>
        <v/>
      </c>
      <c r="AD454" t="str">
        <f>_xlfn.IFNA(INDEX(MTT_codes,MATCH(loaded!BM454,MTT,0)),"")</f>
        <v/>
      </c>
      <c r="AE454" t="e">
        <f>INDEX(liv_ar_codes,MATCH(loaded!BO454,liv_ar,0))</f>
        <v>#N/A</v>
      </c>
      <c r="AF454" t="str">
        <f>_xlfn.IFNA(INDEX(MTT_codes,MATCH(loaded!BQ454,MTT,0)),"")</f>
        <v/>
      </c>
      <c r="AG454">
        <f>_xlfn.IFNA(INDEX(mental_codes,MATCH(loaded!BS454,mental,0)),9)</f>
        <v>9</v>
      </c>
    </row>
    <row r="455" spans="1:33" x14ac:dyDescent="0.25">
      <c r="A455">
        <f>loaded!C455</f>
        <v>0</v>
      </c>
      <c r="B455">
        <f>loaded!I455</f>
        <v>0</v>
      </c>
      <c r="C455">
        <f>IF(loaded!K455="Male",1,IF(loaded!K455="Female",2,9))</f>
        <v>9</v>
      </c>
      <c r="D455" s="8">
        <f>loaded!M455</f>
        <v>0</v>
      </c>
      <c r="E455" t="str">
        <f>LEFT(loaded!O455,3)</f>
        <v/>
      </c>
      <c r="F455" t="e">
        <f>INDEX(cntry_codes,MATCH(loaded!Q455,countries,0))</f>
        <v>#N/A</v>
      </c>
      <c r="G455" t="e">
        <f>INDEX(atsi_codes,MATCH(loaded!S455,atsi,0))</f>
        <v>#N/A</v>
      </c>
      <c r="H455" t="e">
        <f>INDEX(lang_codes,MATCH(loaded!U455,lang,0))</f>
        <v>#N/A</v>
      </c>
      <c r="I455" s="8">
        <f>loaded!W455</f>
        <v>0</v>
      </c>
      <c r="J455" t="e">
        <f>INDEX(us_acc_codes,MATCH(loaded!Y455,us_acc,0))</f>
        <v>#N/A</v>
      </c>
      <c r="K455" t="e">
        <f>INDEX(client_codes,MATCH(loaded!AA455,client,0))</f>
        <v>#N/A</v>
      </c>
      <c r="L455" t="e">
        <f>INDEX(src_ref_codes,MATCH(loaded!AC455,src_ref,0))</f>
        <v>#N/A</v>
      </c>
      <c r="M455" s="8">
        <f>loaded!AE455</f>
        <v>0</v>
      </c>
      <c r="N455" s="8">
        <f>loaded!AG455</f>
        <v>0</v>
      </c>
      <c r="O455" t="e">
        <f>INDEX(reces_codes,MATCH(loaded!AI455,reason,0))</f>
        <v>#N/A</v>
      </c>
      <c r="P455" t="e">
        <f>INDEX(TDS_codes,MATCH(loaded!AK455,TDS,0))</f>
        <v>#N/A</v>
      </c>
      <c r="Q455" t="e">
        <f>IF(K455=2,"",INDEX(method_codes,MATCH(loaded!AM455,method,0)))</f>
        <v>#N/A</v>
      </c>
      <c r="R455" t="e">
        <f>IF(K455=2,"",INDEX(inj_codes,MATCH(loaded!AO455,inj,0)))</f>
        <v>#N/A</v>
      </c>
      <c r="S455" t="e">
        <f>IF(K455=2,"",INDEX(drug_codes,MATCH(loaded!AQ455,drug,0)))</f>
        <v>#N/A</v>
      </c>
      <c r="T455" t="e">
        <f>IF(K455=2,"",_xlfn.IFNA(INDEX(drug_codes,MATCH(loaded!AS455,drug,0)),""))</f>
        <v>#N/A</v>
      </c>
      <c r="U455" t="e">
        <f>IF(K455=2,"",_xlfn.IFNA(INDEX(drug_codes,MATCH(loaded!AU455,drug,0)),""))</f>
        <v>#N/A</v>
      </c>
      <c r="V455" t="e">
        <f>IF(K455=2,"",_xlfn.IFNA(INDEX(drug_codes,MATCH(loaded!AW455,drug,0)),""))</f>
        <v>#N/A</v>
      </c>
      <c r="W455" t="e">
        <f>IF(K455=2,"",_xlfn.IFNA(INDEX(drug_codes,MATCH(loaded!AY455,drug,0)),""))</f>
        <v>#N/A</v>
      </c>
      <c r="X455" t="e">
        <f>IF(K455=2,"",_xlfn.IFNA(INDEX(drug_codes,MATCH(loaded!BA455,drug,0)),""))</f>
        <v>#N/A</v>
      </c>
      <c r="Y455" t="e">
        <f>INDEX(MTT_codes,MATCH(loaded!BC455,MTT,0))</f>
        <v>#N/A</v>
      </c>
      <c r="Z455" t="str">
        <f>_xlfn.IFNA(INDEX(MTT_codes,MATCH(loaded!BE455,MTT,0)),"")</f>
        <v/>
      </c>
      <c r="AA455" t="str">
        <f>_xlfn.IFNA(INDEX(MTT_codes,MATCH(loaded!BG455,MTT,0)),"")</f>
        <v/>
      </c>
      <c r="AB455" t="str">
        <f>_xlfn.IFNA(INDEX(MTT_codes,MATCH(loaded!BI455,MTT,0)),"")</f>
        <v/>
      </c>
      <c r="AC455" t="str">
        <f>_xlfn.IFNA(INDEX(MTT_codes,MATCH(loaded!BK455,MTT,0)),"")</f>
        <v/>
      </c>
      <c r="AD455" t="str">
        <f>_xlfn.IFNA(INDEX(MTT_codes,MATCH(loaded!BM455,MTT,0)),"")</f>
        <v/>
      </c>
      <c r="AE455" t="e">
        <f>INDEX(liv_ar_codes,MATCH(loaded!BO455,liv_ar,0))</f>
        <v>#N/A</v>
      </c>
      <c r="AF455" t="str">
        <f>_xlfn.IFNA(INDEX(MTT_codes,MATCH(loaded!BQ455,MTT,0)),"")</f>
        <v/>
      </c>
      <c r="AG455">
        <f>_xlfn.IFNA(INDEX(mental_codes,MATCH(loaded!BS455,mental,0)),9)</f>
        <v>9</v>
      </c>
    </row>
    <row r="456" spans="1:33" x14ac:dyDescent="0.25">
      <c r="A456">
        <f>loaded!C456</f>
        <v>0</v>
      </c>
      <c r="B456">
        <f>loaded!I456</f>
        <v>0</v>
      </c>
      <c r="C456">
        <f>IF(loaded!K456="Male",1,IF(loaded!K456="Female",2,9))</f>
        <v>9</v>
      </c>
      <c r="D456" s="8">
        <f>loaded!M456</f>
        <v>0</v>
      </c>
      <c r="E456" t="str">
        <f>LEFT(loaded!O456,3)</f>
        <v/>
      </c>
      <c r="F456" t="e">
        <f>INDEX(cntry_codes,MATCH(loaded!Q456,countries,0))</f>
        <v>#N/A</v>
      </c>
      <c r="G456" t="e">
        <f>INDEX(atsi_codes,MATCH(loaded!S456,atsi,0))</f>
        <v>#N/A</v>
      </c>
      <c r="H456" t="e">
        <f>INDEX(lang_codes,MATCH(loaded!U456,lang,0))</f>
        <v>#N/A</v>
      </c>
      <c r="I456" s="8">
        <f>loaded!W456</f>
        <v>0</v>
      </c>
      <c r="J456" t="e">
        <f>INDEX(us_acc_codes,MATCH(loaded!Y456,us_acc,0))</f>
        <v>#N/A</v>
      </c>
      <c r="K456" t="e">
        <f>INDEX(client_codes,MATCH(loaded!AA456,client,0))</f>
        <v>#N/A</v>
      </c>
      <c r="L456" t="e">
        <f>INDEX(src_ref_codes,MATCH(loaded!AC456,src_ref,0))</f>
        <v>#N/A</v>
      </c>
      <c r="M456" s="8">
        <f>loaded!AE456</f>
        <v>0</v>
      </c>
      <c r="N456" s="8">
        <f>loaded!AG456</f>
        <v>0</v>
      </c>
      <c r="O456" t="e">
        <f>INDEX(reces_codes,MATCH(loaded!AI456,reason,0))</f>
        <v>#N/A</v>
      </c>
      <c r="P456" t="e">
        <f>INDEX(TDS_codes,MATCH(loaded!AK456,TDS,0))</f>
        <v>#N/A</v>
      </c>
      <c r="Q456" t="e">
        <f>IF(K456=2,"",INDEX(method_codes,MATCH(loaded!AM456,method,0)))</f>
        <v>#N/A</v>
      </c>
      <c r="R456" t="e">
        <f>IF(K456=2,"",INDEX(inj_codes,MATCH(loaded!AO456,inj,0)))</f>
        <v>#N/A</v>
      </c>
      <c r="S456" t="e">
        <f>IF(K456=2,"",INDEX(drug_codes,MATCH(loaded!AQ456,drug,0)))</f>
        <v>#N/A</v>
      </c>
      <c r="T456" t="e">
        <f>IF(K456=2,"",_xlfn.IFNA(INDEX(drug_codes,MATCH(loaded!AS456,drug,0)),""))</f>
        <v>#N/A</v>
      </c>
      <c r="U456" t="e">
        <f>IF(K456=2,"",_xlfn.IFNA(INDEX(drug_codes,MATCH(loaded!AU456,drug,0)),""))</f>
        <v>#N/A</v>
      </c>
      <c r="V456" t="e">
        <f>IF(K456=2,"",_xlfn.IFNA(INDEX(drug_codes,MATCH(loaded!AW456,drug,0)),""))</f>
        <v>#N/A</v>
      </c>
      <c r="W456" t="e">
        <f>IF(K456=2,"",_xlfn.IFNA(INDEX(drug_codes,MATCH(loaded!AY456,drug,0)),""))</f>
        <v>#N/A</v>
      </c>
      <c r="X456" t="e">
        <f>IF(K456=2,"",_xlfn.IFNA(INDEX(drug_codes,MATCH(loaded!BA456,drug,0)),""))</f>
        <v>#N/A</v>
      </c>
      <c r="Y456" t="e">
        <f>INDEX(MTT_codes,MATCH(loaded!BC456,MTT,0))</f>
        <v>#N/A</v>
      </c>
      <c r="Z456" t="str">
        <f>_xlfn.IFNA(INDEX(MTT_codes,MATCH(loaded!BE456,MTT,0)),"")</f>
        <v/>
      </c>
      <c r="AA456" t="str">
        <f>_xlfn.IFNA(INDEX(MTT_codes,MATCH(loaded!BG456,MTT,0)),"")</f>
        <v/>
      </c>
      <c r="AB456" t="str">
        <f>_xlfn.IFNA(INDEX(MTT_codes,MATCH(loaded!BI456,MTT,0)),"")</f>
        <v/>
      </c>
      <c r="AC456" t="str">
        <f>_xlfn.IFNA(INDEX(MTT_codes,MATCH(loaded!BK456,MTT,0)),"")</f>
        <v/>
      </c>
      <c r="AD456" t="str">
        <f>_xlfn.IFNA(INDEX(MTT_codes,MATCH(loaded!BM456,MTT,0)),"")</f>
        <v/>
      </c>
      <c r="AE456" t="e">
        <f>INDEX(liv_ar_codes,MATCH(loaded!BO456,liv_ar,0))</f>
        <v>#N/A</v>
      </c>
      <c r="AF456" t="str">
        <f>_xlfn.IFNA(INDEX(MTT_codes,MATCH(loaded!BQ456,MTT,0)),"")</f>
        <v/>
      </c>
      <c r="AG456">
        <f>_xlfn.IFNA(INDEX(mental_codes,MATCH(loaded!BS456,mental,0)),9)</f>
        <v>9</v>
      </c>
    </row>
    <row r="457" spans="1:33" x14ac:dyDescent="0.25">
      <c r="A457">
        <f>loaded!C457</f>
        <v>0</v>
      </c>
      <c r="B457">
        <f>loaded!I457</f>
        <v>0</v>
      </c>
      <c r="C457">
        <f>IF(loaded!K457="Male",1,IF(loaded!K457="Female",2,9))</f>
        <v>9</v>
      </c>
      <c r="D457" s="8">
        <f>loaded!M457</f>
        <v>0</v>
      </c>
      <c r="E457" t="str">
        <f>LEFT(loaded!O457,3)</f>
        <v/>
      </c>
      <c r="F457" t="e">
        <f>INDEX(cntry_codes,MATCH(loaded!Q457,countries,0))</f>
        <v>#N/A</v>
      </c>
      <c r="G457" t="e">
        <f>INDEX(atsi_codes,MATCH(loaded!S457,atsi,0))</f>
        <v>#N/A</v>
      </c>
      <c r="H457" t="e">
        <f>INDEX(lang_codes,MATCH(loaded!U457,lang,0))</f>
        <v>#N/A</v>
      </c>
      <c r="I457" s="8">
        <f>loaded!W457</f>
        <v>0</v>
      </c>
      <c r="J457" t="e">
        <f>INDEX(us_acc_codes,MATCH(loaded!Y457,us_acc,0))</f>
        <v>#N/A</v>
      </c>
      <c r="K457" t="e">
        <f>INDEX(client_codes,MATCH(loaded!AA457,client,0))</f>
        <v>#N/A</v>
      </c>
      <c r="L457" t="e">
        <f>INDEX(src_ref_codes,MATCH(loaded!AC457,src_ref,0))</f>
        <v>#N/A</v>
      </c>
      <c r="M457" s="8">
        <f>loaded!AE457</f>
        <v>0</v>
      </c>
      <c r="N457" s="8">
        <f>loaded!AG457</f>
        <v>0</v>
      </c>
      <c r="O457" t="e">
        <f>INDEX(reces_codes,MATCH(loaded!AI457,reason,0))</f>
        <v>#N/A</v>
      </c>
      <c r="P457" t="e">
        <f>INDEX(TDS_codes,MATCH(loaded!AK457,TDS,0))</f>
        <v>#N/A</v>
      </c>
      <c r="Q457" t="e">
        <f>IF(K457=2,"",INDEX(method_codes,MATCH(loaded!AM457,method,0)))</f>
        <v>#N/A</v>
      </c>
      <c r="R457" t="e">
        <f>IF(K457=2,"",INDEX(inj_codes,MATCH(loaded!AO457,inj,0)))</f>
        <v>#N/A</v>
      </c>
      <c r="S457" t="e">
        <f>IF(K457=2,"",INDEX(drug_codes,MATCH(loaded!AQ457,drug,0)))</f>
        <v>#N/A</v>
      </c>
      <c r="T457" t="e">
        <f>IF(K457=2,"",_xlfn.IFNA(INDEX(drug_codes,MATCH(loaded!AS457,drug,0)),""))</f>
        <v>#N/A</v>
      </c>
      <c r="U457" t="e">
        <f>IF(K457=2,"",_xlfn.IFNA(INDEX(drug_codes,MATCH(loaded!AU457,drug,0)),""))</f>
        <v>#N/A</v>
      </c>
      <c r="V457" t="e">
        <f>IF(K457=2,"",_xlfn.IFNA(INDEX(drug_codes,MATCH(loaded!AW457,drug,0)),""))</f>
        <v>#N/A</v>
      </c>
      <c r="W457" t="e">
        <f>IF(K457=2,"",_xlfn.IFNA(INDEX(drug_codes,MATCH(loaded!AY457,drug,0)),""))</f>
        <v>#N/A</v>
      </c>
      <c r="X457" t="e">
        <f>IF(K457=2,"",_xlfn.IFNA(INDEX(drug_codes,MATCH(loaded!BA457,drug,0)),""))</f>
        <v>#N/A</v>
      </c>
      <c r="Y457" t="e">
        <f>INDEX(MTT_codes,MATCH(loaded!BC457,MTT,0))</f>
        <v>#N/A</v>
      </c>
      <c r="Z457" t="str">
        <f>_xlfn.IFNA(INDEX(MTT_codes,MATCH(loaded!BE457,MTT,0)),"")</f>
        <v/>
      </c>
      <c r="AA457" t="str">
        <f>_xlfn.IFNA(INDEX(MTT_codes,MATCH(loaded!BG457,MTT,0)),"")</f>
        <v/>
      </c>
      <c r="AB457" t="str">
        <f>_xlfn.IFNA(INDEX(MTT_codes,MATCH(loaded!BI457,MTT,0)),"")</f>
        <v/>
      </c>
      <c r="AC457" t="str">
        <f>_xlfn.IFNA(INDEX(MTT_codes,MATCH(loaded!BK457,MTT,0)),"")</f>
        <v/>
      </c>
      <c r="AD457" t="str">
        <f>_xlfn.IFNA(INDEX(MTT_codes,MATCH(loaded!BM457,MTT,0)),"")</f>
        <v/>
      </c>
      <c r="AE457" t="e">
        <f>INDEX(liv_ar_codes,MATCH(loaded!BO457,liv_ar,0))</f>
        <v>#N/A</v>
      </c>
      <c r="AF457" t="str">
        <f>_xlfn.IFNA(INDEX(MTT_codes,MATCH(loaded!BQ457,MTT,0)),"")</f>
        <v/>
      </c>
      <c r="AG457">
        <f>_xlfn.IFNA(INDEX(mental_codes,MATCH(loaded!BS457,mental,0)),9)</f>
        <v>9</v>
      </c>
    </row>
    <row r="458" spans="1:33" x14ac:dyDescent="0.25">
      <c r="A458">
        <f>loaded!C458</f>
        <v>0</v>
      </c>
      <c r="B458">
        <f>loaded!I458</f>
        <v>0</v>
      </c>
      <c r="C458">
        <f>IF(loaded!K458="Male",1,IF(loaded!K458="Female",2,9))</f>
        <v>9</v>
      </c>
      <c r="D458" s="8">
        <f>loaded!M458</f>
        <v>0</v>
      </c>
      <c r="E458" t="str">
        <f>LEFT(loaded!O458,3)</f>
        <v/>
      </c>
      <c r="F458" t="e">
        <f>INDEX(cntry_codes,MATCH(loaded!Q458,countries,0))</f>
        <v>#N/A</v>
      </c>
      <c r="G458" t="e">
        <f>INDEX(atsi_codes,MATCH(loaded!S458,atsi,0))</f>
        <v>#N/A</v>
      </c>
      <c r="H458" t="e">
        <f>INDEX(lang_codes,MATCH(loaded!U458,lang,0))</f>
        <v>#N/A</v>
      </c>
      <c r="I458" s="8">
        <f>loaded!W458</f>
        <v>0</v>
      </c>
      <c r="J458" t="e">
        <f>INDEX(us_acc_codes,MATCH(loaded!Y458,us_acc,0))</f>
        <v>#N/A</v>
      </c>
      <c r="K458" t="e">
        <f>INDEX(client_codes,MATCH(loaded!AA458,client,0))</f>
        <v>#N/A</v>
      </c>
      <c r="L458" t="e">
        <f>INDEX(src_ref_codes,MATCH(loaded!AC458,src_ref,0))</f>
        <v>#N/A</v>
      </c>
      <c r="M458" s="8">
        <f>loaded!AE458</f>
        <v>0</v>
      </c>
      <c r="N458" s="8">
        <f>loaded!AG458</f>
        <v>0</v>
      </c>
      <c r="O458" t="e">
        <f>INDEX(reces_codes,MATCH(loaded!AI458,reason,0))</f>
        <v>#N/A</v>
      </c>
      <c r="P458" t="e">
        <f>INDEX(TDS_codes,MATCH(loaded!AK458,TDS,0))</f>
        <v>#N/A</v>
      </c>
      <c r="Q458" t="e">
        <f>IF(K458=2,"",INDEX(method_codes,MATCH(loaded!AM458,method,0)))</f>
        <v>#N/A</v>
      </c>
      <c r="R458" t="e">
        <f>IF(K458=2,"",INDEX(inj_codes,MATCH(loaded!AO458,inj,0)))</f>
        <v>#N/A</v>
      </c>
      <c r="S458" t="e">
        <f>IF(K458=2,"",INDEX(drug_codes,MATCH(loaded!AQ458,drug,0)))</f>
        <v>#N/A</v>
      </c>
      <c r="T458" t="e">
        <f>IF(K458=2,"",_xlfn.IFNA(INDEX(drug_codes,MATCH(loaded!AS458,drug,0)),""))</f>
        <v>#N/A</v>
      </c>
      <c r="U458" t="e">
        <f>IF(K458=2,"",_xlfn.IFNA(INDEX(drug_codes,MATCH(loaded!AU458,drug,0)),""))</f>
        <v>#N/A</v>
      </c>
      <c r="V458" t="e">
        <f>IF(K458=2,"",_xlfn.IFNA(INDEX(drug_codes,MATCH(loaded!AW458,drug,0)),""))</f>
        <v>#N/A</v>
      </c>
      <c r="W458" t="e">
        <f>IF(K458=2,"",_xlfn.IFNA(INDEX(drug_codes,MATCH(loaded!AY458,drug,0)),""))</f>
        <v>#N/A</v>
      </c>
      <c r="X458" t="e">
        <f>IF(K458=2,"",_xlfn.IFNA(INDEX(drug_codes,MATCH(loaded!BA458,drug,0)),""))</f>
        <v>#N/A</v>
      </c>
      <c r="Y458" t="e">
        <f>INDEX(MTT_codes,MATCH(loaded!BC458,MTT,0))</f>
        <v>#N/A</v>
      </c>
      <c r="Z458" t="str">
        <f>_xlfn.IFNA(INDEX(MTT_codes,MATCH(loaded!BE458,MTT,0)),"")</f>
        <v/>
      </c>
      <c r="AA458" t="str">
        <f>_xlfn.IFNA(INDEX(MTT_codes,MATCH(loaded!BG458,MTT,0)),"")</f>
        <v/>
      </c>
      <c r="AB458" t="str">
        <f>_xlfn.IFNA(INDEX(MTT_codes,MATCH(loaded!BI458,MTT,0)),"")</f>
        <v/>
      </c>
      <c r="AC458" t="str">
        <f>_xlfn.IFNA(INDEX(MTT_codes,MATCH(loaded!BK458,MTT,0)),"")</f>
        <v/>
      </c>
      <c r="AD458" t="str">
        <f>_xlfn.IFNA(INDEX(MTT_codes,MATCH(loaded!BM458,MTT,0)),"")</f>
        <v/>
      </c>
      <c r="AE458" t="e">
        <f>INDEX(liv_ar_codes,MATCH(loaded!BO458,liv_ar,0))</f>
        <v>#N/A</v>
      </c>
      <c r="AF458" t="str">
        <f>_xlfn.IFNA(INDEX(MTT_codes,MATCH(loaded!BQ458,MTT,0)),"")</f>
        <v/>
      </c>
      <c r="AG458">
        <f>_xlfn.IFNA(INDEX(mental_codes,MATCH(loaded!BS458,mental,0)),9)</f>
        <v>9</v>
      </c>
    </row>
    <row r="459" spans="1:33" x14ac:dyDescent="0.25">
      <c r="A459">
        <f>loaded!C459</f>
        <v>0</v>
      </c>
      <c r="B459">
        <f>loaded!I459</f>
        <v>0</v>
      </c>
      <c r="C459">
        <f>IF(loaded!K459="Male",1,IF(loaded!K459="Female",2,9))</f>
        <v>9</v>
      </c>
      <c r="D459" s="8">
        <f>loaded!M459</f>
        <v>0</v>
      </c>
      <c r="E459" t="str">
        <f>LEFT(loaded!O459,3)</f>
        <v/>
      </c>
      <c r="F459" t="e">
        <f>INDEX(cntry_codes,MATCH(loaded!Q459,countries,0))</f>
        <v>#N/A</v>
      </c>
      <c r="G459" t="e">
        <f>INDEX(atsi_codes,MATCH(loaded!S459,atsi,0))</f>
        <v>#N/A</v>
      </c>
      <c r="H459" t="e">
        <f>INDEX(lang_codes,MATCH(loaded!U459,lang,0))</f>
        <v>#N/A</v>
      </c>
      <c r="I459" s="8">
        <f>loaded!W459</f>
        <v>0</v>
      </c>
      <c r="J459" t="e">
        <f>INDEX(us_acc_codes,MATCH(loaded!Y459,us_acc,0))</f>
        <v>#N/A</v>
      </c>
      <c r="K459" t="e">
        <f>INDEX(client_codes,MATCH(loaded!AA459,client,0))</f>
        <v>#N/A</v>
      </c>
      <c r="L459" t="e">
        <f>INDEX(src_ref_codes,MATCH(loaded!AC459,src_ref,0))</f>
        <v>#N/A</v>
      </c>
      <c r="M459" s="8">
        <f>loaded!AE459</f>
        <v>0</v>
      </c>
      <c r="N459" s="8">
        <f>loaded!AG459</f>
        <v>0</v>
      </c>
      <c r="O459" t="e">
        <f>INDEX(reces_codes,MATCH(loaded!AI459,reason,0))</f>
        <v>#N/A</v>
      </c>
      <c r="P459" t="e">
        <f>INDEX(TDS_codes,MATCH(loaded!AK459,TDS,0))</f>
        <v>#N/A</v>
      </c>
      <c r="Q459" t="e">
        <f>IF(K459=2,"",INDEX(method_codes,MATCH(loaded!AM459,method,0)))</f>
        <v>#N/A</v>
      </c>
      <c r="R459" t="e">
        <f>IF(K459=2,"",INDEX(inj_codes,MATCH(loaded!AO459,inj,0)))</f>
        <v>#N/A</v>
      </c>
      <c r="S459" t="e">
        <f>IF(K459=2,"",INDEX(drug_codes,MATCH(loaded!AQ459,drug,0)))</f>
        <v>#N/A</v>
      </c>
      <c r="T459" t="e">
        <f>IF(K459=2,"",_xlfn.IFNA(INDEX(drug_codes,MATCH(loaded!AS459,drug,0)),""))</f>
        <v>#N/A</v>
      </c>
      <c r="U459" t="e">
        <f>IF(K459=2,"",_xlfn.IFNA(INDEX(drug_codes,MATCH(loaded!AU459,drug,0)),""))</f>
        <v>#N/A</v>
      </c>
      <c r="V459" t="e">
        <f>IF(K459=2,"",_xlfn.IFNA(INDEX(drug_codes,MATCH(loaded!AW459,drug,0)),""))</f>
        <v>#N/A</v>
      </c>
      <c r="W459" t="e">
        <f>IF(K459=2,"",_xlfn.IFNA(INDEX(drug_codes,MATCH(loaded!AY459,drug,0)),""))</f>
        <v>#N/A</v>
      </c>
      <c r="X459" t="e">
        <f>IF(K459=2,"",_xlfn.IFNA(INDEX(drug_codes,MATCH(loaded!BA459,drug,0)),""))</f>
        <v>#N/A</v>
      </c>
      <c r="Y459" t="e">
        <f>INDEX(MTT_codes,MATCH(loaded!BC459,MTT,0))</f>
        <v>#N/A</v>
      </c>
      <c r="Z459" t="str">
        <f>_xlfn.IFNA(INDEX(MTT_codes,MATCH(loaded!BE459,MTT,0)),"")</f>
        <v/>
      </c>
      <c r="AA459" t="str">
        <f>_xlfn.IFNA(INDEX(MTT_codes,MATCH(loaded!BG459,MTT,0)),"")</f>
        <v/>
      </c>
      <c r="AB459" t="str">
        <f>_xlfn.IFNA(INDEX(MTT_codes,MATCH(loaded!BI459,MTT,0)),"")</f>
        <v/>
      </c>
      <c r="AC459" t="str">
        <f>_xlfn.IFNA(INDEX(MTT_codes,MATCH(loaded!BK459,MTT,0)),"")</f>
        <v/>
      </c>
      <c r="AD459" t="str">
        <f>_xlfn.IFNA(INDEX(MTT_codes,MATCH(loaded!BM459,MTT,0)),"")</f>
        <v/>
      </c>
      <c r="AE459" t="e">
        <f>INDEX(liv_ar_codes,MATCH(loaded!BO459,liv_ar,0))</f>
        <v>#N/A</v>
      </c>
      <c r="AF459" t="str">
        <f>_xlfn.IFNA(INDEX(MTT_codes,MATCH(loaded!BQ459,MTT,0)),"")</f>
        <v/>
      </c>
      <c r="AG459">
        <f>_xlfn.IFNA(INDEX(mental_codes,MATCH(loaded!BS459,mental,0)),9)</f>
        <v>9</v>
      </c>
    </row>
    <row r="460" spans="1:33" x14ac:dyDescent="0.25">
      <c r="A460">
        <f>loaded!C460</f>
        <v>0</v>
      </c>
      <c r="B460">
        <f>loaded!I460</f>
        <v>0</v>
      </c>
      <c r="C460">
        <f>IF(loaded!K460="Male",1,IF(loaded!K460="Female",2,9))</f>
        <v>9</v>
      </c>
      <c r="D460" s="8">
        <f>loaded!M460</f>
        <v>0</v>
      </c>
      <c r="E460" t="str">
        <f>LEFT(loaded!O460,3)</f>
        <v/>
      </c>
      <c r="F460" t="e">
        <f>INDEX(cntry_codes,MATCH(loaded!Q460,countries,0))</f>
        <v>#N/A</v>
      </c>
      <c r="G460" t="e">
        <f>INDEX(atsi_codes,MATCH(loaded!S460,atsi,0))</f>
        <v>#N/A</v>
      </c>
      <c r="H460" t="e">
        <f>INDEX(lang_codes,MATCH(loaded!U460,lang,0))</f>
        <v>#N/A</v>
      </c>
      <c r="I460" s="8">
        <f>loaded!W460</f>
        <v>0</v>
      </c>
      <c r="J460" t="e">
        <f>INDEX(us_acc_codes,MATCH(loaded!Y460,us_acc,0))</f>
        <v>#N/A</v>
      </c>
      <c r="K460" t="e">
        <f>INDEX(client_codes,MATCH(loaded!AA460,client,0))</f>
        <v>#N/A</v>
      </c>
      <c r="L460" t="e">
        <f>INDEX(src_ref_codes,MATCH(loaded!AC460,src_ref,0))</f>
        <v>#N/A</v>
      </c>
      <c r="M460" s="8">
        <f>loaded!AE460</f>
        <v>0</v>
      </c>
      <c r="N460" s="8">
        <f>loaded!AG460</f>
        <v>0</v>
      </c>
      <c r="O460" t="e">
        <f>INDEX(reces_codes,MATCH(loaded!AI460,reason,0))</f>
        <v>#N/A</v>
      </c>
      <c r="P460" t="e">
        <f>INDEX(TDS_codes,MATCH(loaded!AK460,TDS,0))</f>
        <v>#N/A</v>
      </c>
      <c r="Q460" t="e">
        <f>IF(K460=2,"",INDEX(method_codes,MATCH(loaded!AM460,method,0)))</f>
        <v>#N/A</v>
      </c>
      <c r="R460" t="e">
        <f>IF(K460=2,"",INDEX(inj_codes,MATCH(loaded!AO460,inj,0)))</f>
        <v>#N/A</v>
      </c>
      <c r="S460" t="e">
        <f>IF(K460=2,"",INDEX(drug_codes,MATCH(loaded!AQ460,drug,0)))</f>
        <v>#N/A</v>
      </c>
      <c r="T460" t="e">
        <f>IF(K460=2,"",_xlfn.IFNA(INDEX(drug_codes,MATCH(loaded!AS460,drug,0)),""))</f>
        <v>#N/A</v>
      </c>
      <c r="U460" t="e">
        <f>IF(K460=2,"",_xlfn.IFNA(INDEX(drug_codes,MATCH(loaded!AU460,drug,0)),""))</f>
        <v>#N/A</v>
      </c>
      <c r="V460" t="e">
        <f>IF(K460=2,"",_xlfn.IFNA(INDEX(drug_codes,MATCH(loaded!AW460,drug,0)),""))</f>
        <v>#N/A</v>
      </c>
      <c r="W460" t="e">
        <f>IF(K460=2,"",_xlfn.IFNA(INDEX(drug_codes,MATCH(loaded!AY460,drug,0)),""))</f>
        <v>#N/A</v>
      </c>
      <c r="X460" t="e">
        <f>IF(K460=2,"",_xlfn.IFNA(INDEX(drug_codes,MATCH(loaded!BA460,drug,0)),""))</f>
        <v>#N/A</v>
      </c>
      <c r="Y460" t="e">
        <f>INDEX(MTT_codes,MATCH(loaded!BC460,MTT,0))</f>
        <v>#N/A</v>
      </c>
      <c r="Z460" t="str">
        <f>_xlfn.IFNA(INDEX(MTT_codes,MATCH(loaded!BE460,MTT,0)),"")</f>
        <v/>
      </c>
      <c r="AA460" t="str">
        <f>_xlfn.IFNA(INDEX(MTT_codes,MATCH(loaded!BG460,MTT,0)),"")</f>
        <v/>
      </c>
      <c r="AB460" t="str">
        <f>_xlfn.IFNA(INDEX(MTT_codes,MATCH(loaded!BI460,MTT,0)),"")</f>
        <v/>
      </c>
      <c r="AC460" t="str">
        <f>_xlfn.IFNA(INDEX(MTT_codes,MATCH(loaded!BK460,MTT,0)),"")</f>
        <v/>
      </c>
      <c r="AD460" t="str">
        <f>_xlfn.IFNA(INDEX(MTT_codes,MATCH(loaded!BM460,MTT,0)),"")</f>
        <v/>
      </c>
      <c r="AE460" t="e">
        <f>INDEX(liv_ar_codes,MATCH(loaded!BO460,liv_ar,0))</f>
        <v>#N/A</v>
      </c>
      <c r="AF460" t="str">
        <f>_xlfn.IFNA(INDEX(MTT_codes,MATCH(loaded!BQ460,MTT,0)),"")</f>
        <v/>
      </c>
      <c r="AG460">
        <f>_xlfn.IFNA(INDEX(mental_codes,MATCH(loaded!BS460,mental,0)),9)</f>
        <v>9</v>
      </c>
    </row>
    <row r="461" spans="1:33" x14ac:dyDescent="0.25">
      <c r="A461">
        <f>loaded!C461</f>
        <v>0</v>
      </c>
      <c r="B461">
        <f>loaded!I461</f>
        <v>0</v>
      </c>
      <c r="C461">
        <f>IF(loaded!K461="Male",1,IF(loaded!K461="Female",2,9))</f>
        <v>9</v>
      </c>
      <c r="D461" s="8">
        <f>loaded!M461</f>
        <v>0</v>
      </c>
      <c r="E461" t="str">
        <f>LEFT(loaded!O461,3)</f>
        <v/>
      </c>
      <c r="F461" t="e">
        <f>INDEX(cntry_codes,MATCH(loaded!Q461,countries,0))</f>
        <v>#N/A</v>
      </c>
      <c r="G461" t="e">
        <f>INDEX(atsi_codes,MATCH(loaded!S461,atsi,0))</f>
        <v>#N/A</v>
      </c>
      <c r="H461" t="e">
        <f>INDEX(lang_codes,MATCH(loaded!U461,lang,0))</f>
        <v>#N/A</v>
      </c>
      <c r="I461" s="8">
        <f>loaded!W461</f>
        <v>0</v>
      </c>
      <c r="J461" t="e">
        <f>INDEX(us_acc_codes,MATCH(loaded!Y461,us_acc,0))</f>
        <v>#N/A</v>
      </c>
      <c r="K461" t="e">
        <f>INDEX(client_codes,MATCH(loaded!AA461,client,0))</f>
        <v>#N/A</v>
      </c>
      <c r="L461" t="e">
        <f>INDEX(src_ref_codes,MATCH(loaded!AC461,src_ref,0))</f>
        <v>#N/A</v>
      </c>
      <c r="M461" s="8">
        <f>loaded!AE461</f>
        <v>0</v>
      </c>
      <c r="N461" s="8">
        <f>loaded!AG461</f>
        <v>0</v>
      </c>
      <c r="O461" t="e">
        <f>INDEX(reces_codes,MATCH(loaded!AI461,reason,0))</f>
        <v>#N/A</v>
      </c>
      <c r="P461" t="e">
        <f>INDEX(TDS_codes,MATCH(loaded!AK461,TDS,0))</f>
        <v>#N/A</v>
      </c>
      <c r="Q461" t="e">
        <f>IF(K461=2,"",INDEX(method_codes,MATCH(loaded!AM461,method,0)))</f>
        <v>#N/A</v>
      </c>
      <c r="R461" t="e">
        <f>IF(K461=2,"",INDEX(inj_codes,MATCH(loaded!AO461,inj,0)))</f>
        <v>#N/A</v>
      </c>
      <c r="S461" t="e">
        <f>IF(K461=2,"",INDEX(drug_codes,MATCH(loaded!AQ461,drug,0)))</f>
        <v>#N/A</v>
      </c>
      <c r="T461" t="e">
        <f>IF(K461=2,"",_xlfn.IFNA(INDEX(drug_codes,MATCH(loaded!AS461,drug,0)),""))</f>
        <v>#N/A</v>
      </c>
      <c r="U461" t="e">
        <f>IF(K461=2,"",_xlfn.IFNA(INDEX(drug_codes,MATCH(loaded!AU461,drug,0)),""))</f>
        <v>#N/A</v>
      </c>
      <c r="V461" t="e">
        <f>IF(K461=2,"",_xlfn.IFNA(INDEX(drug_codes,MATCH(loaded!AW461,drug,0)),""))</f>
        <v>#N/A</v>
      </c>
      <c r="W461" t="e">
        <f>IF(K461=2,"",_xlfn.IFNA(INDEX(drug_codes,MATCH(loaded!AY461,drug,0)),""))</f>
        <v>#N/A</v>
      </c>
      <c r="X461" t="e">
        <f>IF(K461=2,"",_xlfn.IFNA(INDEX(drug_codes,MATCH(loaded!BA461,drug,0)),""))</f>
        <v>#N/A</v>
      </c>
      <c r="Y461" t="e">
        <f>INDEX(MTT_codes,MATCH(loaded!BC461,MTT,0))</f>
        <v>#N/A</v>
      </c>
      <c r="Z461" t="str">
        <f>_xlfn.IFNA(INDEX(MTT_codes,MATCH(loaded!BE461,MTT,0)),"")</f>
        <v/>
      </c>
      <c r="AA461" t="str">
        <f>_xlfn.IFNA(INDEX(MTT_codes,MATCH(loaded!BG461,MTT,0)),"")</f>
        <v/>
      </c>
      <c r="AB461" t="str">
        <f>_xlfn.IFNA(INDEX(MTT_codes,MATCH(loaded!BI461,MTT,0)),"")</f>
        <v/>
      </c>
      <c r="AC461" t="str">
        <f>_xlfn.IFNA(INDEX(MTT_codes,MATCH(loaded!BK461,MTT,0)),"")</f>
        <v/>
      </c>
      <c r="AD461" t="str">
        <f>_xlfn.IFNA(INDEX(MTT_codes,MATCH(loaded!BM461,MTT,0)),"")</f>
        <v/>
      </c>
      <c r="AE461" t="e">
        <f>INDEX(liv_ar_codes,MATCH(loaded!BO461,liv_ar,0))</f>
        <v>#N/A</v>
      </c>
      <c r="AF461" t="str">
        <f>_xlfn.IFNA(INDEX(MTT_codes,MATCH(loaded!BQ461,MTT,0)),"")</f>
        <v/>
      </c>
      <c r="AG461">
        <f>_xlfn.IFNA(INDEX(mental_codes,MATCH(loaded!BS461,mental,0)),9)</f>
        <v>9</v>
      </c>
    </row>
    <row r="462" spans="1:33" x14ac:dyDescent="0.25">
      <c r="A462">
        <f>loaded!C462</f>
        <v>0</v>
      </c>
      <c r="B462">
        <f>loaded!I462</f>
        <v>0</v>
      </c>
      <c r="C462">
        <f>IF(loaded!K462="Male",1,IF(loaded!K462="Female",2,9))</f>
        <v>9</v>
      </c>
      <c r="D462" s="8">
        <f>loaded!M462</f>
        <v>0</v>
      </c>
      <c r="E462" t="str">
        <f>LEFT(loaded!O462,3)</f>
        <v/>
      </c>
      <c r="F462" t="e">
        <f>INDEX(cntry_codes,MATCH(loaded!Q462,countries,0))</f>
        <v>#N/A</v>
      </c>
      <c r="G462" t="e">
        <f>INDEX(atsi_codes,MATCH(loaded!S462,atsi,0))</f>
        <v>#N/A</v>
      </c>
      <c r="H462" t="e">
        <f>INDEX(lang_codes,MATCH(loaded!U462,lang,0))</f>
        <v>#N/A</v>
      </c>
      <c r="I462" s="8">
        <f>loaded!W462</f>
        <v>0</v>
      </c>
      <c r="J462" t="e">
        <f>INDEX(us_acc_codes,MATCH(loaded!Y462,us_acc,0))</f>
        <v>#N/A</v>
      </c>
      <c r="K462" t="e">
        <f>INDEX(client_codes,MATCH(loaded!AA462,client,0))</f>
        <v>#N/A</v>
      </c>
      <c r="L462" t="e">
        <f>INDEX(src_ref_codes,MATCH(loaded!AC462,src_ref,0))</f>
        <v>#N/A</v>
      </c>
      <c r="M462" s="8">
        <f>loaded!AE462</f>
        <v>0</v>
      </c>
      <c r="N462" s="8">
        <f>loaded!AG462</f>
        <v>0</v>
      </c>
      <c r="O462" t="e">
        <f>INDEX(reces_codes,MATCH(loaded!AI462,reason,0))</f>
        <v>#N/A</v>
      </c>
      <c r="P462" t="e">
        <f>INDEX(TDS_codes,MATCH(loaded!AK462,TDS,0))</f>
        <v>#N/A</v>
      </c>
      <c r="Q462" t="e">
        <f>IF(K462=2,"",INDEX(method_codes,MATCH(loaded!AM462,method,0)))</f>
        <v>#N/A</v>
      </c>
      <c r="R462" t="e">
        <f>IF(K462=2,"",INDEX(inj_codes,MATCH(loaded!AO462,inj,0)))</f>
        <v>#N/A</v>
      </c>
      <c r="S462" t="e">
        <f>IF(K462=2,"",INDEX(drug_codes,MATCH(loaded!AQ462,drug,0)))</f>
        <v>#N/A</v>
      </c>
      <c r="T462" t="e">
        <f>IF(K462=2,"",_xlfn.IFNA(INDEX(drug_codes,MATCH(loaded!AS462,drug,0)),""))</f>
        <v>#N/A</v>
      </c>
      <c r="U462" t="e">
        <f>IF(K462=2,"",_xlfn.IFNA(INDEX(drug_codes,MATCH(loaded!AU462,drug,0)),""))</f>
        <v>#N/A</v>
      </c>
      <c r="V462" t="e">
        <f>IF(K462=2,"",_xlfn.IFNA(INDEX(drug_codes,MATCH(loaded!AW462,drug,0)),""))</f>
        <v>#N/A</v>
      </c>
      <c r="W462" t="e">
        <f>IF(K462=2,"",_xlfn.IFNA(INDEX(drug_codes,MATCH(loaded!AY462,drug,0)),""))</f>
        <v>#N/A</v>
      </c>
      <c r="X462" t="e">
        <f>IF(K462=2,"",_xlfn.IFNA(INDEX(drug_codes,MATCH(loaded!BA462,drug,0)),""))</f>
        <v>#N/A</v>
      </c>
      <c r="Y462" t="e">
        <f>INDEX(MTT_codes,MATCH(loaded!BC462,MTT,0))</f>
        <v>#N/A</v>
      </c>
      <c r="Z462" t="str">
        <f>_xlfn.IFNA(INDEX(MTT_codes,MATCH(loaded!BE462,MTT,0)),"")</f>
        <v/>
      </c>
      <c r="AA462" t="str">
        <f>_xlfn.IFNA(INDEX(MTT_codes,MATCH(loaded!BG462,MTT,0)),"")</f>
        <v/>
      </c>
      <c r="AB462" t="str">
        <f>_xlfn.IFNA(INDEX(MTT_codes,MATCH(loaded!BI462,MTT,0)),"")</f>
        <v/>
      </c>
      <c r="AC462" t="str">
        <f>_xlfn.IFNA(INDEX(MTT_codes,MATCH(loaded!BK462,MTT,0)),"")</f>
        <v/>
      </c>
      <c r="AD462" t="str">
        <f>_xlfn.IFNA(INDEX(MTT_codes,MATCH(loaded!BM462,MTT,0)),"")</f>
        <v/>
      </c>
      <c r="AE462" t="e">
        <f>INDEX(liv_ar_codes,MATCH(loaded!BO462,liv_ar,0))</f>
        <v>#N/A</v>
      </c>
      <c r="AF462" t="str">
        <f>_xlfn.IFNA(INDEX(MTT_codes,MATCH(loaded!BQ462,MTT,0)),"")</f>
        <v/>
      </c>
      <c r="AG462">
        <f>_xlfn.IFNA(INDEX(mental_codes,MATCH(loaded!BS462,mental,0)),9)</f>
        <v>9</v>
      </c>
    </row>
    <row r="463" spans="1:33" x14ac:dyDescent="0.25">
      <c r="A463">
        <f>loaded!C463</f>
        <v>0</v>
      </c>
      <c r="B463">
        <f>loaded!I463</f>
        <v>0</v>
      </c>
      <c r="C463">
        <f>IF(loaded!K463="Male",1,IF(loaded!K463="Female",2,9))</f>
        <v>9</v>
      </c>
      <c r="D463" s="8">
        <f>loaded!M463</f>
        <v>0</v>
      </c>
      <c r="E463" t="str">
        <f>LEFT(loaded!O463,3)</f>
        <v/>
      </c>
      <c r="F463" t="e">
        <f>INDEX(cntry_codes,MATCH(loaded!Q463,countries,0))</f>
        <v>#N/A</v>
      </c>
      <c r="G463" t="e">
        <f>INDEX(atsi_codes,MATCH(loaded!S463,atsi,0))</f>
        <v>#N/A</v>
      </c>
      <c r="H463" t="e">
        <f>INDEX(lang_codes,MATCH(loaded!U463,lang,0))</f>
        <v>#N/A</v>
      </c>
      <c r="I463" s="8">
        <f>loaded!W463</f>
        <v>0</v>
      </c>
      <c r="J463" t="e">
        <f>INDEX(us_acc_codes,MATCH(loaded!Y463,us_acc,0))</f>
        <v>#N/A</v>
      </c>
      <c r="K463" t="e">
        <f>INDEX(client_codes,MATCH(loaded!AA463,client,0))</f>
        <v>#N/A</v>
      </c>
      <c r="L463" t="e">
        <f>INDEX(src_ref_codes,MATCH(loaded!AC463,src_ref,0))</f>
        <v>#N/A</v>
      </c>
      <c r="M463" s="8">
        <f>loaded!AE463</f>
        <v>0</v>
      </c>
      <c r="N463" s="8">
        <f>loaded!AG463</f>
        <v>0</v>
      </c>
      <c r="O463" t="e">
        <f>INDEX(reces_codes,MATCH(loaded!AI463,reason,0))</f>
        <v>#N/A</v>
      </c>
      <c r="P463" t="e">
        <f>INDEX(TDS_codes,MATCH(loaded!AK463,TDS,0))</f>
        <v>#N/A</v>
      </c>
      <c r="Q463" t="e">
        <f>IF(K463=2,"",INDEX(method_codes,MATCH(loaded!AM463,method,0)))</f>
        <v>#N/A</v>
      </c>
      <c r="R463" t="e">
        <f>IF(K463=2,"",INDEX(inj_codes,MATCH(loaded!AO463,inj,0)))</f>
        <v>#N/A</v>
      </c>
      <c r="S463" t="e">
        <f>IF(K463=2,"",INDEX(drug_codes,MATCH(loaded!AQ463,drug,0)))</f>
        <v>#N/A</v>
      </c>
      <c r="T463" t="e">
        <f>IF(K463=2,"",_xlfn.IFNA(INDEX(drug_codes,MATCH(loaded!AS463,drug,0)),""))</f>
        <v>#N/A</v>
      </c>
      <c r="U463" t="e">
        <f>IF(K463=2,"",_xlfn.IFNA(INDEX(drug_codes,MATCH(loaded!AU463,drug,0)),""))</f>
        <v>#N/A</v>
      </c>
      <c r="V463" t="e">
        <f>IF(K463=2,"",_xlfn.IFNA(INDEX(drug_codes,MATCH(loaded!AW463,drug,0)),""))</f>
        <v>#N/A</v>
      </c>
      <c r="W463" t="e">
        <f>IF(K463=2,"",_xlfn.IFNA(INDEX(drug_codes,MATCH(loaded!AY463,drug,0)),""))</f>
        <v>#N/A</v>
      </c>
      <c r="X463" t="e">
        <f>IF(K463=2,"",_xlfn.IFNA(INDEX(drug_codes,MATCH(loaded!BA463,drug,0)),""))</f>
        <v>#N/A</v>
      </c>
      <c r="Y463" t="e">
        <f>INDEX(MTT_codes,MATCH(loaded!BC463,MTT,0))</f>
        <v>#N/A</v>
      </c>
      <c r="Z463" t="str">
        <f>_xlfn.IFNA(INDEX(MTT_codes,MATCH(loaded!BE463,MTT,0)),"")</f>
        <v/>
      </c>
      <c r="AA463" t="str">
        <f>_xlfn.IFNA(INDEX(MTT_codes,MATCH(loaded!BG463,MTT,0)),"")</f>
        <v/>
      </c>
      <c r="AB463" t="str">
        <f>_xlfn.IFNA(INDEX(MTT_codes,MATCH(loaded!BI463,MTT,0)),"")</f>
        <v/>
      </c>
      <c r="AC463" t="str">
        <f>_xlfn.IFNA(INDEX(MTT_codes,MATCH(loaded!BK463,MTT,0)),"")</f>
        <v/>
      </c>
      <c r="AD463" t="str">
        <f>_xlfn.IFNA(INDEX(MTT_codes,MATCH(loaded!BM463,MTT,0)),"")</f>
        <v/>
      </c>
      <c r="AE463" t="e">
        <f>INDEX(liv_ar_codes,MATCH(loaded!BO463,liv_ar,0))</f>
        <v>#N/A</v>
      </c>
      <c r="AF463" t="str">
        <f>_xlfn.IFNA(INDEX(MTT_codes,MATCH(loaded!BQ463,MTT,0)),"")</f>
        <v/>
      </c>
      <c r="AG463">
        <f>_xlfn.IFNA(INDEX(mental_codes,MATCH(loaded!BS463,mental,0)),9)</f>
        <v>9</v>
      </c>
    </row>
    <row r="464" spans="1:33" x14ac:dyDescent="0.25">
      <c r="A464">
        <f>loaded!C464</f>
        <v>0</v>
      </c>
      <c r="B464">
        <f>loaded!I464</f>
        <v>0</v>
      </c>
      <c r="C464">
        <f>IF(loaded!K464="Male",1,IF(loaded!K464="Female",2,9))</f>
        <v>9</v>
      </c>
      <c r="D464" s="8">
        <f>loaded!M464</f>
        <v>0</v>
      </c>
      <c r="E464" t="str">
        <f>LEFT(loaded!O464,3)</f>
        <v/>
      </c>
      <c r="F464" t="e">
        <f>INDEX(cntry_codes,MATCH(loaded!Q464,countries,0))</f>
        <v>#N/A</v>
      </c>
      <c r="G464" t="e">
        <f>INDEX(atsi_codes,MATCH(loaded!S464,atsi,0))</f>
        <v>#N/A</v>
      </c>
      <c r="H464" t="e">
        <f>INDEX(lang_codes,MATCH(loaded!U464,lang,0))</f>
        <v>#N/A</v>
      </c>
      <c r="I464" s="8">
        <f>loaded!W464</f>
        <v>0</v>
      </c>
      <c r="J464" t="e">
        <f>INDEX(us_acc_codes,MATCH(loaded!Y464,us_acc,0))</f>
        <v>#N/A</v>
      </c>
      <c r="K464" t="e">
        <f>INDEX(client_codes,MATCH(loaded!AA464,client,0))</f>
        <v>#N/A</v>
      </c>
      <c r="L464" t="e">
        <f>INDEX(src_ref_codes,MATCH(loaded!AC464,src_ref,0))</f>
        <v>#N/A</v>
      </c>
      <c r="M464" s="8">
        <f>loaded!AE464</f>
        <v>0</v>
      </c>
      <c r="N464" s="8">
        <f>loaded!AG464</f>
        <v>0</v>
      </c>
      <c r="O464" t="e">
        <f>INDEX(reces_codes,MATCH(loaded!AI464,reason,0))</f>
        <v>#N/A</v>
      </c>
      <c r="P464" t="e">
        <f>INDEX(TDS_codes,MATCH(loaded!AK464,TDS,0))</f>
        <v>#N/A</v>
      </c>
      <c r="Q464" t="e">
        <f>IF(K464=2,"",INDEX(method_codes,MATCH(loaded!AM464,method,0)))</f>
        <v>#N/A</v>
      </c>
      <c r="R464" t="e">
        <f>IF(K464=2,"",INDEX(inj_codes,MATCH(loaded!AO464,inj,0)))</f>
        <v>#N/A</v>
      </c>
      <c r="S464" t="e">
        <f>IF(K464=2,"",INDEX(drug_codes,MATCH(loaded!AQ464,drug,0)))</f>
        <v>#N/A</v>
      </c>
      <c r="T464" t="e">
        <f>IF(K464=2,"",_xlfn.IFNA(INDEX(drug_codes,MATCH(loaded!AS464,drug,0)),""))</f>
        <v>#N/A</v>
      </c>
      <c r="U464" t="e">
        <f>IF(K464=2,"",_xlfn.IFNA(INDEX(drug_codes,MATCH(loaded!AU464,drug,0)),""))</f>
        <v>#N/A</v>
      </c>
      <c r="V464" t="e">
        <f>IF(K464=2,"",_xlfn.IFNA(INDEX(drug_codes,MATCH(loaded!AW464,drug,0)),""))</f>
        <v>#N/A</v>
      </c>
      <c r="W464" t="e">
        <f>IF(K464=2,"",_xlfn.IFNA(INDEX(drug_codes,MATCH(loaded!AY464,drug,0)),""))</f>
        <v>#N/A</v>
      </c>
      <c r="X464" t="e">
        <f>IF(K464=2,"",_xlfn.IFNA(INDEX(drug_codes,MATCH(loaded!BA464,drug,0)),""))</f>
        <v>#N/A</v>
      </c>
      <c r="Y464" t="e">
        <f>INDEX(MTT_codes,MATCH(loaded!BC464,MTT,0))</f>
        <v>#N/A</v>
      </c>
      <c r="Z464" t="str">
        <f>_xlfn.IFNA(INDEX(MTT_codes,MATCH(loaded!BE464,MTT,0)),"")</f>
        <v/>
      </c>
      <c r="AA464" t="str">
        <f>_xlfn.IFNA(INDEX(MTT_codes,MATCH(loaded!BG464,MTT,0)),"")</f>
        <v/>
      </c>
      <c r="AB464" t="str">
        <f>_xlfn.IFNA(INDEX(MTT_codes,MATCH(loaded!BI464,MTT,0)),"")</f>
        <v/>
      </c>
      <c r="AC464" t="str">
        <f>_xlfn.IFNA(INDEX(MTT_codes,MATCH(loaded!BK464,MTT,0)),"")</f>
        <v/>
      </c>
      <c r="AD464" t="str">
        <f>_xlfn.IFNA(INDEX(MTT_codes,MATCH(loaded!BM464,MTT,0)),"")</f>
        <v/>
      </c>
      <c r="AE464" t="e">
        <f>INDEX(liv_ar_codes,MATCH(loaded!BO464,liv_ar,0))</f>
        <v>#N/A</v>
      </c>
      <c r="AF464" t="str">
        <f>_xlfn.IFNA(INDEX(MTT_codes,MATCH(loaded!BQ464,MTT,0)),"")</f>
        <v/>
      </c>
      <c r="AG464">
        <f>_xlfn.IFNA(INDEX(mental_codes,MATCH(loaded!BS464,mental,0)),9)</f>
        <v>9</v>
      </c>
    </row>
    <row r="465" spans="1:33" x14ac:dyDescent="0.25">
      <c r="A465">
        <f>loaded!C465</f>
        <v>0</v>
      </c>
      <c r="B465">
        <f>loaded!I465</f>
        <v>0</v>
      </c>
      <c r="C465">
        <f>IF(loaded!K465="Male",1,IF(loaded!K465="Female",2,9))</f>
        <v>9</v>
      </c>
      <c r="D465" s="8">
        <f>loaded!M465</f>
        <v>0</v>
      </c>
      <c r="E465" t="str">
        <f>LEFT(loaded!O465,3)</f>
        <v/>
      </c>
      <c r="F465" t="e">
        <f>INDEX(cntry_codes,MATCH(loaded!Q465,countries,0))</f>
        <v>#N/A</v>
      </c>
      <c r="G465" t="e">
        <f>INDEX(atsi_codes,MATCH(loaded!S465,atsi,0))</f>
        <v>#N/A</v>
      </c>
      <c r="H465" t="e">
        <f>INDEX(lang_codes,MATCH(loaded!U465,lang,0))</f>
        <v>#N/A</v>
      </c>
      <c r="I465" s="8">
        <f>loaded!W465</f>
        <v>0</v>
      </c>
      <c r="J465" t="e">
        <f>INDEX(us_acc_codes,MATCH(loaded!Y465,us_acc,0))</f>
        <v>#N/A</v>
      </c>
      <c r="K465" t="e">
        <f>INDEX(client_codes,MATCH(loaded!AA465,client,0))</f>
        <v>#N/A</v>
      </c>
      <c r="L465" t="e">
        <f>INDEX(src_ref_codes,MATCH(loaded!AC465,src_ref,0))</f>
        <v>#N/A</v>
      </c>
      <c r="M465" s="8">
        <f>loaded!AE465</f>
        <v>0</v>
      </c>
      <c r="N465" s="8">
        <f>loaded!AG465</f>
        <v>0</v>
      </c>
      <c r="O465" t="e">
        <f>INDEX(reces_codes,MATCH(loaded!AI465,reason,0))</f>
        <v>#N/A</v>
      </c>
      <c r="P465" t="e">
        <f>INDEX(TDS_codes,MATCH(loaded!AK465,TDS,0))</f>
        <v>#N/A</v>
      </c>
      <c r="Q465" t="e">
        <f>IF(K465=2,"",INDEX(method_codes,MATCH(loaded!AM465,method,0)))</f>
        <v>#N/A</v>
      </c>
      <c r="R465" t="e">
        <f>IF(K465=2,"",INDEX(inj_codes,MATCH(loaded!AO465,inj,0)))</f>
        <v>#N/A</v>
      </c>
      <c r="S465" t="e">
        <f>IF(K465=2,"",INDEX(drug_codes,MATCH(loaded!AQ465,drug,0)))</f>
        <v>#N/A</v>
      </c>
      <c r="T465" t="e">
        <f>IF(K465=2,"",_xlfn.IFNA(INDEX(drug_codes,MATCH(loaded!AS465,drug,0)),""))</f>
        <v>#N/A</v>
      </c>
      <c r="U465" t="e">
        <f>IF(K465=2,"",_xlfn.IFNA(INDEX(drug_codes,MATCH(loaded!AU465,drug,0)),""))</f>
        <v>#N/A</v>
      </c>
      <c r="V465" t="e">
        <f>IF(K465=2,"",_xlfn.IFNA(INDEX(drug_codes,MATCH(loaded!AW465,drug,0)),""))</f>
        <v>#N/A</v>
      </c>
      <c r="W465" t="e">
        <f>IF(K465=2,"",_xlfn.IFNA(INDEX(drug_codes,MATCH(loaded!AY465,drug,0)),""))</f>
        <v>#N/A</v>
      </c>
      <c r="X465" t="e">
        <f>IF(K465=2,"",_xlfn.IFNA(INDEX(drug_codes,MATCH(loaded!BA465,drug,0)),""))</f>
        <v>#N/A</v>
      </c>
      <c r="Y465" t="e">
        <f>INDEX(MTT_codes,MATCH(loaded!BC465,MTT,0))</f>
        <v>#N/A</v>
      </c>
      <c r="Z465" t="str">
        <f>_xlfn.IFNA(INDEX(MTT_codes,MATCH(loaded!BE465,MTT,0)),"")</f>
        <v/>
      </c>
      <c r="AA465" t="str">
        <f>_xlfn.IFNA(INDEX(MTT_codes,MATCH(loaded!BG465,MTT,0)),"")</f>
        <v/>
      </c>
      <c r="AB465" t="str">
        <f>_xlfn.IFNA(INDEX(MTT_codes,MATCH(loaded!BI465,MTT,0)),"")</f>
        <v/>
      </c>
      <c r="AC465" t="str">
        <f>_xlfn.IFNA(INDEX(MTT_codes,MATCH(loaded!BK465,MTT,0)),"")</f>
        <v/>
      </c>
      <c r="AD465" t="str">
        <f>_xlfn.IFNA(INDEX(MTT_codes,MATCH(loaded!BM465,MTT,0)),"")</f>
        <v/>
      </c>
      <c r="AE465" t="e">
        <f>INDEX(liv_ar_codes,MATCH(loaded!BO465,liv_ar,0))</f>
        <v>#N/A</v>
      </c>
      <c r="AF465" t="str">
        <f>_xlfn.IFNA(INDEX(MTT_codes,MATCH(loaded!BQ465,MTT,0)),"")</f>
        <v/>
      </c>
      <c r="AG465">
        <f>_xlfn.IFNA(INDEX(mental_codes,MATCH(loaded!BS465,mental,0)),9)</f>
        <v>9</v>
      </c>
    </row>
    <row r="466" spans="1:33" x14ac:dyDescent="0.25">
      <c r="A466">
        <f>loaded!C466</f>
        <v>0</v>
      </c>
      <c r="B466">
        <f>loaded!I466</f>
        <v>0</v>
      </c>
      <c r="C466">
        <f>IF(loaded!K466="Male",1,IF(loaded!K466="Female",2,9))</f>
        <v>9</v>
      </c>
      <c r="D466" s="8">
        <f>loaded!M466</f>
        <v>0</v>
      </c>
      <c r="E466" t="str">
        <f>LEFT(loaded!O466,3)</f>
        <v/>
      </c>
      <c r="F466" t="e">
        <f>INDEX(cntry_codes,MATCH(loaded!Q466,countries,0))</f>
        <v>#N/A</v>
      </c>
      <c r="G466" t="e">
        <f>INDEX(atsi_codes,MATCH(loaded!S466,atsi,0))</f>
        <v>#N/A</v>
      </c>
      <c r="H466" t="e">
        <f>INDEX(lang_codes,MATCH(loaded!U466,lang,0))</f>
        <v>#N/A</v>
      </c>
      <c r="I466" s="8">
        <f>loaded!W466</f>
        <v>0</v>
      </c>
      <c r="J466" t="e">
        <f>INDEX(us_acc_codes,MATCH(loaded!Y466,us_acc,0))</f>
        <v>#N/A</v>
      </c>
      <c r="K466" t="e">
        <f>INDEX(client_codes,MATCH(loaded!AA466,client,0))</f>
        <v>#N/A</v>
      </c>
      <c r="L466" t="e">
        <f>INDEX(src_ref_codes,MATCH(loaded!AC466,src_ref,0))</f>
        <v>#N/A</v>
      </c>
      <c r="M466" s="8">
        <f>loaded!AE466</f>
        <v>0</v>
      </c>
      <c r="N466" s="8">
        <f>loaded!AG466</f>
        <v>0</v>
      </c>
      <c r="O466" t="e">
        <f>INDEX(reces_codes,MATCH(loaded!AI466,reason,0))</f>
        <v>#N/A</v>
      </c>
      <c r="P466" t="e">
        <f>INDEX(TDS_codes,MATCH(loaded!AK466,TDS,0))</f>
        <v>#N/A</v>
      </c>
      <c r="Q466" t="e">
        <f>IF(K466=2,"",INDEX(method_codes,MATCH(loaded!AM466,method,0)))</f>
        <v>#N/A</v>
      </c>
      <c r="R466" t="e">
        <f>IF(K466=2,"",INDEX(inj_codes,MATCH(loaded!AO466,inj,0)))</f>
        <v>#N/A</v>
      </c>
      <c r="S466" t="e">
        <f>IF(K466=2,"",INDEX(drug_codes,MATCH(loaded!AQ466,drug,0)))</f>
        <v>#N/A</v>
      </c>
      <c r="T466" t="e">
        <f>IF(K466=2,"",_xlfn.IFNA(INDEX(drug_codes,MATCH(loaded!AS466,drug,0)),""))</f>
        <v>#N/A</v>
      </c>
      <c r="U466" t="e">
        <f>IF(K466=2,"",_xlfn.IFNA(INDEX(drug_codes,MATCH(loaded!AU466,drug,0)),""))</f>
        <v>#N/A</v>
      </c>
      <c r="V466" t="e">
        <f>IF(K466=2,"",_xlfn.IFNA(INDEX(drug_codes,MATCH(loaded!AW466,drug,0)),""))</f>
        <v>#N/A</v>
      </c>
      <c r="W466" t="e">
        <f>IF(K466=2,"",_xlfn.IFNA(INDEX(drug_codes,MATCH(loaded!AY466,drug,0)),""))</f>
        <v>#N/A</v>
      </c>
      <c r="X466" t="e">
        <f>IF(K466=2,"",_xlfn.IFNA(INDEX(drug_codes,MATCH(loaded!BA466,drug,0)),""))</f>
        <v>#N/A</v>
      </c>
      <c r="Y466" t="e">
        <f>INDEX(MTT_codes,MATCH(loaded!BC466,MTT,0))</f>
        <v>#N/A</v>
      </c>
      <c r="Z466" t="str">
        <f>_xlfn.IFNA(INDEX(MTT_codes,MATCH(loaded!BE466,MTT,0)),"")</f>
        <v/>
      </c>
      <c r="AA466" t="str">
        <f>_xlfn.IFNA(INDEX(MTT_codes,MATCH(loaded!BG466,MTT,0)),"")</f>
        <v/>
      </c>
      <c r="AB466" t="str">
        <f>_xlfn.IFNA(INDEX(MTT_codes,MATCH(loaded!BI466,MTT,0)),"")</f>
        <v/>
      </c>
      <c r="AC466" t="str">
        <f>_xlfn.IFNA(INDEX(MTT_codes,MATCH(loaded!BK466,MTT,0)),"")</f>
        <v/>
      </c>
      <c r="AD466" t="str">
        <f>_xlfn.IFNA(INDEX(MTT_codes,MATCH(loaded!BM466,MTT,0)),"")</f>
        <v/>
      </c>
      <c r="AE466" t="e">
        <f>INDEX(liv_ar_codes,MATCH(loaded!BO466,liv_ar,0))</f>
        <v>#N/A</v>
      </c>
      <c r="AF466" t="str">
        <f>_xlfn.IFNA(INDEX(MTT_codes,MATCH(loaded!BQ466,MTT,0)),"")</f>
        <v/>
      </c>
      <c r="AG466">
        <f>_xlfn.IFNA(INDEX(mental_codes,MATCH(loaded!BS466,mental,0)),9)</f>
        <v>9</v>
      </c>
    </row>
    <row r="467" spans="1:33" x14ac:dyDescent="0.25">
      <c r="A467">
        <f>loaded!C467</f>
        <v>0</v>
      </c>
      <c r="B467">
        <f>loaded!I467</f>
        <v>0</v>
      </c>
      <c r="C467">
        <f>IF(loaded!K467="Male",1,IF(loaded!K467="Female",2,9))</f>
        <v>9</v>
      </c>
      <c r="D467" s="8">
        <f>loaded!M467</f>
        <v>0</v>
      </c>
      <c r="E467" t="str">
        <f>LEFT(loaded!O467,3)</f>
        <v/>
      </c>
      <c r="F467" t="e">
        <f>INDEX(cntry_codes,MATCH(loaded!Q467,countries,0))</f>
        <v>#N/A</v>
      </c>
      <c r="G467" t="e">
        <f>INDEX(atsi_codes,MATCH(loaded!S467,atsi,0))</f>
        <v>#N/A</v>
      </c>
      <c r="H467" t="e">
        <f>INDEX(lang_codes,MATCH(loaded!U467,lang,0))</f>
        <v>#N/A</v>
      </c>
      <c r="I467" s="8">
        <f>loaded!W467</f>
        <v>0</v>
      </c>
      <c r="J467" t="e">
        <f>INDEX(us_acc_codes,MATCH(loaded!Y467,us_acc,0))</f>
        <v>#N/A</v>
      </c>
      <c r="K467" t="e">
        <f>INDEX(client_codes,MATCH(loaded!AA467,client,0))</f>
        <v>#N/A</v>
      </c>
      <c r="L467" t="e">
        <f>INDEX(src_ref_codes,MATCH(loaded!AC467,src_ref,0))</f>
        <v>#N/A</v>
      </c>
      <c r="M467" s="8">
        <f>loaded!AE467</f>
        <v>0</v>
      </c>
      <c r="N467" s="8">
        <f>loaded!AG467</f>
        <v>0</v>
      </c>
      <c r="O467" t="e">
        <f>INDEX(reces_codes,MATCH(loaded!AI467,reason,0))</f>
        <v>#N/A</v>
      </c>
      <c r="P467" t="e">
        <f>INDEX(TDS_codes,MATCH(loaded!AK467,TDS,0))</f>
        <v>#N/A</v>
      </c>
      <c r="Q467" t="e">
        <f>IF(K467=2,"",INDEX(method_codes,MATCH(loaded!AM467,method,0)))</f>
        <v>#N/A</v>
      </c>
      <c r="R467" t="e">
        <f>IF(K467=2,"",INDEX(inj_codes,MATCH(loaded!AO467,inj,0)))</f>
        <v>#N/A</v>
      </c>
      <c r="S467" t="e">
        <f>IF(K467=2,"",INDEX(drug_codes,MATCH(loaded!AQ467,drug,0)))</f>
        <v>#N/A</v>
      </c>
      <c r="T467" t="e">
        <f>IF(K467=2,"",_xlfn.IFNA(INDEX(drug_codes,MATCH(loaded!AS467,drug,0)),""))</f>
        <v>#N/A</v>
      </c>
      <c r="U467" t="e">
        <f>IF(K467=2,"",_xlfn.IFNA(INDEX(drug_codes,MATCH(loaded!AU467,drug,0)),""))</f>
        <v>#N/A</v>
      </c>
      <c r="V467" t="e">
        <f>IF(K467=2,"",_xlfn.IFNA(INDEX(drug_codes,MATCH(loaded!AW467,drug,0)),""))</f>
        <v>#N/A</v>
      </c>
      <c r="W467" t="e">
        <f>IF(K467=2,"",_xlfn.IFNA(INDEX(drug_codes,MATCH(loaded!AY467,drug,0)),""))</f>
        <v>#N/A</v>
      </c>
      <c r="X467" t="e">
        <f>IF(K467=2,"",_xlfn.IFNA(INDEX(drug_codes,MATCH(loaded!BA467,drug,0)),""))</f>
        <v>#N/A</v>
      </c>
      <c r="Y467" t="e">
        <f>INDEX(MTT_codes,MATCH(loaded!BC467,MTT,0))</f>
        <v>#N/A</v>
      </c>
      <c r="Z467" t="str">
        <f>_xlfn.IFNA(INDEX(MTT_codes,MATCH(loaded!BE467,MTT,0)),"")</f>
        <v/>
      </c>
      <c r="AA467" t="str">
        <f>_xlfn.IFNA(INDEX(MTT_codes,MATCH(loaded!BG467,MTT,0)),"")</f>
        <v/>
      </c>
      <c r="AB467" t="str">
        <f>_xlfn.IFNA(INDEX(MTT_codes,MATCH(loaded!BI467,MTT,0)),"")</f>
        <v/>
      </c>
      <c r="AC467" t="str">
        <f>_xlfn.IFNA(INDEX(MTT_codes,MATCH(loaded!BK467,MTT,0)),"")</f>
        <v/>
      </c>
      <c r="AD467" t="str">
        <f>_xlfn.IFNA(INDEX(MTT_codes,MATCH(loaded!BM467,MTT,0)),"")</f>
        <v/>
      </c>
      <c r="AE467" t="e">
        <f>INDEX(liv_ar_codes,MATCH(loaded!BO467,liv_ar,0))</f>
        <v>#N/A</v>
      </c>
      <c r="AF467" t="str">
        <f>_xlfn.IFNA(INDEX(MTT_codes,MATCH(loaded!BQ467,MTT,0)),"")</f>
        <v/>
      </c>
      <c r="AG467">
        <f>_xlfn.IFNA(INDEX(mental_codes,MATCH(loaded!BS467,mental,0)),9)</f>
        <v>9</v>
      </c>
    </row>
    <row r="468" spans="1:33" x14ac:dyDescent="0.25">
      <c r="A468">
        <f>loaded!C468</f>
        <v>0</v>
      </c>
      <c r="B468">
        <f>loaded!I468</f>
        <v>0</v>
      </c>
      <c r="C468">
        <f>IF(loaded!K468="Male",1,IF(loaded!K468="Female",2,9))</f>
        <v>9</v>
      </c>
      <c r="D468" s="8">
        <f>loaded!M468</f>
        <v>0</v>
      </c>
      <c r="E468" t="str">
        <f>LEFT(loaded!O468,3)</f>
        <v/>
      </c>
      <c r="F468" t="e">
        <f>INDEX(cntry_codes,MATCH(loaded!Q468,countries,0))</f>
        <v>#N/A</v>
      </c>
      <c r="G468" t="e">
        <f>INDEX(atsi_codes,MATCH(loaded!S468,atsi,0))</f>
        <v>#N/A</v>
      </c>
      <c r="H468" t="e">
        <f>INDEX(lang_codes,MATCH(loaded!U468,lang,0))</f>
        <v>#N/A</v>
      </c>
      <c r="I468" s="8">
        <f>loaded!W468</f>
        <v>0</v>
      </c>
      <c r="J468" t="e">
        <f>INDEX(us_acc_codes,MATCH(loaded!Y468,us_acc,0))</f>
        <v>#N/A</v>
      </c>
      <c r="K468" t="e">
        <f>INDEX(client_codes,MATCH(loaded!AA468,client,0))</f>
        <v>#N/A</v>
      </c>
      <c r="L468" t="e">
        <f>INDEX(src_ref_codes,MATCH(loaded!AC468,src_ref,0))</f>
        <v>#N/A</v>
      </c>
      <c r="M468" s="8">
        <f>loaded!AE468</f>
        <v>0</v>
      </c>
      <c r="N468" s="8">
        <f>loaded!AG468</f>
        <v>0</v>
      </c>
      <c r="O468" t="e">
        <f>INDEX(reces_codes,MATCH(loaded!AI468,reason,0))</f>
        <v>#N/A</v>
      </c>
      <c r="P468" t="e">
        <f>INDEX(TDS_codes,MATCH(loaded!AK468,TDS,0))</f>
        <v>#N/A</v>
      </c>
      <c r="Q468" t="e">
        <f>IF(K468=2,"",INDEX(method_codes,MATCH(loaded!AM468,method,0)))</f>
        <v>#N/A</v>
      </c>
      <c r="R468" t="e">
        <f>IF(K468=2,"",INDEX(inj_codes,MATCH(loaded!AO468,inj,0)))</f>
        <v>#N/A</v>
      </c>
      <c r="S468" t="e">
        <f>IF(K468=2,"",INDEX(drug_codes,MATCH(loaded!AQ468,drug,0)))</f>
        <v>#N/A</v>
      </c>
      <c r="T468" t="e">
        <f>IF(K468=2,"",_xlfn.IFNA(INDEX(drug_codes,MATCH(loaded!AS468,drug,0)),""))</f>
        <v>#N/A</v>
      </c>
      <c r="U468" t="e">
        <f>IF(K468=2,"",_xlfn.IFNA(INDEX(drug_codes,MATCH(loaded!AU468,drug,0)),""))</f>
        <v>#N/A</v>
      </c>
      <c r="V468" t="e">
        <f>IF(K468=2,"",_xlfn.IFNA(INDEX(drug_codes,MATCH(loaded!AW468,drug,0)),""))</f>
        <v>#N/A</v>
      </c>
      <c r="W468" t="e">
        <f>IF(K468=2,"",_xlfn.IFNA(INDEX(drug_codes,MATCH(loaded!AY468,drug,0)),""))</f>
        <v>#N/A</v>
      </c>
      <c r="X468" t="e">
        <f>IF(K468=2,"",_xlfn.IFNA(INDEX(drug_codes,MATCH(loaded!BA468,drug,0)),""))</f>
        <v>#N/A</v>
      </c>
      <c r="Y468" t="e">
        <f>INDEX(MTT_codes,MATCH(loaded!BC468,MTT,0))</f>
        <v>#N/A</v>
      </c>
      <c r="Z468" t="str">
        <f>_xlfn.IFNA(INDEX(MTT_codes,MATCH(loaded!BE468,MTT,0)),"")</f>
        <v/>
      </c>
      <c r="AA468" t="str">
        <f>_xlfn.IFNA(INDEX(MTT_codes,MATCH(loaded!BG468,MTT,0)),"")</f>
        <v/>
      </c>
      <c r="AB468" t="str">
        <f>_xlfn.IFNA(INDEX(MTT_codes,MATCH(loaded!BI468,MTT,0)),"")</f>
        <v/>
      </c>
      <c r="AC468" t="str">
        <f>_xlfn.IFNA(INDEX(MTT_codes,MATCH(loaded!BK468,MTT,0)),"")</f>
        <v/>
      </c>
      <c r="AD468" t="str">
        <f>_xlfn.IFNA(INDEX(MTT_codes,MATCH(loaded!BM468,MTT,0)),"")</f>
        <v/>
      </c>
      <c r="AE468" t="e">
        <f>INDEX(liv_ar_codes,MATCH(loaded!BO468,liv_ar,0))</f>
        <v>#N/A</v>
      </c>
      <c r="AF468" t="str">
        <f>_xlfn.IFNA(INDEX(MTT_codes,MATCH(loaded!BQ468,MTT,0)),"")</f>
        <v/>
      </c>
      <c r="AG468">
        <f>_xlfn.IFNA(INDEX(mental_codes,MATCH(loaded!BS468,mental,0)),9)</f>
        <v>9</v>
      </c>
    </row>
    <row r="469" spans="1:33" x14ac:dyDescent="0.25">
      <c r="A469">
        <f>loaded!C469</f>
        <v>0</v>
      </c>
      <c r="B469">
        <f>loaded!I469</f>
        <v>0</v>
      </c>
      <c r="C469">
        <f>IF(loaded!K469="Male",1,IF(loaded!K469="Female",2,9))</f>
        <v>9</v>
      </c>
      <c r="D469" s="8">
        <f>loaded!M469</f>
        <v>0</v>
      </c>
      <c r="E469" t="str">
        <f>LEFT(loaded!O469,3)</f>
        <v/>
      </c>
      <c r="F469" t="e">
        <f>INDEX(cntry_codes,MATCH(loaded!Q469,countries,0))</f>
        <v>#N/A</v>
      </c>
      <c r="G469" t="e">
        <f>INDEX(atsi_codes,MATCH(loaded!S469,atsi,0))</f>
        <v>#N/A</v>
      </c>
      <c r="H469" t="e">
        <f>INDEX(lang_codes,MATCH(loaded!U469,lang,0))</f>
        <v>#N/A</v>
      </c>
      <c r="I469" s="8">
        <f>loaded!W469</f>
        <v>0</v>
      </c>
      <c r="J469" t="e">
        <f>INDEX(us_acc_codes,MATCH(loaded!Y469,us_acc,0))</f>
        <v>#N/A</v>
      </c>
      <c r="K469" t="e">
        <f>INDEX(client_codes,MATCH(loaded!AA469,client,0))</f>
        <v>#N/A</v>
      </c>
      <c r="L469" t="e">
        <f>INDEX(src_ref_codes,MATCH(loaded!AC469,src_ref,0))</f>
        <v>#N/A</v>
      </c>
      <c r="M469" s="8">
        <f>loaded!AE469</f>
        <v>0</v>
      </c>
      <c r="N469" s="8">
        <f>loaded!AG469</f>
        <v>0</v>
      </c>
      <c r="O469" t="e">
        <f>INDEX(reces_codes,MATCH(loaded!AI469,reason,0))</f>
        <v>#N/A</v>
      </c>
      <c r="P469" t="e">
        <f>INDEX(TDS_codes,MATCH(loaded!AK469,TDS,0))</f>
        <v>#N/A</v>
      </c>
      <c r="Q469" t="e">
        <f>IF(K469=2,"",INDEX(method_codes,MATCH(loaded!AM469,method,0)))</f>
        <v>#N/A</v>
      </c>
      <c r="R469" t="e">
        <f>IF(K469=2,"",INDEX(inj_codes,MATCH(loaded!AO469,inj,0)))</f>
        <v>#N/A</v>
      </c>
      <c r="S469" t="e">
        <f>IF(K469=2,"",INDEX(drug_codes,MATCH(loaded!AQ469,drug,0)))</f>
        <v>#N/A</v>
      </c>
      <c r="T469" t="e">
        <f>IF(K469=2,"",_xlfn.IFNA(INDEX(drug_codes,MATCH(loaded!AS469,drug,0)),""))</f>
        <v>#N/A</v>
      </c>
      <c r="U469" t="e">
        <f>IF(K469=2,"",_xlfn.IFNA(INDEX(drug_codes,MATCH(loaded!AU469,drug,0)),""))</f>
        <v>#N/A</v>
      </c>
      <c r="V469" t="e">
        <f>IF(K469=2,"",_xlfn.IFNA(INDEX(drug_codes,MATCH(loaded!AW469,drug,0)),""))</f>
        <v>#N/A</v>
      </c>
      <c r="W469" t="e">
        <f>IF(K469=2,"",_xlfn.IFNA(INDEX(drug_codes,MATCH(loaded!AY469,drug,0)),""))</f>
        <v>#N/A</v>
      </c>
      <c r="X469" t="e">
        <f>IF(K469=2,"",_xlfn.IFNA(INDEX(drug_codes,MATCH(loaded!BA469,drug,0)),""))</f>
        <v>#N/A</v>
      </c>
      <c r="Y469" t="e">
        <f>INDEX(MTT_codes,MATCH(loaded!BC469,MTT,0))</f>
        <v>#N/A</v>
      </c>
      <c r="Z469" t="str">
        <f>_xlfn.IFNA(INDEX(MTT_codes,MATCH(loaded!BE469,MTT,0)),"")</f>
        <v/>
      </c>
      <c r="AA469" t="str">
        <f>_xlfn.IFNA(INDEX(MTT_codes,MATCH(loaded!BG469,MTT,0)),"")</f>
        <v/>
      </c>
      <c r="AB469" t="str">
        <f>_xlfn.IFNA(INDEX(MTT_codes,MATCH(loaded!BI469,MTT,0)),"")</f>
        <v/>
      </c>
      <c r="AC469" t="str">
        <f>_xlfn.IFNA(INDEX(MTT_codes,MATCH(loaded!BK469,MTT,0)),"")</f>
        <v/>
      </c>
      <c r="AD469" t="str">
        <f>_xlfn.IFNA(INDEX(MTT_codes,MATCH(loaded!BM469,MTT,0)),"")</f>
        <v/>
      </c>
      <c r="AE469" t="e">
        <f>INDEX(liv_ar_codes,MATCH(loaded!BO469,liv_ar,0))</f>
        <v>#N/A</v>
      </c>
      <c r="AF469" t="str">
        <f>_xlfn.IFNA(INDEX(MTT_codes,MATCH(loaded!BQ469,MTT,0)),"")</f>
        <v/>
      </c>
      <c r="AG469">
        <f>_xlfn.IFNA(INDEX(mental_codes,MATCH(loaded!BS469,mental,0)),9)</f>
        <v>9</v>
      </c>
    </row>
    <row r="470" spans="1:33" x14ac:dyDescent="0.25">
      <c r="A470">
        <f>loaded!C470</f>
        <v>0</v>
      </c>
      <c r="B470">
        <f>loaded!I470</f>
        <v>0</v>
      </c>
      <c r="C470">
        <f>IF(loaded!K470="Male",1,IF(loaded!K470="Female",2,9))</f>
        <v>9</v>
      </c>
      <c r="D470" s="8">
        <f>loaded!M470</f>
        <v>0</v>
      </c>
      <c r="E470" t="str">
        <f>LEFT(loaded!O470,3)</f>
        <v/>
      </c>
      <c r="F470" t="e">
        <f>INDEX(cntry_codes,MATCH(loaded!Q470,countries,0))</f>
        <v>#N/A</v>
      </c>
      <c r="G470" t="e">
        <f>INDEX(atsi_codes,MATCH(loaded!S470,atsi,0))</f>
        <v>#N/A</v>
      </c>
      <c r="H470" t="e">
        <f>INDEX(lang_codes,MATCH(loaded!U470,lang,0))</f>
        <v>#N/A</v>
      </c>
      <c r="I470" s="8">
        <f>loaded!W470</f>
        <v>0</v>
      </c>
      <c r="J470" t="e">
        <f>INDEX(us_acc_codes,MATCH(loaded!Y470,us_acc,0))</f>
        <v>#N/A</v>
      </c>
      <c r="K470" t="e">
        <f>INDEX(client_codes,MATCH(loaded!AA470,client,0))</f>
        <v>#N/A</v>
      </c>
      <c r="L470" t="e">
        <f>INDEX(src_ref_codes,MATCH(loaded!AC470,src_ref,0))</f>
        <v>#N/A</v>
      </c>
      <c r="M470" s="8">
        <f>loaded!AE470</f>
        <v>0</v>
      </c>
      <c r="N470" s="8">
        <f>loaded!AG470</f>
        <v>0</v>
      </c>
      <c r="O470" t="e">
        <f>INDEX(reces_codes,MATCH(loaded!AI470,reason,0))</f>
        <v>#N/A</v>
      </c>
      <c r="P470" t="e">
        <f>INDEX(TDS_codes,MATCH(loaded!AK470,TDS,0))</f>
        <v>#N/A</v>
      </c>
      <c r="Q470" t="e">
        <f>IF(K470=2,"",INDEX(method_codes,MATCH(loaded!AM470,method,0)))</f>
        <v>#N/A</v>
      </c>
      <c r="R470" t="e">
        <f>IF(K470=2,"",INDEX(inj_codes,MATCH(loaded!AO470,inj,0)))</f>
        <v>#N/A</v>
      </c>
      <c r="S470" t="e">
        <f>IF(K470=2,"",INDEX(drug_codes,MATCH(loaded!AQ470,drug,0)))</f>
        <v>#N/A</v>
      </c>
      <c r="T470" t="e">
        <f>IF(K470=2,"",_xlfn.IFNA(INDEX(drug_codes,MATCH(loaded!AS470,drug,0)),""))</f>
        <v>#N/A</v>
      </c>
      <c r="U470" t="e">
        <f>IF(K470=2,"",_xlfn.IFNA(INDEX(drug_codes,MATCH(loaded!AU470,drug,0)),""))</f>
        <v>#N/A</v>
      </c>
      <c r="V470" t="e">
        <f>IF(K470=2,"",_xlfn.IFNA(INDEX(drug_codes,MATCH(loaded!AW470,drug,0)),""))</f>
        <v>#N/A</v>
      </c>
      <c r="W470" t="e">
        <f>IF(K470=2,"",_xlfn.IFNA(INDEX(drug_codes,MATCH(loaded!AY470,drug,0)),""))</f>
        <v>#N/A</v>
      </c>
      <c r="X470" t="e">
        <f>IF(K470=2,"",_xlfn.IFNA(INDEX(drug_codes,MATCH(loaded!BA470,drug,0)),""))</f>
        <v>#N/A</v>
      </c>
      <c r="Y470" t="e">
        <f>INDEX(MTT_codes,MATCH(loaded!BC470,MTT,0))</f>
        <v>#N/A</v>
      </c>
      <c r="Z470" t="str">
        <f>_xlfn.IFNA(INDEX(MTT_codes,MATCH(loaded!BE470,MTT,0)),"")</f>
        <v/>
      </c>
      <c r="AA470" t="str">
        <f>_xlfn.IFNA(INDEX(MTT_codes,MATCH(loaded!BG470,MTT,0)),"")</f>
        <v/>
      </c>
      <c r="AB470" t="str">
        <f>_xlfn.IFNA(INDEX(MTT_codes,MATCH(loaded!BI470,MTT,0)),"")</f>
        <v/>
      </c>
      <c r="AC470" t="str">
        <f>_xlfn.IFNA(INDEX(MTT_codes,MATCH(loaded!BK470,MTT,0)),"")</f>
        <v/>
      </c>
      <c r="AD470" t="str">
        <f>_xlfn.IFNA(INDEX(MTT_codes,MATCH(loaded!BM470,MTT,0)),"")</f>
        <v/>
      </c>
      <c r="AE470" t="e">
        <f>INDEX(liv_ar_codes,MATCH(loaded!BO470,liv_ar,0))</f>
        <v>#N/A</v>
      </c>
      <c r="AF470" t="str">
        <f>_xlfn.IFNA(INDEX(MTT_codes,MATCH(loaded!BQ470,MTT,0)),"")</f>
        <v/>
      </c>
      <c r="AG470">
        <f>_xlfn.IFNA(INDEX(mental_codes,MATCH(loaded!BS470,mental,0)),9)</f>
        <v>9</v>
      </c>
    </row>
    <row r="471" spans="1:33" x14ac:dyDescent="0.25">
      <c r="A471">
        <f>loaded!C471</f>
        <v>0</v>
      </c>
      <c r="B471">
        <f>loaded!I471</f>
        <v>0</v>
      </c>
      <c r="C471">
        <f>IF(loaded!K471="Male",1,IF(loaded!K471="Female",2,9))</f>
        <v>9</v>
      </c>
      <c r="D471" s="8">
        <f>loaded!M471</f>
        <v>0</v>
      </c>
      <c r="E471" t="str">
        <f>LEFT(loaded!O471,3)</f>
        <v/>
      </c>
      <c r="F471" t="e">
        <f>INDEX(cntry_codes,MATCH(loaded!Q471,countries,0))</f>
        <v>#N/A</v>
      </c>
      <c r="G471" t="e">
        <f>INDEX(atsi_codes,MATCH(loaded!S471,atsi,0))</f>
        <v>#N/A</v>
      </c>
      <c r="H471" t="e">
        <f>INDEX(lang_codes,MATCH(loaded!U471,lang,0))</f>
        <v>#N/A</v>
      </c>
      <c r="I471" s="8">
        <f>loaded!W471</f>
        <v>0</v>
      </c>
      <c r="J471" t="e">
        <f>INDEX(us_acc_codes,MATCH(loaded!Y471,us_acc,0))</f>
        <v>#N/A</v>
      </c>
      <c r="K471" t="e">
        <f>INDEX(client_codes,MATCH(loaded!AA471,client,0))</f>
        <v>#N/A</v>
      </c>
      <c r="L471" t="e">
        <f>INDEX(src_ref_codes,MATCH(loaded!AC471,src_ref,0))</f>
        <v>#N/A</v>
      </c>
      <c r="M471" s="8">
        <f>loaded!AE471</f>
        <v>0</v>
      </c>
      <c r="N471" s="8">
        <f>loaded!AG471</f>
        <v>0</v>
      </c>
      <c r="O471" t="e">
        <f>INDEX(reces_codes,MATCH(loaded!AI471,reason,0))</f>
        <v>#N/A</v>
      </c>
      <c r="P471" t="e">
        <f>INDEX(TDS_codes,MATCH(loaded!AK471,TDS,0))</f>
        <v>#N/A</v>
      </c>
      <c r="Q471" t="e">
        <f>IF(K471=2,"",INDEX(method_codes,MATCH(loaded!AM471,method,0)))</f>
        <v>#N/A</v>
      </c>
      <c r="R471" t="e">
        <f>IF(K471=2,"",INDEX(inj_codes,MATCH(loaded!AO471,inj,0)))</f>
        <v>#N/A</v>
      </c>
      <c r="S471" t="e">
        <f>IF(K471=2,"",INDEX(drug_codes,MATCH(loaded!AQ471,drug,0)))</f>
        <v>#N/A</v>
      </c>
      <c r="T471" t="e">
        <f>IF(K471=2,"",_xlfn.IFNA(INDEX(drug_codes,MATCH(loaded!AS471,drug,0)),""))</f>
        <v>#N/A</v>
      </c>
      <c r="U471" t="e">
        <f>IF(K471=2,"",_xlfn.IFNA(INDEX(drug_codes,MATCH(loaded!AU471,drug,0)),""))</f>
        <v>#N/A</v>
      </c>
      <c r="V471" t="e">
        <f>IF(K471=2,"",_xlfn.IFNA(INDEX(drug_codes,MATCH(loaded!AW471,drug,0)),""))</f>
        <v>#N/A</v>
      </c>
      <c r="W471" t="e">
        <f>IF(K471=2,"",_xlfn.IFNA(INDEX(drug_codes,MATCH(loaded!AY471,drug,0)),""))</f>
        <v>#N/A</v>
      </c>
      <c r="X471" t="e">
        <f>IF(K471=2,"",_xlfn.IFNA(INDEX(drug_codes,MATCH(loaded!BA471,drug,0)),""))</f>
        <v>#N/A</v>
      </c>
      <c r="Y471" t="e">
        <f>INDEX(MTT_codes,MATCH(loaded!BC471,MTT,0))</f>
        <v>#N/A</v>
      </c>
      <c r="Z471" t="str">
        <f>_xlfn.IFNA(INDEX(MTT_codes,MATCH(loaded!BE471,MTT,0)),"")</f>
        <v/>
      </c>
      <c r="AA471" t="str">
        <f>_xlfn.IFNA(INDEX(MTT_codes,MATCH(loaded!BG471,MTT,0)),"")</f>
        <v/>
      </c>
      <c r="AB471" t="str">
        <f>_xlfn.IFNA(INDEX(MTT_codes,MATCH(loaded!BI471,MTT,0)),"")</f>
        <v/>
      </c>
      <c r="AC471" t="str">
        <f>_xlfn.IFNA(INDEX(MTT_codes,MATCH(loaded!BK471,MTT,0)),"")</f>
        <v/>
      </c>
      <c r="AD471" t="str">
        <f>_xlfn.IFNA(INDEX(MTT_codes,MATCH(loaded!BM471,MTT,0)),"")</f>
        <v/>
      </c>
      <c r="AE471" t="e">
        <f>INDEX(liv_ar_codes,MATCH(loaded!BO471,liv_ar,0))</f>
        <v>#N/A</v>
      </c>
      <c r="AF471" t="str">
        <f>_xlfn.IFNA(INDEX(MTT_codes,MATCH(loaded!BQ471,MTT,0)),"")</f>
        <v/>
      </c>
      <c r="AG471">
        <f>_xlfn.IFNA(INDEX(mental_codes,MATCH(loaded!BS471,mental,0)),9)</f>
        <v>9</v>
      </c>
    </row>
    <row r="472" spans="1:33" x14ac:dyDescent="0.25">
      <c r="A472">
        <f>loaded!C472</f>
        <v>0</v>
      </c>
      <c r="B472">
        <f>loaded!I472</f>
        <v>0</v>
      </c>
      <c r="C472">
        <f>IF(loaded!K472="Male",1,IF(loaded!K472="Female",2,9))</f>
        <v>9</v>
      </c>
      <c r="D472" s="8">
        <f>loaded!M472</f>
        <v>0</v>
      </c>
      <c r="E472" t="str">
        <f>LEFT(loaded!O472,3)</f>
        <v/>
      </c>
      <c r="F472" t="e">
        <f>INDEX(cntry_codes,MATCH(loaded!Q472,countries,0))</f>
        <v>#N/A</v>
      </c>
      <c r="G472" t="e">
        <f>INDEX(atsi_codes,MATCH(loaded!S472,atsi,0))</f>
        <v>#N/A</v>
      </c>
      <c r="H472" t="e">
        <f>INDEX(lang_codes,MATCH(loaded!U472,lang,0))</f>
        <v>#N/A</v>
      </c>
      <c r="I472" s="8">
        <f>loaded!W472</f>
        <v>0</v>
      </c>
      <c r="J472" t="e">
        <f>INDEX(us_acc_codes,MATCH(loaded!Y472,us_acc,0))</f>
        <v>#N/A</v>
      </c>
      <c r="K472" t="e">
        <f>INDEX(client_codes,MATCH(loaded!AA472,client,0))</f>
        <v>#N/A</v>
      </c>
      <c r="L472" t="e">
        <f>INDEX(src_ref_codes,MATCH(loaded!AC472,src_ref,0))</f>
        <v>#N/A</v>
      </c>
      <c r="M472" s="8">
        <f>loaded!AE472</f>
        <v>0</v>
      </c>
      <c r="N472" s="8">
        <f>loaded!AG472</f>
        <v>0</v>
      </c>
      <c r="O472" t="e">
        <f>INDEX(reces_codes,MATCH(loaded!AI472,reason,0))</f>
        <v>#N/A</v>
      </c>
      <c r="P472" t="e">
        <f>INDEX(TDS_codes,MATCH(loaded!AK472,TDS,0))</f>
        <v>#N/A</v>
      </c>
      <c r="Q472" t="e">
        <f>IF(K472=2,"",INDEX(method_codes,MATCH(loaded!AM472,method,0)))</f>
        <v>#N/A</v>
      </c>
      <c r="R472" t="e">
        <f>IF(K472=2,"",INDEX(inj_codes,MATCH(loaded!AO472,inj,0)))</f>
        <v>#N/A</v>
      </c>
      <c r="S472" t="e">
        <f>IF(K472=2,"",INDEX(drug_codes,MATCH(loaded!AQ472,drug,0)))</f>
        <v>#N/A</v>
      </c>
      <c r="T472" t="e">
        <f>IF(K472=2,"",_xlfn.IFNA(INDEX(drug_codes,MATCH(loaded!AS472,drug,0)),""))</f>
        <v>#N/A</v>
      </c>
      <c r="U472" t="e">
        <f>IF(K472=2,"",_xlfn.IFNA(INDEX(drug_codes,MATCH(loaded!AU472,drug,0)),""))</f>
        <v>#N/A</v>
      </c>
      <c r="V472" t="e">
        <f>IF(K472=2,"",_xlfn.IFNA(INDEX(drug_codes,MATCH(loaded!AW472,drug,0)),""))</f>
        <v>#N/A</v>
      </c>
      <c r="W472" t="e">
        <f>IF(K472=2,"",_xlfn.IFNA(INDEX(drug_codes,MATCH(loaded!AY472,drug,0)),""))</f>
        <v>#N/A</v>
      </c>
      <c r="X472" t="e">
        <f>IF(K472=2,"",_xlfn.IFNA(INDEX(drug_codes,MATCH(loaded!BA472,drug,0)),""))</f>
        <v>#N/A</v>
      </c>
      <c r="Y472" t="e">
        <f>INDEX(MTT_codes,MATCH(loaded!BC472,MTT,0))</f>
        <v>#N/A</v>
      </c>
      <c r="Z472" t="str">
        <f>_xlfn.IFNA(INDEX(MTT_codes,MATCH(loaded!BE472,MTT,0)),"")</f>
        <v/>
      </c>
      <c r="AA472" t="str">
        <f>_xlfn.IFNA(INDEX(MTT_codes,MATCH(loaded!BG472,MTT,0)),"")</f>
        <v/>
      </c>
      <c r="AB472" t="str">
        <f>_xlfn.IFNA(INDEX(MTT_codes,MATCH(loaded!BI472,MTT,0)),"")</f>
        <v/>
      </c>
      <c r="AC472" t="str">
        <f>_xlfn.IFNA(INDEX(MTT_codes,MATCH(loaded!BK472,MTT,0)),"")</f>
        <v/>
      </c>
      <c r="AD472" t="str">
        <f>_xlfn.IFNA(INDEX(MTT_codes,MATCH(loaded!BM472,MTT,0)),"")</f>
        <v/>
      </c>
      <c r="AE472" t="e">
        <f>INDEX(liv_ar_codes,MATCH(loaded!BO472,liv_ar,0))</f>
        <v>#N/A</v>
      </c>
      <c r="AF472" t="str">
        <f>_xlfn.IFNA(INDEX(MTT_codes,MATCH(loaded!BQ472,MTT,0)),"")</f>
        <v/>
      </c>
      <c r="AG472">
        <f>_xlfn.IFNA(INDEX(mental_codes,MATCH(loaded!BS472,mental,0)),9)</f>
        <v>9</v>
      </c>
    </row>
    <row r="473" spans="1:33" x14ac:dyDescent="0.25">
      <c r="A473">
        <f>loaded!C473</f>
        <v>0</v>
      </c>
      <c r="B473">
        <f>loaded!I473</f>
        <v>0</v>
      </c>
      <c r="C473">
        <f>IF(loaded!K473="Male",1,IF(loaded!K473="Female",2,9))</f>
        <v>9</v>
      </c>
      <c r="D473" s="8">
        <f>loaded!M473</f>
        <v>0</v>
      </c>
      <c r="E473" t="str">
        <f>LEFT(loaded!O473,3)</f>
        <v/>
      </c>
      <c r="F473" t="e">
        <f>INDEX(cntry_codes,MATCH(loaded!Q473,countries,0))</f>
        <v>#N/A</v>
      </c>
      <c r="G473" t="e">
        <f>INDEX(atsi_codes,MATCH(loaded!S473,atsi,0))</f>
        <v>#N/A</v>
      </c>
      <c r="H473" t="e">
        <f>INDEX(lang_codes,MATCH(loaded!U473,lang,0))</f>
        <v>#N/A</v>
      </c>
      <c r="I473" s="8">
        <f>loaded!W473</f>
        <v>0</v>
      </c>
      <c r="J473" t="e">
        <f>INDEX(us_acc_codes,MATCH(loaded!Y473,us_acc,0))</f>
        <v>#N/A</v>
      </c>
      <c r="K473" t="e">
        <f>INDEX(client_codes,MATCH(loaded!AA473,client,0))</f>
        <v>#N/A</v>
      </c>
      <c r="L473" t="e">
        <f>INDEX(src_ref_codes,MATCH(loaded!AC473,src_ref,0))</f>
        <v>#N/A</v>
      </c>
      <c r="M473" s="8">
        <f>loaded!AE473</f>
        <v>0</v>
      </c>
      <c r="N473" s="8">
        <f>loaded!AG473</f>
        <v>0</v>
      </c>
      <c r="O473" t="e">
        <f>INDEX(reces_codes,MATCH(loaded!AI473,reason,0))</f>
        <v>#N/A</v>
      </c>
      <c r="P473" t="e">
        <f>INDEX(TDS_codes,MATCH(loaded!AK473,TDS,0))</f>
        <v>#N/A</v>
      </c>
      <c r="Q473" t="e">
        <f>IF(K473=2,"",INDEX(method_codes,MATCH(loaded!AM473,method,0)))</f>
        <v>#N/A</v>
      </c>
      <c r="R473" t="e">
        <f>IF(K473=2,"",INDEX(inj_codes,MATCH(loaded!AO473,inj,0)))</f>
        <v>#N/A</v>
      </c>
      <c r="S473" t="e">
        <f>IF(K473=2,"",INDEX(drug_codes,MATCH(loaded!AQ473,drug,0)))</f>
        <v>#N/A</v>
      </c>
      <c r="T473" t="e">
        <f>IF(K473=2,"",_xlfn.IFNA(INDEX(drug_codes,MATCH(loaded!AS473,drug,0)),""))</f>
        <v>#N/A</v>
      </c>
      <c r="U473" t="e">
        <f>IF(K473=2,"",_xlfn.IFNA(INDEX(drug_codes,MATCH(loaded!AU473,drug,0)),""))</f>
        <v>#N/A</v>
      </c>
      <c r="V473" t="e">
        <f>IF(K473=2,"",_xlfn.IFNA(INDEX(drug_codes,MATCH(loaded!AW473,drug,0)),""))</f>
        <v>#N/A</v>
      </c>
      <c r="W473" t="e">
        <f>IF(K473=2,"",_xlfn.IFNA(INDEX(drug_codes,MATCH(loaded!AY473,drug,0)),""))</f>
        <v>#N/A</v>
      </c>
      <c r="X473" t="e">
        <f>IF(K473=2,"",_xlfn.IFNA(INDEX(drug_codes,MATCH(loaded!BA473,drug,0)),""))</f>
        <v>#N/A</v>
      </c>
      <c r="Y473" t="e">
        <f>INDEX(MTT_codes,MATCH(loaded!BC473,MTT,0))</f>
        <v>#N/A</v>
      </c>
      <c r="Z473" t="str">
        <f>_xlfn.IFNA(INDEX(MTT_codes,MATCH(loaded!BE473,MTT,0)),"")</f>
        <v/>
      </c>
      <c r="AA473" t="str">
        <f>_xlfn.IFNA(INDEX(MTT_codes,MATCH(loaded!BG473,MTT,0)),"")</f>
        <v/>
      </c>
      <c r="AB473" t="str">
        <f>_xlfn.IFNA(INDEX(MTT_codes,MATCH(loaded!BI473,MTT,0)),"")</f>
        <v/>
      </c>
      <c r="AC473" t="str">
        <f>_xlfn.IFNA(INDEX(MTT_codes,MATCH(loaded!BK473,MTT,0)),"")</f>
        <v/>
      </c>
      <c r="AD473" t="str">
        <f>_xlfn.IFNA(INDEX(MTT_codes,MATCH(loaded!BM473,MTT,0)),"")</f>
        <v/>
      </c>
      <c r="AE473" t="e">
        <f>INDEX(liv_ar_codes,MATCH(loaded!BO473,liv_ar,0))</f>
        <v>#N/A</v>
      </c>
      <c r="AF473" t="str">
        <f>_xlfn.IFNA(INDEX(MTT_codes,MATCH(loaded!BQ473,MTT,0)),"")</f>
        <v/>
      </c>
      <c r="AG473">
        <f>_xlfn.IFNA(INDEX(mental_codes,MATCH(loaded!BS473,mental,0)),9)</f>
        <v>9</v>
      </c>
    </row>
    <row r="474" spans="1:33" x14ac:dyDescent="0.25">
      <c r="A474">
        <f>loaded!C474</f>
        <v>0</v>
      </c>
      <c r="B474">
        <f>loaded!I474</f>
        <v>0</v>
      </c>
      <c r="C474">
        <f>IF(loaded!K474="Male",1,IF(loaded!K474="Female",2,9))</f>
        <v>9</v>
      </c>
      <c r="D474" s="8">
        <f>loaded!M474</f>
        <v>0</v>
      </c>
      <c r="E474" t="str">
        <f>LEFT(loaded!O474,3)</f>
        <v/>
      </c>
      <c r="F474" t="e">
        <f>INDEX(cntry_codes,MATCH(loaded!Q474,countries,0))</f>
        <v>#N/A</v>
      </c>
      <c r="G474" t="e">
        <f>INDEX(atsi_codes,MATCH(loaded!S474,atsi,0))</f>
        <v>#N/A</v>
      </c>
      <c r="H474" t="e">
        <f>INDEX(lang_codes,MATCH(loaded!U474,lang,0))</f>
        <v>#N/A</v>
      </c>
      <c r="I474" s="8">
        <f>loaded!W474</f>
        <v>0</v>
      </c>
      <c r="J474" t="e">
        <f>INDEX(us_acc_codes,MATCH(loaded!Y474,us_acc,0))</f>
        <v>#N/A</v>
      </c>
      <c r="K474" t="e">
        <f>INDEX(client_codes,MATCH(loaded!AA474,client,0))</f>
        <v>#N/A</v>
      </c>
      <c r="L474" t="e">
        <f>INDEX(src_ref_codes,MATCH(loaded!AC474,src_ref,0))</f>
        <v>#N/A</v>
      </c>
      <c r="M474" s="8">
        <f>loaded!AE474</f>
        <v>0</v>
      </c>
      <c r="N474" s="8">
        <f>loaded!AG474</f>
        <v>0</v>
      </c>
      <c r="O474" t="e">
        <f>INDEX(reces_codes,MATCH(loaded!AI474,reason,0))</f>
        <v>#N/A</v>
      </c>
      <c r="P474" t="e">
        <f>INDEX(TDS_codes,MATCH(loaded!AK474,TDS,0))</f>
        <v>#N/A</v>
      </c>
      <c r="Q474" t="e">
        <f>IF(K474=2,"",INDEX(method_codes,MATCH(loaded!AM474,method,0)))</f>
        <v>#N/A</v>
      </c>
      <c r="R474" t="e">
        <f>IF(K474=2,"",INDEX(inj_codes,MATCH(loaded!AO474,inj,0)))</f>
        <v>#N/A</v>
      </c>
      <c r="S474" t="e">
        <f>IF(K474=2,"",INDEX(drug_codes,MATCH(loaded!AQ474,drug,0)))</f>
        <v>#N/A</v>
      </c>
      <c r="T474" t="e">
        <f>IF(K474=2,"",_xlfn.IFNA(INDEX(drug_codes,MATCH(loaded!AS474,drug,0)),""))</f>
        <v>#N/A</v>
      </c>
      <c r="U474" t="e">
        <f>IF(K474=2,"",_xlfn.IFNA(INDEX(drug_codes,MATCH(loaded!AU474,drug,0)),""))</f>
        <v>#N/A</v>
      </c>
      <c r="V474" t="e">
        <f>IF(K474=2,"",_xlfn.IFNA(INDEX(drug_codes,MATCH(loaded!AW474,drug,0)),""))</f>
        <v>#N/A</v>
      </c>
      <c r="W474" t="e">
        <f>IF(K474=2,"",_xlfn.IFNA(INDEX(drug_codes,MATCH(loaded!AY474,drug,0)),""))</f>
        <v>#N/A</v>
      </c>
      <c r="X474" t="e">
        <f>IF(K474=2,"",_xlfn.IFNA(INDEX(drug_codes,MATCH(loaded!BA474,drug,0)),""))</f>
        <v>#N/A</v>
      </c>
      <c r="Y474" t="e">
        <f>INDEX(MTT_codes,MATCH(loaded!BC474,MTT,0))</f>
        <v>#N/A</v>
      </c>
      <c r="Z474" t="str">
        <f>_xlfn.IFNA(INDEX(MTT_codes,MATCH(loaded!BE474,MTT,0)),"")</f>
        <v/>
      </c>
      <c r="AA474" t="str">
        <f>_xlfn.IFNA(INDEX(MTT_codes,MATCH(loaded!BG474,MTT,0)),"")</f>
        <v/>
      </c>
      <c r="AB474" t="str">
        <f>_xlfn.IFNA(INDEX(MTT_codes,MATCH(loaded!BI474,MTT,0)),"")</f>
        <v/>
      </c>
      <c r="AC474" t="str">
        <f>_xlfn.IFNA(INDEX(MTT_codes,MATCH(loaded!BK474,MTT,0)),"")</f>
        <v/>
      </c>
      <c r="AD474" t="str">
        <f>_xlfn.IFNA(INDEX(MTT_codes,MATCH(loaded!BM474,MTT,0)),"")</f>
        <v/>
      </c>
      <c r="AE474" t="e">
        <f>INDEX(liv_ar_codes,MATCH(loaded!BO474,liv_ar,0))</f>
        <v>#N/A</v>
      </c>
      <c r="AF474" t="str">
        <f>_xlfn.IFNA(INDEX(MTT_codes,MATCH(loaded!BQ474,MTT,0)),"")</f>
        <v/>
      </c>
      <c r="AG474">
        <f>_xlfn.IFNA(INDEX(mental_codes,MATCH(loaded!BS474,mental,0)),9)</f>
        <v>9</v>
      </c>
    </row>
    <row r="475" spans="1:33" x14ac:dyDescent="0.25">
      <c r="A475">
        <f>loaded!C475</f>
        <v>0</v>
      </c>
      <c r="B475">
        <f>loaded!I475</f>
        <v>0</v>
      </c>
      <c r="C475">
        <f>IF(loaded!K475="Male",1,IF(loaded!K475="Female",2,9))</f>
        <v>9</v>
      </c>
      <c r="D475" s="8">
        <f>loaded!M475</f>
        <v>0</v>
      </c>
      <c r="E475" t="str">
        <f>LEFT(loaded!O475,3)</f>
        <v/>
      </c>
      <c r="F475" t="e">
        <f>INDEX(cntry_codes,MATCH(loaded!Q475,countries,0))</f>
        <v>#N/A</v>
      </c>
      <c r="G475" t="e">
        <f>INDEX(atsi_codes,MATCH(loaded!S475,atsi,0))</f>
        <v>#N/A</v>
      </c>
      <c r="H475" t="e">
        <f>INDEX(lang_codes,MATCH(loaded!U475,lang,0))</f>
        <v>#N/A</v>
      </c>
      <c r="I475" s="8">
        <f>loaded!W475</f>
        <v>0</v>
      </c>
      <c r="J475" t="e">
        <f>INDEX(us_acc_codes,MATCH(loaded!Y475,us_acc,0))</f>
        <v>#N/A</v>
      </c>
      <c r="K475" t="e">
        <f>INDEX(client_codes,MATCH(loaded!AA475,client,0))</f>
        <v>#N/A</v>
      </c>
      <c r="L475" t="e">
        <f>INDEX(src_ref_codes,MATCH(loaded!AC475,src_ref,0))</f>
        <v>#N/A</v>
      </c>
      <c r="M475" s="8">
        <f>loaded!AE475</f>
        <v>0</v>
      </c>
      <c r="N475" s="8">
        <f>loaded!AG475</f>
        <v>0</v>
      </c>
      <c r="O475" t="e">
        <f>INDEX(reces_codes,MATCH(loaded!AI475,reason,0))</f>
        <v>#N/A</v>
      </c>
      <c r="P475" t="e">
        <f>INDEX(TDS_codes,MATCH(loaded!AK475,TDS,0))</f>
        <v>#N/A</v>
      </c>
      <c r="Q475" t="e">
        <f>IF(K475=2,"",INDEX(method_codes,MATCH(loaded!AM475,method,0)))</f>
        <v>#N/A</v>
      </c>
      <c r="R475" t="e">
        <f>IF(K475=2,"",INDEX(inj_codes,MATCH(loaded!AO475,inj,0)))</f>
        <v>#N/A</v>
      </c>
      <c r="S475" t="e">
        <f>IF(K475=2,"",INDEX(drug_codes,MATCH(loaded!AQ475,drug,0)))</f>
        <v>#N/A</v>
      </c>
      <c r="T475" t="e">
        <f>IF(K475=2,"",_xlfn.IFNA(INDEX(drug_codes,MATCH(loaded!AS475,drug,0)),""))</f>
        <v>#N/A</v>
      </c>
      <c r="U475" t="e">
        <f>IF(K475=2,"",_xlfn.IFNA(INDEX(drug_codes,MATCH(loaded!AU475,drug,0)),""))</f>
        <v>#N/A</v>
      </c>
      <c r="V475" t="e">
        <f>IF(K475=2,"",_xlfn.IFNA(INDEX(drug_codes,MATCH(loaded!AW475,drug,0)),""))</f>
        <v>#N/A</v>
      </c>
      <c r="W475" t="e">
        <f>IF(K475=2,"",_xlfn.IFNA(INDEX(drug_codes,MATCH(loaded!AY475,drug,0)),""))</f>
        <v>#N/A</v>
      </c>
      <c r="X475" t="e">
        <f>IF(K475=2,"",_xlfn.IFNA(INDEX(drug_codes,MATCH(loaded!BA475,drug,0)),""))</f>
        <v>#N/A</v>
      </c>
      <c r="Y475" t="e">
        <f>INDEX(MTT_codes,MATCH(loaded!BC475,MTT,0))</f>
        <v>#N/A</v>
      </c>
      <c r="Z475" t="str">
        <f>_xlfn.IFNA(INDEX(MTT_codes,MATCH(loaded!BE475,MTT,0)),"")</f>
        <v/>
      </c>
      <c r="AA475" t="str">
        <f>_xlfn.IFNA(INDEX(MTT_codes,MATCH(loaded!BG475,MTT,0)),"")</f>
        <v/>
      </c>
      <c r="AB475" t="str">
        <f>_xlfn.IFNA(INDEX(MTT_codes,MATCH(loaded!BI475,MTT,0)),"")</f>
        <v/>
      </c>
      <c r="AC475" t="str">
        <f>_xlfn.IFNA(INDEX(MTT_codes,MATCH(loaded!BK475,MTT,0)),"")</f>
        <v/>
      </c>
      <c r="AD475" t="str">
        <f>_xlfn.IFNA(INDEX(MTT_codes,MATCH(loaded!BM475,MTT,0)),"")</f>
        <v/>
      </c>
      <c r="AE475" t="e">
        <f>INDEX(liv_ar_codes,MATCH(loaded!BO475,liv_ar,0))</f>
        <v>#N/A</v>
      </c>
      <c r="AF475" t="str">
        <f>_xlfn.IFNA(INDEX(MTT_codes,MATCH(loaded!BQ475,MTT,0)),"")</f>
        <v/>
      </c>
      <c r="AG475">
        <f>_xlfn.IFNA(INDEX(mental_codes,MATCH(loaded!BS475,mental,0)),9)</f>
        <v>9</v>
      </c>
    </row>
    <row r="476" spans="1:33" x14ac:dyDescent="0.25">
      <c r="A476">
        <f>loaded!C476</f>
        <v>0</v>
      </c>
      <c r="B476">
        <f>loaded!I476</f>
        <v>0</v>
      </c>
      <c r="C476">
        <f>IF(loaded!K476="Male",1,IF(loaded!K476="Female",2,9))</f>
        <v>9</v>
      </c>
      <c r="D476" s="8">
        <f>loaded!M476</f>
        <v>0</v>
      </c>
      <c r="E476" t="str">
        <f>LEFT(loaded!O476,3)</f>
        <v/>
      </c>
      <c r="F476" t="e">
        <f>INDEX(cntry_codes,MATCH(loaded!Q476,countries,0))</f>
        <v>#N/A</v>
      </c>
      <c r="G476" t="e">
        <f>INDEX(atsi_codes,MATCH(loaded!S476,atsi,0))</f>
        <v>#N/A</v>
      </c>
      <c r="H476" t="e">
        <f>INDEX(lang_codes,MATCH(loaded!U476,lang,0))</f>
        <v>#N/A</v>
      </c>
      <c r="I476" s="8">
        <f>loaded!W476</f>
        <v>0</v>
      </c>
      <c r="J476" t="e">
        <f>INDEX(us_acc_codes,MATCH(loaded!Y476,us_acc,0))</f>
        <v>#N/A</v>
      </c>
      <c r="K476" t="e">
        <f>INDEX(client_codes,MATCH(loaded!AA476,client,0))</f>
        <v>#N/A</v>
      </c>
      <c r="L476" t="e">
        <f>INDEX(src_ref_codes,MATCH(loaded!AC476,src_ref,0))</f>
        <v>#N/A</v>
      </c>
      <c r="M476" s="8">
        <f>loaded!AE476</f>
        <v>0</v>
      </c>
      <c r="N476" s="8">
        <f>loaded!AG476</f>
        <v>0</v>
      </c>
      <c r="O476" t="e">
        <f>INDEX(reces_codes,MATCH(loaded!AI476,reason,0))</f>
        <v>#N/A</v>
      </c>
      <c r="P476" t="e">
        <f>INDEX(TDS_codes,MATCH(loaded!AK476,TDS,0))</f>
        <v>#N/A</v>
      </c>
      <c r="Q476" t="e">
        <f>IF(K476=2,"",INDEX(method_codes,MATCH(loaded!AM476,method,0)))</f>
        <v>#N/A</v>
      </c>
      <c r="R476" t="e">
        <f>IF(K476=2,"",INDEX(inj_codes,MATCH(loaded!AO476,inj,0)))</f>
        <v>#N/A</v>
      </c>
      <c r="S476" t="e">
        <f>IF(K476=2,"",INDEX(drug_codes,MATCH(loaded!AQ476,drug,0)))</f>
        <v>#N/A</v>
      </c>
      <c r="T476" t="e">
        <f>IF(K476=2,"",_xlfn.IFNA(INDEX(drug_codes,MATCH(loaded!AS476,drug,0)),""))</f>
        <v>#N/A</v>
      </c>
      <c r="U476" t="e">
        <f>IF(K476=2,"",_xlfn.IFNA(INDEX(drug_codes,MATCH(loaded!AU476,drug,0)),""))</f>
        <v>#N/A</v>
      </c>
      <c r="V476" t="e">
        <f>IF(K476=2,"",_xlfn.IFNA(INDEX(drug_codes,MATCH(loaded!AW476,drug,0)),""))</f>
        <v>#N/A</v>
      </c>
      <c r="W476" t="e">
        <f>IF(K476=2,"",_xlfn.IFNA(INDEX(drug_codes,MATCH(loaded!AY476,drug,0)),""))</f>
        <v>#N/A</v>
      </c>
      <c r="X476" t="e">
        <f>IF(K476=2,"",_xlfn.IFNA(INDEX(drug_codes,MATCH(loaded!BA476,drug,0)),""))</f>
        <v>#N/A</v>
      </c>
      <c r="Y476" t="e">
        <f>INDEX(MTT_codes,MATCH(loaded!BC476,MTT,0))</f>
        <v>#N/A</v>
      </c>
      <c r="Z476" t="str">
        <f>_xlfn.IFNA(INDEX(MTT_codes,MATCH(loaded!BE476,MTT,0)),"")</f>
        <v/>
      </c>
      <c r="AA476" t="str">
        <f>_xlfn.IFNA(INDEX(MTT_codes,MATCH(loaded!BG476,MTT,0)),"")</f>
        <v/>
      </c>
      <c r="AB476" t="str">
        <f>_xlfn.IFNA(INDEX(MTT_codes,MATCH(loaded!BI476,MTT,0)),"")</f>
        <v/>
      </c>
      <c r="AC476" t="str">
        <f>_xlfn.IFNA(INDEX(MTT_codes,MATCH(loaded!BK476,MTT,0)),"")</f>
        <v/>
      </c>
      <c r="AD476" t="str">
        <f>_xlfn.IFNA(INDEX(MTT_codes,MATCH(loaded!BM476,MTT,0)),"")</f>
        <v/>
      </c>
      <c r="AE476" t="e">
        <f>INDEX(liv_ar_codes,MATCH(loaded!BO476,liv_ar,0))</f>
        <v>#N/A</v>
      </c>
      <c r="AF476" t="str">
        <f>_xlfn.IFNA(INDEX(MTT_codes,MATCH(loaded!BQ476,MTT,0)),"")</f>
        <v/>
      </c>
      <c r="AG476">
        <f>_xlfn.IFNA(INDEX(mental_codes,MATCH(loaded!BS476,mental,0)),9)</f>
        <v>9</v>
      </c>
    </row>
    <row r="477" spans="1:33" x14ac:dyDescent="0.25">
      <c r="A477">
        <f>loaded!C477</f>
        <v>0</v>
      </c>
      <c r="B477">
        <f>loaded!I477</f>
        <v>0</v>
      </c>
      <c r="C477">
        <f>IF(loaded!K477="Male",1,IF(loaded!K477="Female",2,9))</f>
        <v>9</v>
      </c>
      <c r="D477" s="8">
        <f>loaded!M477</f>
        <v>0</v>
      </c>
      <c r="E477" t="str">
        <f>LEFT(loaded!O477,3)</f>
        <v/>
      </c>
      <c r="F477" t="e">
        <f>INDEX(cntry_codes,MATCH(loaded!Q477,countries,0))</f>
        <v>#N/A</v>
      </c>
      <c r="G477" t="e">
        <f>INDEX(atsi_codes,MATCH(loaded!S477,atsi,0))</f>
        <v>#N/A</v>
      </c>
      <c r="H477" t="e">
        <f>INDEX(lang_codes,MATCH(loaded!U477,lang,0))</f>
        <v>#N/A</v>
      </c>
      <c r="I477" s="8">
        <f>loaded!W477</f>
        <v>0</v>
      </c>
      <c r="J477" t="e">
        <f>INDEX(us_acc_codes,MATCH(loaded!Y477,us_acc,0))</f>
        <v>#N/A</v>
      </c>
      <c r="K477" t="e">
        <f>INDEX(client_codes,MATCH(loaded!AA477,client,0))</f>
        <v>#N/A</v>
      </c>
      <c r="L477" t="e">
        <f>INDEX(src_ref_codes,MATCH(loaded!AC477,src_ref,0))</f>
        <v>#N/A</v>
      </c>
      <c r="M477" s="8">
        <f>loaded!AE477</f>
        <v>0</v>
      </c>
      <c r="N477" s="8">
        <f>loaded!AG477</f>
        <v>0</v>
      </c>
      <c r="O477" t="e">
        <f>INDEX(reces_codes,MATCH(loaded!AI477,reason,0))</f>
        <v>#N/A</v>
      </c>
      <c r="P477" t="e">
        <f>INDEX(TDS_codes,MATCH(loaded!AK477,TDS,0))</f>
        <v>#N/A</v>
      </c>
      <c r="Q477" t="e">
        <f>IF(K477=2,"",INDEX(method_codes,MATCH(loaded!AM477,method,0)))</f>
        <v>#N/A</v>
      </c>
      <c r="R477" t="e">
        <f>IF(K477=2,"",INDEX(inj_codes,MATCH(loaded!AO477,inj,0)))</f>
        <v>#N/A</v>
      </c>
      <c r="S477" t="e">
        <f>IF(K477=2,"",INDEX(drug_codes,MATCH(loaded!AQ477,drug,0)))</f>
        <v>#N/A</v>
      </c>
      <c r="T477" t="e">
        <f>IF(K477=2,"",_xlfn.IFNA(INDEX(drug_codes,MATCH(loaded!AS477,drug,0)),""))</f>
        <v>#N/A</v>
      </c>
      <c r="U477" t="e">
        <f>IF(K477=2,"",_xlfn.IFNA(INDEX(drug_codes,MATCH(loaded!AU477,drug,0)),""))</f>
        <v>#N/A</v>
      </c>
      <c r="V477" t="e">
        <f>IF(K477=2,"",_xlfn.IFNA(INDEX(drug_codes,MATCH(loaded!AW477,drug,0)),""))</f>
        <v>#N/A</v>
      </c>
      <c r="W477" t="e">
        <f>IF(K477=2,"",_xlfn.IFNA(INDEX(drug_codes,MATCH(loaded!AY477,drug,0)),""))</f>
        <v>#N/A</v>
      </c>
      <c r="X477" t="e">
        <f>IF(K477=2,"",_xlfn.IFNA(INDEX(drug_codes,MATCH(loaded!BA477,drug,0)),""))</f>
        <v>#N/A</v>
      </c>
      <c r="Y477" t="e">
        <f>INDEX(MTT_codes,MATCH(loaded!BC477,MTT,0))</f>
        <v>#N/A</v>
      </c>
      <c r="Z477" t="str">
        <f>_xlfn.IFNA(INDEX(MTT_codes,MATCH(loaded!BE477,MTT,0)),"")</f>
        <v/>
      </c>
      <c r="AA477" t="str">
        <f>_xlfn.IFNA(INDEX(MTT_codes,MATCH(loaded!BG477,MTT,0)),"")</f>
        <v/>
      </c>
      <c r="AB477" t="str">
        <f>_xlfn.IFNA(INDEX(MTT_codes,MATCH(loaded!BI477,MTT,0)),"")</f>
        <v/>
      </c>
      <c r="AC477" t="str">
        <f>_xlfn.IFNA(INDEX(MTT_codes,MATCH(loaded!BK477,MTT,0)),"")</f>
        <v/>
      </c>
      <c r="AD477" t="str">
        <f>_xlfn.IFNA(INDEX(MTT_codes,MATCH(loaded!BM477,MTT,0)),"")</f>
        <v/>
      </c>
      <c r="AE477" t="e">
        <f>INDEX(liv_ar_codes,MATCH(loaded!BO477,liv_ar,0))</f>
        <v>#N/A</v>
      </c>
      <c r="AF477" t="str">
        <f>_xlfn.IFNA(INDEX(MTT_codes,MATCH(loaded!BQ477,MTT,0)),"")</f>
        <v/>
      </c>
      <c r="AG477">
        <f>_xlfn.IFNA(INDEX(mental_codes,MATCH(loaded!BS477,mental,0)),9)</f>
        <v>9</v>
      </c>
    </row>
    <row r="478" spans="1:33" x14ac:dyDescent="0.25">
      <c r="A478">
        <f>loaded!C478</f>
        <v>0</v>
      </c>
      <c r="B478">
        <f>loaded!I478</f>
        <v>0</v>
      </c>
      <c r="C478">
        <f>IF(loaded!K478="Male",1,IF(loaded!K478="Female",2,9))</f>
        <v>9</v>
      </c>
      <c r="D478" s="8">
        <f>loaded!M478</f>
        <v>0</v>
      </c>
      <c r="E478" t="str">
        <f>LEFT(loaded!O478,3)</f>
        <v/>
      </c>
      <c r="F478" t="e">
        <f>INDEX(cntry_codes,MATCH(loaded!Q478,countries,0))</f>
        <v>#N/A</v>
      </c>
      <c r="G478" t="e">
        <f>INDEX(atsi_codes,MATCH(loaded!S478,atsi,0))</f>
        <v>#N/A</v>
      </c>
      <c r="H478" t="e">
        <f>INDEX(lang_codes,MATCH(loaded!U478,lang,0))</f>
        <v>#N/A</v>
      </c>
      <c r="I478" s="8">
        <f>loaded!W478</f>
        <v>0</v>
      </c>
      <c r="J478" t="e">
        <f>INDEX(us_acc_codes,MATCH(loaded!Y478,us_acc,0))</f>
        <v>#N/A</v>
      </c>
      <c r="K478" t="e">
        <f>INDEX(client_codes,MATCH(loaded!AA478,client,0))</f>
        <v>#N/A</v>
      </c>
      <c r="L478" t="e">
        <f>INDEX(src_ref_codes,MATCH(loaded!AC478,src_ref,0))</f>
        <v>#N/A</v>
      </c>
      <c r="M478" s="8">
        <f>loaded!AE478</f>
        <v>0</v>
      </c>
      <c r="N478" s="8">
        <f>loaded!AG478</f>
        <v>0</v>
      </c>
      <c r="O478" t="e">
        <f>INDEX(reces_codes,MATCH(loaded!AI478,reason,0))</f>
        <v>#N/A</v>
      </c>
      <c r="P478" t="e">
        <f>INDEX(TDS_codes,MATCH(loaded!AK478,TDS,0))</f>
        <v>#N/A</v>
      </c>
      <c r="Q478" t="e">
        <f>IF(K478=2,"",INDEX(method_codes,MATCH(loaded!AM478,method,0)))</f>
        <v>#N/A</v>
      </c>
      <c r="R478" t="e">
        <f>IF(K478=2,"",INDEX(inj_codes,MATCH(loaded!AO478,inj,0)))</f>
        <v>#N/A</v>
      </c>
      <c r="S478" t="e">
        <f>IF(K478=2,"",INDEX(drug_codes,MATCH(loaded!AQ478,drug,0)))</f>
        <v>#N/A</v>
      </c>
      <c r="T478" t="e">
        <f>IF(K478=2,"",_xlfn.IFNA(INDEX(drug_codes,MATCH(loaded!AS478,drug,0)),""))</f>
        <v>#N/A</v>
      </c>
      <c r="U478" t="e">
        <f>IF(K478=2,"",_xlfn.IFNA(INDEX(drug_codes,MATCH(loaded!AU478,drug,0)),""))</f>
        <v>#N/A</v>
      </c>
      <c r="V478" t="e">
        <f>IF(K478=2,"",_xlfn.IFNA(INDEX(drug_codes,MATCH(loaded!AW478,drug,0)),""))</f>
        <v>#N/A</v>
      </c>
      <c r="W478" t="e">
        <f>IF(K478=2,"",_xlfn.IFNA(INDEX(drug_codes,MATCH(loaded!AY478,drug,0)),""))</f>
        <v>#N/A</v>
      </c>
      <c r="X478" t="e">
        <f>IF(K478=2,"",_xlfn.IFNA(INDEX(drug_codes,MATCH(loaded!BA478,drug,0)),""))</f>
        <v>#N/A</v>
      </c>
      <c r="Y478" t="e">
        <f>INDEX(MTT_codes,MATCH(loaded!BC478,MTT,0))</f>
        <v>#N/A</v>
      </c>
      <c r="Z478" t="str">
        <f>_xlfn.IFNA(INDEX(MTT_codes,MATCH(loaded!BE478,MTT,0)),"")</f>
        <v/>
      </c>
      <c r="AA478" t="str">
        <f>_xlfn.IFNA(INDEX(MTT_codes,MATCH(loaded!BG478,MTT,0)),"")</f>
        <v/>
      </c>
      <c r="AB478" t="str">
        <f>_xlfn.IFNA(INDEX(MTT_codes,MATCH(loaded!BI478,MTT,0)),"")</f>
        <v/>
      </c>
      <c r="AC478" t="str">
        <f>_xlfn.IFNA(INDEX(MTT_codes,MATCH(loaded!BK478,MTT,0)),"")</f>
        <v/>
      </c>
      <c r="AD478" t="str">
        <f>_xlfn.IFNA(INDEX(MTT_codes,MATCH(loaded!BM478,MTT,0)),"")</f>
        <v/>
      </c>
      <c r="AE478" t="e">
        <f>INDEX(liv_ar_codes,MATCH(loaded!BO478,liv_ar,0))</f>
        <v>#N/A</v>
      </c>
      <c r="AF478" t="str">
        <f>_xlfn.IFNA(INDEX(MTT_codes,MATCH(loaded!BQ478,MTT,0)),"")</f>
        <v/>
      </c>
      <c r="AG478">
        <f>_xlfn.IFNA(INDEX(mental_codes,MATCH(loaded!BS478,mental,0)),9)</f>
        <v>9</v>
      </c>
    </row>
    <row r="479" spans="1:33" x14ac:dyDescent="0.25">
      <c r="A479">
        <f>loaded!C479</f>
        <v>0</v>
      </c>
      <c r="B479">
        <f>loaded!I479</f>
        <v>0</v>
      </c>
      <c r="C479">
        <f>IF(loaded!K479="Male",1,IF(loaded!K479="Female",2,9))</f>
        <v>9</v>
      </c>
      <c r="D479" s="8">
        <f>loaded!M479</f>
        <v>0</v>
      </c>
      <c r="E479" t="str">
        <f>LEFT(loaded!O479,3)</f>
        <v/>
      </c>
      <c r="F479" t="e">
        <f>INDEX(cntry_codes,MATCH(loaded!Q479,countries,0))</f>
        <v>#N/A</v>
      </c>
      <c r="G479" t="e">
        <f>INDEX(atsi_codes,MATCH(loaded!S479,atsi,0))</f>
        <v>#N/A</v>
      </c>
      <c r="H479" t="e">
        <f>INDEX(lang_codes,MATCH(loaded!U479,lang,0))</f>
        <v>#N/A</v>
      </c>
      <c r="I479" s="8">
        <f>loaded!W479</f>
        <v>0</v>
      </c>
      <c r="J479" t="e">
        <f>INDEX(us_acc_codes,MATCH(loaded!Y479,us_acc,0))</f>
        <v>#N/A</v>
      </c>
      <c r="K479" t="e">
        <f>INDEX(client_codes,MATCH(loaded!AA479,client,0))</f>
        <v>#N/A</v>
      </c>
      <c r="L479" t="e">
        <f>INDEX(src_ref_codes,MATCH(loaded!AC479,src_ref,0))</f>
        <v>#N/A</v>
      </c>
      <c r="M479" s="8">
        <f>loaded!AE479</f>
        <v>0</v>
      </c>
      <c r="N479" s="8">
        <f>loaded!AG479</f>
        <v>0</v>
      </c>
      <c r="O479" t="e">
        <f>INDEX(reces_codes,MATCH(loaded!AI479,reason,0))</f>
        <v>#N/A</v>
      </c>
      <c r="P479" t="e">
        <f>INDEX(TDS_codes,MATCH(loaded!AK479,TDS,0))</f>
        <v>#N/A</v>
      </c>
      <c r="Q479" t="e">
        <f>IF(K479=2,"",INDEX(method_codes,MATCH(loaded!AM479,method,0)))</f>
        <v>#N/A</v>
      </c>
      <c r="R479" t="e">
        <f>IF(K479=2,"",INDEX(inj_codes,MATCH(loaded!AO479,inj,0)))</f>
        <v>#N/A</v>
      </c>
      <c r="S479" t="e">
        <f>IF(K479=2,"",INDEX(drug_codes,MATCH(loaded!AQ479,drug,0)))</f>
        <v>#N/A</v>
      </c>
      <c r="T479" t="e">
        <f>IF(K479=2,"",_xlfn.IFNA(INDEX(drug_codes,MATCH(loaded!AS479,drug,0)),""))</f>
        <v>#N/A</v>
      </c>
      <c r="U479" t="e">
        <f>IF(K479=2,"",_xlfn.IFNA(INDEX(drug_codes,MATCH(loaded!AU479,drug,0)),""))</f>
        <v>#N/A</v>
      </c>
      <c r="V479" t="e">
        <f>IF(K479=2,"",_xlfn.IFNA(INDEX(drug_codes,MATCH(loaded!AW479,drug,0)),""))</f>
        <v>#N/A</v>
      </c>
      <c r="W479" t="e">
        <f>IF(K479=2,"",_xlfn.IFNA(INDEX(drug_codes,MATCH(loaded!AY479,drug,0)),""))</f>
        <v>#N/A</v>
      </c>
      <c r="X479" t="e">
        <f>IF(K479=2,"",_xlfn.IFNA(INDEX(drug_codes,MATCH(loaded!BA479,drug,0)),""))</f>
        <v>#N/A</v>
      </c>
      <c r="Y479" t="e">
        <f>INDEX(MTT_codes,MATCH(loaded!BC479,MTT,0))</f>
        <v>#N/A</v>
      </c>
      <c r="Z479" t="str">
        <f>_xlfn.IFNA(INDEX(MTT_codes,MATCH(loaded!BE479,MTT,0)),"")</f>
        <v/>
      </c>
      <c r="AA479" t="str">
        <f>_xlfn.IFNA(INDEX(MTT_codes,MATCH(loaded!BG479,MTT,0)),"")</f>
        <v/>
      </c>
      <c r="AB479" t="str">
        <f>_xlfn.IFNA(INDEX(MTT_codes,MATCH(loaded!BI479,MTT,0)),"")</f>
        <v/>
      </c>
      <c r="AC479" t="str">
        <f>_xlfn.IFNA(INDEX(MTT_codes,MATCH(loaded!BK479,MTT,0)),"")</f>
        <v/>
      </c>
      <c r="AD479" t="str">
        <f>_xlfn.IFNA(INDEX(MTT_codes,MATCH(loaded!BM479,MTT,0)),"")</f>
        <v/>
      </c>
      <c r="AE479" t="e">
        <f>INDEX(liv_ar_codes,MATCH(loaded!BO479,liv_ar,0))</f>
        <v>#N/A</v>
      </c>
      <c r="AF479" t="str">
        <f>_xlfn.IFNA(INDEX(MTT_codes,MATCH(loaded!BQ479,MTT,0)),"")</f>
        <v/>
      </c>
      <c r="AG479">
        <f>_xlfn.IFNA(INDEX(mental_codes,MATCH(loaded!BS479,mental,0)),9)</f>
        <v>9</v>
      </c>
    </row>
    <row r="480" spans="1:33" x14ac:dyDescent="0.25">
      <c r="A480">
        <f>loaded!C480</f>
        <v>0</v>
      </c>
      <c r="B480">
        <f>loaded!I480</f>
        <v>0</v>
      </c>
      <c r="C480">
        <f>IF(loaded!K480="Male",1,IF(loaded!K480="Female",2,9))</f>
        <v>9</v>
      </c>
      <c r="D480" s="8">
        <f>loaded!M480</f>
        <v>0</v>
      </c>
      <c r="E480" t="str">
        <f>LEFT(loaded!O480,3)</f>
        <v/>
      </c>
      <c r="F480" t="e">
        <f>INDEX(cntry_codes,MATCH(loaded!Q480,countries,0))</f>
        <v>#N/A</v>
      </c>
      <c r="G480" t="e">
        <f>INDEX(atsi_codes,MATCH(loaded!S480,atsi,0))</f>
        <v>#N/A</v>
      </c>
      <c r="H480" t="e">
        <f>INDEX(lang_codes,MATCH(loaded!U480,lang,0))</f>
        <v>#N/A</v>
      </c>
      <c r="I480" s="8">
        <f>loaded!W480</f>
        <v>0</v>
      </c>
      <c r="J480" t="e">
        <f>INDEX(us_acc_codes,MATCH(loaded!Y480,us_acc,0))</f>
        <v>#N/A</v>
      </c>
      <c r="K480" t="e">
        <f>INDEX(client_codes,MATCH(loaded!AA480,client,0))</f>
        <v>#N/A</v>
      </c>
      <c r="L480" t="e">
        <f>INDEX(src_ref_codes,MATCH(loaded!AC480,src_ref,0))</f>
        <v>#N/A</v>
      </c>
      <c r="M480" s="8">
        <f>loaded!AE480</f>
        <v>0</v>
      </c>
      <c r="N480" s="8">
        <f>loaded!AG480</f>
        <v>0</v>
      </c>
      <c r="O480" t="e">
        <f>INDEX(reces_codes,MATCH(loaded!AI480,reason,0))</f>
        <v>#N/A</v>
      </c>
      <c r="P480" t="e">
        <f>INDEX(TDS_codes,MATCH(loaded!AK480,TDS,0))</f>
        <v>#N/A</v>
      </c>
      <c r="Q480" t="e">
        <f>IF(K480=2,"",INDEX(method_codes,MATCH(loaded!AM480,method,0)))</f>
        <v>#N/A</v>
      </c>
      <c r="R480" t="e">
        <f>IF(K480=2,"",INDEX(inj_codes,MATCH(loaded!AO480,inj,0)))</f>
        <v>#N/A</v>
      </c>
      <c r="S480" t="e">
        <f>IF(K480=2,"",INDEX(drug_codes,MATCH(loaded!AQ480,drug,0)))</f>
        <v>#N/A</v>
      </c>
      <c r="T480" t="e">
        <f>IF(K480=2,"",_xlfn.IFNA(INDEX(drug_codes,MATCH(loaded!AS480,drug,0)),""))</f>
        <v>#N/A</v>
      </c>
      <c r="U480" t="e">
        <f>IF(K480=2,"",_xlfn.IFNA(INDEX(drug_codes,MATCH(loaded!AU480,drug,0)),""))</f>
        <v>#N/A</v>
      </c>
      <c r="V480" t="e">
        <f>IF(K480=2,"",_xlfn.IFNA(INDEX(drug_codes,MATCH(loaded!AW480,drug,0)),""))</f>
        <v>#N/A</v>
      </c>
      <c r="W480" t="e">
        <f>IF(K480=2,"",_xlfn.IFNA(INDEX(drug_codes,MATCH(loaded!AY480,drug,0)),""))</f>
        <v>#N/A</v>
      </c>
      <c r="X480" t="e">
        <f>IF(K480=2,"",_xlfn.IFNA(INDEX(drug_codes,MATCH(loaded!BA480,drug,0)),""))</f>
        <v>#N/A</v>
      </c>
      <c r="Y480" t="e">
        <f>INDEX(MTT_codes,MATCH(loaded!BC480,MTT,0))</f>
        <v>#N/A</v>
      </c>
      <c r="Z480" t="str">
        <f>_xlfn.IFNA(INDEX(MTT_codes,MATCH(loaded!BE480,MTT,0)),"")</f>
        <v/>
      </c>
      <c r="AA480" t="str">
        <f>_xlfn.IFNA(INDEX(MTT_codes,MATCH(loaded!BG480,MTT,0)),"")</f>
        <v/>
      </c>
      <c r="AB480" t="str">
        <f>_xlfn.IFNA(INDEX(MTT_codes,MATCH(loaded!BI480,MTT,0)),"")</f>
        <v/>
      </c>
      <c r="AC480" t="str">
        <f>_xlfn.IFNA(INDEX(MTT_codes,MATCH(loaded!BK480,MTT,0)),"")</f>
        <v/>
      </c>
      <c r="AD480" t="str">
        <f>_xlfn.IFNA(INDEX(MTT_codes,MATCH(loaded!BM480,MTT,0)),"")</f>
        <v/>
      </c>
      <c r="AE480" t="e">
        <f>INDEX(liv_ar_codes,MATCH(loaded!BO480,liv_ar,0))</f>
        <v>#N/A</v>
      </c>
      <c r="AF480" t="str">
        <f>_xlfn.IFNA(INDEX(MTT_codes,MATCH(loaded!BQ480,MTT,0)),"")</f>
        <v/>
      </c>
      <c r="AG480">
        <f>_xlfn.IFNA(INDEX(mental_codes,MATCH(loaded!BS480,mental,0)),9)</f>
        <v>9</v>
      </c>
    </row>
    <row r="481" spans="1:33" x14ac:dyDescent="0.25">
      <c r="A481">
        <f>loaded!C481</f>
        <v>0</v>
      </c>
      <c r="B481">
        <f>loaded!I481</f>
        <v>0</v>
      </c>
      <c r="C481">
        <f>IF(loaded!K481="Male",1,IF(loaded!K481="Female",2,9))</f>
        <v>9</v>
      </c>
      <c r="D481" s="8">
        <f>loaded!M481</f>
        <v>0</v>
      </c>
      <c r="E481" t="str">
        <f>LEFT(loaded!O481,3)</f>
        <v/>
      </c>
      <c r="F481" t="e">
        <f>INDEX(cntry_codes,MATCH(loaded!Q481,countries,0))</f>
        <v>#N/A</v>
      </c>
      <c r="G481" t="e">
        <f>INDEX(atsi_codes,MATCH(loaded!S481,atsi,0))</f>
        <v>#N/A</v>
      </c>
      <c r="H481" t="e">
        <f>INDEX(lang_codes,MATCH(loaded!U481,lang,0))</f>
        <v>#N/A</v>
      </c>
      <c r="I481" s="8">
        <f>loaded!W481</f>
        <v>0</v>
      </c>
      <c r="J481" t="e">
        <f>INDEX(us_acc_codes,MATCH(loaded!Y481,us_acc,0))</f>
        <v>#N/A</v>
      </c>
      <c r="K481" t="e">
        <f>INDEX(client_codes,MATCH(loaded!AA481,client,0))</f>
        <v>#N/A</v>
      </c>
      <c r="L481" t="e">
        <f>INDEX(src_ref_codes,MATCH(loaded!AC481,src_ref,0))</f>
        <v>#N/A</v>
      </c>
      <c r="M481" s="8">
        <f>loaded!AE481</f>
        <v>0</v>
      </c>
      <c r="N481" s="8">
        <f>loaded!AG481</f>
        <v>0</v>
      </c>
      <c r="O481" t="e">
        <f>INDEX(reces_codes,MATCH(loaded!AI481,reason,0))</f>
        <v>#N/A</v>
      </c>
      <c r="P481" t="e">
        <f>INDEX(TDS_codes,MATCH(loaded!AK481,TDS,0))</f>
        <v>#N/A</v>
      </c>
      <c r="Q481" t="e">
        <f>IF(K481=2,"",INDEX(method_codes,MATCH(loaded!AM481,method,0)))</f>
        <v>#N/A</v>
      </c>
      <c r="R481" t="e">
        <f>IF(K481=2,"",INDEX(inj_codes,MATCH(loaded!AO481,inj,0)))</f>
        <v>#N/A</v>
      </c>
      <c r="S481" t="e">
        <f>IF(K481=2,"",INDEX(drug_codes,MATCH(loaded!AQ481,drug,0)))</f>
        <v>#N/A</v>
      </c>
      <c r="T481" t="e">
        <f>IF(K481=2,"",_xlfn.IFNA(INDEX(drug_codes,MATCH(loaded!AS481,drug,0)),""))</f>
        <v>#N/A</v>
      </c>
      <c r="U481" t="e">
        <f>IF(K481=2,"",_xlfn.IFNA(INDEX(drug_codes,MATCH(loaded!AU481,drug,0)),""))</f>
        <v>#N/A</v>
      </c>
      <c r="V481" t="e">
        <f>IF(K481=2,"",_xlfn.IFNA(INDEX(drug_codes,MATCH(loaded!AW481,drug,0)),""))</f>
        <v>#N/A</v>
      </c>
      <c r="W481" t="e">
        <f>IF(K481=2,"",_xlfn.IFNA(INDEX(drug_codes,MATCH(loaded!AY481,drug,0)),""))</f>
        <v>#N/A</v>
      </c>
      <c r="X481" t="e">
        <f>IF(K481=2,"",_xlfn.IFNA(INDEX(drug_codes,MATCH(loaded!BA481,drug,0)),""))</f>
        <v>#N/A</v>
      </c>
      <c r="Y481" t="e">
        <f>INDEX(MTT_codes,MATCH(loaded!BC481,MTT,0))</f>
        <v>#N/A</v>
      </c>
      <c r="Z481" t="str">
        <f>_xlfn.IFNA(INDEX(MTT_codes,MATCH(loaded!BE481,MTT,0)),"")</f>
        <v/>
      </c>
      <c r="AA481" t="str">
        <f>_xlfn.IFNA(INDEX(MTT_codes,MATCH(loaded!BG481,MTT,0)),"")</f>
        <v/>
      </c>
      <c r="AB481" t="str">
        <f>_xlfn.IFNA(INDEX(MTT_codes,MATCH(loaded!BI481,MTT,0)),"")</f>
        <v/>
      </c>
      <c r="AC481" t="str">
        <f>_xlfn.IFNA(INDEX(MTT_codes,MATCH(loaded!BK481,MTT,0)),"")</f>
        <v/>
      </c>
      <c r="AD481" t="str">
        <f>_xlfn.IFNA(INDEX(MTT_codes,MATCH(loaded!BM481,MTT,0)),"")</f>
        <v/>
      </c>
      <c r="AE481" t="e">
        <f>INDEX(liv_ar_codes,MATCH(loaded!BO481,liv_ar,0))</f>
        <v>#N/A</v>
      </c>
      <c r="AF481" t="str">
        <f>_xlfn.IFNA(INDEX(MTT_codes,MATCH(loaded!BQ481,MTT,0)),"")</f>
        <v/>
      </c>
      <c r="AG481">
        <f>_xlfn.IFNA(INDEX(mental_codes,MATCH(loaded!BS481,mental,0)),9)</f>
        <v>9</v>
      </c>
    </row>
    <row r="482" spans="1:33" x14ac:dyDescent="0.25">
      <c r="A482">
        <f>loaded!C482</f>
        <v>0</v>
      </c>
      <c r="B482">
        <f>loaded!I482</f>
        <v>0</v>
      </c>
      <c r="C482">
        <f>IF(loaded!K482="Male",1,IF(loaded!K482="Female",2,9))</f>
        <v>9</v>
      </c>
      <c r="D482" s="8">
        <f>loaded!M482</f>
        <v>0</v>
      </c>
      <c r="E482" t="str">
        <f>LEFT(loaded!O482,3)</f>
        <v/>
      </c>
      <c r="F482" t="e">
        <f>INDEX(cntry_codes,MATCH(loaded!Q482,countries,0))</f>
        <v>#N/A</v>
      </c>
      <c r="G482" t="e">
        <f>INDEX(atsi_codes,MATCH(loaded!S482,atsi,0))</f>
        <v>#N/A</v>
      </c>
      <c r="H482" t="e">
        <f>INDEX(lang_codes,MATCH(loaded!U482,lang,0))</f>
        <v>#N/A</v>
      </c>
      <c r="I482" s="8">
        <f>loaded!W482</f>
        <v>0</v>
      </c>
      <c r="J482" t="e">
        <f>INDEX(us_acc_codes,MATCH(loaded!Y482,us_acc,0))</f>
        <v>#N/A</v>
      </c>
      <c r="K482" t="e">
        <f>INDEX(client_codes,MATCH(loaded!AA482,client,0))</f>
        <v>#N/A</v>
      </c>
      <c r="L482" t="e">
        <f>INDEX(src_ref_codes,MATCH(loaded!AC482,src_ref,0))</f>
        <v>#N/A</v>
      </c>
      <c r="M482" s="8">
        <f>loaded!AE482</f>
        <v>0</v>
      </c>
      <c r="N482" s="8">
        <f>loaded!AG482</f>
        <v>0</v>
      </c>
      <c r="O482" t="e">
        <f>INDEX(reces_codes,MATCH(loaded!AI482,reason,0))</f>
        <v>#N/A</v>
      </c>
      <c r="P482" t="e">
        <f>INDEX(TDS_codes,MATCH(loaded!AK482,TDS,0))</f>
        <v>#N/A</v>
      </c>
      <c r="Q482" t="e">
        <f>IF(K482=2,"",INDEX(method_codes,MATCH(loaded!AM482,method,0)))</f>
        <v>#N/A</v>
      </c>
      <c r="R482" t="e">
        <f>IF(K482=2,"",INDEX(inj_codes,MATCH(loaded!AO482,inj,0)))</f>
        <v>#N/A</v>
      </c>
      <c r="S482" t="e">
        <f>IF(K482=2,"",INDEX(drug_codes,MATCH(loaded!AQ482,drug,0)))</f>
        <v>#N/A</v>
      </c>
      <c r="T482" t="e">
        <f>IF(K482=2,"",_xlfn.IFNA(INDEX(drug_codes,MATCH(loaded!AS482,drug,0)),""))</f>
        <v>#N/A</v>
      </c>
      <c r="U482" t="e">
        <f>IF(K482=2,"",_xlfn.IFNA(INDEX(drug_codes,MATCH(loaded!AU482,drug,0)),""))</f>
        <v>#N/A</v>
      </c>
      <c r="V482" t="e">
        <f>IF(K482=2,"",_xlfn.IFNA(INDEX(drug_codes,MATCH(loaded!AW482,drug,0)),""))</f>
        <v>#N/A</v>
      </c>
      <c r="W482" t="e">
        <f>IF(K482=2,"",_xlfn.IFNA(INDEX(drug_codes,MATCH(loaded!AY482,drug,0)),""))</f>
        <v>#N/A</v>
      </c>
      <c r="X482" t="e">
        <f>IF(K482=2,"",_xlfn.IFNA(INDEX(drug_codes,MATCH(loaded!BA482,drug,0)),""))</f>
        <v>#N/A</v>
      </c>
      <c r="Y482" t="e">
        <f>INDEX(MTT_codes,MATCH(loaded!BC482,MTT,0))</f>
        <v>#N/A</v>
      </c>
      <c r="Z482" t="str">
        <f>_xlfn.IFNA(INDEX(MTT_codes,MATCH(loaded!BE482,MTT,0)),"")</f>
        <v/>
      </c>
      <c r="AA482" t="str">
        <f>_xlfn.IFNA(INDEX(MTT_codes,MATCH(loaded!BG482,MTT,0)),"")</f>
        <v/>
      </c>
      <c r="AB482" t="str">
        <f>_xlfn.IFNA(INDEX(MTT_codes,MATCH(loaded!BI482,MTT,0)),"")</f>
        <v/>
      </c>
      <c r="AC482" t="str">
        <f>_xlfn.IFNA(INDEX(MTT_codes,MATCH(loaded!BK482,MTT,0)),"")</f>
        <v/>
      </c>
      <c r="AD482" t="str">
        <f>_xlfn.IFNA(INDEX(MTT_codes,MATCH(loaded!BM482,MTT,0)),"")</f>
        <v/>
      </c>
      <c r="AE482" t="e">
        <f>INDEX(liv_ar_codes,MATCH(loaded!BO482,liv_ar,0))</f>
        <v>#N/A</v>
      </c>
      <c r="AF482" t="str">
        <f>_xlfn.IFNA(INDEX(MTT_codes,MATCH(loaded!BQ482,MTT,0)),"")</f>
        <v/>
      </c>
      <c r="AG482">
        <f>_xlfn.IFNA(INDEX(mental_codes,MATCH(loaded!BS482,mental,0)),9)</f>
        <v>9</v>
      </c>
    </row>
    <row r="483" spans="1:33" x14ac:dyDescent="0.25">
      <c r="A483">
        <f>loaded!C483</f>
        <v>0</v>
      </c>
      <c r="B483">
        <f>loaded!I483</f>
        <v>0</v>
      </c>
      <c r="C483">
        <f>IF(loaded!K483="Male",1,IF(loaded!K483="Female",2,9))</f>
        <v>9</v>
      </c>
      <c r="D483" s="8">
        <f>loaded!M483</f>
        <v>0</v>
      </c>
      <c r="E483" t="str">
        <f>LEFT(loaded!O483,3)</f>
        <v/>
      </c>
      <c r="F483" t="e">
        <f>INDEX(cntry_codes,MATCH(loaded!Q483,countries,0))</f>
        <v>#N/A</v>
      </c>
      <c r="G483" t="e">
        <f>INDEX(atsi_codes,MATCH(loaded!S483,atsi,0))</f>
        <v>#N/A</v>
      </c>
      <c r="H483" t="e">
        <f>INDEX(lang_codes,MATCH(loaded!U483,lang,0))</f>
        <v>#N/A</v>
      </c>
      <c r="I483" s="8">
        <f>loaded!W483</f>
        <v>0</v>
      </c>
      <c r="J483" t="e">
        <f>INDEX(us_acc_codes,MATCH(loaded!Y483,us_acc,0))</f>
        <v>#N/A</v>
      </c>
      <c r="K483" t="e">
        <f>INDEX(client_codes,MATCH(loaded!AA483,client,0))</f>
        <v>#N/A</v>
      </c>
      <c r="L483" t="e">
        <f>INDEX(src_ref_codes,MATCH(loaded!AC483,src_ref,0))</f>
        <v>#N/A</v>
      </c>
      <c r="M483" s="8">
        <f>loaded!AE483</f>
        <v>0</v>
      </c>
      <c r="N483" s="8">
        <f>loaded!AG483</f>
        <v>0</v>
      </c>
      <c r="O483" t="e">
        <f>INDEX(reces_codes,MATCH(loaded!AI483,reason,0))</f>
        <v>#N/A</v>
      </c>
      <c r="P483" t="e">
        <f>INDEX(TDS_codes,MATCH(loaded!AK483,TDS,0))</f>
        <v>#N/A</v>
      </c>
      <c r="Q483" t="e">
        <f>IF(K483=2,"",INDEX(method_codes,MATCH(loaded!AM483,method,0)))</f>
        <v>#N/A</v>
      </c>
      <c r="R483" t="e">
        <f>IF(K483=2,"",INDEX(inj_codes,MATCH(loaded!AO483,inj,0)))</f>
        <v>#N/A</v>
      </c>
      <c r="S483" t="e">
        <f>IF(K483=2,"",INDEX(drug_codes,MATCH(loaded!AQ483,drug,0)))</f>
        <v>#N/A</v>
      </c>
      <c r="T483" t="e">
        <f>IF(K483=2,"",_xlfn.IFNA(INDEX(drug_codes,MATCH(loaded!AS483,drug,0)),""))</f>
        <v>#N/A</v>
      </c>
      <c r="U483" t="e">
        <f>IF(K483=2,"",_xlfn.IFNA(INDEX(drug_codes,MATCH(loaded!AU483,drug,0)),""))</f>
        <v>#N/A</v>
      </c>
      <c r="V483" t="e">
        <f>IF(K483=2,"",_xlfn.IFNA(INDEX(drug_codes,MATCH(loaded!AW483,drug,0)),""))</f>
        <v>#N/A</v>
      </c>
      <c r="W483" t="e">
        <f>IF(K483=2,"",_xlfn.IFNA(INDEX(drug_codes,MATCH(loaded!AY483,drug,0)),""))</f>
        <v>#N/A</v>
      </c>
      <c r="X483" t="e">
        <f>IF(K483=2,"",_xlfn.IFNA(INDEX(drug_codes,MATCH(loaded!BA483,drug,0)),""))</f>
        <v>#N/A</v>
      </c>
      <c r="Y483" t="e">
        <f>INDEX(MTT_codes,MATCH(loaded!BC483,MTT,0))</f>
        <v>#N/A</v>
      </c>
      <c r="Z483" t="str">
        <f>_xlfn.IFNA(INDEX(MTT_codes,MATCH(loaded!BE483,MTT,0)),"")</f>
        <v/>
      </c>
      <c r="AA483" t="str">
        <f>_xlfn.IFNA(INDEX(MTT_codes,MATCH(loaded!BG483,MTT,0)),"")</f>
        <v/>
      </c>
      <c r="AB483" t="str">
        <f>_xlfn.IFNA(INDEX(MTT_codes,MATCH(loaded!BI483,MTT,0)),"")</f>
        <v/>
      </c>
      <c r="AC483" t="str">
        <f>_xlfn.IFNA(INDEX(MTT_codes,MATCH(loaded!BK483,MTT,0)),"")</f>
        <v/>
      </c>
      <c r="AD483" t="str">
        <f>_xlfn.IFNA(INDEX(MTT_codes,MATCH(loaded!BM483,MTT,0)),"")</f>
        <v/>
      </c>
      <c r="AE483" t="e">
        <f>INDEX(liv_ar_codes,MATCH(loaded!BO483,liv_ar,0))</f>
        <v>#N/A</v>
      </c>
      <c r="AF483" t="str">
        <f>_xlfn.IFNA(INDEX(MTT_codes,MATCH(loaded!BQ483,MTT,0)),"")</f>
        <v/>
      </c>
      <c r="AG483">
        <f>_xlfn.IFNA(INDEX(mental_codes,MATCH(loaded!BS483,mental,0)),9)</f>
        <v>9</v>
      </c>
    </row>
    <row r="484" spans="1:33" x14ac:dyDescent="0.25">
      <c r="A484">
        <f>loaded!C484</f>
        <v>0</v>
      </c>
      <c r="B484">
        <f>loaded!I484</f>
        <v>0</v>
      </c>
      <c r="C484">
        <f>IF(loaded!K484="Male",1,IF(loaded!K484="Female",2,9))</f>
        <v>9</v>
      </c>
      <c r="D484" s="8">
        <f>loaded!M484</f>
        <v>0</v>
      </c>
      <c r="E484" t="str">
        <f>LEFT(loaded!O484,3)</f>
        <v/>
      </c>
      <c r="F484" t="e">
        <f>INDEX(cntry_codes,MATCH(loaded!Q484,countries,0))</f>
        <v>#N/A</v>
      </c>
      <c r="G484" t="e">
        <f>INDEX(atsi_codes,MATCH(loaded!S484,atsi,0))</f>
        <v>#N/A</v>
      </c>
      <c r="H484" t="e">
        <f>INDEX(lang_codes,MATCH(loaded!U484,lang,0))</f>
        <v>#N/A</v>
      </c>
      <c r="I484" s="8">
        <f>loaded!W484</f>
        <v>0</v>
      </c>
      <c r="J484" t="e">
        <f>INDEX(us_acc_codes,MATCH(loaded!Y484,us_acc,0))</f>
        <v>#N/A</v>
      </c>
      <c r="K484" t="e">
        <f>INDEX(client_codes,MATCH(loaded!AA484,client,0))</f>
        <v>#N/A</v>
      </c>
      <c r="L484" t="e">
        <f>INDEX(src_ref_codes,MATCH(loaded!AC484,src_ref,0))</f>
        <v>#N/A</v>
      </c>
      <c r="M484" s="8">
        <f>loaded!AE484</f>
        <v>0</v>
      </c>
      <c r="N484" s="8">
        <f>loaded!AG484</f>
        <v>0</v>
      </c>
      <c r="O484" t="e">
        <f>INDEX(reces_codes,MATCH(loaded!AI484,reason,0))</f>
        <v>#N/A</v>
      </c>
      <c r="P484" t="e">
        <f>INDEX(TDS_codes,MATCH(loaded!AK484,TDS,0))</f>
        <v>#N/A</v>
      </c>
      <c r="Q484" t="e">
        <f>IF(K484=2,"",INDEX(method_codes,MATCH(loaded!AM484,method,0)))</f>
        <v>#N/A</v>
      </c>
      <c r="R484" t="e">
        <f>IF(K484=2,"",INDEX(inj_codes,MATCH(loaded!AO484,inj,0)))</f>
        <v>#N/A</v>
      </c>
      <c r="S484" t="e">
        <f>IF(K484=2,"",INDEX(drug_codes,MATCH(loaded!AQ484,drug,0)))</f>
        <v>#N/A</v>
      </c>
      <c r="T484" t="e">
        <f>IF(K484=2,"",_xlfn.IFNA(INDEX(drug_codes,MATCH(loaded!AS484,drug,0)),""))</f>
        <v>#N/A</v>
      </c>
      <c r="U484" t="e">
        <f>IF(K484=2,"",_xlfn.IFNA(INDEX(drug_codes,MATCH(loaded!AU484,drug,0)),""))</f>
        <v>#N/A</v>
      </c>
      <c r="V484" t="e">
        <f>IF(K484=2,"",_xlfn.IFNA(INDEX(drug_codes,MATCH(loaded!AW484,drug,0)),""))</f>
        <v>#N/A</v>
      </c>
      <c r="W484" t="e">
        <f>IF(K484=2,"",_xlfn.IFNA(INDEX(drug_codes,MATCH(loaded!AY484,drug,0)),""))</f>
        <v>#N/A</v>
      </c>
      <c r="X484" t="e">
        <f>IF(K484=2,"",_xlfn.IFNA(INDEX(drug_codes,MATCH(loaded!BA484,drug,0)),""))</f>
        <v>#N/A</v>
      </c>
      <c r="Y484" t="e">
        <f>INDEX(MTT_codes,MATCH(loaded!BC484,MTT,0))</f>
        <v>#N/A</v>
      </c>
      <c r="Z484" t="str">
        <f>_xlfn.IFNA(INDEX(MTT_codes,MATCH(loaded!BE484,MTT,0)),"")</f>
        <v/>
      </c>
      <c r="AA484" t="str">
        <f>_xlfn.IFNA(INDEX(MTT_codes,MATCH(loaded!BG484,MTT,0)),"")</f>
        <v/>
      </c>
      <c r="AB484" t="str">
        <f>_xlfn.IFNA(INDEX(MTT_codes,MATCH(loaded!BI484,MTT,0)),"")</f>
        <v/>
      </c>
      <c r="AC484" t="str">
        <f>_xlfn.IFNA(INDEX(MTT_codes,MATCH(loaded!BK484,MTT,0)),"")</f>
        <v/>
      </c>
      <c r="AD484" t="str">
        <f>_xlfn.IFNA(INDEX(MTT_codes,MATCH(loaded!BM484,MTT,0)),"")</f>
        <v/>
      </c>
      <c r="AE484" t="e">
        <f>INDEX(liv_ar_codes,MATCH(loaded!BO484,liv_ar,0))</f>
        <v>#N/A</v>
      </c>
      <c r="AF484" t="str">
        <f>_xlfn.IFNA(INDEX(MTT_codes,MATCH(loaded!BQ484,MTT,0)),"")</f>
        <v/>
      </c>
      <c r="AG484">
        <f>_xlfn.IFNA(INDEX(mental_codes,MATCH(loaded!BS484,mental,0)),9)</f>
        <v>9</v>
      </c>
    </row>
    <row r="485" spans="1:33" x14ac:dyDescent="0.25">
      <c r="A485">
        <f>loaded!C485</f>
        <v>0</v>
      </c>
      <c r="B485">
        <f>loaded!I485</f>
        <v>0</v>
      </c>
      <c r="C485">
        <f>IF(loaded!K485="Male",1,IF(loaded!K485="Female",2,9))</f>
        <v>9</v>
      </c>
      <c r="D485" s="8">
        <f>loaded!M485</f>
        <v>0</v>
      </c>
      <c r="E485" t="str">
        <f>LEFT(loaded!O485,3)</f>
        <v/>
      </c>
      <c r="F485" t="e">
        <f>INDEX(cntry_codes,MATCH(loaded!Q485,countries,0))</f>
        <v>#N/A</v>
      </c>
      <c r="G485" t="e">
        <f>INDEX(atsi_codes,MATCH(loaded!S485,atsi,0))</f>
        <v>#N/A</v>
      </c>
      <c r="H485" t="e">
        <f>INDEX(lang_codes,MATCH(loaded!U485,lang,0))</f>
        <v>#N/A</v>
      </c>
      <c r="I485" s="8">
        <f>loaded!W485</f>
        <v>0</v>
      </c>
      <c r="J485" t="e">
        <f>INDEX(us_acc_codes,MATCH(loaded!Y485,us_acc,0))</f>
        <v>#N/A</v>
      </c>
      <c r="K485" t="e">
        <f>INDEX(client_codes,MATCH(loaded!AA485,client,0))</f>
        <v>#N/A</v>
      </c>
      <c r="L485" t="e">
        <f>INDEX(src_ref_codes,MATCH(loaded!AC485,src_ref,0))</f>
        <v>#N/A</v>
      </c>
      <c r="M485" s="8">
        <f>loaded!AE485</f>
        <v>0</v>
      </c>
      <c r="N485" s="8">
        <f>loaded!AG485</f>
        <v>0</v>
      </c>
      <c r="O485" t="e">
        <f>INDEX(reces_codes,MATCH(loaded!AI485,reason,0))</f>
        <v>#N/A</v>
      </c>
      <c r="P485" t="e">
        <f>INDEX(TDS_codes,MATCH(loaded!AK485,TDS,0))</f>
        <v>#N/A</v>
      </c>
      <c r="Q485" t="e">
        <f>IF(K485=2,"",INDEX(method_codes,MATCH(loaded!AM485,method,0)))</f>
        <v>#N/A</v>
      </c>
      <c r="R485" t="e">
        <f>IF(K485=2,"",INDEX(inj_codes,MATCH(loaded!AO485,inj,0)))</f>
        <v>#N/A</v>
      </c>
      <c r="S485" t="e">
        <f>IF(K485=2,"",INDEX(drug_codes,MATCH(loaded!AQ485,drug,0)))</f>
        <v>#N/A</v>
      </c>
      <c r="T485" t="e">
        <f>IF(K485=2,"",_xlfn.IFNA(INDEX(drug_codes,MATCH(loaded!AS485,drug,0)),""))</f>
        <v>#N/A</v>
      </c>
      <c r="U485" t="e">
        <f>IF(K485=2,"",_xlfn.IFNA(INDEX(drug_codes,MATCH(loaded!AU485,drug,0)),""))</f>
        <v>#N/A</v>
      </c>
      <c r="V485" t="e">
        <f>IF(K485=2,"",_xlfn.IFNA(INDEX(drug_codes,MATCH(loaded!AW485,drug,0)),""))</f>
        <v>#N/A</v>
      </c>
      <c r="W485" t="e">
        <f>IF(K485=2,"",_xlfn.IFNA(INDEX(drug_codes,MATCH(loaded!AY485,drug,0)),""))</f>
        <v>#N/A</v>
      </c>
      <c r="X485" t="e">
        <f>IF(K485=2,"",_xlfn.IFNA(INDEX(drug_codes,MATCH(loaded!BA485,drug,0)),""))</f>
        <v>#N/A</v>
      </c>
      <c r="Y485" t="e">
        <f>INDEX(MTT_codes,MATCH(loaded!BC485,MTT,0))</f>
        <v>#N/A</v>
      </c>
      <c r="Z485" t="str">
        <f>_xlfn.IFNA(INDEX(MTT_codes,MATCH(loaded!BE485,MTT,0)),"")</f>
        <v/>
      </c>
      <c r="AA485" t="str">
        <f>_xlfn.IFNA(INDEX(MTT_codes,MATCH(loaded!BG485,MTT,0)),"")</f>
        <v/>
      </c>
      <c r="AB485" t="str">
        <f>_xlfn.IFNA(INDEX(MTT_codes,MATCH(loaded!BI485,MTT,0)),"")</f>
        <v/>
      </c>
      <c r="AC485" t="str">
        <f>_xlfn.IFNA(INDEX(MTT_codes,MATCH(loaded!BK485,MTT,0)),"")</f>
        <v/>
      </c>
      <c r="AD485" t="str">
        <f>_xlfn.IFNA(INDEX(MTT_codes,MATCH(loaded!BM485,MTT,0)),"")</f>
        <v/>
      </c>
      <c r="AE485" t="e">
        <f>INDEX(liv_ar_codes,MATCH(loaded!BO485,liv_ar,0))</f>
        <v>#N/A</v>
      </c>
      <c r="AF485" t="str">
        <f>_xlfn.IFNA(INDEX(MTT_codes,MATCH(loaded!BQ485,MTT,0)),"")</f>
        <v/>
      </c>
      <c r="AG485">
        <f>_xlfn.IFNA(INDEX(mental_codes,MATCH(loaded!BS485,mental,0)),9)</f>
        <v>9</v>
      </c>
    </row>
    <row r="486" spans="1:33" x14ac:dyDescent="0.25">
      <c r="A486">
        <f>loaded!C486</f>
        <v>0</v>
      </c>
      <c r="B486">
        <f>loaded!I486</f>
        <v>0</v>
      </c>
      <c r="C486">
        <f>IF(loaded!K486="Male",1,IF(loaded!K486="Female",2,9))</f>
        <v>9</v>
      </c>
      <c r="D486" s="8">
        <f>loaded!M486</f>
        <v>0</v>
      </c>
      <c r="E486" t="str">
        <f>LEFT(loaded!O486,3)</f>
        <v/>
      </c>
      <c r="F486" t="e">
        <f>INDEX(cntry_codes,MATCH(loaded!Q486,countries,0))</f>
        <v>#N/A</v>
      </c>
      <c r="G486" t="e">
        <f>INDEX(atsi_codes,MATCH(loaded!S486,atsi,0))</f>
        <v>#N/A</v>
      </c>
      <c r="H486" t="e">
        <f>INDEX(lang_codes,MATCH(loaded!U486,lang,0))</f>
        <v>#N/A</v>
      </c>
      <c r="I486" s="8">
        <f>loaded!W486</f>
        <v>0</v>
      </c>
      <c r="J486" t="e">
        <f>INDEX(us_acc_codes,MATCH(loaded!Y486,us_acc,0))</f>
        <v>#N/A</v>
      </c>
      <c r="K486" t="e">
        <f>INDEX(client_codes,MATCH(loaded!AA486,client,0))</f>
        <v>#N/A</v>
      </c>
      <c r="L486" t="e">
        <f>INDEX(src_ref_codes,MATCH(loaded!AC486,src_ref,0))</f>
        <v>#N/A</v>
      </c>
      <c r="M486" s="8">
        <f>loaded!AE486</f>
        <v>0</v>
      </c>
      <c r="N486" s="8">
        <f>loaded!AG486</f>
        <v>0</v>
      </c>
      <c r="O486" t="e">
        <f>INDEX(reces_codes,MATCH(loaded!AI486,reason,0))</f>
        <v>#N/A</v>
      </c>
      <c r="P486" t="e">
        <f>INDEX(TDS_codes,MATCH(loaded!AK486,TDS,0))</f>
        <v>#N/A</v>
      </c>
      <c r="Q486" t="e">
        <f>IF(K486=2,"",INDEX(method_codes,MATCH(loaded!AM486,method,0)))</f>
        <v>#N/A</v>
      </c>
      <c r="R486" t="e">
        <f>IF(K486=2,"",INDEX(inj_codes,MATCH(loaded!AO486,inj,0)))</f>
        <v>#N/A</v>
      </c>
      <c r="S486" t="e">
        <f>IF(K486=2,"",INDEX(drug_codes,MATCH(loaded!AQ486,drug,0)))</f>
        <v>#N/A</v>
      </c>
      <c r="T486" t="e">
        <f>IF(K486=2,"",_xlfn.IFNA(INDEX(drug_codes,MATCH(loaded!AS486,drug,0)),""))</f>
        <v>#N/A</v>
      </c>
      <c r="U486" t="e">
        <f>IF(K486=2,"",_xlfn.IFNA(INDEX(drug_codes,MATCH(loaded!AU486,drug,0)),""))</f>
        <v>#N/A</v>
      </c>
      <c r="V486" t="e">
        <f>IF(K486=2,"",_xlfn.IFNA(INDEX(drug_codes,MATCH(loaded!AW486,drug,0)),""))</f>
        <v>#N/A</v>
      </c>
      <c r="W486" t="e">
        <f>IF(K486=2,"",_xlfn.IFNA(INDEX(drug_codes,MATCH(loaded!AY486,drug,0)),""))</f>
        <v>#N/A</v>
      </c>
      <c r="X486" t="e">
        <f>IF(K486=2,"",_xlfn.IFNA(INDEX(drug_codes,MATCH(loaded!BA486,drug,0)),""))</f>
        <v>#N/A</v>
      </c>
      <c r="Y486" t="e">
        <f>INDEX(MTT_codes,MATCH(loaded!BC486,MTT,0))</f>
        <v>#N/A</v>
      </c>
      <c r="Z486" t="str">
        <f>_xlfn.IFNA(INDEX(MTT_codes,MATCH(loaded!BE486,MTT,0)),"")</f>
        <v/>
      </c>
      <c r="AA486" t="str">
        <f>_xlfn.IFNA(INDEX(MTT_codes,MATCH(loaded!BG486,MTT,0)),"")</f>
        <v/>
      </c>
      <c r="AB486" t="str">
        <f>_xlfn.IFNA(INDEX(MTT_codes,MATCH(loaded!BI486,MTT,0)),"")</f>
        <v/>
      </c>
      <c r="AC486" t="str">
        <f>_xlfn.IFNA(INDEX(MTT_codes,MATCH(loaded!BK486,MTT,0)),"")</f>
        <v/>
      </c>
      <c r="AD486" t="str">
        <f>_xlfn.IFNA(INDEX(MTT_codes,MATCH(loaded!BM486,MTT,0)),"")</f>
        <v/>
      </c>
      <c r="AE486" t="e">
        <f>INDEX(liv_ar_codes,MATCH(loaded!BO486,liv_ar,0))</f>
        <v>#N/A</v>
      </c>
      <c r="AF486" t="str">
        <f>_xlfn.IFNA(INDEX(MTT_codes,MATCH(loaded!BQ486,MTT,0)),"")</f>
        <v/>
      </c>
      <c r="AG486">
        <f>_xlfn.IFNA(INDEX(mental_codes,MATCH(loaded!BS486,mental,0)),9)</f>
        <v>9</v>
      </c>
    </row>
    <row r="487" spans="1:33" x14ac:dyDescent="0.25">
      <c r="A487">
        <f>loaded!C487</f>
        <v>0</v>
      </c>
      <c r="B487">
        <f>loaded!I487</f>
        <v>0</v>
      </c>
      <c r="C487">
        <f>IF(loaded!K487="Male",1,IF(loaded!K487="Female",2,9))</f>
        <v>9</v>
      </c>
      <c r="D487" s="8">
        <f>loaded!M487</f>
        <v>0</v>
      </c>
      <c r="E487" t="str">
        <f>LEFT(loaded!O487,3)</f>
        <v/>
      </c>
      <c r="F487" t="e">
        <f>INDEX(cntry_codes,MATCH(loaded!Q487,countries,0))</f>
        <v>#N/A</v>
      </c>
      <c r="G487" t="e">
        <f>INDEX(atsi_codes,MATCH(loaded!S487,atsi,0))</f>
        <v>#N/A</v>
      </c>
      <c r="H487" t="e">
        <f>INDEX(lang_codes,MATCH(loaded!U487,lang,0))</f>
        <v>#N/A</v>
      </c>
      <c r="I487" s="8">
        <f>loaded!W487</f>
        <v>0</v>
      </c>
      <c r="J487" t="e">
        <f>INDEX(us_acc_codes,MATCH(loaded!Y487,us_acc,0))</f>
        <v>#N/A</v>
      </c>
      <c r="K487" t="e">
        <f>INDEX(client_codes,MATCH(loaded!AA487,client,0))</f>
        <v>#N/A</v>
      </c>
      <c r="L487" t="e">
        <f>INDEX(src_ref_codes,MATCH(loaded!AC487,src_ref,0))</f>
        <v>#N/A</v>
      </c>
      <c r="M487" s="8">
        <f>loaded!AE487</f>
        <v>0</v>
      </c>
      <c r="N487" s="8">
        <f>loaded!AG487</f>
        <v>0</v>
      </c>
      <c r="O487" t="e">
        <f>INDEX(reces_codes,MATCH(loaded!AI487,reason,0))</f>
        <v>#N/A</v>
      </c>
      <c r="P487" t="e">
        <f>INDEX(TDS_codes,MATCH(loaded!AK487,TDS,0))</f>
        <v>#N/A</v>
      </c>
      <c r="Q487" t="e">
        <f>IF(K487=2,"",INDEX(method_codes,MATCH(loaded!AM487,method,0)))</f>
        <v>#N/A</v>
      </c>
      <c r="R487" t="e">
        <f>IF(K487=2,"",INDEX(inj_codes,MATCH(loaded!AO487,inj,0)))</f>
        <v>#N/A</v>
      </c>
      <c r="S487" t="e">
        <f>IF(K487=2,"",INDEX(drug_codes,MATCH(loaded!AQ487,drug,0)))</f>
        <v>#N/A</v>
      </c>
      <c r="T487" t="e">
        <f>IF(K487=2,"",_xlfn.IFNA(INDEX(drug_codes,MATCH(loaded!AS487,drug,0)),""))</f>
        <v>#N/A</v>
      </c>
      <c r="U487" t="e">
        <f>IF(K487=2,"",_xlfn.IFNA(INDEX(drug_codes,MATCH(loaded!AU487,drug,0)),""))</f>
        <v>#N/A</v>
      </c>
      <c r="V487" t="e">
        <f>IF(K487=2,"",_xlfn.IFNA(INDEX(drug_codes,MATCH(loaded!AW487,drug,0)),""))</f>
        <v>#N/A</v>
      </c>
      <c r="W487" t="e">
        <f>IF(K487=2,"",_xlfn.IFNA(INDEX(drug_codes,MATCH(loaded!AY487,drug,0)),""))</f>
        <v>#N/A</v>
      </c>
      <c r="X487" t="e">
        <f>IF(K487=2,"",_xlfn.IFNA(INDEX(drug_codes,MATCH(loaded!BA487,drug,0)),""))</f>
        <v>#N/A</v>
      </c>
      <c r="Y487" t="e">
        <f>INDEX(MTT_codes,MATCH(loaded!BC487,MTT,0))</f>
        <v>#N/A</v>
      </c>
      <c r="Z487" t="str">
        <f>_xlfn.IFNA(INDEX(MTT_codes,MATCH(loaded!BE487,MTT,0)),"")</f>
        <v/>
      </c>
      <c r="AA487" t="str">
        <f>_xlfn.IFNA(INDEX(MTT_codes,MATCH(loaded!BG487,MTT,0)),"")</f>
        <v/>
      </c>
      <c r="AB487" t="str">
        <f>_xlfn.IFNA(INDEX(MTT_codes,MATCH(loaded!BI487,MTT,0)),"")</f>
        <v/>
      </c>
      <c r="AC487" t="str">
        <f>_xlfn.IFNA(INDEX(MTT_codes,MATCH(loaded!BK487,MTT,0)),"")</f>
        <v/>
      </c>
      <c r="AD487" t="str">
        <f>_xlfn.IFNA(INDEX(MTT_codes,MATCH(loaded!BM487,MTT,0)),"")</f>
        <v/>
      </c>
      <c r="AE487" t="e">
        <f>INDEX(liv_ar_codes,MATCH(loaded!BO487,liv_ar,0))</f>
        <v>#N/A</v>
      </c>
      <c r="AF487" t="str">
        <f>_xlfn.IFNA(INDEX(MTT_codes,MATCH(loaded!BQ487,MTT,0)),"")</f>
        <v/>
      </c>
      <c r="AG487">
        <f>_xlfn.IFNA(INDEX(mental_codes,MATCH(loaded!BS487,mental,0)),9)</f>
        <v>9</v>
      </c>
    </row>
    <row r="488" spans="1:33" x14ac:dyDescent="0.25">
      <c r="A488">
        <f>loaded!C488</f>
        <v>0</v>
      </c>
      <c r="B488">
        <f>loaded!I488</f>
        <v>0</v>
      </c>
      <c r="C488">
        <f>IF(loaded!K488="Male",1,IF(loaded!K488="Female",2,9))</f>
        <v>9</v>
      </c>
      <c r="D488" s="8">
        <f>loaded!M488</f>
        <v>0</v>
      </c>
      <c r="E488" t="str">
        <f>LEFT(loaded!O488,3)</f>
        <v/>
      </c>
      <c r="F488" t="e">
        <f>INDEX(cntry_codes,MATCH(loaded!Q488,countries,0))</f>
        <v>#N/A</v>
      </c>
      <c r="G488" t="e">
        <f>INDEX(atsi_codes,MATCH(loaded!S488,atsi,0))</f>
        <v>#N/A</v>
      </c>
      <c r="H488" t="e">
        <f>INDEX(lang_codes,MATCH(loaded!U488,lang,0))</f>
        <v>#N/A</v>
      </c>
      <c r="I488" s="8">
        <f>loaded!W488</f>
        <v>0</v>
      </c>
      <c r="J488" t="e">
        <f>INDEX(us_acc_codes,MATCH(loaded!Y488,us_acc,0))</f>
        <v>#N/A</v>
      </c>
      <c r="K488" t="e">
        <f>INDEX(client_codes,MATCH(loaded!AA488,client,0))</f>
        <v>#N/A</v>
      </c>
      <c r="L488" t="e">
        <f>INDEX(src_ref_codes,MATCH(loaded!AC488,src_ref,0))</f>
        <v>#N/A</v>
      </c>
      <c r="M488" s="8">
        <f>loaded!AE488</f>
        <v>0</v>
      </c>
      <c r="N488" s="8">
        <f>loaded!AG488</f>
        <v>0</v>
      </c>
      <c r="O488" t="e">
        <f>INDEX(reces_codes,MATCH(loaded!AI488,reason,0))</f>
        <v>#N/A</v>
      </c>
      <c r="P488" t="e">
        <f>INDEX(TDS_codes,MATCH(loaded!AK488,TDS,0))</f>
        <v>#N/A</v>
      </c>
      <c r="Q488" t="e">
        <f>IF(K488=2,"",INDEX(method_codes,MATCH(loaded!AM488,method,0)))</f>
        <v>#N/A</v>
      </c>
      <c r="R488" t="e">
        <f>IF(K488=2,"",INDEX(inj_codes,MATCH(loaded!AO488,inj,0)))</f>
        <v>#N/A</v>
      </c>
      <c r="S488" t="e">
        <f>IF(K488=2,"",INDEX(drug_codes,MATCH(loaded!AQ488,drug,0)))</f>
        <v>#N/A</v>
      </c>
      <c r="T488" t="e">
        <f>IF(K488=2,"",_xlfn.IFNA(INDEX(drug_codes,MATCH(loaded!AS488,drug,0)),""))</f>
        <v>#N/A</v>
      </c>
      <c r="U488" t="e">
        <f>IF(K488=2,"",_xlfn.IFNA(INDEX(drug_codes,MATCH(loaded!AU488,drug,0)),""))</f>
        <v>#N/A</v>
      </c>
      <c r="V488" t="e">
        <f>IF(K488=2,"",_xlfn.IFNA(INDEX(drug_codes,MATCH(loaded!AW488,drug,0)),""))</f>
        <v>#N/A</v>
      </c>
      <c r="W488" t="e">
        <f>IF(K488=2,"",_xlfn.IFNA(INDEX(drug_codes,MATCH(loaded!AY488,drug,0)),""))</f>
        <v>#N/A</v>
      </c>
      <c r="X488" t="e">
        <f>IF(K488=2,"",_xlfn.IFNA(INDEX(drug_codes,MATCH(loaded!BA488,drug,0)),""))</f>
        <v>#N/A</v>
      </c>
      <c r="Y488" t="e">
        <f>INDEX(MTT_codes,MATCH(loaded!BC488,MTT,0))</f>
        <v>#N/A</v>
      </c>
      <c r="Z488" t="str">
        <f>_xlfn.IFNA(INDEX(MTT_codes,MATCH(loaded!BE488,MTT,0)),"")</f>
        <v/>
      </c>
      <c r="AA488" t="str">
        <f>_xlfn.IFNA(INDEX(MTT_codes,MATCH(loaded!BG488,MTT,0)),"")</f>
        <v/>
      </c>
      <c r="AB488" t="str">
        <f>_xlfn.IFNA(INDEX(MTT_codes,MATCH(loaded!BI488,MTT,0)),"")</f>
        <v/>
      </c>
      <c r="AC488" t="str">
        <f>_xlfn.IFNA(INDEX(MTT_codes,MATCH(loaded!BK488,MTT,0)),"")</f>
        <v/>
      </c>
      <c r="AD488" t="str">
        <f>_xlfn.IFNA(INDEX(MTT_codes,MATCH(loaded!BM488,MTT,0)),"")</f>
        <v/>
      </c>
      <c r="AE488" t="e">
        <f>INDEX(liv_ar_codes,MATCH(loaded!BO488,liv_ar,0))</f>
        <v>#N/A</v>
      </c>
      <c r="AF488" t="str">
        <f>_xlfn.IFNA(INDEX(MTT_codes,MATCH(loaded!BQ488,MTT,0)),"")</f>
        <v/>
      </c>
      <c r="AG488">
        <f>_xlfn.IFNA(INDEX(mental_codes,MATCH(loaded!BS488,mental,0)),9)</f>
        <v>9</v>
      </c>
    </row>
    <row r="489" spans="1:33" x14ac:dyDescent="0.25">
      <c r="A489">
        <f>loaded!C489</f>
        <v>0</v>
      </c>
      <c r="B489">
        <f>loaded!I489</f>
        <v>0</v>
      </c>
      <c r="C489">
        <f>IF(loaded!K489="Male",1,IF(loaded!K489="Female",2,9))</f>
        <v>9</v>
      </c>
      <c r="D489" s="8">
        <f>loaded!M489</f>
        <v>0</v>
      </c>
      <c r="E489" t="str">
        <f>LEFT(loaded!O489,3)</f>
        <v/>
      </c>
      <c r="F489" t="e">
        <f>INDEX(cntry_codes,MATCH(loaded!Q489,countries,0))</f>
        <v>#N/A</v>
      </c>
      <c r="G489" t="e">
        <f>INDEX(atsi_codes,MATCH(loaded!S489,atsi,0))</f>
        <v>#N/A</v>
      </c>
      <c r="H489" t="e">
        <f>INDEX(lang_codes,MATCH(loaded!U489,lang,0))</f>
        <v>#N/A</v>
      </c>
      <c r="I489" s="8">
        <f>loaded!W489</f>
        <v>0</v>
      </c>
      <c r="J489" t="e">
        <f>INDEX(us_acc_codes,MATCH(loaded!Y489,us_acc,0))</f>
        <v>#N/A</v>
      </c>
      <c r="K489" t="e">
        <f>INDEX(client_codes,MATCH(loaded!AA489,client,0))</f>
        <v>#N/A</v>
      </c>
      <c r="L489" t="e">
        <f>INDEX(src_ref_codes,MATCH(loaded!AC489,src_ref,0))</f>
        <v>#N/A</v>
      </c>
      <c r="M489" s="8">
        <f>loaded!AE489</f>
        <v>0</v>
      </c>
      <c r="N489" s="8">
        <f>loaded!AG489</f>
        <v>0</v>
      </c>
      <c r="O489" t="e">
        <f>INDEX(reces_codes,MATCH(loaded!AI489,reason,0))</f>
        <v>#N/A</v>
      </c>
      <c r="P489" t="e">
        <f>INDEX(TDS_codes,MATCH(loaded!AK489,TDS,0))</f>
        <v>#N/A</v>
      </c>
      <c r="Q489" t="e">
        <f>IF(K489=2,"",INDEX(method_codes,MATCH(loaded!AM489,method,0)))</f>
        <v>#N/A</v>
      </c>
      <c r="R489" t="e">
        <f>IF(K489=2,"",INDEX(inj_codes,MATCH(loaded!AO489,inj,0)))</f>
        <v>#N/A</v>
      </c>
      <c r="S489" t="e">
        <f>IF(K489=2,"",INDEX(drug_codes,MATCH(loaded!AQ489,drug,0)))</f>
        <v>#N/A</v>
      </c>
      <c r="T489" t="e">
        <f>IF(K489=2,"",_xlfn.IFNA(INDEX(drug_codes,MATCH(loaded!AS489,drug,0)),""))</f>
        <v>#N/A</v>
      </c>
      <c r="U489" t="e">
        <f>IF(K489=2,"",_xlfn.IFNA(INDEX(drug_codes,MATCH(loaded!AU489,drug,0)),""))</f>
        <v>#N/A</v>
      </c>
      <c r="V489" t="e">
        <f>IF(K489=2,"",_xlfn.IFNA(INDEX(drug_codes,MATCH(loaded!AW489,drug,0)),""))</f>
        <v>#N/A</v>
      </c>
      <c r="W489" t="e">
        <f>IF(K489=2,"",_xlfn.IFNA(INDEX(drug_codes,MATCH(loaded!AY489,drug,0)),""))</f>
        <v>#N/A</v>
      </c>
      <c r="X489" t="e">
        <f>IF(K489=2,"",_xlfn.IFNA(INDEX(drug_codes,MATCH(loaded!BA489,drug,0)),""))</f>
        <v>#N/A</v>
      </c>
      <c r="Y489" t="e">
        <f>INDEX(MTT_codes,MATCH(loaded!BC489,MTT,0))</f>
        <v>#N/A</v>
      </c>
      <c r="Z489" t="str">
        <f>_xlfn.IFNA(INDEX(MTT_codes,MATCH(loaded!BE489,MTT,0)),"")</f>
        <v/>
      </c>
      <c r="AA489" t="str">
        <f>_xlfn.IFNA(INDEX(MTT_codes,MATCH(loaded!BG489,MTT,0)),"")</f>
        <v/>
      </c>
      <c r="AB489" t="str">
        <f>_xlfn.IFNA(INDEX(MTT_codes,MATCH(loaded!BI489,MTT,0)),"")</f>
        <v/>
      </c>
      <c r="AC489" t="str">
        <f>_xlfn.IFNA(INDEX(MTT_codes,MATCH(loaded!BK489,MTT,0)),"")</f>
        <v/>
      </c>
      <c r="AD489" t="str">
        <f>_xlfn.IFNA(INDEX(MTT_codes,MATCH(loaded!BM489,MTT,0)),"")</f>
        <v/>
      </c>
      <c r="AE489" t="e">
        <f>INDEX(liv_ar_codes,MATCH(loaded!BO489,liv_ar,0))</f>
        <v>#N/A</v>
      </c>
      <c r="AF489" t="str">
        <f>_xlfn.IFNA(INDEX(MTT_codes,MATCH(loaded!BQ489,MTT,0)),"")</f>
        <v/>
      </c>
      <c r="AG489">
        <f>_xlfn.IFNA(INDEX(mental_codes,MATCH(loaded!BS489,mental,0)),9)</f>
        <v>9</v>
      </c>
    </row>
    <row r="490" spans="1:33" x14ac:dyDescent="0.25">
      <c r="A490">
        <f>loaded!C490</f>
        <v>0</v>
      </c>
      <c r="B490">
        <f>loaded!I490</f>
        <v>0</v>
      </c>
      <c r="C490">
        <f>IF(loaded!K490="Male",1,IF(loaded!K490="Female",2,9))</f>
        <v>9</v>
      </c>
      <c r="D490" s="8">
        <f>loaded!M490</f>
        <v>0</v>
      </c>
      <c r="E490" t="str">
        <f>LEFT(loaded!O490,3)</f>
        <v/>
      </c>
      <c r="F490" t="e">
        <f>INDEX(cntry_codes,MATCH(loaded!Q490,countries,0))</f>
        <v>#N/A</v>
      </c>
      <c r="G490" t="e">
        <f>INDEX(atsi_codes,MATCH(loaded!S490,atsi,0))</f>
        <v>#N/A</v>
      </c>
      <c r="H490" t="e">
        <f>INDEX(lang_codes,MATCH(loaded!U490,lang,0))</f>
        <v>#N/A</v>
      </c>
      <c r="I490" s="8">
        <f>loaded!W490</f>
        <v>0</v>
      </c>
      <c r="J490" t="e">
        <f>INDEX(us_acc_codes,MATCH(loaded!Y490,us_acc,0))</f>
        <v>#N/A</v>
      </c>
      <c r="K490" t="e">
        <f>INDEX(client_codes,MATCH(loaded!AA490,client,0))</f>
        <v>#N/A</v>
      </c>
      <c r="L490" t="e">
        <f>INDEX(src_ref_codes,MATCH(loaded!AC490,src_ref,0))</f>
        <v>#N/A</v>
      </c>
      <c r="M490" s="8">
        <f>loaded!AE490</f>
        <v>0</v>
      </c>
      <c r="N490" s="8">
        <f>loaded!AG490</f>
        <v>0</v>
      </c>
      <c r="O490" t="e">
        <f>INDEX(reces_codes,MATCH(loaded!AI490,reason,0))</f>
        <v>#N/A</v>
      </c>
      <c r="P490" t="e">
        <f>INDEX(TDS_codes,MATCH(loaded!AK490,TDS,0))</f>
        <v>#N/A</v>
      </c>
      <c r="Q490" t="e">
        <f>IF(K490=2,"",INDEX(method_codes,MATCH(loaded!AM490,method,0)))</f>
        <v>#N/A</v>
      </c>
      <c r="R490" t="e">
        <f>IF(K490=2,"",INDEX(inj_codes,MATCH(loaded!AO490,inj,0)))</f>
        <v>#N/A</v>
      </c>
      <c r="S490" t="e">
        <f>IF(K490=2,"",INDEX(drug_codes,MATCH(loaded!AQ490,drug,0)))</f>
        <v>#N/A</v>
      </c>
      <c r="T490" t="e">
        <f>IF(K490=2,"",_xlfn.IFNA(INDEX(drug_codes,MATCH(loaded!AS490,drug,0)),""))</f>
        <v>#N/A</v>
      </c>
      <c r="U490" t="e">
        <f>IF(K490=2,"",_xlfn.IFNA(INDEX(drug_codes,MATCH(loaded!AU490,drug,0)),""))</f>
        <v>#N/A</v>
      </c>
      <c r="V490" t="e">
        <f>IF(K490=2,"",_xlfn.IFNA(INDEX(drug_codes,MATCH(loaded!AW490,drug,0)),""))</f>
        <v>#N/A</v>
      </c>
      <c r="W490" t="e">
        <f>IF(K490=2,"",_xlfn.IFNA(INDEX(drug_codes,MATCH(loaded!AY490,drug,0)),""))</f>
        <v>#N/A</v>
      </c>
      <c r="X490" t="e">
        <f>IF(K490=2,"",_xlfn.IFNA(INDEX(drug_codes,MATCH(loaded!BA490,drug,0)),""))</f>
        <v>#N/A</v>
      </c>
      <c r="Y490" t="e">
        <f>INDEX(MTT_codes,MATCH(loaded!BC490,MTT,0))</f>
        <v>#N/A</v>
      </c>
      <c r="Z490" t="str">
        <f>_xlfn.IFNA(INDEX(MTT_codes,MATCH(loaded!BE490,MTT,0)),"")</f>
        <v/>
      </c>
      <c r="AA490" t="str">
        <f>_xlfn.IFNA(INDEX(MTT_codes,MATCH(loaded!BG490,MTT,0)),"")</f>
        <v/>
      </c>
      <c r="AB490" t="str">
        <f>_xlfn.IFNA(INDEX(MTT_codes,MATCH(loaded!BI490,MTT,0)),"")</f>
        <v/>
      </c>
      <c r="AC490" t="str">
        <f>_xlfn.IFNA(INDEX(MTT_codes,MATCH(loaded!BK490,MTT,0)),"")</f>
        <v/>
      </c>
      <c r="AD490" t="str">
        <f>_xlfn.IFNA(INDEX(MTT_codes,MATCH(loaded!BM490,MTT,0)),"")</f>
        <v/>
      </c>
      <c r="AE490" t="e">
        <f>INDEX(liv_ar_codes,MATCH(loaded!BO490,liv_ar,0))</f>
        <v>#N/A</v>
      </c>
      <c r="AF490" t="str">
        <f>_xlfn.IFNA(INDEX(MTT_codes,MATCH(loaded!BQ490,MTT,0)),"")</f>
        <v/>
      </c>
      <c r="AG490">
        <f>_xlfn.IFNA(INDEX(mental_codes,MATCH(loaded!BS490,mental,0)),9)</f>
        <v>9</v>
      </c>
    </row>
    <row r="491" spans="1:33" x14ac:dyDescent="0.25">
      <c r="A491">
        <f>loaded!C491</f>
        <v>0</v>
      </c>
      <c r="B491">
        <f>loaded!I491</f>
        <v>0</v>
      </c>
      <c r="C491">
        <f>IF(loaded!K491="Male",1,IF(loaded!K491="Female",2,9))</f>
        <v>9</v>
      </c>
      <c r="D491" s="8">
        <f>loaded!M491</f>
        <v>0</v>
      </c>
      <c r="E491" t="str">
        <f>LEFT(loaded!O491,3)</f>
        <v/>
      </c>
      <c r="F491" t="e">
        <f>INDEX(cntry_codes,MATCH(loaded!Q491,countries,0))</f>
        <v>#N/A</v>
      </c>
      <c r="G491" t="e">
        <f>INDEX(atsi_codes,MATCH(loaded!S491,atsi,0))</f>
        <v>#N/A</v>
      </c>
      <c r="H491" t="e">
        <f>INDEX(lang_codes,MATCH(loaded!U491,lang,0))</f>
        <v>#N/A</v>
      </c>
      <c r="I491" s="8">
        <f>loaded!W491</f>
        <v>0</v>
      </c>
      <c r="J491" t="e">
        <f>INDEX(us_acc_codes,MATCH(loaded!Y491,us_acc,0))</f>
        <v>#N/A</v>
      </c>
      <c r="K491" t="e">
        <f>INDEX(client_codes,MATCH(loaded!AA491,client,0))</f>
        <v>#N/A</v>
      </c>
      <c r="L491" t="e">
        <f>INDEX(src_ref_codes,MATCH(loaded!AC491,src_ref,0))</f>
        <v>#N/A</v>
      </c>
      <c r="M491" s="8">
        <f>loaded!AE491</f>
        <v>0</v>
      </c>
      <c r="N491" s="8">
        <f>loaded!AG491</f>
        <v>0</v>
      </c>
      <c r="O491" t="e">
        <f>INDEX(reces_codes,MATCH(loaded!AI491,reason,0))</f>
        <v>#N/A</v>
      </c>
      <c r="P491" t="e">
        <f>INDEX(TDS_codes,MATCH(loaded!AK491,TDS,0))</f>
        <v>#N/A</v>
      </c>
      <c r="Q491" t="e">
        <f>IF(K491=2,"",INDEX(method_codes,MATCH(loaded!AM491,method,0)))</f>
        <v>#N/A</v>
      </c>
      <c r="R491" t="e">
        <f>IF(K491=2,"",INDEX(inj_codes,MATCH(loaded!AO491,inj,0)))</f>
        <v>#N/A</v>
      </c>
      <c r="S491" t="e">
        <f>IF(K491=2,"",INDEX(drug_codes,MATCH(loaded!AQ491,drug,0)))</f>
        <v>#N/A</v>
      </c>
      <c r="T491" t="e">
        <f>IF(K491=2,"",_xlfn.IFNA(INDEX(drug_codes,MATCH(loaded!AS491,drug,0)),""))</f>
        <v>#N/A</v>
      </c>
      <c r="U491" t="e">
        <f>IF(K491=2,"",_xlfn.IFNA(INDEX(drug_codes,MATCH(loaded!AU491,drug,0)),""))</f>
        <v>#N/A</v>
      </c>
      <c r="V491" t="e">
        <f>IF(K491=2,"",_xlfn.IFNA(INDEX(drug_codes,MATCH(loaded!AW491,drug,0)),""))</f>
        <v>#N/A</v>
      </c>
      <c r="W491" t="e">
        <f>IF(K491=2,"",_xlfn.IFNA(INDEX(drug_codes,MATCH(loaded!AY491,drug,0)),""))</f>
        <v>#N/A</v>
      </c>
      <c r="X491" t="e">
        <f>IF(K491=2,"",_xlfn.IFNA(INDEX(drug_codes,MATCH(loaded!BA491,drug,0)),""))</f>
        <v>#N/A</v>
      </c>
      <c r="Y491" t="e">
        <f>INDEX(MTT_codes,MATCH(loaded!BC491,MTT,0))</f>
        <v>#N/A</v>
      </c>
      <c r="Z491" t="str">
        <f>_xlfn.IFNA(INDEX(MTT_codes,MATCH(loaded!BE491,MTT,0)),"")</f>
        <v/>
      </c>
      <c r="AA491" t="str">
        <f>_xlfn.IFNA(INDEX(MTT_codes,MATCH(loaded!BG491,MTT,0)),"")</f>
        <v/>
      </c>
      <c r="AB491" t="str">
        <f>_xlfn.IFNA(INDEX(MTT_codes,MATCH(loaded!BI491,MTT,0)),"")</f>
        <v/>
      </c>
      <c r="AC491" t="str">
        <f>_xlfn.IFNA(INDEX(MTT_codes,MATCH(loaded!BK491,MTT,0)),"")</f>
        <v/>
      </c>
      <c r="AD491" t="str">
        <f>_xlfn.IFNA(INDEX(MTT_codes,MATCH(loaded!BM491,MTT,0)),"")</f>
        <v/>
      </c>
      <c r="AE491" t="e">
        <f>INDEX(liv_ar_codes,MATCH(loaded!BO491,liv_ar,0))</f>
        <v>#N/A</v>
      </c>
      <c r="AF491" t="str">
        <f>_xlfn.IFNA(INDEX(MTT_codes,MATCH(loaded!BQ491,MTT,0)),"")</f>
        <v/>
      </c>
      <c r="AG491">
        <f>_xlfn.IFNA(INDEX(mental_codes,MATCH(loaded!BS491,mental,0)),9)</f>
        <v>9</v>
      </c>
    </row>
    <row r="492" spans="1:33" x14ac:dyDescent="0.25">
      <c r="A492">
        <f>loaded!C492</f>
        <v>0</v>
      </c>
      <c r="B492">
        <f>loaded!I492</f>
        <v>0</v>
      </c>
      <c r="C492">
        <f>IF(loaded!K492="Male",1,IF(loaded!K492="Female",2,9))</f>
        <v>9</v>
      </c>
      <c r="D492" s="8">
        <f>loaded!M492</f>
        <v>0</v>
      </c>
      <c r="E492" t="str">
        <f>LEFT(loaded!O492,3)</f>
        <v/>
      </c>
      <c r="F492" t="e">
        <f>INDEX(cntry_codes,MATCH(loaded!Q492,countries,0))</f>
        <v>#N/A</v>
      </c>
      <c r="G492" t="e">
        <f>INDEX(atsi_codes,MATCH(loaded!S492,atsi,0))</f>
        <v>#N/A</v>
      </c>
      <c r="H492" t="e">
        <f>INDEX(lang_codes,MATCH(loaded!U492,lang,0))</f>
        <v>#N/A</v>
      </c>
      <c r="I492" s="8">
        <f>loaded!W492</f>
        <v>0</v>
      </c>
      <c r="J492" t="e">
        <f>INDEX(us_acc_codes,MATCH(loaded!Y492,us_acc,0))</f>
        <v>#N/A</v>
      </c>
      <c r="K492" t="e">
        <f>INDEX(client_codes,MATCH(loaded!AA492,client,0))</f>
        <v>#N/A</v>
      </c>
      <c r="L492" t="e">
        <f>INDEX(src_ref_codes,MATCH(loaded!AC492,src_ref,0))</f>
        <v>#N/A</v>
      </c>
      <c r="M492" s="8">
        <f>loaded!AE492</f>
        <v>0</v>
      </c>
      <c r="N492" s="8">
        <f>loaded!AG492</f>
        <v>0</v>
      </c>
      <c r="O492" t="e">
        <f>INDEX(reces_codes,MATCH(loaded!AI492,reason,0))</f>
        <v>#N/A</v>
      </c>
      <c r="P492" t="e">
        <f>INDEX(TDS_codes,MATCH(loaded!AK492,TDS,0))</f>
        <v>#N/A</v>
      </c>
      <c r="Q492" t="e">
        <f>IF(K492=2,"",INDEX(method_codes,MATCH(loaded!AM492,method,0)))</f>
        <v>#N/A</v>
      </c>
      <c r="R492" t="e">
        <f>IF(K492=2,"",INDEX(inj_codes,MATCH(loaded!AO492,inj,0)))</f>
        <v>#N/A</v>
      </c>
      <c r="S492" t="e">
        <f>IF(K492=2,"",INDEX(drug_codes,MATCH(loaded!AQ492,drug,0)))</f>
        <v>#N/A</v>
      </c>
      <c r="T492" t="e">
        <f>IF(K492=2,"",_xlfn.IFNA(INDEX(drug_codes,MATCH(loaded!AS492,drug,0)),""))</f>
        <v>#N/A</v>
      </c>
      <c r="U492" t="e">
        <f>IF(K492=2,"",_xlfn.IFNA(INDEX(drug_codes,MATCH(loaded!AU492,drug,0)),""))</f>
        <v>#N/A</v>
      </c>
      <c r="V492" t="e">
        <f>IF(K492=2,"",_xlfn.IFNA(INDEX(drug_codes,MATCH(loaded!AW492,drug,0)),""))</f>
        <v>#N/A</v>
      </c>
      <c r="W492" t="e">
        <f>IF(K492=2,"",_xlfn.IFNA(INDEX(drug_codes,MATCH(loaded!AY492,drug,0)),""))</f>
        <v>#N/A</v>
      </c>
      <c r="X492" t="e">
        <f>IF(K492=2,"",_xlfn.IFNA(INDEX(drug_codes,MATCH(loaded!BA492,drug,0)),""))</f>
        <v>#N/A</v>
      </c>
      <c r="Y492" t="e">
        <f>INDEX(MTT_codes,MATCH(loaded!BC492,MTT,0))</f>
        <v>#N/A</v>
      </c>
      <c r="Z492" t="str">
        <f>_xlfn.IFNA(INDEX(MTT_codes,MATCH(loaded!BE492,MTT,0)),"")</f>
        <v/>
      </c>
      <c r="AA492" t="str">
        <f>_xlfn.IFNA(INDEX(MTT_codes,MATCH(loaded!BG492,MTT,0)),"")</f>
        <v/>
      </c>
      <c r="AB492" t="str">
        <f>_xlfn.IFNA(INDEX(MTT_codes,MATCH(loaded!BI492,MTT,0)),"")</f>
        <v/>
      </c>
      <c r="AC492" t="str">
        <f>_xlfn.IFNA(INDEX(MTT_codes,MATCH(loaded!BK492,MTT,0)),"")</f>
        <v/>
      </c>
      <c r="AD492" t="str">
        <f>_xlfn.IFNA(INDEX(MTT_codes,MATCH(loaded!BM492,MTT,0)),"")</f>
        <v/>
      </c>
      <c r="AE492" t="e">
        <f>INDEX(liv_ar_codes,MATCH(loaded!BO492,liv_ar,0))</f>
        <v>#N/A</v>
      </c>
      <c r="AF492" t="str">
        <f>_xlfn.IFNA(INDEX(MTT_codes,MATCH(loaded!BQ492,MTT,0)),"")</f>
        <v/>
      </c>
      <c r="AG492">
        <f>_xlfn.IFNA(INDEX(mental_codes,MATCH(loaded!BS492,mental,0)),9)</f>
        <v>9</v>
      </c>
    </row>
    <row r="493" spans="1:33" x14ac:dyDescent="0.25">
      <c r="A493">
        <f>loaded!C493</f>
        <v>0</v>
      </c>
      <c r="B493">
        <f>loaded!I493</f>
        <v>0</v>
      </c>
      <c r="C493">
        <f>IF(loaded!K493="Male",1,IF(loaded!K493="Female",2,9))</f>
        <v>9</v>
      </c>
      <c r="D493" s="8">
        <f>loaded!M493</f>
        <v>0</v>
      </c>
      <c r="E493" t="str">
        <f>LEFT(loaded!O493,3)</f>
        <v/>
      </c>
      <c r="F493" t="e">
        <f>INDEX(cntry_codes,MATCH(loaded!Q493,countries,0))</f>
        <v>#N/A</v>
      </c>
      <c r="G493" t="e">
        <f>INDEX(atsi_codes,MATCH(loaded!S493,atsi,0))</f>
        <v>#N/A</v>
      </c>
      <c r="H493" t="e">
        <f>INDEX(lang_codes,MATCH(loaded!U493,lang,0))</f>
        <v>#N/A</v>
      </c>
      <c r="I493" s="8">
        <f>loaded!W493</f>
        <v>0</v>
      </c>
      <c r="J493" t="e">
        <f>INDEX(us_acc_codes,MATCH(loaded!Y493,us_acc,0))</f>
        <v>#N/A</v>
      </c>
      <c r="K493" t="e">
        <f>INDEX(client_codes,MATCH(loaded!AA493,client,0))</f>
        <v>#N/A</v>
      </c>
      <c r="L493" t="e">
        <f>INDEX(src_ref_codes,MATCH(loaded!AC493,src_ref,0))</f>
        <v>#N/A</v>
      </c>
      <c r="M493" s="8">
        <f>loaded!AE493</f>
        <v>0</v>
      </c>
      <c r="N493" s="8">
        <f>loaded!AG493</f>
        <v>0</v>
      </c>
      <c r="O493" t="e">
        <f>INDEX(reces_codes,MATCH(loaded!AI493,reason,0))</f>
        <v>#N/A</v>
      </c>
      <c r="P493" t="e">
        <f>INDEX(TDS_codes,MATCH(loaded!AK493,TDS,0))</f>
        <v>#N/A</v>
      </c>
      <c r="Q493" t="e">
        <f>IF(K493=2,"",INDEX(method_codes,MATCH(loaded!AM493,method,0)))</f>
        <v>#N/A</v>
      </c>
      <c r="R493" t="e">
        <f>IF(K493=2,"",INDEX(inj_codes,MATCH(loaded!AO493,inj,0)))</f>
        <v>#N/A</v>
      </c>
      <c r="S493" t="e">
        <f>IF(K493=2,"",INDEX(drug_codes,MATCH(loaded!AQ493,drug,0)))</f>
        <v>#N/A</v>
      </c>
      <c r="T493" t="e">
        <f>IF(K493=2,"",_xlfn.IFNA(INDEX(drug_codes,MATCH(loaded!AS493,drug,0)),""))</f>
        <v>#N/A</v>
      </c>
      <c r="U493" t="e">
        <f>IF(K493=2,"",_xlfn.IFNA(INDEX(drug_codes,MATCH(loaded!AU493,drug,0)),""))</f>
        <v>#N/A</v>
      </c>
      <c r="V493" t="e">
        <f>IF(K493=2,"",_xlfn.IFNA(INDEX(drug_codes,MATCH(loaded!AW493,drug,0)),""))</f>
        <v>#N/A</v>
      </c>
      <c r="W493" t="e">
        <f>IF(K493=2,"",_xlfn.IFNA(INDEX(drug_codes,MATCH(loaded!AY493,drug,0)),""))</f>
        <v>#N/A</v>
      </c>
      <c r="X493" t="e">
        <f>IF(K493=2,"",_xlfn.IFNA(INDEX(drug_codes,MATCH(loaded!BA493,drug,0)),""))</f>
        <v>#N/A</v>
      </c>
      <c r="Y493" t="e">
        <f>INDEX(MTT_codes,MATCH(loaded!BC493,MTT,0))</f>
        <v>#N/A</v>
      </c>
      <c r="Z493" t="str">
        <f>_xlfn.IFNA(INDEX(MTT_codes,MATCH(loaded!BE493,MTT,0)),"")</f>
        <v/>
      </c>
      <c r="AA493" t="str">
        <f>_xlfn.IFNA(INDEX(MTT_codes,MATCH(loaded!BG493,MTT,0)),"")</f>
        <v/>
      </c>
      <c r="AB493" t="str">
        <f>_xlfn.IFNA(INDEX(MTT_codes,MATCH(loaded!BI493,MTT,0)),"")</f>
        <v/>
      </c>
      <c r="AC493" t="str">
        <f>_xlfn.IFNA(INDEX(MTT_codes,MATCH(loaded!BK493,MTT,0)),"")</f>
        <v/>
      </c>
      <c r="AD493" t="str">
        <f>_xlfn.IFNA(INDEX(MTT_codes,MATCH(loaded!BM493,MTT,0)),"")</f>
        <v/>
      </c>
      <c r="AE493" t="e">
        <f>INDEX(liv_ar_codes,MATCH(loaded!BO493,liv_ar,0))</f>
        <v>#N/A</v>
      </c>
      <c r="AF493" t="str">
        <f>_xlfn.IFNA(INDEX(MTT_codes,MATCH(loaded!BQ493,MTT,0)),"")</f>
        <v/>
      </c>
      <c r="AG493">
        <f>_xlfn.IFNA(INDEX(mental_codes,MATCH(loaded!BS493,mental,0)),9)</f>
        <v>9</v>
      </c>
    </row>
    <row r="494" spans="1:33" x14ac:dyDescent="0.25">
      <c r="A494">
        <f>loaded!C494</f>
        <v>0</v>
      </c>
      <c r="B494">
        <f>loaded!I494</f>
        <v>0</v>
      </c>
      <c r="C494">
        <f>IF(loaded!K494="Male",1,IF(loaded!K494="Female",2,9))</f>
        <v>9</v>
      </c>
      <c r="D494" s="8">
        <f>loaded!M494</f>
        <v>0</v>
      </c>
      <c r="E494" t="str">
        <f>LEFT(loaded!O494,3)</f>
        <v/>
      </c>
      <c r="F494" t="e">
        <f>INDEX(cntry_codes,MATCH(loaded!Q494,countries,0))</f>
        <v>#N/A</v>
      </c>
      <c r="G494" t="e">
        <f>INDEX(atsi_codes,MATCH(loaded!S494,atsi,0))</f>
        <v>#N/A</v>
      </c>
      <c r="H494" t="e">
        <f>INDEX(lang_codes,MATCH(loaded!U494,lang,0))</f>
        <v>#N/A</v>
      </c>
      <c r="I494" s="8">
        <f>loaded!W494</f>
        <v>0</v>
      </c>
      <c r="J494" t="e">
        <f>INDEX(us_acc_codes,MATCH(loaded!Y494,us_acc,0))</f>
        <v>#N/A</v>
      </c>
      <c r="K494" t="e">
        <f>INDEX(client_codes,MATCH(loaded!AA494,client,0))</f>
        <v>#N/A</v>
      </c>
      <c r="L494" t="e">
        <f>INDEX(src_ref_codes,MATCH(loaded!AC494,src_ref,0))</f>
        <v>#N/A</v>
      </c>
      <c r="M494" s="8">
        <f>loaded!AE494</f>
        <v>0</v>
      </c>
      <c r="N494" s="8">
        <f>loaded!AG494</f>
        <v>0</v>
      </c>
      <c r="O494" t="e">
        <f>INDEX(reces_codes,MATCH(loaded!AI494,reason,0))</f>
        <v>#N/A</v>
      </c>
      <c r="P494" t="e">
        <f>INDEX(TDS_codes,MATCH(loaded!AK494,TDS,0))</f>
        <v>#N/A</v>
      </c>
      <c r="Q494" t="e">
        <f>IF(K494=2,"",INDEX(method_codes,MATCH(loaded!AM494,method,0)))</f>
        <v>#N/A</v>
      </c>
      <c r="R494" t="e">
        <f>IF(K494=2,"",INDEX(inj_codes,MATCH(loaded!AO494,inj,0)))</f>
        <v>#N/A</v>
      </c>
      <c r="S494" t="e">
        <f>IF(K494=2,"",INDEX(drug_codes,MATCH(loaded!AQ494,drug,0)))</f>
        <v>#N/A</v>
      </c>
      <c r="T494" t="e">
        <f>IF(K494=2,"",_xlfn.IFNA(INDEX(drug_codes,MATCH(loaded!AS494,drug,0)),""))</f>
        <v>#N/A</v>
      </c>
      <c r="U494" t="e">
        <f>IF(K494=2,"",_xlfn.IFNA(INDEX(drug_codes,MATCH(loaded!AU494,drug,0)),""))</f>
        <v>#N/A</v>
      </c>
      <c r="V494" t="e">
        <f>IF(K494=2,"",_xlfn.IFNA(INDEX(drug_codes,MATCH(loaded!AW494,drug,0)),""))</f>
        <v>#N/A</v>
      </c>
      <c r="W494" t="e">
        <f>IF(K494=2,"",_xlfn.IFNA(INDEX(drug_codes,MATCH(loaded!AY494,drug,0)),""))</f>
        <v>#N/A</v>
      </c>
      <c r="X494" t="e">
        <f>IF(K494=2,"",_xlfn.IFNA(INDEX(drug_codes,MATCH(loaded!BA494,drug,0)),""))</f>
        <v>#N/A</v>
      </c>
      <c r="Y494" t="e">
        <f>INDEX(MTT_codes,MATCH(loaded!BC494,MTT,0))</f>
        <v>#N/A</v>
      </c>
      <c r="Z494" t="str">
        <f>_xlfn.IFNA(INDEX(MTT_codes,MATCH(loaded!BE494,MTT,0)),"")</f>
        <v/>
      </c>
      <c r="AA494" t="str">
        <f>_xlfn.IFNA(INDEX(MTT_codes,MATCH(loaded!BG494,MTT,0)),"")</f>
        <v/>
      </c>
      <c r="AB494" t="str">
        <f>_xlfn.IFNA(INDEX(MTT_codes,MATCH(loaded!BI494,MTT,0)),"")</f>
        <v/>
      </c>
      <c r="AC494" t="str">
        <f>_xlfn.IFNA(INDEX(MTT_codes,MATCH(loaded!BK494,MTT,0)),"")</f>
        <v/>
      </c>
      <c r="AD494" t="str">
        <f>_xlfn.IFNA(INDEX(MTT_codes,MATCH(loaded!BM494,MTT,0)),"")</f>
        <v/>
      </c>
      <c r="AE494" t="e">
        <f>INDEX(liv_ar_codes,MATCH(loaded!BO494,liv_ar,0))</f>
        <v>#N/A</v>
      </c>
      <c r="AF494" t="str">
        <f>_xlfn.IFNA(INDEX(MTT_codes,MATCH(loaded!BQ494,MTT,0)),"")</f>
        <v/>
      </c>
      <c r="AG494">
        <f>_xlfn.IFNA(INDEX(mental_codes,MATCH(loaded!BS494,mental,0)),9)</f>
        <v>9</v>
      </c>
    </row>
    <row r="495" spans="1:33" x14ac:dyDescent="0.25">
      <c r="A495">
        <f>loaded!C495</f>
        <v>0</v>
      </c>
      <c r="B495">
        <f>loaded!I495</f>
        <v>0</v>
      </c>
      <c r="C495">
        <f>IF(loaded!K495="Male",1,IF(loaded!K495="Female",2,9))</f>
        <v>9</v>
      </c>
      <c r="D495" s="8">
        <f>loaded!M495</f>
        <v>0</v>
      </c>
      <c r="E495" t="str">
        <f>LEFT(loaded!O495,3)</f>
        <v/>
      </c>
      <c r="F495" t="e">
        <f>INDEX(cntry_codes,MATCH(loaded!Q495,countries,0))</f>
        <v>#N/A</v>
      </c>
      <c r="G495" t="e">
        <f>INDEX(atsi_codes,MATCH(loaded!S495,atsi,0))</f>
        <v>#N/A</v>
      </c>
      <c r="H495" t="e">
        <f>INDEX(lang_codes,MATCH(loaded!U495,lang,0))</f>
        <v>#N/A</v>
      </c>
      <c r="I495" s="8">
        <f>loaded!W495</f>
        <v>0</v>
      </c>
      <c r="J495" t="e">
        <f>INDEX(us_acc_codes,MATCH(loaded!Y495,us_acc,0))</f>
        <v>#N/A</v>
      </c>
      <c r="K495" t="e">
        <f>INDEX(client_codes,MATCH(loaded!AA495,client,0))</f>
        <v>#N/A</v>
      </c>
      <c r="L495" t="e">
        <f>INDEX(src_ref_codes,MATCH(loaded!AC495,src_ref,0))</f>
        <v>#N/A</v>
      </c>
      <c r="M495" s="8">
        <f>loaded!AE495</f>
        <v>0</v>
      </c>
      <c r="N495" s="8">
        <f>loaded!AG495</f>
        <v>0</v>
      </c>
      <c r="O495" t="e">
        <f>INDEX(reces_codes,MATCH(loaded!AI495,reason,0))</f>
        <v>#N/A</v>
      </c>
      <c r="P495" t="e">
        <f>INDEX(TDS_codes,MATCH(loaded!AK495,TDS,0))</f>
        <v>#N/A</v>
      </c>
      <c r="Q495" t="e">
        <f>IF(K495=2,"",INDEX(method_codes,MATCH(loaded!AM495,method,0)))</f>
        <v>#N/A</v>
      </c>
      <c r="R495" t="e">
        <f>IF(K495=2,"",INDEX(inj_codes,MATCH(loaded!AO495,inj,0)))</f>
        <v>#N/A</v>
      </c>
      <c r="S495" t="e">
        <f>IF(K495=2,"",INDEX(drug_codes,MATCH(loaded!AQ495,drug,0)))</f>
        <v>#N/A</v>
      </c>
      <c r="T495" t="e">
        <f>IF(K495=2,"",_xlfn.IFNA(INDEX(drug_codes,MATCH(loaded!AS495,drug,0)),""))</f>
        <v>#N/A</v>
      </c>
      <c r="U495" t="e">
        <f>IF(K495=2,"",_xlfn.IFNA(INDEX(drug_codes,MATCH(loaded!AU495,drug,0)),""))</f>
        <v>#N/A</v>
      </c>
      <c r="V495" t="e">
        <f>IF(K495=2,"",_xlfn.IFNA(INDEX(drug_codes,MATCH(loaded!AW495,drug,0)),""))</f>
        <v>#N/A</v>
      </c>
      <c r="W495" t="e">
        <f>IF(K495=2,"",_xlfn.IFNA(INDEX(drug_codes,MATCH(loaded!AY495,drug,0)),""))</f>
        <v>#N/A</v>
      </c>
      <c r="X495" t="e">
        <f>IF(K495=2,"",_xlfn.IFNA(INDEX(drug_codes,MATCH(loaded!BA495,drug,0)),""))</f>
        <v>#N/A</v>
      </c>
      <c r="Y495" t="e">
        <f>INDEX(MTT_codes,MATCH(loaded!BC495,MTT,0))</f>
        <v>#N/A</v>
      </c>
      <c r="Z495" t="str">
        <f>_xlfn.IFNA(INDEX(MTT_codes,MATCH(loaded!BE495,MTT,0)),"")</f>
        <v/>
      </c>
      <c r="AA495" t="str">
        <f>_xlfn.IFNA(INDEX(MTT_codes,MATCH(loaded!BG495,MTT,0)),"")</f>
        <v/>
      </c>
      <c r="AB495" t="str">
        <f>_xlfn.IFNA(INDEX(MTT_codes,MATCH(loaded!BI495,MTT,0)),"")</f>
        <v/>
      </c>
      <c r="AC495" t="str">
        <f>_xlfn.IFNA(INDEX(MTT_codes,MATCH(loaded!BK495,MTT,0)),"")</f>
        <v/>
      </c>
      <c r="AD495" t="str">
        <f>_xlfn.IFNA(INDEX(MTT_codes,MATCH(loaded!BM495,MTT,0)),"")</f>
        <v/>
      </c>
      <c r="AE495" t="e">
        <f>INDEX(liv_ar_codes,MATCH(loaded!BO495,liv_ar,0))</f>
        <v>#N/A</v>
      </c>
      <c r="AF495" t="str">
        <f>_xlfn.IFNA(INDEX(MTT_codes,MATCH(loaded!BQ495,MTT,0)),"")</f>
        <v/>
      </c>
      <c r="AG495">
        <f>_xlfn.IFNA(INDEX(mental_codes,MATCH(loaded!BS495,mental,0)),9)</f>
        <v>9</v>
      </c>
    </row>
    <row r="496" spans="1:33" x14ac:dyDescent="0.25">
      <c r="A496">
        <f>loaded!C496</f>
        <v>0</v>
      </c>
      <c r="B496">
        <f>loaded!I496</f>
        <v>0</v>
      </c>
      <c r="C496">
        <f>IF(loaded!K496="Male",1,IF(loaded!K496="Female",2,9))</f>
        <v>9</v>
      </c>
      <c r="D496" s="8">
        <f>loaded!M496</f>
        <v>0</v>
      </c>
      <c r="E496" t="str">
        <f>LEFT(loaded!O496,3)</f>
        <v/>
      </c>
      <c r="F496" t="e">
        <f>INDEX(cntry_codes,MATCH(loaded!Q496,countries,0))</f>
        <v>#N/A</v>
      </c>
      <c r="G496" t="e">
        <f>INDEX(atsi_codes,MATCH(loaded!S496,atsi,0))</f>
        <v>#N/A</v>
      </c>
      <c r="H496" t="e">
        <f>INDEX(lang_codes,MATCH(loaded!U496,lang,0))</f>
        <v>#N/A</v>
      </c>
      <c r="I496" s="8">
        <f>loaded!W496</f>
        <v>0</v>
      </c>
      <c r="J496" t="e">
        <f>INDEX(us_acc_codes,MATCH(loaded!Y496,us_acc,0))</f>
        <v>#N/A</v>
      </c>
      <c r="K496" t="e">
        <f>INDEX(client_codes,MATCH(loaded!AA496,client,0))</f>
        <v>#N/A</v>
      </c>
      <c r="L496" t="e">
        <f>INDEX(src_ref_codes,MATCH(loaded!AC496,src_ref,0))</f>
        <v>#N/A</v>
      </c>
      <c r="M496" s="8">
        <f>loaded!AE496</f>
        <v>0</v>
      </c>
      <c r="N496" s="8">
        <f>loaded!AG496</f>
        <v>0</v>
      </c>
      <c r="O496" t="e">
        <f>INDEX(reces_codes,MATCH(loaded!AI496,reason,0))</f>
        <v>#N/A</v>
      </c>
      <c r="P496" t="e">
        <f>INDEX(TDS_codes,MATCH(loaded!AK496,TDS,0))</f>
        <v>#N/A</v>
      </c>
      <c r="Q496" t="e">
        <f>IF(K496=2,"",INDEX(method_codes,MATCH(loaded!AM496,method,0)))</f>
        <v>#N/A</v>
      </c>
      <c r="R496" t="e">
        <f>IF(K496=2,"",INDEX(inj_codes,MATCH(loaded!AO496,inj,0)))</f>
        <v>#N/A</v>
      </c>
      <c r="S496" t="e">
        <f>IF(K496=2,"",INDEX(drug_codes,MATCH(loaded!AQ496,drug,0)))</f>
        <v>#N/A</v>
      </c>
      <c r="T496" t="e">
        <f>IF(K496=2,"",_xlfn.IFNA(INDEX(drug_codes,MATCH(loaded!AS496,drug,0)),""))</f>
        <v>#N/A</v>
      </c>
      <c r="U496" t="e">
        <f>IF(K496=2,"",_xlfn.IFNA(INDEX(drug_codes,MATCH(loaded!AU496,drug,0)),""))</f>
        <v>#N/A</v>
      </c>
      <c r="V496" t="e">
        <f>IF(K496=2,"",_xlfn.IFNA(INDEX(drug_codes,MATCH(loaded!AW496,drug,0)),""))</f>
        <v>#N/A</v>
      </c>
      <c r="W496" t="e">
        <f>IF(K496=2,"",_xlfn.IFNA(INDEX(drug_codes,MATCH(loaded!AY496,drug,0)),""))</f>
        <v>#N/A</v>
      </c>
      <c r="X496" t="e">
        <f>IF(K496=2,"",_xlfn.IFNA(INDEX(drug_codes,MATCH(loaded!BA496,drug,0)),""))</f>
        <v>#N/A</v>
      </c>
      <c r="Y496" t="e">
        <f>INDEX(MTT_codes,MATCH(loaded!BC496,MTT,0))</f>
        <v>#N/A</v>
      </c>
      <c r="Z496" t="str">
        <f>_xlfn.IFNA(INDEX(MTT_codes,MATCH(loaded!BE496,MTT,0)),"")</f>
        <v/>
      </c>
      <c r="AA496" t="str">
        <f>_xlfn.IFNA(INDEX(MTT_codes,MATCH(loaded!BG496,MTT,0)),"")</f>
        <v/>
      </c>
      <c r="AB496" t="str">
        <f>_xlfn.IFNA(INDEX(MTT_codes,MATCH(loaded!BI496,MTT,0)),"")</f>
        <v/>
      </c>
      <c r="AC496" t="str">
        <f>_xlfn.IFNA(INDEX(MTT_codes,MATCH(loaded!BK496,MTT,0)),"")</f>
        <v/>
      </c>
      <c r="AD496" t="str">
        <f>_xlfn.IFNA(INDEX(MTT_codes,MATCH(loaded!BM496,MTT,0)),"")</f>
        <v/>
      </c>
      <c r="AE496" t="e">
        <f>INDEX(liv_ar_codes,MATCH(loaded!BO496,liv_ar,0))</f>
        <v>#N/A</v>
      </c>
      <c r="AF496" t="str">
        <f>_xlfn.IFNA(INDEX(MTT_codes,MATCH(loaded!BQ496,MTT,0)),"")</f>
        <v/>
      </c>
      <c r="AG496">
        <f>_xlfn.IFNA(INDEX(mental_codes,MATCH(loaded!BS496,mental,0)),9)</f>
        <v>9</v>
      </c>
    </row>
    <row r="497" spans="1:33" x14ac:dyDescent="0.25">
      <c r="A497">
        <f>loaded!C497</f>
        <v>0</v>
      </c>
      <c r="B497">
        <f>loaded!I497</f>
        <v>0</v>
      </c>
      <c r="C497">
        <f>IF(loaded!K497="Male",1,IF(loaded!K497="Female",2,9))</f>
        <v>9</v>
      </c>
      <c r="D497" s="8">
        <f>loaded!M497</f>
        <v>0</v>
      </c>
      <c r="E497" t="str">
        <f>LEFT(loaded!O497,3)</f>
        <v/>
      </c>
      <c r="F497" t="e">
        <f>INDEX(cntry_codes,MATCH(loaded!Q497,countries,0))</f>
        <v>#N/A</v>
      </c>
      <c r="G497" t="e">
        <f>INDEX(atsi_codes,MATCH(loaded!S497,atsi,0))</f>
        <v>#N/A</v>
      </c>
      <c r="H497" t="e">
        <f>INDEX(lang_codes,MATCH(loaded!U497,lang,0))</f>
        <v>#N/A</v>
      </c>
      <c r="I497" s="8">
        <f>loaded!W497</f>
        <v>0</v>
      </c>
      <c r="J497" t="e">
        <f>INDEX(us_acc_codes,MATCH(loaded!Y497,us_acc,0))</f>
        <v>#N/A</v>
      </c>
      <c r="K497" t="e">
        <f>INDEX(client_codes,MATCH(loaded!AA497,client,0))</f>
        <v>#N/A</v>
      </c>
      <c r="L497" t="e">
        <f>INDEX(src_ref_codes,MATCH(loaded!AC497,src_ref,0))</f>
        <v>#N/A</v>
      </c>
      <c r="M497" s="8">
        <f>loaded!AE497</f>
        <v>0</v>
      </c>
      <c r="N497" s="8">
        <f>loaded!AG497</f>
        <v>0</v>
      </c>
      <c r="O497" t="e">
        <f>INDEX(reces_codes,MATCH(loaded!AI497,reason,0))</f>
        <v>#N/A</v>
      </c>
      <c r="P497" t="e">
        <f>INDEX(TDS_codes,MATCH(loaded!AK497,TDS,0))</f>
        <v>#N/A</v>
      </c>
      <c r="Q497" t="e">
        <f>IF(K497=2,"",INDEX(method_codes,MATCH(loaded!AM497,method,0)))</f>
        <v>#N/A</v>
      </c>
      <c r="R497" t="e">
        <f>IF(K497=2,"",INDEX(inj_codes,MATCH(loaded!AO497,inj,0)))</f>
        <v>#N/A</v>
      </c>
      <c r="S497" t="e">
        <f>IF(K497=2,"",INDEX(drug_codes,MATCH(loaded!AQ497,drug,0)))</f>
        <v>#N/A</v>
      </c>
      <c r="T497" t="e">
        <f>IF(K497=2,"",_xlfn.IFNA(INDEX(drug_codes,MATCH(loaded!AS497,drug,0)),""))</f>
        <v>#N/A</v>
      </c>
      <c r="U497" t="e">
        <f>IF(K497=2,"",_xlfn.IFNA(INDEX(drug_codes,MATCH(loaded!AU497,drug,0)),""))</f>
        <v>#N/A</v>
      </c>
      <c r="V497" t="e">
        <f>IF(K497=2,"",_xlfn.IFNA(INDEX(drug_codes,MATCH(loaded!AW497,drug,0)),""))</f>
        <v>#N/A</v>
      </c>
      <c r="W497" t="e">
        <f>IF(K497=2,"",_xlfn.IFNA(INDEX(drug_codes,MATCH(loaded!AY497,drug,0)),""))</f>
        <v>#N/A</v>
      </c>
      <c r="X497" t="e">
        <f>IF(K497=2,"",_xlfn.IFNA(INDEX(drug_codes,MATCH(loaded!BA497,drug,0)),""))</f>
        <v>#N/A</v>
      </c>
      <c r="Y497" t="e">
        <f>INDEX(MTT_codes,MATCH(loaded!BC497,MTT,0))</f>
        <v>#N/A</v>
      </c>
      <c r="Z497" t="str">
        <f>_xlfn.IFNA(INDEX(MTT_codes,MATCH(loaded!BE497,MTT,0)),"")</f>
        <v/>
      </c>
      <c r="AA497" t="str">
        <f>_xlfn.IFNA(INDEX(MTT_codes,MATCH(loaded!BG497,MTT,0)),"")</f>
        <v/>
      </c>
      <c r="AB497" t="str">
        <f>_xlfn.IFNA(INDEX(MTT_codes,MATCH(loaded!BI497,MTT,0)),"")</f>
        <v/>
      </c>
      <c r="AC497" t="str">
        <f>_xlfn.IFNA(INDEX(MTT_codes,MATCH(loaded!BK497,MTT,0)),"")</f>
        <v/>
      </c>
      <c r="AD497" t="str">
        <f>_xlfn.IFNA(INDEX(MTT_codes,MATCH(loaded!BM497,MTT,0)),"")</f>
        <v/>
      </c>
      <c r="AE497" t="e">
        <f>INDEX(liv_ar_codes,MATCH(loaded!BO497,liv_ar,0))</f>
        <v>#N/A</v>
      </c>
      <c r="AF497" t="str">
        <f>_xlfn.IFNA(INDEX(MTT_codes,MATCH(loaded!BQ497,MTT,0)),"")</f>
        <v/>
      </c>
      <c r="AG497">
        <f>_xlfn.IFNA(INDEX(mental_codes,MATCH(loaded!BS497,mental,0)),9)</f>
        <v>9</v>
      </c>
    </row>
    <row r="498" spans="1:33" x14ac:dyDescent="0.25">
      <c r="A498">
        <f>loaded!C498</f>
        <v>0</v>
      </c>
      <c r="B498">
        <f>loaded!I498</f>
        <v>0</v>
      </c>
      <c r="C498">
        <f>IF(loaded!K498="Male",1,IF(loaded!K498="Female",2,9))</f>
        <v>9</v>
      </c>
      <c r="D498" s="8">
        <f>loaded!M498</f>
        <v>0</v>
      </c>
      <c r="E498" t="str">
        <f>LEFT(loaded!O498,3)</f>
        <v/>
      </c>
      <c r="F498" t="e">
        <f>INDEX(cntry_codes,MATCH(loaded!Q498,countries,0))</f>
        <v>#N/A</v>
      </c>
      <c r="G498" t="e">
        <f>INDEX(atsi_codes,MATCH(loaded!S498,atsi,0))</f>
        <v>#N/A</v>
      </c>
      <c r="H498" t="e">
        <f>INDEX(lang_codes,MATCH(loaded!U498,lang,0))</f>
        <v>#N/A</v>
      </c>
      <c r="I498" s="8">
        <f>loaded!W498</f>
        <v>0</v>
      </c>
      <c r="J498" t="e">
        <f>INDEX(us_acc_codes,MATCH(loaded!Y498,us_acc,0))</f>
        <v>#N/A</v>
      </c>
      <c r="K498" t="e">
        <f>INDEX(client_codes,MATCH(loaded!AA498,client,0))</f>
        <v>#N/A</v>
      </c>
      <c r="L498" t="e">
        <f>INDEX(src_ref_codes,MATCH(loaded!AC498,src_ref,0))</f>
        <v>#N/A</v>
      </c>
      <c r="M498" s="8">
        <f>loaded!AE498</f>
        <v>0</v>
      </c>
      <c r="N498" s="8">
        <f>loaded!AG498</f>
        <v>0</v>
      </c>
      <c r="O498" t="e">
        <f>INDEX(reces_codes,MATCH(loaded!AI498,reason,0))</f>
        <v>#N/A</v>
      </c>
      <c r="P498" t="e">
        <f>INDEX(TDS_codes,MATCH(loaded!AK498,TDS,0))</f>
        <v>#N/A</v>
      </c>
      <c r="Q498" t="e">
        <f>IF(K498=2,"",INDEX(method_codes,MATCH(loaded!AM498,method,0)))</f>
        <v>#N/A</v>
      </c>
      <c r="R498" t="e">
        <f>IF(K498=2,"",INDEX(inj_codes,MATCH(loaded!AO498,inj,0)))</f>
        <v>#N/A</v>
      </c>
      <c r="S498" t="e">
        <f>IF(K498=2,"",INDEX(drug_codes,MATCH(loaded!AQ498,drug,0)))</f>
        <v>#N/A</v>
      </c>
      <c r="T498" t="e">
        <f>IF(K498=2,"",_xlfn.IFNA(INDEX(drug_codes,MATCH(loaded!AS498,drug,0)),""))</f>
        <v>#N/A</v>
      </c>
      <c r="U498" t="e">
        <f>IF(K498=2,"",_xlfn.IFNA(INDEX(drug_codes,MATCH(loaded!AU498,drug,0)),""))</f>
        <v>#N/A</v>
      </c>
      <c r="V498" t="e">
        <f>IF(K498=2,"",_xlfn.IFNA(INDEX(drug_codes,MATCH(loaded!AW498,drug,0)),""))</f>
        <v>#N/A</v>
      </c>
      <c r="W498" t="e">
        <f>IF(K498=2,"",_xlfn.IFNA(INDEX(drug_codes,MATCH(loaded!AY498,drug,0)),""))</f>
        <v>#N/A</v>
      </c>
      <c r="X498" t="e">
        <f>IF(K498=2,"",_xlfn.IFNA(INDEX(drug_codes,MATCH(loaded!BA498,drug,0)),""))</f>
        <v>#N/A</v>
      </c>
      <c r="Y498" t="e">
        <f>INDEX(MTT_codes,MATCH(loaded!BC498,MTT,0))</f>
        <v>#N/A</v>
      </c>
      <c r="Z498" t="str">
        <f>_xlfn.IFNA(INDEX(MTT_codes,MATCH(loaded!BE498,MTT,0)),"")</f>
        <v/>
      </c>
      <c r="AA498" t="str">
        <f>_xlfn.IFNA(INDEX(MTT_codes,MATCH(loaded!BG498,MTT,0)),"")</f>
        <v/>
      </c>
      <c r="AB498" t="str">
        <f>_xlfn.IFNA(INDEX(MTT_codes,MATCH(loaded!BI498,MTT,0)),"")</f>
        <v/>
      </c>
      <c r="AC498" t="str">
        <f>_xlfn.IFNA(INDEX(MTT_codes,MATCH(loaded!BK498,MTT,0)),"")</f>
        <v/>
      </c>
      <c r="AD498" t="str">
        <f>_xlfn.IFNA(INDEX(MTT_codes,MATCH(loaded!BM498,MTT,0)),"")</f>
        <v/>
      </c>
      <c r="AE498" t="e">
        <f>INDEX(liv_ar_codes,MATCH(loaded!BO498,liv_ar,0))</f>
        <v>#N/A</v>
      </c>
      <c r="AF498" t="str">
        <f>_xlfn.IFNA(INDEX(MTT_codes,MATCH(loaded!BQ498,MTT,0)),"")</f>
        <v/>
      </c>
      <c r="AG498">
        <f>_xlfn.IFNA(INDEX(mental_codes,MATCH(loaded!BS498,mental,0)),9)</f>
        <v>9</v>
      </c>
    </row>
    <row r="499" spans="1:33" x14ac:dyDescent="0.25">
      <c r="A499">
        <f>loaded!C499</f>
        <v>0</v>
      </c>
      <c r="B499">
        <f>loaded!I499</f>
        <v>0</v>
      </c>
      <c r="C499">
        <f>IF(loaded!K499="Male",1,IF(loaded!K499="Female",2,9))</f>
        <v>9</v>
      </c>
      <c r="D499" s="8">
        <f>loaded!M499</f>
        <v>0</v>
      </c>
      <c r="E499" t="str">
        <f>LEFT(loaded!O499,3)</f>
        <v/>
      </c>
      <c r="F499" t="e">
        <f>INDEX(cntry_codes,MATCH(loaded!Q499,countries,0))</f>
        <v>#N/A</v>
      </c>
      <c r="G499" t="e">
        <f>INDEX(atsi_codes,MATCH(loaded!S499,atsi,0))</f>
        <v>#N/A</v>
      </c>
      <c r="H499" t="e">
        <f>INDEX(lang_codes,MATCH(loaded!U499,lang,0))</f>
        <v>#N/A</v>
      </c>
      <c r="I499" s="8">
        <f>loaded!W499</f>
        <v>0</v>
      </c>
      <c r="J499" t="e">
        <f>INDEX(us_acc_codes,MATCH(loaded!Y499,us_acc,0))</f>
        <v>#N/A</v>
      </c>
      <c r="K499" t="e">
        <f>INDEX(client_codes,MATCH(loaded!AA499,client,0))</f>
        <v>#N/A</v>
      </c>
      <c r="L499" t="e">
        <f>INDEX(src_ref_codes,MATCH(loaded!AC499,src_ref,0))</f>
        <v>#N/A</v>
      </c>
      <c r="M499" s="8">
        <f>loaded!AE499</f>
        <v>0</v>
      </c>
      <c r="N499" s="8">
        <f>loaded!AG499</f>
        <v>0</v>
      </c>
      <c r="O499" t="e">
        <f>INDEX(reces_codes,MATCH(loaded!AI499,reason,0))</f>
        <v>#N/A</v>
      </c>
      <c r="P499" t="e">
        <f>INDEX(TDS_codes,MATCH(loaded!AK499,TDS,0))</f>
        <v>#N/A</v>
      </c>
      <c r="Q499" t="e">
        <f>IF(K499=2,"",INDEX(method_codes,MATCH(loaded!AM499,method,0)))</f>
        <v>#N/A</v>
      </c>
      <c r="R499" t="e">
        <f>IF(K499=2,"",INDEX(inj_codes,MATCH(loaded!AO499,inj,0)))</f>
        <v>#N/A</v>
      </c>
      <c r="S499" t="e">
        <f>IF(K499=2,"",INDEX(drug_codes,MATCH(loaded!AQ499,drug,0)))</f>
        <v>#N/A</v>
      </c>
      <c r="T499" t="e">
        <f>IF(K499=2,"",_xlfn.IFNA(INDEX(drug_codes,MATCH(loaded!AS499,drug,0)),""))</f>
        <v>#N/A</v>
      </c>
      <c r="U499" t="e">
        <f>IF(K499=2,"",_xlfn.IFNA(INDEX(drug_codes,MATCH(loaded!AU499,drug,0)),""))</f>
        <v>#N/A</v>
      </c>
      <c r="V499" t="e">
        <f>IF(K499=2,"",_xlfn.IFNA(INDEX(drug_codes,MATCH(loaded!AW499,drug,0)),""))</f>
        <v>#N/A</v>
      </c>
      <c r="W499" t="e">
        <f>IF(K499=2,"",_xlfn.IFNA(INDEX(drug_codes,MATCH(loaded!AY499,drug,0)),""))</f>
        <v>#N/A</v>
      </c>
      <c r="X499" t="e">
        <f>IF(K499=2,"",_xlfn.IFNA(INDEX(drug_codes,MATCH(loaded!BA499,drug,0)),""))</f>
        <v>#N/A</v>
      </c>
      <c r="Y499" t="e">
        <f>INDEX(MTT_codes,MATCH(loaded!BC499,MTT,0))</f>
        <v>#N/A</v>
      </c>
      <c r="Z499" t="str">
        <f>_xlfn.IFNA(INDEX(MTT_codes,MATCH(loaded!BE499,MTT,0)),"")</f>
        <v/>
      </c>
      <c r="AA499" t="str">
        <f>_xlfn.IFNA(INDEX(MTT_codes,MATCH(loaded!BG499,MTT,0)),"")</f>
        <v/>
      </c>
      <c r="AB499" t="str">
        <f>_xlfn.IFNA(INDEX(MTT_codes,MATCH(loaded!BI499,MTT,0)),"")</f>
        <v/>
      </c>
      <c r="AC499" t="str">
        <f>_xlfn.IFNA(INDEX(MTT_codes,MATCH(loaded!BK499,MTT,0)),"")</f>
        <v/>
      </c>
      <c r="AD499" t="str">
        <f>_xlfn.IFNA(INDEX(MTT_codes,MATCH(loaded!BM499,MTT,0)),"")</f>
        <v/>
      </c>
      <c r="AE499" t="e">
        <f>INDEX(liv_ar_codes,MATCH(loaded!BO499,liv_ar,0))</f>
        <v>#N/A</v>
      </c>
      <c r="AF499" t="str">
        <f>_xlfn.IFNA(INDEX(MTT_codes,MATCH(loaded!BQ499,MTT,0)),"")</f>
        <v/>
      </c>
      <c r="AG499">
        <f>_xlfn.IFNA(INDEX(mental_codes,MATCH(loaded!BS499,mental,0)),9)</f>
        <v>9</v>
      </c>
    </row>
    <row r="500" spans="1:33" x14ac:dyDescent="0.25">
      <c r="A500">
        <f>loaded!C500</f>
        <v>0</v>
      </c>
      <c r="B500">
        <f>loaded!I500</f>
        <v>0</v>
      </c>
      <c r="C500">
        <f>IF(loaded!K500="Male",1,IF(loaded!K500="Female",2,9))</f>
        <v>9</v>
      </c>
      <c r="D500" s="8">
        <f>loaded!M500</f>
        <v>0</v>
      </c>
      <c r="E500" t="str">
        <f>LEFT(loaded!O500,3)</f>
        <v/>
      </c>
      <c r="F500" t="e">
        <f>INDEX(cntry_codes,MATCH(loaded!Q500,countries,0))</f>
        <v>#N/A</v>
      </c>
      <c r="G500" t="e">
        <f>INDEX(atsi_codes,MATCH(loaded!S500,atsi,0))</f>
        <v>#N/A</v>
      </c>
      <c r="H500" t="e">
        <f>INDEX(lang_codes,MATCH(loaded!U500,lang,0))</f>
        <v>#N/A</v>
      </c>
      <c r="I500" s="8">
        <f>loaded!W500</f>
        <v>0</v>
      </c>
      <c r="J500" t="e">
        <f>INDEX(us_acc_codes,MATCH(loaded!Y500,us_acc,0))</f>
        <v>#N/A</v>
      </c>
      <c r="K500" t="e">
        <f>INDEX(client_codes,MATCH(loaded!AA500,client,0))</f>
        <v>#N/A</v>
      </c>
      <c r="L500" t="e">
        <f>INDEX(src_ref_codes,MATCH(loaded!AC500,src_ref,0))</f>
        <v>#N/A</v>
      </c>
      <c r="M500" s="8">
        <f>loaded!AE500</f>
        <v>0</v>
      </c>
      <c r="N500" s="8">
        <f>loaded!AG500</f>
        <v>0</v>
      </c>
      <c r="O500" t="e">
        <f>INDEX(reces_codes,MATCH(loaded!AI500,reason,0))</f>
        <v>#N/A</v>
      </c>
      <c r="P500" t="e">
        <f>INDEX(TDS_codes,MATCH(loaded!AK500,TDS,0))</f>
        <v>#N/A</v>
      </c>
      <c r="Q500" t="e">
        <f>IF(K500=2,"",INDEX(method_codes,MATCH(loaded!AM500,method,0)))</f>
        <v>#N/A</v>
      </c>
      <c r="R500" t="e">
        <f>IF(K500=2,"",INDEX(inj_codes,MATCH(loaded!AO500,inj,0)))</f>
        <v>#N/A</v>
      </c>
      <c r="S500" t="e">
        <f>IF(K500=2,"",INDEX(drug_codes,MATCH(loaded!AQ500,drug,0)))</f>
        <v>#N/A</v>
      </c>
      <c r="T500" t="e">
        <f>IF(K500=2,"",_xlfn.IFNA(INDEX(drug_codes,MATCH(loaded!AS500,drug,0)),""))</f>
        <v>#N/A</v>
      </c>
      <c r="U500" t="e">
        <f>IF(K500=2,"",_xlfn.IFNA(INDEX(drug_codes,MATCH(loaded!AU500,drug,0)),""))</f>
        <v>#N/A</v>
      </c>
      <c r="V500" t="e">
        <f>IF(K500=2,"",_xlfn.IFNA(INDEX(drug_codes,MATCH(loaded!AW500,drug,0)),""))</f>
        <v>#N/A</v>
      </c>
      <c r="W500" t="e">
        <f>IF(K500=2,"",_xlfn.IFNA(INDEX(drug_codes,MATCH(loaded!AY500,drug,0)),""))</f>
        <v>#N/A</v>
      </c>
      <c r="X500" t="e">
        <f>IF(K500=2,"",_xlfn.IFNA(INDEX(drug_codes,MATCH(loaded!BA500,drug,0)),""))</f>
        <v>#N/A</v>
      </c>
      <c r="Y500" t="e">
        <f>INDEX(MTT_codes,MATCH(loaded!BC500,MTT,0))</f>
        <v>#N/A</v>
      </c>
      <c r="Z500" t="str">
        <f>_xlfn.IFNA(INDEX(MTT_codes,MATCH(loaded!BE500,MTT,0)),"")</f>
        <v/>
      </c>
      <c r="AA500" t="str">
        <f>_xlfn.IFNA(INDEX(MTT_codes,MATCH(loaded!BG500,MTT,0)),"")</f>
        <v/>
      </c>
      <c r="AB500" t="str">
        <f>_xlfn.IFNA(INDEX(MTT_codes,MATCH(loaded!BI500,MTT,0)),"")</f>
        <v/>
      </c>
      <c r="AC500" t="str">
        <f>_xlfn.IFNA(INDEX(MTT_codes,MATCH(loaded!BK500,MTT,0)),"")</f>
        <v/>
      </c>
      <c r="AD500" t="str">
        <f>_xlfn.IFNA(INDEX(MTT_codes,MATCH(loaded!BM500,MTT,0)),"")</f>
        <v/>
      </c>
      <c r="AE500" t="e">
        <f>INDEX(liv_ar_codes,MATCH(loaded!BO500,liv_ar,0))</f>
        <v>#N/A</v>
      </c>
      <c r="AF500" t="str">
        <f>_xlfn.IFNA(INDEX(MTT_codes,MATCH(loaded!BQ500,MTT,0)),"")</f>
        <v/>
      </c>
      <c r="AG500">
        <f>_xlfn.IFNA(INDEX(mental_codes,MATCH(loaded!BS500,mental,0)),9)</f>
        <v>9</v>
      </c>
    </row>
    <row r="501" spans="1:33" x14ac:dyDescent="0.25">
      <c r="A501">
        <f>loaded!C501</f>
        <v>0</v>
      </c>
      <c r="B501">
        <f>loaded!I501</f>
        <v>0</v>
      </c>
      <c r="C501">
        <f>IF(loaded!K501="Male",1,IF(loaded!K501="Female",2,9))</f>
        <v>9</v>
      </c>
      <c r="D501" s="8">
        <f>loaded!M501</f>
        <v>0</v>
      </c>
      <c r="E501" t="str">
        <f>LEFT(loaded!O501,3)</f>
        <v/>
      </c>
      <c r="F501" t="e">
        <f>INDEX(cntry_codes,MATCH(loaded!Q501,countries,0))</f>
        <v>#N/A</v>
      </c>
      <c r="G501" t="e">
        <f>INDEX(atsi_codes,MATCH(loaded!S501,atsi,0))</f>
        <v>#N/A</v>
      </c>
      <c r="H501" t="e">
        <f>INDEX(lang_codes,MATCH(loaded!U501,lang,0))</f>
        <v>#N/A</v>
      </c>
      <c r="I501" s="8">
        <f>loaded!W501</f>
        <v>0</v>
      </c>
      <c r="J501" t="e">
        <f>INDEX(us_acc_codes,MATCH(loaded!Y501,us_acc,0))</f>
        <v>#N/A</v>
      </c>
      <c r="K501" t="e">
        <f>INDEX(client_codes,MATCH(loaded!AA501,client,0))</f>
        <v>#N/A</v>
      </c>
      <c r="L501" t="e">
        <f>INDEX(src_ref_codes,MATCH(loaded!AC501,src_ref,0))</f>
        <v>#N/A</v>
      </c>
      <c r="M501" s="8">
        <f>loaded!AE501</f>
        <v>0</v>
      </c>
      <c r="N501" s="8">
        <f>loaded!AG501</f>
        <v>0</v>
      </c>
      <c r="O501" t="e">
        <f>INDEX(reces_codes,MATCH(loaded!AI501,reason,0))</f>
        <v>#N/A</v>
      </c>
      <c r="P501" t="e">
        <f>INDEX(TDS_codes,MATCH(loaded!AK501,TDS,0))</f>
        <v>#N/A</v>
      </c>
      <c r="Q501" t="e">
        <f>IF(K501=2,"",INDEX(method_codes,MATCH(loaded!AM501,method,0)))</f>
        <v>#N/A</v>
      </c>
      <c r="R501" t="e">
        <f>IF(K501=2,"",INDEX(inj_codes,MATCH(loaded!AO501,inj,0)))</f>
        <v>#N/A</v>
      </c>
      <c r="S501" t="e">
        <f>IF(K501=2,"",INDEX(drug_codes,MATCH(loaded!AQ501,drug,0)))</f>
        <v>#N/A</v>
      </c>
      <c r="T501" t="e">
        <f>IF(K501=2,"",_xlfn.IFNA(INDEX(drug_codes,MATCH(loaded!AS501,drug,0)),""))</f>
        <v>#N/A</v>
      </c>
      <c r="U501" t="e">
        <f>IF(K501=2,"",_xlfn.IFNA(INDEX(drug_codes,MATCH(loaded!AU501,drug,0)),""))</f>
        <v>#N/A</v>
      </c>
      <c r="V501" t="e">
        <f>IF(K501=2,"",_xlfn.IFNA(INDEX(drug_codes,MATCH(loaded!AW501,drug,0)),""))</f>
        <v>#N/A</v>
      </c>
      <c r="W501" t="e">
        <f>IF(K501=2,"",_xlfn.IFNA(INDEX(drug_codes,MATCH(loaded!AY501,drug,0)),""))</f>
        <v>#N/A</v>
      </c>
      <c r="X501" t="e">
        <f>IF(K501=2,"",_xlfn.IFNA(INDEX(drug_codes,MATCH(loaded!BA501,drug,0)),""))</f>
        <v>#N/A</v>
      </c>
      <c r="Y501" t="e">
        <f>INDEX(MTT_codes,MATCH(loaded!BC501,MTT,0))</f>
        <v>#N/A</v>
      </c>
      <c r="Z501" t="str">
        <f>_xlfn.IFNA(INDEX(MTT_codes,MATCH(loaded!BE501,MTT,0)),"")</f>
        <v/>
      </c>
      <c r="AA501" t="str">
        <f>_xlfn.IFNA(INDEX(MTT_codes,MATCH(loaded!BG501,MTT,0)),"")</f>
        <v/>
      </c>
      <c r="AB501" t="str">
        <f>_xlfn.IFNA(INDEX(MTT_codes,MATCH(loaded!BI501,MTT,0)),"")</f>
        <v/>
      </c>
      <c r="AC501" t="str">
        <f>_xlfn.IFNA(INDEX(MTT_codes,MATCH(loaded!BK501,MTT,0)),"")</f>
        <v/>
      </c>
      <c r="AD501" t="str">
        <f>_xlfn.IFNA(INDEX(MTT_codes,MATCH(loaded!BM501,MTT,0)),"")</f>
        <v/>
      </c>
      <c r="AE501" t="e">
        <f>INDEX(liv_ar_codes,MATCH(loaded!BO501,liv_ar,0))</f>
        <v>#N/A</v>
      </c>
      <c r="AF501" t="str">
        <f>_xlfn.IFNA(INDEX(MTT_codes,MATCH(loaded!BQ501,MTT,0)),"")</f>
        <v/>
      </c>
      <c r="AG501">
        <f>_xlfn.IFNA(INDEX(mental_codes,MATCH(loaded!BS501,mental,0)),9)</f>
        <v>9</v>
      </c>
    </row>
    <row r="502" spans="1:33" x14ac:dyDescent="0.25">
      <c r="A502">
        <f>loaded!C502</f>
        <v>0</v>
      </c>
      <c r="B502">
        <f>loaded!I502</f>
        <v>0</v>
      </c>
      <c r="C502">
        <f>IF(loaded!K502="Male",1,IF(loaded!K502="Female",2,9))</f>
        <v>9</v>
      </c>
      <c r="D502" s="8">
        <f>loaded!M502</f>
        <v>0</v>
      </c>
      <c r="E502" t="str">
        <f>LEFT(loaded!O502,3)</f>
        <v/>
      </c>
      <c r="F502" t="e">
        <f>INDEX(cntry_codes,MATCH(loaded!Q502,countries,0))</f>
        <v>#N/A</v>
      </c>
      <c r="G502" t="e">
        <f>INDEX(atsi_codes,MATCH(loaded!S502,atsi,0))</f>
        <v>#N/A</v>
      </c>
      <c r="H502" t="e">
        <f>INDEX(lang_codes,MATCH(loaded!U502,lang,0))</f>
        <v>#N/A</v>
      </c>
      <c r="I502" s="8">
        <f>loaded!W502</f>
        <v>0</v>
      </c>
      <c r="J502" t="e">
        <f>INDEX(us_acc_codes,MATCH(loaded!Y502,us_acc,0))</f>
        <v>#N/A</v>
      </c>
      <c r="K502" t="e">
        <f>INDEX(client_codes,MATCH(loaded!AA502,client,0))</f>
        <v>#N/A</v>
      </c>
      <c r="L502" t="e">
        <f>INDEX(src_ref_codes,MATCH(loaded!AC502,src_ref,0))</f>
        <v>#N/A</v>
      </c>
      <c r="M502" s="8">
        <f>loaded!AE502</f>
        <v>0</v>
      </c>
      <c r="N502" s="8">
        <f>loaded!AG502</f>
        <v>0</v>
      </c>
      <c r="O502" t="e">
        <f>INDEX(reces_codes,MATCH(loaded!AI502,reason,0))</f>
        <v>#N/A</v>
      </c>
      <c r="P502" t="e">
        <f>INDEX(TDS_codes,MATCH(loaded!AK502,TDS,0))</f>
        <v>#N/A</v>
      </c>
      <c r="Q502" t="e">
        <f>IF(K502=2,"",INDEX(method_codes,MATCH(loaded!AM502,method,0)))</f>
        <v>#N/A</v>
      </c>
      <c r="R502" t="e">
        <f>IF(K502=2,"",INDEX(inj_codes,MATCH(loaded!AO502,inj,0)))</f>
        <v>#N/A</v>
      </c>
      <c r="S502" t="e">
        <f>IF(K502=2,"",INDEX(drug_codes,MATCH(loaded!AQ502,drug,0)))</f>
        <v>#N/A</v>
      </c>
      <c r="T502" t="e">
        <f>IF(K502=2,"",_xlfn.IFNA(INDEX(drug_codes,MATCH(loaded!AS502,drug,0)),""))</f>
        <v>#N/A</v>
      </c>
      <c r="U502" t="e">
        <f>IF(K502=2,"",_xlfn.IFNA(INDEX(drug_codes,MATCH(loaded!AU502,drug,0)),""))</f>
        <v>#N/A</v>
      </c>
      <c r="V502" t="e">
        <f>IF(K502=2,"",_xlfn.IFNA(INDEX(drug_codes,MATCH(loaded!AW502,drug,0)),""))</f>
        <v>#N/A</v>
      </c>
      <c r="W502" t="e">
        <f>IF(K502=2,"",_xlfn.IFNA(INDEX(drug_codes,MATCH(loaded!AY502,drug,0)),""))</f>
        <v>#N/A</v>
      </c>
      <c r="X502" t="e">
        <f>IF(K502=2,"",_xlfn.IFNA(INDEX(drug_codes,MATCH(loaded!BA502,drug,0)),""))</f>
        <v>#N/A</v>
      </c>
      <c r="Y502" t="e">
        <f>INDEX(MTT_codes,MATCH(loaded!BC502,MTT,0))</f>
        <v>#N/A</v>
      </c>
      <c r="Z502" t="str">
        <f>_xlfn.IFNA(INDEX(MTT_codes,MATCH(loaded!BE502,MTT,0)),"")</f>
        <v/>
      </c>
      <c r="AA502" t="str">
        <f>_xlfn.IFNA(INDEX(MTT_codes,MATCH(loaded!BG502,MTT,0)),"")</f>
        <v/>
      </c>
      <c r="AB502" t="str">
        <f>_xlfn.IFNA(INDEX(MTT_codes,MATCH(loaded!BI502,MTT,0)),"")</f>
        <v/>
      </c>
      <c r="AC502" t="str">
        <f>_xlfn.IFNA(INDEX(MTT_codes,MATCH(loaded!BK502,MTT,0)),"")</f>
        <v/>
      </c>
      <c r="AD502" t="str">
        <f>_xlfn.IFNA(INDEX(MTT_codes,MATCH(loaded!BM502,MTT,0)),"")</f>
        <v/>
      </c>
      <c r="AE502" t="e">
        <f>INDEX(liv_ar_codes,MATCH(loaded!BO502,liv_ar,0))</f>
        <v>#N/A</v>
      </c>
      <c r="AF502" t="str">
        <f>_xlfn.IFNA(INDEX(MTT_codes,MATCH(loaded!BQ502,MTT,0)),"")</f>
        <v/>
      </c>
      <c r="AG502">
        <f>_xlfn.IFNA(INDEX(mental_codes,MATCH(loaded!BS502,mental,0)),9)</f>
        <v>9</v>
      </c>
    </row>
    <row r="503" spans="1:33" x14ac:dyDescent="0.25">
      <c r="A503">
        <f>loaded!C503</f>
        <v>0</v>
      </c>
      <c r="B503">
        <f>loaded!I503</f>
        <v>0</v>
      </c>
      <c r="C503">
        <f>IF(loaded!K503="Male",1,IF(loaded!K503="Female",2,9))</f>
        <v>9</v>
      </c>
      <c r="D503" s="8">
        <f>loaded!M503</f>
        <v>0</v>
      </c>
      <c r="E503" t="str">
        <f>LEFT(loaded!O503,3)</f>
        <v/>
      </c>
      <c r="F503" t="e">
        <f>INDEX(cntry_codes,MATCH(loaded!Q503,countries,0))</f>
        <v>#N/A</v>
      </c>
      <c r="G503" t="e">
        <f>INDEX(atsi_codes,MATCH(loaded!S503,atsi,0))</f>
        <v>#N/A</v>
      </c>
      <c r="H503" t="e">
        <f>INDEX(lang_codes,MATCH(loaded!U503,lang,0))</f>
        <v>#N/A</v>
      </c>
      <c r="I503" s="8">
        <f>loaded!W503</f>
        <v>0</v>
      </c>
      <c r="J503" t="e">
        <f>INDEX(us_acc_codes,MATCH(loaded!Y503,us_acc,0))</f>
        <v>#N/A</v>
      </c>
      <c r="K503" t="e">
        <f>INDEX(client_codes,MATCH(loaded!AA503,client,0))</f>
        <v>#N/A</v>
      </c>
      <c r="L503" t="e">
        <f>INDEX(src_ref_codes,MATCH(loaded!AC503,src_ref,0))</f>
        <v>#N/A</v>
      </c>
      <c r="M503" s="8">
        <f>loaded!AE503</f>
        <v>0</v>
      </c>
      <c r="N503" s="8">
        <f>loaded!AG503</f>
        <v>0</v>
      </c>
      <c r="O503" t="e">
        <f>INDEX(reces_codes,MATCH(loaded!AI503,reason,0))</f>
        <v>#N/A</v>
      </c>
      <c r="P503" t="e">
        <f>INDEX(TDS_codes,MATCH(loaded!AK503,TDS,0))</f>
        <v>#N/A</v>
      </c>
      <c r="Q503" t="e">
        <f>IF(K503=2,"",INDEX(method_codes,MATCH(loaded!AM503,method,0)))</f>
        <v>#N/A</v>
      </c>
      <c r="R503" t="e">
        <f>IF(K503=2,"",INDEX(inj_codes,MATCH(loaded!AO503,inj,0)))</f>
        <v>#N/A</v>
      </c>
      <c r="S503" t="e">
        <f>IF(K503=2,"",INDEX(drug_codes,MATCH(loaded!AQ503,drug,0)))</f>
        <v>#N/A</v>
      </c>
      <c r="T503" t="e">
        <f>IF(K503=2,"",_xlfn.IFNA(INDEX(drug_codes,MATCH(loaded!AS503,drug,0)),""))</f>
        <v>#N/A</v>
      </c>
      <c r="U503" t="e">
        <f>IF(K503=2,"",_xlfn.IFNA(INDEX(drug_codes,MATCH(loaded!AU503,drug,0)),""))</f>
        <v>#N/A</v>
      </c>
      <c r="V503" t="e">
        <f>IF(K503=2,"",_xlfn.IFNA(INDEX(drug_codes,MATCH(loaded!AW503,drug,0)),""))</f>
        <v>#N/A</v>
      </c>
      <c r="W503" t="e">
        <f>IF(K503=2,"",_xlfn.IFNA(INDEX(drug_codes,MATCH(loaded!AY503,drug,0)),""))</f>
        <v>#N/A</v>
      </c>
      <c r="X503" t="e">
        <f>IF(K503=2,"",_xlfn.IFNA(INDEX(drug_codes,MATCH(loaded!BA503,drug,0)),""))</f>
        <v>#N/A</v>
      </c>
      <c r="Y503" t="e">
        <f>INDEX(MTT_codes,MATCH(loaded!BC503,MTT,0))</f>
        <v>#N/A</v>
      </c>
      <c r="Z503" t="str">
        <f>_xlfn.IFNA(INDEX(MTT_codes,MATCH(loaded!BE503,MTT,0)),"")</f>
        <v/>
      </c>
      <c r="AA503" t="str">
        <f>_xlfn.IFNA(INDEX(MTT_codes,MATCH(loaded!BG503,MTT,0)),"")</f>
        <v/>
      </c>
      <c r="AB503" t="str">
        <f>_xlfn.IFNA(INDEX(MTT_codes,MATCH(loaded!BI503,MTT,0)),"")</f>
        <v/>
      </c>
      <c r="AC503" t="str">
        <f>_xlfn.IFNA(INDEX(MTT_codes,MATCH(loaded!BK503,MTT,0)),"")</f>
        <v/>
      </c>
      <c r="AD503" t="str">
        <f>_xlfn.IFNA(INDEX(MTT_codes,MATCH(loaded!BM503,MTT,0)),"")</f>
        <v/>
      </c>
      <c r="AE503" t="e">
        <f>INDEX(liv_ar_codes,MATCH(loaded!BO503,liv_ar,0))</f>
        <v>#N/A</v>
      </c>
      <c r="AF503" t="str">
        <f>_xlfn.IFNA(INDEX(MTT_codes,MATCH(loaded!BQ503,MTT,0)),"")</f>
        <v/>
      </c>
      <c r="AG503">
        <f>_xlfn.IFNA(INDEX(mental_codes,MATCH(loaded!BS503,mental,0)),9)</f>
        <v>9</v>
      </c>
    </row>
    <row r="504" spans="1:33" x14ac:dyDescent="0.25">
      <c r="A504">
        <f>loaded!C504</f>
        <v>0</v>
      </c>
      <c r="B504">
        <f>loaded!I504</f>
        <v>0</v>
      </c>
      <c r="C504">
        <f>IF(loaded!K504="Male",1,IF(loaded!K504="Female",2,9))</f>
        <v>9</v>
      </c>
      <c r="D504" s="8">
        <f>loaded!M504</f>
        <v>0</v>
      </c>
      <c r="E504" t="str">
        <f>LEFT(loaded!O504,3)</f>
        <v/>
      </c>
      <c r="F504" t="e">
        <f>INDEX(cntry_codes,MATCH(loaded!Q504,countries,0))</f>
        <v>#N/A</v>
      </c>
      <c r="G504" t="e">
        <f>INDEX(atsi_codes,MATCH(loaded!S504,atsi,0))</f>
        <v>#N/A</v>
      </c>
      <c r="H504" t="e">
        <f>INDEX(lang_codes,MATCH(loaded!U504,lang,0))</f>
        <v>#N/A</v>
      </c>
      <c r="I504" s="8">
        <f>loaded!W504</f>
        <v>0</v>
      </c>
      <c r="J504" t="e">
        <f>INDEX(us_acc_codes,MATCH(loaded!Y504,us_acc,0))</f>
        <v>#N/A</v>
      </c>
      <c r="K504" t="e">
        <f>INDEX(client_codes,MATCH(loaded!AA504,client,0))</f>
        <v>#N/A</v>
      </c>
      <c r="L504" t="e">
        <f>INDEX(src_ref_codes,MATCH(loaded!AC504,src_ref,0))</f>
        <v>#N/A</v>
      </c>
      <c r="M504" s="8">
        <f>loaded!AE504</f>
        <v>0</v>
      </c>
      <c r="N504" s="8">
        <f>loaded!AG504</f>
        <v>0</v>
      </c>
      <c r="O504" t="e">
        <f>INDEX(reces_codes,MATCH(loaded!AI504,reason,0))</f>
        <v>#N/A</v>
      </c>
      <c r="P504" t="e">
        <f>INDEX(TDS_codes,MATCH(loaded!AK504,TDS,0))</f>
        <v>#N/A</v>
      </c>
      <c r="Q504" t="e">
        <f>IF(K504=2,"",INDEX(method_codes,MATCH(loaded!AM504,method,0)))</f>
        <v>#N/A</v>
      </c>
      <c r="R504" t="e">
        <f>IF(K504=2,"",INDEX(inj_codes,MATCH(loaded!AO504,inj,0)))</f>
        <v>#N/A</v>
      </c>
      <c r="S504" t="e">
        <f>IF(K504=2,"",INDEX(drug_codes,MATCH(loaded!AQ504,drug,0)))</f>
        <v>#N/A</v>
      </c>
      <c r="T504" t="e">
        <f>IF(K504=2,"",_xlfn.IFNA(INDEX(drug_codes,MATCH(loaded!AS504,drug,0)),""))</f>
        <v>#N/A</v>
      </c>
      <c r="U504" t="e">
        <f>IF(K504=2,"",_xlfn.IFNA(INDEX(drug_codes,MATCH(loaded!AU504,drug,0)),""))</f>
        <v>#N/A</v>
      </c>
      <c r="V504" t="e">
        <f>IF(K504=2,"",_xlfn.IFNA(INDEX(drug_codes,MATCH(loaded!AW504,drug,0)),""))</f>
        <v>#N/A</v>
      </c>
      <c r="W504" t="e">
        <f>IF(K504=2,"",_xlfn.IFNA(INDEX(drug_codes,MATCH(loaded!AY504,drug,0)),""))</f>
        <v>#N/A</v>
      </c>
      <c r="X504" t="e">
        <f>IF(K504=2,"",_xlfn.IFNA(INDEX(drug_codes,MATCH(loaded!BA504,drug,0)),""))</f>
        <v>#N/A</v>
      </c>
      <c r="Y504" t="e">
        <f>INDEX(MTT_codes,MATCH(loaded!BC504,MTT,0))</f>
        <v>#N/A</v>
      </c>
      <c r="Z504" t="str">
        <f>_xlfn.IFNA(INDEX(MTT_codes,MATCH(loaded!BE504,MTT,0)),"")</f>
        <v/>
      </c>
      <c r="AA504" t="str">
        <f>_xlfn.IFNA(INDEX(MTT_codes,MATCH(loaded!BG504,MTT,0)),"")</f>
        <v/>
      </c>
      <c r="AB504" t="str">
        <f>_xlfn.IFNA(INDEX(MTT_codes,MATCH(loaded!BI504,MTT,0)),"")</f>
        <v/>
      </c>
      <c r="AC504" t="str">
        <f>_xlfn.IFNA(INDEX(MTT_codes,MATCH(loaded!BK504,MTT,0)),"")</f>
        <v/>
      </c>
      <c r="AD504" t="str">
        <f>_xlfn.IFNA(INDEX(MTT_codes,MATCH(loaded!BM504,MTT,0)),"")</f>
        <v/>
      </c>
      <c r="AE504" t="e">
        <f>INDEX(liv_ar_codes,MATCH(loaded!BO504,liv_ar,0))</f>
        <v>#N/A</v>
      </c>
      <c r="AF504" t="str">
        <f>_xlfn.IFNA(INDEX(MTT_codes,MATCH(loaded!BQ504,MTT,0)),"")</f>
        <v/>
      </c>
      <c r="AG504">
        <f>_xlfn.IFNA(INDEX(mental_codes,MATCH(loaded!BS504,mental,0)),9)</f>
        <v>9</v>
      </c>
    </row>
    <row r="505" spans="1:33" x14ac:dyDescent="0.25">
      <c r="A505">
        <f>loaded!C505</f>
        <v>0</v>
      </c>
      <c r="B505">
        <f>loaded!I505</f>
        <v>0</v>
      </c>
      <c r="C505">
        <f>IF(loaded!K505="Male",1,IF(loaded!K505="Female",2,9))</f>
        <v>9</v>
      </c>
      <c r="D505" s="8">
        <f>loaded!M505</f>
        <v>0</v>
      </c>
      <c r="E505" t="str">
        <f>LEFT(loaded!O505,3)</f>
        <v/>
      </c>
      <c r="F505" t="e">
        <f>INDEX(cntry_codes,MATCH(loaded!Q505,countries,0))</f>
        <v>#N/A</v>
      </c>
      <c r="G505" t="e">
        <f>INDEX(atsi_codes,MATCH(loaded!S505,atsi,0))</f>
        <v>#N/A</v>
      </c>
      <c r="H505" t="e">
        <f>INDEX(lang_codes,MATCH(loaded!U505,lang,0))</f>
        <v>#N/A</v>
      </c>
      <c r="I505" s="8">
        <f>loaded!W505</f>
        <v>0</v>
      </c>
      <c r="J505" t="e">
        <f>INDEX(us_acc_codes,MATCH(loaded!Y505,us_acc,0))</f>
        <v>#N/A</v>
      </c>
      <c r="K505" t="e">
        <f>INDEX(client_codes,MATCH(loaded!AA505,client,0))</f>
        <v>#N/A</v>
      </c>
      <c r="L505" t="e">
        <f>INDEX(src_ref_codes,MATCH(loaded!AC505,src_ref,0))</f>
        <v>#N/A</v>
      </c>
      <c r="M505" s="8">
        <f>loaded!AE505</f>
        <v>0</v>
      </c>
      <c r="N505" s="8">
        <f>loaded!AG505</f>
        <v>0</v>
      </c>
      <c r="O505" t="e">
        <f>INDEX(reces_codes,MATCH(loaded!AI505,reason,0))</f>
        <v>#N/A</v>
      </c>
      <c r="P505" t="e">
        <f>INDEX(TDS_codes,MATCH(loaded!AK505,TDS,0))</f>
        <v>#N/A</v>
      </c>
      <c r="Q505" t="e">
        <f>IF(K505=2,"",INDEX(method_codes,MATCH(loaded!AM505,method,0)))</f>
        <v>#N/A</v>
      </c>
      <c r="R505" t="e">
        <f>IF(K505=2,"",INDEX(inj_codes,MATCH(loaded!AO505,inj,0)))</f>
        <v>#N/A</v>
      </c>
      <c r="S505" t="e">
        <f>IF(K505=2,"",INDEX(drug_codes,MATCH(loaded!AQ505,drug,0)))</f>
        <v>#N/A</v>
      </c>
      <c r="T505" t="e">
        <f>IF(K505=2,"",_xlfn.IFNA(INDEX(drug_codes,MATCH(loaded!AS505,drug,0)),""))</f>
        <v>#N/A</v>
      </c>
      <c r="U505" t="e">
        <f>IF(K505=2,"",_xlfn.IFNA(INDEX(drug_codes,MATCH(loaded!AU505,drug,0)),""))</f>
        <v>#N/A</v>
      </c>
      <c r="V505" t="e">
        <f>IF(K505=2,"",_xlfn.IFNA(INDEX(drug_codes,MATCH(loaded!AW505,drug,0)),""))</f>
        <v>#N/A</v>
      </c>
      <c r="W505" t="e">
        <f>IF(K505=2,"",_xlfn.IFNA(INDEX(drug_codes,MATCH(loaded!AY505,drug,0)),""))</f>
        <v>#N/A</v>
      </c>
      <c r="X505" t="e">
        <f>IF(K505=2,"",_xlfn.IFNA(INDEX(drug_codes,MATCH(loaded!BA505,drug,0)),""))</f>
        <v>#N/A</v>
      </c>
      <c r="Y505" t="e">
        <f>INDEX(MTT_codes,MATCH(loaded!BC505,MTT,0))</f>
        <v>#N/A</v>
      </c>
      <c r="Z505" t="str">
        <f>_xlfn.IFNA(INDEX(MTT_codes,MATCH(loaded!BE505,MTT,0)),"")</f>
        <v/>
      </c>
      <c r="AA505" t="str">
        <f>_xlfn.IFNA(INDEX(MTT_codes,MATCH(loaded!BG505,MTT,0)),"")</f>
        <v/>
      </c>
      <c r="AB505" t="str">
        <f>_xlfn.IFNA(INDEX(MTT_codes,MATCH(loaded!BI505,MTT,0)),"")</f>
        <v/>
      </c>
      <c r="AC505" t="str">
        <f>_xlfn.IFNA(INDEX(MTT_codes,MATCH(loaded!BK505,MTT,0)),"")</f>
        <v/>
      </c>
      <c r="AD505" t="str">
        <f>_xlfn.IFNA(INDEX(MTT_codes,MATCH(loaded!BM505,MTT,0)),"")</f>
        <v/>
      </c>
      <c r="AE505" t="e">
        <f>INDEX(liv_ar_codes,MATCH(loaded!BO505,liv_ar,0))</f>
        <v>#N/A</v>
      </c>
      <c r="AF505" t="str">
        <f>_xlfn.IFNA(INDEX(MTT_codes,MATCH(loaded!BQ505,MTT,0)),"")</f>
        <v/>
      </c>
      <c r="AG505">
        <f>_xlfn.IFNA(INDEX(mental_codes,MATCH(loaded!BS505,mental,0)),9)</f>
        <v>9</v>
      </c>
    </row>
    <row r="506" spans="1:33" x14ac:dyDescent="0.25">
      <c r="A506">
        <f>loaded!C506</f>
        <v>0</v>
      </c>
      <c r="B506">
        <f>loaded!I506</f>
        <v>0</v>
      </c>
      <c r="C506">
        <f>IF(loaded!K506="Male",1,IF(loaded!K506="Female",2,9))</f>
        <v>9</v>
      </c>
      <c r="D506" s="8">
        <f>loaded!M506</f>
        <v>0</v>
      </c>
      <c r="E506" t="str">
        <f>LEFT(loaded!O506,3)</f>
        <v/>
      </c>
      <c r="F506" t="e">
        <f>INDEX(cntry_codes,MATCH(loaded!Q506,countries,0))</f>
        <v>#N/A</v>
      </c>
      <c r="G506" t="e">
        <f>INDEX(atsi_codes,MATCH(loaded!S506,atsi,0))</f>
        <v>#N/A</v>
      </c>
      <c r="H506" t="e">
        <f>INDEX(lang_codes,MATCH(loaded!U506,lang,0))</f>
        <v>#N/A</v>
      </c>
      <c r="I506" s="8">
        <f>loaded!W506</f>
        <v>0</v>
      </c>
      <c r="J506" t="e">
        <f>INDEX(us_acc_codes,MATCH(loaded!Y506,us_acc,0))</f>
        <v>#N/A</v>
      </c>
      <c r="K506" t="e">
        <f>INDEX(client_codes,MATCH(loaded!AA506,client,0))</f>
        <v>#N/A</v>
      </c>
      <c r="L506" t="e">
        <f>INDEX(src_ref_codes,MATCH(loaded!AC506,src_ref,0))</f>
        <v>#N/A</v>
      </c>
      <c r="M506" s="8">
        <f>loaded!AE506</f>
        <v>0</v>
      </c>
      <c r="N506" s="8">
        <f>loaded!AG506</f>
        <v>0</v>
      </c>
      <c r="O506" t="e">
        <f>INDEX(reces_codes,MATCH(loaded!AI506,reason,0))</f>
        <v>#N/A</v>
      </c>
      <c r="P506" t="e">
        <f>INDEX(TDS_codes,MATCH(loaded!AK506,TDS,0))</f>
        <v>#N/A</v>
      </c>
      <c r="Q506" t="e">
        <f>IF(K506=2,"",INDEX(method_codes,MATCH(loaded!AM506,method,0)))</f>
        <v>#N/A</v>
      </c>
      <c r="R506" t="e">
        <f>IF(K506=2,"",INDEX(inj_codes,MATCH(loaded!AO506,inj,0)))</f>
        <v>#N/A</v>
      </c>
      <c r="S506" t="e">
        <f>IF(K506=2,"",INDEX(drug_codes,MATCH(loaded!AQ506,drug,0)))</f>
        <v>#N/A</v>
      </c>
      <c r="T506" t="e">
        <f>IF(K506=2,"",_xlfn.IFNA(INDEX(drug_codes,MATCH(loaded!AS506,drug,0)),""))</f>
        <v>#N/A</v>
      </c>
      <c r="U506" t="e">
        <f>IF(K506=2,"",_xlfn.IFNA(INDEX(drug_codes,MATCH(loaded!AU506,drug,0)),""))</f>
        <v>#N/A</v>
      </c>
      <c r="V506" t="e">
        <f>IF(K506=2,"",_xlfn.IFNA(INDEX(drug_codes,MATCH(loaded!AW506,drug,0)),""))</f>
        <v>#N/A</v>
      </c>
      <c r="W506" t="e">
        <f>IF(K506=2,"",_xlfn.IFNA(INDEX(drug_codes,MATCH(loaded!AY506,drug,0)),""))</f>
        <v>#N/A</v>
      </c>
      <c r="X506" t="e">
        <f>IF(K506=2,"",_xlfn.IFNA(INDEX(drug_codes,MATCH(loaded!BA506,drug,0)),""))</f>
        <v>#N/A</v>
      </c>
      <c r="Y506" t="e">
        <f>INDEX(MTT_codes,MATCH(loaded!BC506,MTT,0))</f>
        <v>#N/A</v>
      </c>
      <c r="Z506" t="str">
        <f>_xlfn.IFNA(INDEX(MTT_codes,MATCH(loaded!BE506,MTT,0)),"")</f>
        <v/>
      </c>
      <c r="AA506" t="str">
        <f>_xlfn.IFNA(INDEX(MTT_codes,MATCH(loaded!BG506,MTT,0)),"")</f>
        <v/>
      </c>
      <c r="AB506" t="str">
        <f>_xlfn.IFNA(INDEX(MTT_codes,MATCH(loaded!BI506,MTT,0)),"")</f>
        <v/>
      </c>
      <c r="AC506" t="str">
        <f>_xlfn.IFNA(INDEX(MTT_codes,MATCH(loaded!BK506,MTT,0)),"")</f>
        <v/>
      </c>
      <c r="AD506" t="str">
        <f>_xlfn.IFNA(INDEX(MTT_codes,MATCH(loaded!BM506,MTT,0)),"")</f>
        <v/>
      </c>
      <c r="AE506" t="e">
        <f>INDEX(liv_ar_codes,MATCH(loaded!BO506,liv_ar,0))</f>
        <v>#N/A</v>
      </c>
      <c r="AF506" t="str">
        <f>_xlfn.IFNA(INDEX(MTT_codes,MATCH(loaded!BQ506,MTT,0)),"")</f>
        <v/>
      </c>
      <c r="AG506">
        <f>_xlfn.IFNA(INDEX(mental_codes,MATCH(loaded!BS506,mental,0)),9)</f>
        <v>9</v>
      </c>
    </row>
    <row r="507" spans="1:33" x14ac:dyDescent="0.25">
      <c r="A507">
        <f>loaded!C507</f>
        <v>0</v>
      </c>
      <c r="B507">
        <f>loaded!I507</f>
        <v>0</v>
      </c>
      <c r="C507">
        <f>IF(loaded!K507="Male",1,IF(loaded!K507="Female",2,9))</f>
        <v>9</v>
      </c>
      <c r="D507" s="8">
        <f>loaded!M507</f>
        <v>0</v>
      </c>
      <c r="E507" t="str">
        <f>LEFT(loaded!O507,3)</f>
        <v/>
      </c>
      <c r="F507" t="e">
        <f>INDEX(cntry_codes,MATCH(loaded!Q507,countries,0))</f>
        <v>#N/A</v>
      </c>
      <c r="G507" t="e">
        <f>INDEX(atsi_codes,MATCH(loaded!S507,atsi,0))</f>
        <v>#N/A</v>
      </c>
      <c r="H507" t="e">
        <f>INDEX(lang_codes,MATCH(loaded!U507,lang,0))</f>
        <v>#N/A</v>
      </c>
      <c r="I507" s="8">
        <f>loaded!W507</f>
        <v>0</v>
      </c>
      <c r="J507" t="e">
        <f>INDEX(us_acc_codes,MATCH(loaded!Y507,us_acc,0))</f>
        <v>#N/A</v>
      </c>
      <c r="K507" t="e">
        <f>INDEX(client_codes,MATCH(loaded!AA507,client,0))</f>
        <v>#N/A</v>
      </c>
      <c r="L507" t="e">
        <f>INDEX(src_ref_codes,MATCH(loaded!AC507,src_ref,0))</f>
        <v>#N/A</v>
      </c>
      <c r="M507" s="8">
        <f>loaded!AE507</f>
        <v>0</v>
      </c>
      <c r="N507" s="8">
        <f>loaded!AG507</f>
        <v>0</v>
      </c>
      <c r="O507" t="e">
        <f>INDEX(reces_codes,MATCH(loaded!AI507,reason,0))</f>
        <v>#N/A</v>
      </c>
      <c r="P507" t="e">
        <f>INDEX(TDS_codes,MATCH(loaded!AK507,TDS,0))</f>
        <v>#N/A</v>
      </c>
      <c r="Q507" t="e">
        <f>IF(K507=2,"",INDEX(method_codes,MATCH(loaded!AM507,method,0)))</f>
        <v>#N/A</v>
      </c>
      <c r="R507" t="e">
        <f>IF(K507=2,"",INDEX(inj_codes,MATCH(loaded!AO507,inj,0)))</f>
        <v>#N/A</v>
      </c>
      <c r="S507" t="e">
        <f>IF(K507=2,"",INDEX(drug_codes,MATCH(loaded!AQ507,drug,0)))</f>
        <v>#N/A</v>
      </c>
      <c r="T507" t="e">
        <f>IF(K507=2,"",_xlfn.IFNA(INDEX(drug_codes,MATCH(loaded!AS507,drug,0)),""))</f>
        <v>#N/A</v>
      </c>
      <c r="U507" t="e">
        <f>IF(K507=2,"",_xlfn.IFNA(INDEX(drug_codes,MATCH(loaded!AU507,drug,0)),""))</f>
        <v>#N/A</v>
      </c>
      <c r="V507" t="e">
        <f>IF(K507=2,"",_xlfn.IFNA(INDEX(drug_codes,MATCH(loaded!AW507,drug,0)),""))</f>
        <v>#N/A</v>
      </c>
      <c r="W507" t="e">
        <f>IF(K507=2,"",_xlfn.IFNA(INDEX(drug_codes,MATCH(loaded!AY507,drug,0)),""))</f>
        <v>#N/A</v>
      </c>
      <c r="X507" t="e">
        <f>IF(K507=2,"",_xlfn.IFNA(INDEX(drug_codes,MATCH(loaded!BA507,drug,0)),""))</f>
        <v>#N/A</v>
      </c>
      <c r="Y507" t="e">
        <f>INDEX(MTT_codes,MATCH(loaded!BC507,MTT,0))</f>
        <v>#N/A</v>
      </c>
      <c r="Z507" t="str">
        <f>_xlfn.IFNA(INDEX(MTT_codes,MATCH(loaded!BE507,MTT,0)),"")</f>
        <v/>
      </c>
      <c r="AA507" t="str">
        <f>_xlfn.IFNA(INDEX(MTT_codes,MATCH(loaded!BG507,MTT,0)),"")</f>
        <v/>
      </c>
      <c r="AB507" t="str">
        <f>_xlfn.IFNA(INDEX(MTT_codes,MATCH(loaded!BI507,MTT,0)),"")</f>
        <v/>
      </c>
      <c r="AC507" t="str">
        <f>_xlfn.IFNA(INDEX(MTT_codes,MATCH(loaded!BK507,MTT,0)),"")</f>
        <v/>
      </c>
      <c r="AD507" t="str">
        <f>_xlfn.IFNA(INDEX(MTT_codes,MATCH(loaded!BM507,MTT,0)),"")</f>
        <v/>
      </c>
      <c r="AE507" t="e">
        <f>INDEX(liv_ar_codes,MATCH(loaded!BO507,liv_ar,0))</f>
        <v>#N/A</v>
      </c>
      <c r="AF507" t="str">
        <f>_xlfn.IFNA(INDEX(MTT_codes,MATCH(loaded!BQ507,MTT,0)),"")</f>
        <v/>
      </c>
      <c r="AG507">
        <f>_xlfn.IFNA(INDEX(mental_codes,MATCH(loaded!BS507,mental,0)),9)</f>
        <v>9</v>
      </c>
    </row>
    <row r="508" spans="1:33" x14ac:dyDescent="0.25">
      <c r="A508">
        <f>loaded!C508</f>
        <v>0</v>
      </c>
      <c r="B508">
        <f>loaded!I508</f>
        <v>0</v>
      </c>
      <c r="C508">
        <f>IF(loaded!K508="Male",1,IF(loaded!K508="Female",2,9))</f>
        <v>9</v>
      </c>
      <c r="D508" s="8">
        <f>loaded!M508</f>
        <v>0</v>
      </c>
      <c r="E508" t="str">
        <f>LEFT(loaded!O508,3)</f>
        <v/>
      </c>
      <c r="F508" t="e">
        <f>INDEX(cntry_codes,MATCH(loaded!Q508,countries,0))</f>
        <v>#N/A</v>
      </c>
      <c r="G508" t="e">
        <f>INDEX(atsi_codes,MATCH(loaded!S508,atsi,0))</f>
        <v>#N/A</v>
      </c>
      <c r="H508" t="e">
        <f>INDEX(lang_codes,MATCH(loaded!U508,lang,0))</f>
        <v>#N/A</v>
      </c>
      <c r="I508" s="8">
        <f>loaded!W508</f>
        <v>0</v>
      </c>
      <c r="J508" t="e">
        <f>INDEX(us_acc_codes,MATCH(loaded!Y508,us_acc,0))</f>
        <v>#N/A</v>
      </c>
      <c r="K508" t="e">
        <f>INDEX(client_codes,MATCH(loaded!AA508,client,0))</f>
        <v>#N/A</v>
      </c>
      <c r="L508" t="e">
        <f>INDEX(src_ref_codes,MATCH(loaded!AC508,src_ref,0))</f>
        <v>#N/A</v>
      </c>
      <c r="M508" s="8">
        <f>loaded!AE508</f>
        <v>0</v>
      </c>
      <c r="N508" s="8">
        <f>loaded!AG508</f>
        <v>0</v>
      </c>
      <c r="O508" t="e">
        <f>INDEX(reces_codes,MATCH(loaded!AI508,reason,0))</f>
        <v>#N/A</v>
      </c>
      <c r="P508" t="e">
        <f>INDEX(TDS_codes,MATCH(loaded!AK508,TDS,0))</f>
        <v>#N/A</v>
      </c>
      <c r="Q508" t="e">
        <f>IF(K508=2,"",INDEX(method_codes,MATCH(loaded!AM508,method,0)))</f>
        <v>#N/A</v>
      </c>
      <c r="R508" t="e">
        <f>IF(K508=2,"",INDEX(inj_codes,MATCH(loaded!AO508,inj,0)))</f>
        <v>#N/A</v>
      </c>
      <c r="S508" t="e">
        <f>IF(K508=2,"",INDEX(drug_codes,MATCH(loaded!AQ508,drug,0)))</f>
        <v>#N/A</v>
      </c>
      <c r="T508" t="e">
        <f>IF(K508=2,"",_xlfn.IFNA(INDEX(drug_codes,MATCH(loaded!AS508,drug,0)),""))</f>
        <v>#N/A</v>
      </c>
      <c r="U508" t="e">
        <f>IF(K508=2,"",_xlfn.IFNA(INDEX(drug_codes,MATCH(loaded!AU508,drug,0)),""))</f>
        <v>#N/A</v>
      </c>
      <c r="V508" t="e">
        <f>IF(K508=2,"",_xlfn.IFNA(INDEX(drug_codes,MATCH(loaded!AW508,drug,0)),""))</f>
        <v>#N/A</v>
      </c>
      <c r="W508" t="e">
        <f>IF(K508=2,"",_xlfn.IFNA(INDEX(drug_codes,MATCH(loaded!AY508,drug,0)),""))</f>
        <v>#N/A</v>
      </c>
      <c r="X508" t="e">
        <f>IF(K508=2,"",_xlfn.IFNA(INDEX(drug_codes,MATCH(loaded!BA508,drug,0)),""))</f>
        <v>#N/A</v>
      </c>
      <c r="Y508" t="e">
        <f>INDEX(MTT_codes,MATCH(loaded!BC508,MTT,0))</f>
        <v>#N/A</v>
      </c>
      <c r="Z508" t="str">
        <f>_xlfn.IFNA(INDEX(MTT_codes,MATCH(loaded!BE508,MTT,0)),"")</f>
        <v/>
      </c>
      <c r="AA508" t="str">
        <f>_xlfn.IFNA(INDEX(MTT_codes,MATCH(loaded!BG508,MTT,0)),"")</f>
        <v/>
      </c>
      <c r="AB508" t="str">
        <f>_xlfn.IFNA(INDEX(MTT_codes,MATCH(loaded!BI508,MTT,0)),"")</f>
        <v/>
      </c>
      <c r="AC508" t="str">
        <f>_xlfn.IFNA(INDEX(MTT_codes,MATCH(loaded!BK508,MTT,0)),"")</f>
        <v/>
      </c>
      <c r="AD508" t="str">
        <f>_xlfn.IFNA(INDEX(MTT_codes,MATCH(loaded!BM508,MTT,0)),"")</f>
        <v/>
      </c>
      <c r="AE508" t="e">
        <f>INDEX(liv_ar_codes,MATCH(loaded!BO508,liv_ar,0))</f>
        <v>#N/A</v>
      </c>
      <c r="AF508" t="str">
        <f>_xlfn.IFNA(INDEX(MTT_codes,MATCH(loaded!BQ508,MTT,0)),"")</f>
        <v/>
      </c>
      <c r="AG508">
        <f>_xlfn.IFNA(INDEX(mental_codes,MATCH(loaded!BS508,mental,0)),9)</f>
        <v>9</v>
      </c>
    </row>
    <row r="509" spans="1:33" x14ac:dyDescent="0.25">
      <c r="A509">
        <f>loaded!C509</f>
        <v>0</v>
      </c>
      <c r="B509">
        <f>loaded!I509</f>
        <v>0</v>
      </c>
      <c r="C509">
        <f>IF(loaded!K509="Male",1,IF(loaded!K509="Female",2,9))</f>
        <v>9</v>
      </c>
      <c r="D509" s="8">
        <f>loaded!M509</f>
        <v>0</v>
      </c>
      <c r="E509" t="str">
        <f>LEFT(loaded!O509,3)</f>
        <v/>
      </c>
      <c r="F509" t="e">
        <f>INDEX(cntry_codes,MATCH(loaded!Q509,countries,0))</f>
        <v>#N/A</v>
      </c>
      <c r="G509" t="e">
        <f>INDEX(atsi_codes,MATCH(loaded!S509,atsi,0))</f>
        <v>#N/A</v>
      </c>
      <c r="H509" t="e">
        <f>INDEX(lang_codes,MATCH(loaded!U509,lang,0))</f>
        <v>#N/A</v>
      </c>
      <c r="I509" s="8">
        <f>loaded!W509</f>
        <v>0</v>
      </c>
      <c r="J509" t="e">
        <f>INDEX(us_acc_codes,MATCH(loaded!Y509,us_acc,0))</f>
        <v>#N/A</v>
      </c>
      <c r="K509" t="e">
        <f>INDEX(client_codes,MATCH(loaded!AA509,client,0))</f>
        <v>#N/A</v>
      </c>
      <c r="L509" t="e">
        <f>INDEX(src_ref_codes,MATCH(loaded!AC509,src_ref,0))</f>
        <v>#N/A</v>
      </c>
      <c r="M509" s="8">
        <f>loaded!AE509</f>
        <v>0</v>
      </c>
      <c r="N509" s="8">
        <f>loaded!AG509</f>
        <v>0</v>
      </c>
      <c r="O509" t="e">
        <f>INDEX(reces_codes,MATCH(loaded!AI509,reason,0))</f>
        <v>#N/A</v>
      </c>
      <c r="P509" t="e">
        <f>INDEX(TDS_codes,MATCH(loaded!AK509,TDS,0))</f>
        <v>#N/A</v>
      </c>
      <c r="Q509" t="e">
        <f>IF(K509=2,"",INDEX(method_codes,MATCH(loaded!AM509,method,0)))</f>
        <v>#N/A</v>
      </c>
      <c r="R509" t="e">
        <f>IF(K509=2,"",INDEX(inj_codes,MATCH(loaded!AO509,inj,0)))</f>
        <v>#N/A</v>
      </c>
      <c r="S509" t="e">
        <f>IF(K509=2,"",INDEX(drug_codes,MATCH(loaded!AQ509,drug,0)))</f>
        <v>#N/A</v>
      </c>
      <c r="T509" t="e">
        <f>IF(K509=2,"",_xlfn.IFNA(INDEX(drug_codes,MATCH(loaded!AS509,drug,0)),""))</f>
        <v>#N/A</v>
      </c>
      <c r="U509" t="e">
        <f>IF(K509=2,"",_xlfn.IFNA(INDEX(drug_codes,MATCH(loaded!AU509,drug,0)),""))</f>
        <v>#N/A</v>
      </c>
      <c r="V509" t="e">
        <f>IF(K509=2,"",_xlfn.IFNA(INDEX(drug_codes,MATCH(loaded!AW509,drug,0)),""))</f>
        <v>#N/A</v>
      </c>
      <c r="W509" t="e">
        <f>IF(K509=2,"",_xlfn.IFNA(INDEX(drug_codes,MATCH(loaded!AY509,drug,0)),""))</f>
        <v>#N/A</v>
      </c>
      <c r="X509" t="e">
        <f>IF(K509=2,"",_xlfn.IFNA(INDEX(drug_codes,MATCH(loaded!BA509,drug,0)),""))</f>
        <v>#N/A</v>
      </c>
      <c r="Y509" t="e">
        <f>INDEX(MTT_codes,MATCH(loaded!BC509,MTT,0))</f>
        <v>#N/A</v>
      </c>
      <c r="Z509" t="str">
        <f>_xlfn.IFNA(INDEX(MTT_codes,MATCH(loaded!BE509,MTT,0)),"")</f>
        <v/>
      </c>
      <c r="AA509" t="str">
        <f>_xlfn.IFNA(INDEX(MTT_codes,MATCH(loaded!BG509,MTT,0)),"")</f>
        <v/>
      </c>
      <c r="AB509" t="str">
        <f>_xlfn.IFNA(INDEX(MTT_codes,MATCH(loaded!BI509,MTT,0)),"")</f>
        <v/>
      </c>
      <c r="AC509" t="str">
        <f>_xlfn.IFNA(INDEX(MTT_codes,MATCH(loaded!BK509,MTT,0)),"")</f>
        <v/>
      </c>
      <c r="AD509" t="str">
        <f>_xlfn.IFNA(INDEX(MTT_codes,MATCH(loaded!BM509,MTT,0)),"")</f>
        <v/>
      </c>
      <c r="AE509" t="e">
        <f>INDEX(liv_ar_codes,MATCH(loaded!BO509,liv_ar,0))</f>
        <v>#N/A</v>
      </c>
      <c r="AF509" t="str">
        <f>_xlfn.IFNA(INDEX(MTT_codes,MATCH(loaded!BQ509,MTT,0)),"")</f>
        <v/>
      </c>
      <c r="AG509">
        <f>_xlfn.IFNA(INDEX(mental_codes,MATCH(loaded!BS509,mental,0)),9)</f>
        <v>9</v>
      </c>
    </row>
    <row r="510" spans="1:33" x14ac:dyDescent="0.25">
      <c r="A510">
        <f>loaded!C510</f>
        <v>0</v>
      </c>
      <c r="B510">
        <f>loaded!I510</f>
        <v>0</v>
      </c>
      <c r="C510">
        <f>IF(loaded!K510="Male",1,IF(loaded!K510="Female",2,9))</f>
        <v>9</v>
      </c>
      <c r="D510" s="8">
        <f>loaded!M510</f>
        <v>0</v>
      </c>
      <c r="E510" t="str">
        <f>LEFT(loaded!O510,3)</f>
        <v/>
      </c>
      <c r="F510" t="e">
        <f>INDEX(cntry_codes,MATCH(loaded!Q510,countries,0))</f>
        <v>#N/A</v>
      </c>
      <c r="G510" t="e">
        <f>INDEX(atsi_codes,MATCH(loaded!S510,atsi,0))</f>
        <v>#N/A</v>
      </c>
      <c r="H510" t="e">
        <f>INDEX(lang_codes,MATCH(loaded!U510,lang,0))</f>
        <v>#N/A</v>
      </c>
      <c r="I510" s="8">
        <f>loaded!W510</f>
        <v>0</v>
      </c>
      <c r="J510" t="e">
        <f>INDEX(us_acc_codes,MATCH(loaded!Y510,us_acc,0))</f>
        <v>#N/A</v>
      </c>
      <c r="K510" t="e">
        <f>INDEX(client_codes,MATCH(loaded!AA510,client,0))</f>
        <v>#N/A</v>
      </c>
      <c r="L510" t="e">
        <f>INDEX(src_ref_codes,MATCH(loaded!AC510,src_ref,0))</f>
        <v>#N/A</v>
      </c>
      <c r="M510" s="8">
        <f>loaded!AE510</f>
        <v>0</v>
      </c>
      <c r="N510" s="8">
        <f>loaded!AG510</f>
        <v>0</v>
      </c>
      <c r="O510" t="e">
        <f>INDEX(reces_codes,MATCH(loaded!AI510,reason,0))</f>
        <v>#N/A</v>
      </c>
      <c r="P510" t="e">
        <f>INDEX(TDS_codes,MATCH(loaded!AK510,TDS,0))</f>
        <v>#N/A</v>
      </c>
      <c r="Q510" t="e">
        <f>IF(K510=2,"",INDEX(method_codes,MATCH(loaded!AM510,method,0)))</f>
        <v>#N/A</v>
      </c>
      <c r="R510" t="e">
        <f>IF(K510=2,"",INDEX(inj_codes,MATCH(loaded!AO510,inj,0)))</f>
        <v>#N/A</v>
      </c>
      <c r="S510" t="e">
        <f>IF(K510=2,"",INDEX(drug_codes,MATCH(loaded!AQ510,drug,0)))</f>
        <v>#N/A</v>
      </c>
      <c r="T510" t="e">
        <f>IF(K510=2,"",_xlfn.IFNA(INDEX(drug_codes,MATCH(loaded!AS510,drug,0)),""))</f>
        <v>#N/A</v>
      </c>
      <c r="U510" t="e">
        <f>IF(K510=2,"",_xlfn.IFNA(INDEX(drug_codes,MATCH(loaded!AU510,drug,0)),""))</f>
        <v>#N/A</v>
      </c>
      <c r="V510" t="e">
        <f>IF(K510=2,"",_xlfn.IFNA(INDEX(drug_codes,MATCH(loaded!AW510,drug,0)),""))</f>
        <v>#N/A</v>
      </c>
      <c r="W510" t="e">
        <f>IF(K510=2,"",_xlfn.IFNA(INDEX(drug_codes,MATCH(loaded!AY510,drug,0)),""))</f>
        <v>#N/A</v>
      </c>
      <c r="X510" t="e">
        <f>IF(K510=2,"",_xlfn.IFNA(INDEX(drug_codes,MATCH(loaded!BA510,drug,0)),""))</f>
        <v>#N/A</v>
      </c>
      <c r="Y510" t="e">
        <f>INDEX(MTT_codes,MATCH(loaded!BC510,MTT,0))</f>
        <v>#N/A</v>
      </c>
      <c r="Z510" t="str">
        <f>_xlfn.IFNA(INDEX(MTT_codes,MATCH(loaded!BE510,MTT,0)),"")</f>
        <v/>
      </c>
      <c r="AA510" t="str">
        <f>_xlfn.IFNA(INDEX(MTT_codes,MATCH(loaded!BG510,MTT,0)),"")</f>
        <v/>
      </c>
      <c r="AB510" t="str">
        <f>_xlfn.IFNA(INDEX(MTT_codes,MATCH(loaded!BI510,MTT,0)),"")</f>
        <v/>
      </c>
      <c r="AC510" t="str">
        <f>_xlfn.IFNA(INDEX(MTT_codes,MATCH(loaded!BK510,MTT,0)),"")</f>
        <v/>
      </c>
      <c r="AD510" t="str">
        <f>_xlfn.IFNA(INDEX(MTT_codes,MATCH(loaded!BM510,MTT,0)),"")</f>
        <v/>
      </c>
      <c r="AE510" t="e">
        <f>INDEX(liv_ar_codes,MATCH(loaded!BO510,liv_ar,0))</f>
        <v>#N/A</v>
      </c>
      <c r="AF510" t="str">
        <f>_xlfn.IFNA(INDEX(MTT_codes,MATCH(loaded!BQ510,MTT,0)),"")</f>
        <v/>
      </c>
      <c r="AG510">
        <f>_xlfn.IFNA(INDEX(mental_codes,MATCH(loaded!BS510,mental,0)),9)</f>
        <v>9</v>
      </c>
    </row>
    <row r="511" spans="1:33" x14ac:dyDescent="0.25">
      <c r="A511">
        <f>loaded!C511</f>
        <v>0</v>
      </c>
      <c r="B511">
        <f>loaded!I511</f>
        <v>0</v>
      </c>
      <c r="C511">
        <f>IF(loaded!K511="Male",1,IF(loaded!K511="Female",2,9))</f>
        <v>9</v>
      </c>
      <c r="D511" s="8">
        <f>loaded!M511</f>
        <v>0</v>
      </c>
      <c r="E511" t="str">
        <f>LEFT(loaded!O511,3)</f>
        <v/>
      </c>
      <c r="F511" t="e">
        <f>INDEX(cntry_codes,MATCH(loaded!Q511,countries,0))</f>
        <v>#N/A</v>
      </c>
      <c r="G511" t="e">
        <f>INDEX(atsi_codes,MATCH(loaded!S511,atsi,0))</f>
        <v>#N/A</v>
      </c>
      <c r="H511" t="e">
        <f>INDEX(lang_codes,MATCH(loaded!U511,lang,0))</f>
        <v>#N/A</v>
      </c>
      <c r="I511" s="8">
        <f>loaded!W511</f>
        <v>0</v>
      </c>
      <c r="J511" t="e">
        <f>INDEX(us_acc_codes,MATCH(loaded!Y511,us_acc,0))</f>
        <v>#N/A</v>
      </c>
      <c r="K511" t="e">
        <f>INDEX(client_codes,MATCH(loaded!AA511,client,0))</f>
        <v>#N/A</v>
      </c>
      <c r="L511" t="e">
        <f>INDEX(src_ref_codes,MATCH(loaded!AC511,src_ref,0))</f>
        <v>#N/A</v>
      </c>
      <c r="M511" s="8">
        <f>loaded!AE511</f>
        <v>0</v>
      </c>
      <c r="N511" s="8">
        <f>loaded!AG511</f>
        <v>0</v>
      </c>
      <c r="O511" t="e">
        <f>INDEX(reces_codes,MATCH(loaded!AI511,reason,0))</f>
        <v>#N/A</v>
      </c>
      <c r="P511" t="e">
        <f>INDEX(TDS_codes,MATCH(loaded!AK511,TDS,0))</f>
        <v>#N/A</v>
      </c>
      <c r="Q511" t="e">
        <f>IF(K511=2,"",INDEX(method_codes,MATCH(loaded!AM511,method,0)))</f>
        <v>#N/A</v>
      </c>
      <c r="R511" t="e">
        <f>IF(K511=2,"",INDEX(inj_codes,MATCH(loaded!AO511,inj,0)))</f>
        <v>#N/A</v>
      </c>
      <c r="S511" t="e">
        <f>IF(K511=2,"",INDEX(drug_codes,MATCH(loaded!AQ511,drug,0)))</f>
        <v>#N/A</v>
      </c>
      <c r="T511" t="e">
        <f>IF(K511=2,"",_xlfn.IFNA(INDEX(drug_codes,MATCH(loaded!AS511,drug,0)),""))</f>
        <v>#N/A</v>
      </c>
      <c r="U511" t="e">
        <f>IF(K511=2,"",_xlfn.IFNA(INDEX(drug_codes,MATCH(loaded!AU511,drug,0)),""))</f>
        <v>#N/A</v>
      </c>
      <c r="V511" t="e">
        <f>IF(K511=2,"",_xlfn.IFNA(INDEX(drug_codes,MATCH(loaded!AW511,drug,0)),""))</f>
        <v>#N/A</v>
      </c>
      <c r="W511" t="e">
        <f>IF(K511=2,"",_xlfn.IFNA(INDEX(drug_codes,MATCH(loaded!AY511,drug,0)),""))</f>
        <v>#N/A</v>
      </c>
      <c r="X511" t="e">
        <f>IF(K511=2,"",_xlfn.IFNA(INDEX(drug_codes,MATCH(loaded!BA511,drug,0)),""))</f>
        <v>#N/A</v>
      </c>
      <c r="Y511" t="e">
        <f>INDEX(MTT_codes,MATCH(loaded!BC511,MTT,0))</f>
        <v>#N/A</v>
      </c>
      <c r="Z511" t="str">
        <f>_xlfn.IFNA(INDEX(MTT_codes,MATCH(loaded!BE511,MTT,0)),"")</f>
        <v/>
      </c>
      <c r="AA511" t="str">
        <f>_xlfn.IFNA(INDEX(MTT_codes,MATCH(loaded!BG511,MTT,0)),"")</f>
        <v/>
      </c>
      <c r="AB511" t="str">
        <f>_xlfn.IFNA(INDEX(MTT_codes,MATCH(loaded!BI511,MTT,0)),"")</f>
        <v/>
      </c>
      <c r="AC511" t="str">
        <f>_xlfn.IFNA(INDEX(MTT_codes,MATCH(loaded!BK511,MTT,0)),"")</f>
        <v/>
      </c>
      <c r="AD511" t="str">
        <f>_xlfn.IFNA(INDEX(MTT_codes,MATCH(loaded!BM511,MTT,0)),"")</f>
        <v/>
      </c>
      <c r="AE511" t="e">
        <f>INDEX(liv_ar_codes,MATCH(loaded!BO511,liv_ar,0))</f>
        <v>#N/A</v>
      </c>
      <c r="AF511" t="str">
        <f>_xlfn.IFNA(INDEX(MTT_codes,MATCH(loaded!BQ511,MTT,0)),"")</f>
        <v/>
      </c>
      <c r="AG511">
        <f>_xlfn.IFNA(INDEX(mental_codes,MATCH(loaded!BS511,mental,0)),9)</f>
        <v>9</v>
      </c>
    </row>
    <row r="512" spans="1:33" x14ac:dyDescent="0.25">
      <c r="A512">
        <f>loaded!C512</f>
        <v>0</v>
      </c>
      <c r="B512">
        <f>loaded!I512</f>
        <v>0</v>
      </c>
      <c r="C512">
        <f>IF(loaded!K512="Male",1,IF(loaded!K512="Female",2,9))</f>
        <v>9</v>
      </c>
      <c r="D512" s="8">
        <f>loaded!M512</f>
        <v>0</v>
      </c>
      <c r="E512" t="str">
        <f>LEFT(loaded!O512,3)</f>
        <v/>
      </c>
      <c r="F512" t="e">
        <f>INDEX(cntry_codes,MATCH(loaded!Q512,countries,0))</f>
        <v>#N/A</v>
      </c>
      <c r="G512" t="e">
        <f>INDEX(atsi_codes,MATCH(loaded!S512,atsi,0))</f>
        <v>#N/A</v>
      </c>
      <c r="H512" t="e">
        <f>INDEX(lang_codes,MATCH(loaded!U512,lang,0))</f>
        <v>#N/A</v>
      </c>
      <c r="I512" s="8">
        <f>loaded!W512</f>
        <v>0</v>
      </c>
      <c r="J512" t="e">
        <f>INDEX(us_acc_codes,MATCH(loaded!Y512,us_acc,0))</f>
        <v>#N/A</v>
      </c>
      <c r="K512" t="e">
        <f>INDEX(client_codes,MATCH(loaded!AA512,client,0))</f>
        <v>#N/A</v>
      </c>
      <c r="L512" t="e">
        <f>INDEX(src_ref_codes,MATCH(loaded!AC512,src_ref,0))</f>
        <v>#N/A</v>
      </c>
      <c r="M512" s="8">
        <f>loaded!AE512</f>
        <v>0</v>
      </c>
      <c r="N512" s="8">
        <f>loaded!AG512</f>
        <v>0</v>
      </c>
      <c r="O512" t="e">
        <f>INDEX(reces_codes,MATCH(loaded!AI512,reason,0))</f>
        <v>#N/A</v>
      </c>
      <c r="P512" t="e">
        <f>INDEX(TDS_codes,MATCH(loaded!AK512,TDS,0))</f>
        <v>#N/A</v>
      </c>
      <c r="Q512" t="e">
        <f>IF(K512=2,"",INDEX(method_codes,MATCH(loaded!AM512,method,0)))</f>
        <v>#N/A</v>
      </c>
      <c r="R512" t="e">
        <f>IF(K512=2,"",INDEX(inj_codes,MATCH(loaded!AO512,inj,0)))</f>
        <v>#N/A</v>
      </c>
      <c r="S512" t="e">
        <f>IF(K512=2,"",INDEX(drug_codes,MATCH(loaded!AQ512,drug,0)))</f>
        <v>#N/A</v>
      </c>
      <c r="T512" t="e">
        <f>IF(K512=2,"",_xlfn.IFNA(INDEX(drug_codes,MATCH(loaded!AS512,drug,0)),""))</f>
        <v>#N/A</v>
      </c>
      <c r="U512" t="e">
        <f>IF(K512=2,"",_xlfn.IFNA(INDEX(drug_codes,MATCH(loaded!AU512,drug,0)),""))</f>
        <v>#N/A</v>
      </c>
      <c r="V512" t="e">
        <f>IF(K512=2,"",_xlfn.IFNA(INDEX(drug_codes,MATCH(loaded!AW512,drug,0)),""))</f>
        <v>#N/A</v>
      </c>
      <c r="W512" t="e">
        <f>IF(K512=2,"",_xlfn.IFNA(INDEX(drug_codes,MATCH(loaded!AY512,drug,0)),""))</f>
        <v>#N/A</v>
      </c>
      <c r="X512" t="e">
        <f>IF(K512=2,"",_xlfn.IFNA(INDEX(drug_codes,MATCH(loaded!BA512,drug,0)),""))</f>
        <v>#N/A</v>
      </c>
      <c r="Y512" t="e">
        <f>INDEX(MTT_codes,MATCH(loaded!BC512,MTT,0))</f>
        <v>#N/A</v>
      </c>
      <c r="Z512" t="str">
        <f>_xlfn.IFNA(INDEX(MTT_codes,MATCH(loaded!BE512,MTT,0)),"")</f>
        <v/>
      </c>
      <c r="AA512" t="str">
        <f>_xlfn.IFNA(INDEX(MTT_codes,MATCH(loaded!BG512,MTT,0)),"")</f>
        <v/>
      </c>
      <c r="AB512" t="str">
        <f>_xlfn.IFNA(INDEX(MTT_codes,MATCH(loaded!BI512,MTT,0)),"")</f>
        <v/>
      </c>
      <c r="AC512" t="str">
        <f>_xlfn.IFNA(INDEX(MTT_codes,MATCH(loaded!BK512,MTT,0)),"")</f>
        <v/>
      </c>
      <c r="AD512" t="str">
        <f>_xlfn.IFNA(INDEX(MTT_codes,MATCH(loaded!BM512,MTT,0)),"")</f>
        <v/>
      </c>
      <c r="AE512" t="e">
        <f>INDEX(liv_ar_codes,MATCH(loaded!BO512,liv_ar,0))</f>
        <v>#N/A</v>
      </c>
      <c r="AF512" t="str">
        <f>_xlfn.IFNA(INDEX(MTT_codes,MATCH(loaded!BQ512,MTT,0)),"")</f>
        <v/>
      </c>
      <c r="AG512">
        <f>_xlfn.IFNA(INDEX(mental_codes,MATCH(loaded!BS512,mental,0)),9)</f>
        <v>9</v>
      </c>
    </row>
    <row r="513" spans="1:33" x14ac:dyDescent="0.25">
      <c r="A513">
        <f>loaded!C513</f>
        <v>0</v>
      </c>
      <c r="B513">
        <f>loaded!I513</f>
        <v>0</v>
      </c>
      <c r="C513">
        <f>IF(loaded!K513="Male",1,IF(loaded!K513="Female",2,9))</f>
        <v>9</v>
      </c>
      <c r="D513" s="8">
        <f>loaded!M513</f>
        <v>0</v>
      </c>
      <c r="E513" t="str">
        <f>LEFT(loaded!O513,3)</f>
        <v/>
      </c>
      <c r="F513" t="e">
        <f>INDEX(cntry_codes,MATCH(loaded!Q513,countries,0))</f>
        <v>#N/A</v>
      </c>
      <c r="G513" t="e">
        <f>INDEX(atsi_codes,MATCH(loaded!S513,atsi,0))</f>
        <v>#N/A</v>
      </c>
      <c r="H513" t="e">
        <f>INDEX(lang_codes,MATCH(loaded!U513,lang,0))</f>
        <v>#N/A</v>
      </c>
      <c r="I513" s="8">
        <f>loaded!W513</f>
        <v>0</v>
      </c>
      <c r="J513" t="e">
        <f>INDEX(us_acc_codes,MATCH(loaded!Y513,us_acc,0))</f>
        <v>#N/A</v>
      </c>
      <c r="K513" t="e">
        <f>INDEX(client_codes,MATCH(loaded!AA513,client,0))</f>
        <v>#N/A</v>
      </c>
      <c r="L513" t="e">
        <f>INDEX(src_ref_codes,MATCH(loaded!AC513,src_ref,0))</f>
        <v>#N/A</v>
      </c>
      <c r="M513" s="8">
        <f>loaded!AE513</f>
        <v>0</v>
      </c>
      <c r="N513" s="8">
        <f>loaded!AG513</f>
        <v>0</v>
      </c>
      <c r="O513" t="e">
        <f>INDEX(reces_codes,MATCH(loaded!AI513,reason,0))</f>
        <v>#N/A</v>
      </c>
      <c r="P513" t="e">
        <f>INDEX(TDS_codes,MATCH(loaded!AK513,TDS,0))</f>
        <v>#N/A</v>
      </c>
      <c r="Q513" t="e">
        <f>IF(K513=2,"",INDEX(method_codes,MATCH(loaded!AM513,method,0)))</f>
        <v>#N/A</v>
      </c>
      <c r="R513" t="e">
        <f>IF(K513=2,"",INDEX(inj_codes,MATCH(loaded!AO513,inj,0)))</f>
        <v>#N/A</v>
      </c>
      <c r="S513" t="e">
        <f>IF(K513=2,"",INDEX(drug_codes,MATCH(loaded!AQ513,drug,0)))</f>
        <v>#N/A</v>
      </c>
      <c r="T513" t="e">
        <f>IF(K513=2,"",_xlfn.IFNA(INDEX(drug_codes,MATCH(loaded!AS513,drug,0)),""))</f>
        <v>#N/A</v>
      </c>
      <c r="U513" t="e">
        <f>IF(K513=2,"",_xlfn.IFNA(INDEX(drug_codes,MATCH(loaded!AU513,drug,0)),""))</f>
        <v>#N/A</v>
      </c>
      <c r="V513" t="e">
        <f>IF(K513=2,"",_xlfn.IFNA(INDEX(drug_codes,MATCH(loaded!AW513,drug,0)),""))</f>
        <v>#N/A</v>
      </c>
      <c r="W513" t="e">
        <f>IF(K513=2,"",_xlfn.IFNA(INDEX(drug_codes,MATCH(loaded!AY513,drug,0)),""))</f>
        <v>#N/A</v>
      </c>
      <c r="X513" t="e">
        <f>IF(K513=2,"",_xlfn.IFNA(INDEX(drug_codes,MATCH(loaded!BA513,drug,0)),""))</f>
        <v>#N/A</v>
      </c>
      <c r="Y513" t="e">
        <f>INDEX(MTT_codes,MATCH(loaded!BC513,MTT,0))</f>
        <v>#N/A</v>
      </c>
      <c r="Z513" t="str">
        <f>_xlfn.IFNA(INDEX(MTT_codes,MATCH(loaded!BE513,MTT,0)),"")</f>
        <v/>
      </c>
      <c r="AA513" t="str">
        <f>_xlfn.IFNA(INDEX(MTT_codes,MATCH(loaded!BG513,MTT,0)),"")</f>
        <v/>
      </c>
      <c r="AB513" t="str">
        <f>_xlfn.IFNA(INDEX(MTT_codes,MATCH(loaded!BI513,MTT,0)),"")</f>
        <v/>
      </c>
      <c r="AC513" t="str">
        <f>_xlfn.IFNA(INDEX(MTT_codes,MATCH(loaded!BK513,MTT,0)),"")</f>
        <v/>
      </c>
      <c r="AD513" t="str">
        <f>_xlfn.IFNA(INDEX(MTT_codes,MATCH(loaded!BM513,MTT,0)),"")</f>
        <v/>
      </c>
      <c r="AE513" t="e">
        <f>INDEX(liv_ar_codes,MATCH(loaded!BO513,liv_ar,0))</f>
        <v>#N/A</v>
      </c>
      <c r="AF513" t="str">
        <f>_xlfn.IFNA(INDEX(MTT_codes,MATCH(loaded!BQ513,MTT,0)),"")</f>
        <v/>
      </c>
      <c r="AG513">
        <f>_xlfn.IFNA(INDEX(mental_codes,MATCH(loaded!BS513,mental,0)),9)</f>
        <v>9</v>
      </c>
    </row>
    <row r="514" spans="1:33" x14ac:dyDescent="0.25">
      <c r="A514">
        <f>loaded!C514</f>
        <v>0</v>
      </c>
      <c r="B514">
        <f>loaded!I514</f>
        <v>0</v>
      </c>
      <c r="C514">
        <f>IF(loaded!K514="Male",1,IF(loaded!K514="Female",2,9))</f>
        <v>9</v>
      </c>
      <c r="D514" s="8">
        <f>loaded!M514</f>
        <v>0</v>
      </c>
      <c r="E514" t="str">
        <f>LEFT(loaded!O514,3)</f>
        <v/>
      </c>
      <c r="F514" t="e">
        <f>INDEX(cntry_codes,MATCH(loaded!Q514,countries,0))</f>
        <v>#N/A</v>
      </c>
      <c r="G514" t="e">
        <f>INDEX(atsi_codes,MATCH(loaded!S514,atsi,0))</f>
        <v>#N/A</v>
      </c>
      <c r="H514" t="e">
        <f>INDEX(lang_codes,MATCH(loaded!U514,lang,0))</f>
        <v>#N/A</v>
      </c>
      <c r="I514" s="8">
        <f>loaded!W514</f>
        <v>0</v>
      </c>
      <c r="J514" t="e">
        <f>INDEX(us_acc_codes,MATCH(loaded!Y514,us_acc,0))</f>
        <v>#N/A</v>
      </c>
      <c r="K514" t="e">
        <f>INDEX(client_codes,MATCH(loaded!AA514,client,0))</f>
        <v>#N/A</v>
      </c>
      <c r="L514" t="e">
        <f>INDEX(src_ref_codes,MATCH(loaded!AC514,src_ref,0))</f>
        <v>#N/A</v>
      </c>
      <c r="M514" s="8">
        <f>loaded!AE514</f>
        <v>0</v>
      </c>
      <c r="N514" s="8">
        <f>loaded!AG514</f>
        <v>0</v>
      </c>
      <c r="O514" t="e">
        <f>INDEX(reces_codes,MATCH(loaded!AI514,reason,0))</f>
        <v>#N/A</v>
      </c>
      <c r="P514" t="e">
        <f>INDEX(TDS_codes,MATCH(loaded!AK514,TDS,0))</f>
        <v>#N/A</v>
      </c>
      <c r="Q514" t="e">
        <f>IF(K514=2,"",INDEX(method_codes,MATCH(loaded!AM514,method,0)))</f>
        <v>#N/A</v>
      </c>
      <c r="R514" t="e">
        <f>IF(K514=2,"",INDEX(inj_codes,MATCH(loaded!AO514,inj,0)))</f>
        <v>#N/A</v>
      </c>
      <c r="S514" t="e">
        <f>IF(K514=2,"",INDEX(drug_codes,MATCH(loaded!AQ514,drug,0)))</f>
        <v>#N/A</v>
      </c>
      <c r="T514" t="e">
        <f>IF(K514=2,"",_xlfn.IFNA(INDEX(drug_codes,MATCH(loaded!AS514,drug,0)),""))</f>
        <v>#N/A</v>
      </c>
      <c r="U514" t="e">
        <f>IF(K514=2,"",_xlfn.IFNA(INDEX(drug_codes,MATCH(loaded!AU514,drug,0)),""))</f>
        <v>#N/A</v>
      </c>
      <c r="V514" t="e">
        <f>IF(K514=2,"",_xlfn.IFNA(INDEX(drug_codes,MATCH(loaded!AW514,drug,0)),""))</f>
        <v>#N/A</v>
      </c>
      <c r="W514" t="e">
        <f>IF(K514=2,"",_xlfn.IFNA(INDEX(drug_codes,MATCH(loaded!AY514,drug,0)),""))</f>
        <v>#N/A</v>
      </c>
      <c r="X514" t="e">
        <f>IF(K514=2,"",_xlfn.IFNA(INDEX(drug_codes,MATCH(loaded!BA514,drug,0)),""))</f>
        <v>#N/A</v>
      </c>
      <c r="Y514" t="e">
        <f>INDEX(MTT_codes,MATCH(loaded!BC514,MTT,0))</f>
        <v>#N/A</v>
      </c>
      <c r="Z514" t="str">
        <f>_xlfn.IFNA(INDEX(MTT_codes,MATCH(loaded!BE514,MTT,0)),"")</f>
        <v/>
      </c>
      <c r="AA514" t="str">
        <f>_xlfn.IFNA(INDEX(MTT_codes,MATCH(loaded!BG514,MTT,0)),"")</f>
        <v/>
      </c>
      <c r="AB514" t="str">
        <f>_xlfn.IFNA(INDEX(MTT_codes,MATCH(loaded!BI514,MTT,0)),"")</f>
        <v/>
      </c>
      <c r="AC514" t="str">
        <f>_xlfn.IFNA(INDEX(MTT_codes,MATCH(loaded!BK514,MTT,0)),"")</f>
        <v/>
      </c>
      <c r="AD514" t="str">
        <f>_xlfn.IFNA(INDEX(MTT_codes,MATCH(loaded!BM514,MTT,0)),"")</f>
        <v/>
      </c>
      <c r="AE514" t="e">
        <f>INDEX(liv_ar_codes,MATCH(loaded!BO514,liv_ar,0))</f>
        <v>#N/A</v>
      </c>
      <c r="AF514" t="str">
        <f>_xlfn.IFNA(INDEX(MTT_codes,MATCH(loaded!BQ514,MTT,0)),"")</f>
        <v/>
      </c>
      <c r="AG514">
        <f>_xlfn.IFNA(INDEX(mental_codes,MATCH(loaded!BS514,mental,0)),9)</f>
        <v>9</v>
      </c>
    </row>
    <row r="515" spans="1:33" x14ac:dyDescent="0.25">
      <c r="A515">
        <f>loaded!C515</f>
        <v>0</v>
      </c>
      <c r="B515">
        <f>loaded!I515</f>
        <v>0</v>
      </c>
      <c r="C515">
        <f>IF(loaded!K515="Male",1,IF(loaded!K515="Female",2,9))</f>
        <v>9</v>
      </c>
      <c r="D515" s="8">
        <f>loaded!M515</f>
        <v>0</v>
      </c>
      <c r="E515" t="str">
        <f>LEFT(loaded!O515,3)</f>
        <v/>
      </c>
      <c r="F515" t="e">
        <f>INDEX(cntry_codes,MATCH(loaded!Q515,countries,0))</f>
        <v>#N/A</v>
      </c>
      <c r="G515" t="e">
        <f>INDEX(atsi_codes,MATCH(loaded!S515,atsi,0))</f>
        <v>#N/A</v>
      </c>
      <c r="H515" t="e">
        <f>INDEX(lang_codes,MATCH(loaded!U515,lang,0))</f>
        <v>#N/A</v>
      </c>
      <c r="I515" s="8">
        <f>loaded!W515</f>
        <v>0</v>
      </c>
      <c r="J515" t="e">
        <f>INDEX(us_acc_codes,MATCH(loaded!Y515,us_acc,0))</f>
        <v>#N/A</v>
      </c>
      <c r="K515" t="e">
        <f>INDEX(client_codes,MATCH(loaded!AA515,client,0))</f>
        <v>#N/A</v>
      </c>
      <c r="L515" t="e">
        <f>INDEX(src_ref_codes,MATCH(loaded!AC515,src_ref,0))</f>
        <v>#N/A</v>
      </c>
      <c r="M515" s="8">
        <f>loaded!AE515</f>
        <v>0</v>
      </c>
      <c r="N515" s="8">
        <f>loaded!AG515</f>
        <v>0</v>
      </c>
      <c r="O515" t="e">
        <f>INDEX(reces_codes,MATCH(loaded!AI515,reason,0))</f>
        <v>#N/A</v>
      </c>
      <c r="P515" t="e">
        <f>INDEX(TDS_codes,MATCH(loaded!AK515,TDS,0))</f>
        <v>#N/A</v>
      </c>
      <c r="Q515" t="e">
        <f>IF(K515=2,"",INDEX(method_codes,MATCH(loaded!AM515,method,0)))</f>
        <v>#N/A</v>
      </c>
      <c r="R515" t="e">
        <f>IF(K515=2,"",INDEX(inj_codes,MATCH(loaded!AO515,inj,0)))</f>
        <v>#N/A</v>
      </c>
      <c r="S515" t="e">
        <f>IF(K515=2,"",INDEX(drug_codes,MATCH(loaded!AQ515,drug,0)))</f>
        <v>#N/A</v>
      </c>
      <c r="T515" t="e">
        <f>IF(K515=2,"",_xlfn.IFNA(INDEX(drug_codes,MATCH(loaded!AS515,drug,0)),""))</f>
        <v>#N/A</v>
      </c>
      <c r="U515" t="e">
        <f>IF(K515=2,"",_xlfn.IFNA(INDEX(drug_codes,MATCH(loaded!AU515,drug,0)),""))</f>
        <v>#N/A</v>
      </c>
      <c r="V515" t="e">
        <f>IF(K515=2,"",_xlfn.IFNA(INDEX(drug_codes,MATCH(loaded!AW515,drug,0)),""))</f>
        <v>#N/A</v>
      </c>
      <c r="W515" t="e">
        <f>IF(K515=2,"",_xlfn.IFNA(INDEX(drug_codes,MATCH(loaded!AY515,drug,0)),""))</f>
        <v>#N/A</v>
      </c>
      <c r="X515" t="e">
        <f>IF(K515=2,"",_xlfn.IFNA(INDEX(drug_codes,MATCH(loaded!BA515,drug,0)),""))</f>
        <v>#N/A</v>
      </c>
      <c r="Y515" t="e">
        <f>INDEX(MTT_codes,MATCH(loaded!BC515,MTT,0))</f>
        <v>#N/A</v>
      </c>
      <c r="Z515" t="str">
        <f>_xlfn.IFNA(INDEX(MTT_codes,MATCH(loaded!BE515,MTT,0)),"")</f>
        <v/>
      </c>
      <c r="AA515" t="str">
        <f>_xlfn.IFNA(INDEX(MTT_codes,MATCH(loaded!BG515,MTT,0)),"")</f>
        <v/>
      </c>
      <c r="AB515" t="str">
        <f>_xlfn.IFNA(INDEX(MTT_codes,MATCH(loaded!BI515,MTT,0)),"")</f>
        <v/>
      </c>
      <c r="AC515" t="str">
        <f>_xlfn.IFNA(INDEX(MTT_codes,MATCH(loaded!BK515,MTT,0)),"")</f>
        <v/>
      </c>
      <c r="AD515" t="str">
        <f>_xlfn.IFNA(INDEX(MTT_codes,MATCH(loaded!BM515,MTT,0)),"")</f>
        <v/>
      </c>
      <c r="AE515" t="e">
        <f>INDEX(liv_ar_codes,MATCH(loaded!BO515,liv_ar,0))</f>
        <v>#N/A</v>
      </c>
      <c r="AF515" t="str">
        <f>_xlfn.IFNA(INDEX(MTT_codes,MATCH(loaded!BQ515,MTT,0)),"")</f>
        <v/>
      </c>
      <c r="AG515">
        <f>_xlfn.IFNA(INDEX(mental_codes,MATCH(loaded!BS515,mental,0)),9)</f>
        <v>9</v>
      </c>
    </row>
    <row r="516" spans="1:33" x14ac:dyDescent="0.25">
      <c r="A516">
        <f>loaded!C516</f>
        <v>0</v>
      </c>
      <c r="B516">
        <f>loaded!I516</f>
        <v>0</v>
      </c>
      <c r="C516">
        <f>IF(loaded!K516="Male",1,IF(loaded!K516="Female",2,9))</f>
        <v>9</v>
      </c>
      <c r="D516" s="8">
        <f>loaded!M516</f>
        <v>0</v>
      </c>
      <c r="E516" t="str">
        <f>LEFT(loaded!O516,3)</f>
        <v/>
      </c>
      <c r="F516" t="e">
        <f>INDEX(cntry_codes,MATCH(loaded!Q516,countries,0))</f>
        <v>#N/A</v>
      </c>
      <c r="G516" t="e">
        <f>INDEX(atsi_codes,MATCH(loaded!S516,atsi,0))</f>
        <v>#N/A</v>
      </c>
      <c r="H516" t="e">
        <f>INDEX(lang_codes,MATCH(loaded!U516,lang,0))</f>
        <v>#N/A</v>
      </c>
      <c r="I516" s="8">
        <f>loaded!W516</f>
        <v>0</v>
      </c>
      <c r="J516" t="e">
        <f>INDEX(us_acc_codes,MATCH(loaded!Y516,us_acc,0))</f>
        <v>#N/A</v>
      </c>
      <c r="K516" t="e">
        <f>INDEX(client_codes,MATCH(loaded!AA516,client,0))</f>
        <v>#N/A</v>
      </c>
      <c r="L516" t="e">
        <f>INDEX(src_ref_codes,MATCH(loaded!AC516,src_ref,0))</f>
        <v>#N/A</v>
      </c>
      <c r="M516" s="8">
        <f>loaded!AE516</f>
        <v>0</v>
      </c>
      <c r="N516" s="8">
        <f>loaded!AG516</f>
        <v>0</v>
      </c>
      <c r="O516" t="e">
        <f>INDEX(reces_codes,MATCH(loaded!AI516,reason,0))</f>
        <v>#N/A</v>
      </c>
      <c r="P516" t="e">
        <f>INDEX(TDS_codes,MATCH(loaded!AK516,TDS,0))</f>
        <v>#N/A</v>
      </c>
      <c r="Q516" t="e">
        <f>IF(K516=2,"",INDEX(method_codes,MATCH(loaded!AM516,method,0)))</f>
        <v>#N/A</v>
      </c>
      <c r="R516" t="e">
        <f>IF(K516=2,"",INDEX(inj_codes,MATCH(loaded!AO516,inj,0)))</f>
        <v>#N/A</v>
      </c>
      <c r="S516" t="e">
        <f>IF(K516=2,"",INDEX(drug_codes,MATCH(loaded!AQ516,drug,0)))</f>
        <v>#N/A</v>
      </c>
      <c r="T516" t="e">
        <f>IF(K516=2,"",_xlfn.IFNA(INDEX(drug_codes,MATCH(loaded!AS516,drug,0)),""))</f>
        <v>#N/A</v>
      </c>
      <c r="U516" t="e">
        <f>IF(K516=2,"",_xlfn.IFNA(INDEX(drug_codes,MATCH(loaded!AU516,drug,0)),""))</f>
        <v>#N/A</v>
      </c>
      <c r="V516" t="e">
        <f>IF(K516=2,"",_xlfn.IFNA(INDEX(drug_codes,MATCH(loaded!AW516,drug,0)),""))</f>
        <v>#N/A</v>
      </c>
      <c r="W516" t="e">
        <f>IF(K516=2,"",_xlfn.IFNA(INDEX(drug_codes,MATCH(loaded!AY516,drug,0)),""))</f>
        <v>#N/A</v>
      </c>
      <c r="X516" t="e">
        <f>IF(K516=2,"",_xlfn.IFNA(INDEX(drug_codes,MATCH(loaded!BA516,drug,0)),""))</f>
        <v>#N/A</v>
      </c>
      <c r="Y516" t="e">
        <f>INDEX(MTT_codes,MATCH(loaded!BC516,MTT,0))</f>
        <v>#N/A</v>
      </c>
      <c r="Z516" t="str">
        <f>_xlfn.IFNA(INDEX(MTT_codes,MATCH(loaded!BE516,MTT,0)),"")</f>
        <v/>
      </c>
      <c r="AA516" t="str">
        <f>_xlfn.IFNA(INDEX(MTT_codes,MATCH(loaded!BG516,MTT,0)),"")</f>
        <v/>
      </c>
      <c r="AB516" t="str">
        <f>_xlfn.IFNA(INDEX(MTT_codes,MATCH(loaded!BI516,MTT,0)),"")</f>
        <v/>
      </c>
      <c r="AC516" t="str">
        <f>_xlfn.IFNA(INDEX(MTT_codes,MATCH(loaded!BK516,MTT,0)),"")</f>
        <v/>
      </c>
      <c r="AD516" t="str">
        <f>_xlfn.IFNA(INDEX(MTT_codes,MATCH(loaded!BM516,MTT,0)),"")</f>
        <v/>
      </c>
      <c r="AE516" t="e">
        <f>INDEX(liv_ar_codes,MATCH(loaded!BO516,liv_ar,0))</f>
        <v>#N/A</v>
      </c>
      <c r="AF516" t="str">
        <f>_xlfn.IFNA(INDEX(MTT_codes,MATCH(loaded!BQ516,MTT,0)),"")</f>
        <v/>
      </c>
      <c r="AG516">
        <f>_xlfn.IFNA(INDEX(mental_codes,MATCH(loaded!BS516,mental,0)),9)</f>
        <v>9</v>
      </c>
    </row>
    <row r="517" spans="1:33" x14ac:dyDescent="0.25">
      <c r="A517">
        <f>loaded!C517</f>
        <v>0</v>
      </c>
      <c r="B517">
        <f>loaded!I517</f>
        <v>0</v>
      </c>
      <c r="C517">
        <f>IF(loaded!K517="Male",1,IF(loaded!K517="Female",2,9))</f>
        <v>9</v>
      </c>
      <c r="D517" s="8">
        <f>loaded!M517</f>
        <v>0</v>
      </c>
      <c r="E517" t="str">
        <f>LEFT(loaded!O517,3)</f>
        <v/>
      </c>
      <c r="F517" t="e">
        <f>INDEX(cntry_codes,MATCH(loaded!Q517,countries,0))</f>
        <v>#N/A</v>
      </c>
      <c r="G517" t="e">
        <f>INDEX(atsi_codes,MATCH(loaded!S517,atsi,0))</f>
        <v>#N/A</v>
      </c>
      <c r="H517" t="e">
        <f>INDEX(lang_codes,MATCH(loaded!U517,lang,0))</f>
        <v>#N/A</v>
      </c>
      <c r="I517" s="8">
        <f>loaded!W517</f>
        <v>0</v>
      </c>
      <c r="J517" t="e">
        <f>INDEX(us_acc_codes,MATCH(loaded!Y517,us_acc,0))</f>
        <v>#N/A</v>
      </c>
      <c r="K517" t="e">
        <f>INDEX(client_codes,MATCH(loaded!AA517,client,0))</f>
        <v>#N/A</v>
      </c>
      <c r="L517" t="e">
        <f>INDEX(src_ref_codes,MATCH(loaded!AC517,src_ref,0))</f>
        <v>#N/A</v>
      </c>
      <c r="M517" s="8">
        <f>loaded!AE517</f>
        <v>0</v>
      </c>
      <c r="N517" s="8">
        <f>loaded!AG517</f>
        <v>0</v>
      </c>
      <c r="O517" t="e">
        <f>INDEX(reces_codes,MATCH(loaded!AI517,reason,0))</f>
        <v>#N/A</v>
      </c>
      <c r="P517" t="e">
        <f>INDEX(TDS_codes,MATCH(loaded!AK517,TDS,0))</f>
        <v>#N/A</v>
      </c>
      <c r="Q517" t="e">
        <f>IF(K517=2,"",INDEX(method_codes,MATCH(loaded!AM517,method,0)))</f>
        <v>#N/A</v>
      </c>
      <c r="R517" t="e">
        <f>IF(K517=2,"",INDEX(inj_codes,MATCH(loaded!AO517,inj,0)))</f>
        <v>#N/A</v>
      </c>
      <c r="S517" t="e">
        <f>IF(K517=2,"",INDEX(drug_codes,MATCH(loaded!AQ517,drug,0)))</f>
        <v>#N/A</v>
      </c>
      <c r="T517" t="e">
        <f>IF(K517=2,"",_xlfn.IFNA(INDEX(drug_codes,MATCH(loaded!AS517,drug,0)),""))</f>
        <v>#N/A</v>
      </c>
      <c r="U517" t="e">
        <f>IF(K517=2,"",_xlfn.IFNA(INDEX(drug_codes,MATCH(loaded!AU517,drug,0)),""))</f>
        <v>#N/A</v>
      </c>
      <c r="V517" t="e">
        <f>IF(K517=2,"",_xlfn.IFNA(INDEX(drug_codes,MATCH(loaded!AW517,drug,0)),""))</f>
        <v>#N/A</v>
      </c>
      <c r="W517" t="e">
        <f>IF(K517=2,"",_xlfn.IFNA(INDEX(drug_codes,MATCH(loaded!AY517,drug,0)),""))</f>
        <v>#N/A</v>
      </c>
      <c r="X517" t="e">
        <f>IF(K517=2,"",_xlfn.IFNA(INDEX(drug_codes,MATCH(loaded!BA517,drug,0)),""))</f>
        <v>#N/A</v>
      </c>
      <c r="Y517" t="e">
        <f>INDEX(MTT_codes,MATCH(loaded!BC517,MTT,0))</f>
        <v>#N/A</v>
      </c>
      <c r="Z517" t="str">
        <f>_xlfn.IFNA(INDEX(MTT_codes,MATCH(loaded!BE517,MTT,0)),"")</f>
        <v/>
      </c>
      <c r="AA517" t="str">
        <f>_xlfn.IFNA(INDEX(MTT_codes,MATCH(loaded!BG517,MTT,0)),"")</f>
        <v/>
      </c>
      <c r="AB517" t="str">
        <f>_xlfn.IFNA(INDEX(MTT_codes,MATCH(loaded!BI517,MTT,0)),"")</f>
        <v/>
      </c>
      <c r="AC517" t="str">
        <f>_xlfn.IFNA(INDEX(MTT_codes,MATCH(loaded!BK517,MTT,0)),"")</f>
        <v/>
      </c>
      <c r="AD517" t="str">
        <f>_xlfn.IFNA(INDEX(MTT_codes,MATCH(loaded!BM517,MTT,0)),"")</f>
        <v/>
      </c>
      <c r="AE517" t="e">
        <f>INDEX(liv_ar_codes,MATCH(loaded!BO517,liv_ar,0))</f>
        <v>#N/A</v>
      </c>
      <c r="AF517" t="str">
        <f>_xlfn.IFNA(INDEX(MTT_codes,MATCH(loaded!BQ517,MTT,0)),"")</f>
        <v/>
      </c>
      <c r="AG517">
        <f>_xlfn.IFNA(INDEX(mental_codes,MATCH(loaded!BS517,mental,0)),9)</f>
        <v>9</v>
      </c>
    </row>
    <row r="518" spans="1:33" x14ac:dyDescent="0.25">
      <c r="A518">
        <f>loaded!C518</f>
        <v>0</v>
      </c>
      <c r="B518">
        <f>loaded!I518</f>
        <v>0</v>
      </c>
      <c r="C518">
        <f>IF(loaded!K518="Male",1,IF(loaded!K518="Female",2,9))</f>
        <v>9</v>
      </c>
      <c r="D518" s="8">
        <f>loaded!M518</f>
        <v>0</v>
      </c>
      <c r="E518" t="str">
        <f>LEFT(loaded!O518,3)</f>
        <v/>
      </c>
      <c r="F518" t="e">
        <f>INDEX(cntry_codes,MATCH(loaded!Q518,countries,0))</f>
        <v>#N/A</v>
      </c>
      <c r="G518" t="e">
        <f>INDEX(atsi_codes,MATCH(loaded!S518,atsi,0))</f>
        <v>#N/A</v>
      </c>
      <c r="H518" t="e">
        <f>INDEX(lang_codes,MATCH(loaded!U518,lang,0))</f>
        <v>#N/A</v>
      </c>
      <c r="I518" s="8">
        <f>loaded!W518</f>
        <v>0</v>
      </c>
      <c r="J518" t="e">
        <f>INDEX(us_acc_codes,MATCH(loaded!Y518,us_acc,0))</f>
        <v>#N/A</v>
      </c>
      <c r="K518" t="e">
        <f>INDEX(client_codes,MATCH(loaded!AA518,client,0))</f>
        <v>#N/A</v>
      </c>
      <c r="L518" t="e">
        <f>INDEX(src_ref_codes,MATCH(loaded!AC518,src_ref,0))</f>
        <v>#N/A</v>
      </c>
      <c r="M518" s="8">
        <f>loaded!AE518</f>
        <v>0</v>
      </c>
      <c r="N518" s="8">
        <f>loaded!AG518</f>
        <v>0</v>
      </c>
      <c r="O518" t="e">
        <f>INDEX(reces_codes,MATCH(loaded!AI518,reason,0))</f>
        <v>#N/A</v>
      </c>
      <c r="P518" t="e">
        <f>INDEX(TDS_codes,MATCH(loaded!AK518,TDS,0))</f>
        <v>#N/A</v>
      </c>
      <c r="Q518" t="e">
        <f>IF(K518=2,"",INDEX(method_codes,MATCH(loaded!AM518,method,0)))</f>
        <v>#N/A</v>
      </c>
      <c r="R518" t="e">
        <f>IF(K518=2,"",INDEX(inj_codes,MATCH(loaded!AO518,inj,0)))</f>
        <v>#N/A</v>
      </c>
      <c r="S518" t="e">
        <f>IF(K518=2,"",INDEX(drug_codes,MATCH(loaded!AQ518,drug,0)))</f>
        <v>#N/A</v>
      </c>
      <c r="T518" t="e">
        <f>IF(K518=2,"",_xlfn.IFNA(INDEX(drug_codes,MATCH(loaded!AS518,drug,0)),""))</f>
        <v>#N/A</v>
      </c>
      <c r="U518" t="e">
        <f>IF(K518=2,"",_xlfn.IFNA(INDEX(drug_codes,MATCH(loaded!AU518,drug,0)),""))</f>
        <v>#N/A</v>
      </c>
      <c r="V518" t="e">
        <f>IF(K518=2,"",_xlfn.IFNA(INDEX(drug_codes,MATCH(loaded!AW518,drug,0)),""))</f>
        <v>#N/A</v>
      </c>
      <c r="W518" t="e">
        <f>IF(K518=2,"",_xlfn.IFNA(INDEX(drug_codes,MATCH(loaded!AY518,drug,0)),""))</f>
        <v>#N/A</v>
      </c>
      <c r="X518" t="e">
        <f>IF(K518=2,"",_xlfn.IFNA(INDEX(drug_codes,MATCH(loaded!BA518,drug,0)),""))</f>
        <v>#N/A</v>
      </c>
      <c r="Y518" t="e">
        <f>INDEX(MTT_codes,MATCH(loaded!BC518,MTT,0))</f>
        <v>#N/A</v>
      </c>
      <c r="Z518" t="str">
        <f>_xlfn.IFNA(INDEX(MTT_codes,MATCH(loaded!BE518,MTT,0)),"")</f>
        <v/>
      </c>
      <c r="AA518" t="str">
        <f>_xlfn.IFNA(INDEX(MTT_codes,MATCH(loaded!BG518,MTT,0)),"")</f>
        <v/>
      </c>
      <c r="AB518" t="str">
        <f>_xlfn.IFNA(INDEX(MTT_codes,MATCH(loaded!BI518,MTT,0)),"")</f>
        <v/>
      </c>
      <c r="AC518" t="str">
        <f>_xlfn.IFNA(INDEX(MTT_codes,MATCH(loaded!BK518,MTT,0)),"")</f>
        <v/>
      </c>
      <c r="AD518" t="str">
        <f>_xlfn.IFNA(INDEX(MTT_codes,MATCH(loaded!BM518,MTT,0)),"")</f>
        <v/>
      </c>
      <c r="AE518" t="e">
        <f>INDEX(liv_ar_codes,MATCH(loaded!BO518,liv_ar,0))</f>
        <v>#N/A</v>
      </c>
      <c r="AF518" t="str">
        <f>_xlfn.IFNA(INDEX(MTT_codes,MATCH(loaded!BQ518,MTT,0)),"")</f>
        <v/>
      </c>
      <c r="AG518">
        <f>_xlfn.IFNA(INDEX(mental_codes,MATCH(loaded!BS518,mental,0)),9)</f>
        <v>9</v>
      </c>
    </row>
    <row r="519" spans="1:33" x14ac:dyDescent="0.25">
      <c r="A519">
        <f>loaded!C519</f>
        <v>0</v>
      </c>
      <c r="B519">
        <f>loaded!I519</f>
        <v>0</v>
      </c>
      <c r="C519">
        <f>IF(loaded!K519="Male",1,IF(loaded!K519="Female",2,9))</f>
        <v>9</v>
      </c>
      <c r="D519" s="8">
        <f>loaded!M519</f>
        <v>0</v>
      </c>
      <c r="E519" t="str">
        <f>LEFT(loaded!O519,3)</f>
        <v/>
      </c>
      <c r="F519" t="e">
        <f>INDEX(cntry_codes,MATCH(loaded!Q519,countries,0))</f>
        <v>#N/A</v>
      </c>
      <c r="G519" t="e">
        <f>INDEX(atsi_codes,MATCH(loaded!S519,atsi,0))</f>
        <v>#N/A</v>
      </c>
      <c r="H519" t="e">
        <f>INDEX(lang_codes,MATCH(loaded!U519,lang,0))</f>
        <v>#N/A</v>
      </c>
      <c r="I519" s="8">
        <f>loaded!W519</f>
        <v>0</v>
      </c>
      <c r="J519" t="e">
        <f>INDEX(us_acc_codes,MATCH(loaded!Y519,us_acc,0))</f>
        <v>#N/A</v>
      </c>
      <c r="K519" t="e">
        <f>INDEX(client_codes,MATCH(loaded!AA519,client,0))</f>
        <v>#N/A</v>
      </c>
      <c r="L519" t="e">
        <f>INDEX(src_ref_codes,MATCH(loaded!AC519,src_ref,0))</f>
        <v>#N/A</v>
      </c>
      <c r="M519" s="8">
        <f>loaded!AE519</f>
        <v>0</v>
      </c>
      <c r="N519" s="8">
        <f>loaded!AG519</f>
        <v>0</v>
      </c>
      <c r="O519" t="e">
        <f>INDEX(reces_codes,MATCH(loaded!AI519,reason,0))</f>
        <v>#N/A</v>
      </c>
      <c r="P519" t="e">
        <f>INDEX(TDS_codes,MATCH(loaded!AK519,TDS,0))</f>
        <v>#N/A</v>
      </c>
      <c r="Q519" t="e">
        <f>IF(K519=2,"",INDEX(method_codes,MATCH(loaded!AM519,method,0)))</f>
        <v>#N/A</v>
      </c>
      <c r="R519" t="e">
        <f>IF(K519=2,"",INDEX(inj_codes,MATCH(loaded!AO519,inj,0)))</f>
        <v>#N/A</v>
      </c>
      <c r="S519" t="e">
        <f>IF(K519=2,"",INDEX(drug_codes,MATCH(loaded!AQ519,drug,0)))</f>
        <v>#N/A</v>
      </c>
      <c r="T519" t="e">
        <f>IF(K519=2,"",_xlfn.IFNA(INDEX(drug_codes,MATCH(loaded!AS519,drug,0)),""))</f>
        <v>#N/A</v>
      </c>
      <c r="U519" t="e">
        <f>IF(K519=2,"",_xlfn.IFNA(INDEX(drug_codes,MATCH(loaded!AU519,drug,0)),""))</f>
        <v>#N/A</v>
      </c>
      <c r="V519" t="e">
        <f>IF(K519=2,"",_xlfn.IFNA(INDEX(drug_codes,MATCH(loaded!AW519,drug,0)),""))</f>
        <v>#N/A</v>
      </c>
      <c r="W519" t="e">
        <f>IF(K519=2,"",_xlfn.IFNA(INDEX(drug_codes,MATCH(loaded!AY519,drug,0)),""))</f>
        <v>#N/A</v>
      </c>
      <c r="X519" t="e">
        <f>IF(K519=2,"",_xlfn.IFNA(INDEX(drug_codes,MATCH(loaded!BA519,drug,0)),""))</f>
        <v>#N/A</v>
      </c>
      <c r="Y519" t="e">
        <f>INDEX(MTT_codes,MATCH(loaded!BC519,MTT,0))</f>
        <v>#N/A</v>
      </c>
      <c r="Z519" t="str">
        <f>_xlfn.IFNA(INDEX(MTT_codes,MATCH(loaded!BE519,MTT,0)),"")</f>
        <v/>
      </c>
      <c r="AA519" t="str">
        <f>_xlfn.IFNA(INDEX(MTT_codes,MATCH(loaded!BG519,MTT,0)),"")</f>
        <v/>
      </c>
      <c r="AB519" t="str">
        <f>_xlfn.IFNA(INDEX(MTT_codes,MATCH(loaded!BI519,MTT,0)),"")</f>
        <v/>
      </c>
      <c r="AC519" t="str">
        <f>_xlfn.IFNA(INDEX(MTT_codes,MATCH(loaded!BK519,MTT,0)),"")</f>
        <v/>
      </c>
      <c r="AD519" t="str">
        <f>_xlfn.IFNA(INDEX(MTT_codes,MATCH(loaded!BM519,MTT,0)),"")</f>
        <v/>
      </c>
      <c r="AE519" t="e">
        <f>INDEX(liv_ar_codes,MATCH(loaded!BO519,liv_ar,0))</f>
        <v>#N/A</v>
      </c>
      <c r="AF519" t="str">
        <f>_xlfn.IFNA(INDEX(MTT_codes,MATCH(loaded!BQ519,MTT,0)),"")</f>
        <v/>
      </c>
      <c r="AG519">
        <f>_xlfn.IFNA(INDEX(mental_codes,MATCH(loaded!BS519,mental,0)),9)</f>
        <v>9</v>
      </c>
    </row>
    <row r="520" spans="1:33" x14ac:dyDescent="0.25">
      <c r="A520">
        <f>loaded!C520</f>
        <v>0</v>
      </c>
      <c r="B520">
        <f>loaded!I520</f>
        <v>0</v>
      </c>
      <c r="C520">
        <f>IF(loaded!K520="Male",1,IF(loaded!K520="Female",2,9))</f>
        <v>9</v>
      </c>
      <c r="D520" s="8">
        <f>loaded!M520</f>
        <v>0</v>
      </c>
      <c r="E520" t="str">
        <f>LEFT(loaded!O520,3)</f>
        <v/>
      </c>
      <c r="F520" t="e">
        <f>INDEX(cntry_codes,MATCH(loaded!Q520,countries,0))</f>
        <v>#N/A</v>
      </c>
      <c r="G520" t="e">
        <f>INDEX(atsi_codes,MATCH(loaded!S520,atsi,0))</f>
        <v>#N/A</v>
      </c>
      <c r="H520" t="e">
        <f>INDEX(lang_codes,MATCH(loaded!U520,lang,0))</f>
        <v>#N/A</v>
      </c>
      <c r="I520" s="8">
        <f>loaded!W520</f>
        <v>0</v>
      </c>
      <c r="J520" t="e">
        <f>INDEX(us_acc_codes,MATCH(loaded!Y520,us_acc,0))</f>
        <v>#N/A</v>
      </c>
      <c r="K520" t="e">
        <f>INDEX(client_codes,MATCH(loaded!AA520,client,0))</f>
        <v>#N/A</v>
      </c>
      <c r="L520" t="e">
        <f>INDEX(src_ref_codes,MATCH(loaded!AC520,src_ref,0))</f>
        <v>#N/A</v>
      </c>
      <c r="M520" s="8">
        <f>loaded!AE520</f>
        <v>0</v>
      </c>
      <c r="N520" s="8">
        <f>loaded!AG520</f>
        <v>0</v>
      </c>
      <c r="O520" t="e">
        <f>INDEX(reces_codes,MATCH(loaded!AI520,reason,0))</f>
        <v>#N/A</v>
      </c>
      <c r="P520" t="e">
        <f>INDEX(TDS_codes,MATCH(loaded!AK520,TDS,0))</f>
        <v>#N/A</v>
      </c>
      <c r="Q520" t="e">
        <f>IF(K520=2,"",INDEX(method_codes,MATCH(loaded!AM520,method,0)))</f>
        <v>#N/A</v>
      </c>
      <c r="R520" t="e">
        <f>IF(K520=2,"",INDEX(inj_codes,MATCH(loaded!AO520,inj,0)))</f>
        <v>#N/A</v>
      </c>
      <c r="S520" t="e">
        <f>IF(K520=2,"",INDEX(drug_codes,MATCH(loaded!AQ520,drug,0)))</f>
        <v>#N/A</v>
      </c>
      <c r="T520" t="e">
        <f>IF(K520=2,"",_xlfn.IFNA(INDEX(drug_codes,MATCH(loaded!AS520,drug,0)),""))</f>
        <v>#N/A</v>
      </c>
      <c r="U520" t="e">
        <f>IF(K520=2,"",_xlfn.IFNA(INDEX(drug_codes,MATCH(loaded!AU520,drug,0)),""))</f>
        <v>#N/A</v>
      </c>
      <c r="V520" t="e">
        <f>IF(K520=2,"",_xlfn.IFNA(INDEX(drug_codes,MATCH(loaded!AW520,drug,0)),""))</f>
        <v>#N/A</v>
      </c>
      <c r="W520" t="e">
        <f>IF(K520=2,"",_xlfn.IFNA(INDEX(drug_codes,MATCH(loaded!AY520,drug,0)),""))</f>
        <v>#N/A</v>
      </c>
      <c r="X520" t="e">
        <f>IF(K520=2,"",_xlfn.IFNA(INDEX(drug_codes,MATCH(loaded!BA520,drug,0)),""))</f>
        <v>#N/A</v>
      </c>
      <c r="Y520" t="e">
        <f>INDEX(MTT_codes,MATCH(loaded!BC520,MTT,0))</f>
        <v>#N/A</v>
      </c>
      <c r="Z520" t="str">
        <f>_xlfn.IFNA(INDEX(MTT_codes,MATCH(loaded!BE520,MTT,0)),"")</f>
        <v/>
      </c>
      <c r="AA520" t="str">
        <f>_xlfn.IFNA(INDEX(MTT_codes,MATCH(loaded!BG520,MTT,0)),"")</f>
        <v/>
      </c>
      <c r="AB520" t="str">
        <f>_xlfn.IFNA(INDEX(MTT_codes,MATCH(loaded!BI520,MTT,0)),"")</f>
        <v/>
      </c>
      <c r="AC520" t="str">
        <f>_xlfn.IFNA(INDEX(MTT_codes,MATCH(loaded!BK520,MTT,0)),"")</f>
        <v/>
      </c>
      <c r="AD520" t="str">
        <f>_xlfn.IFNA(INDEX(MTT_codes,MATCH(loaded!BM520,MTT,0)),"")</f>
        <v/>
      </c>
      <c r="AE520" t="e">
        <f>INDEX(liv_ar_codes,MATCH(loaded!BO520,liv_ar,0))</f>
        <v>#N/A</v>
      </c>
      <c r="AF520" t="str">
        <f>_xlfn.IFNA(INDEX(MTT_codes,MATCH(loaded!BQ520,MTT,0)),"")</f>
        <v/>
      </c>
      <c r="AG520">
        <f>_xlfn.IFNA(INDEX(mental_codes,MATCH(loaded!BS520,mental,0)),9)</f>
        <v>9</v>
      </c>
    </row>
    <row r="521" spans="1:33" x14ac:dyDescent="0.25">
      <c r="A521">
        <f>loaded!C521</f>
        <v>0</v>
      </c>
      <c r="B521">
        <f>loaded!I521</f>
        <v>0</v>
      </c>
      <c r="C521">
        <f>IF(loaded!K521="Male",1,IF(loaded!K521="Female",2,9))</f>
        <v>9</v>
      </c>
      <c r="D521" s="8">
        <f>loaded!M521</f>
        <v>0</v>
      </c>
      <c r="E521" t="str">
        <f>LEFT(loaded!O521,3)</f>
        <v/>
      </c>
      <c r="F521" t="e">
        <f>INDEX(cntry_codes,MATCH(loaded!Q521,countries,0))</f>
        <v>#N/A</v>
      </c>
      <c r="G521" t="e">
        <f>INDEX(atsi_codes,MATCH(loaded!S521,atsi,0))</f>
        <v>#N/A</v>
      </c>
      <c r="H521" t="e">
        <f>INDEX(lang_codes,MATCH(loaded!U521,lang,0))</f>
        <v>#N/A</v>
      </c>
      <c r="I521" s="8">
        <f>loaded!W521</f>
        <v>0</v>
      </c>
      <c r="J521" t="e">
        <f>INDEX(us_acc_codes,MATCH(loaded!Y521,us_acc,0))</f>
        <v>#N/A</v>
      </c>
      <c r="K521" t="e">
        <f>INDEX(client_codes,MATCH(loaded!AA521,client,0))</f>
        <v>#N/A</v>
      </c>
      <c r="L521" t="e">
        <f>INDEX(src_ref_codes,MATCH(loaded!AC521,src_ref,0))</f>
        <v>#N/A</v>
      </c>
      <c r="M521" s="8">
        <f>loaded!AE521</f>
        <v>0</v>
      </c>
      <c r="N521" s="8">
        <f>loaded!AG521</f>
        <v>0</v>
      </c>
      <c r="O521" t="e">
        <f>INDEX(reces_codes,MATCH(loaded!AI521,reason,0))</f>
        <v>#N/A</v>
      </c>
      <c r="P521" t="e">
        <f>INDEX(TDS_codes,MATCH(loaded!AK521,TDS,0))</f>
        <v>#N/A</v>
      </c>
      <c r="Q521" t="e">
        <f>IF(K521=2,"",INDEX(method_codes,MATCH(loaded!AM521,method,0)))</f>
        <v>#N/A</v>
      </c>
      <c r="R521" t="e">
        <f>IF(K521=2,"",INDEX(inj_codes,MATCH(loaded!AO521,inj,0)))</f>
        <v>#N/A</v>
      </c>
      <c r="S521" t="e">
        <f>IF(K521=2,"",INDEX(drug_codes,MATCH(loaded!AQ521,drug,0)))</f>
        <v>#N/A</v>
      </c>
      <c r="T521" t="e">
        <f>IF(K521=2,"",_xlfn.IFNA(INDEX(drug_codes,MATCH(loaded!AS521,drug,0)),""))</f>
        <v>#N/A</v>
      </c>
      <c r="U521" t="e">
        <f>IF(K521=2,"",_xlfn.IFNA(INDEX(drug_codes,MATCH(loaded!AU521,drug,0)),""))</f>
        <v>#N/A</v>
      </c>
      <c r="V521" t="e">
        <f>IF(K521=2,"",_xlfn.IFNA(INDEX(drug_codes,MATCH(loaded!AW521,drug,0)),""))</f>
        <v>#N/A</v>
      </c>
      <c r="W521" t="e">
        <f>IF(K521=2,"",_xlfn.IFNA(INDEX(drug_codes,MATCH(loaded!AY521,drug,0)),""))</f>
        <v>#N/A</v>
      </c>
      <c r="X521" t="e">
        <f>IF(K521=2,"",_xlfn.IFNA(INDEX(drug_codes,MATCH(loaded!BA521,drug,0)),""))</f>
        <v>#N/A</v>
      </c>
      <c r="Y521" t="e">
        <f>INDEX(MTT_codes,MATCH(loaded!BC521,MTT,0))</f>
        <v>#N/A</v>
      </c>
      <c r="Z521" t="str">
        <f>_xlfn.IFNA(INDEX(MTT_codes,MATCH(loaded!BE521,MTT,0)),"")</f>
        <v/>
      </c>
      <c r="AA521" t="str">
        <f>_xlfn.IFNA(INDEX(MTT_codes,MATCH(loaded!BG521,MTT,0)),"")</f>
        <v/>
      </c>
      <c r="AB521" t="str">
        <f>_xlfn.IFNA(INDEX(MTT_codes,MATCH(loaded!BI521,MTT,0)),"")</f>
        <v/>
      </c>
      <c r="AC521" t="str">
        <f>_xlfn.IFNA(INDEX(MTT_codes,MATCH(loaded!BK521,MTT,0)),"")</f>
        <v/>
      </c>
      <c r="AD521" t="str">
        <f>_xlfn.IFNA(INDEX(MTT_codes,MATCH(loaded!BM521,MTT,0)),"")</f>
        <v/>
      </c>
      <c r="AE521" t="e">
        <f>INDEX(liv_ar_codes,MATCH(loaded!BO521,liv_ar,0))</f>
        <v>#N/A</v>
      </c>
      <c r="AF521" t="str">
        <f>_xlfn.IFNA(INDEX(MTT_codes,MATCH(loaded!BQ521,MTT,0)),"")</f>
        <v/>
      </c>
      <c r="AG521">
        <f>_xlfn.IFNA(INDEX(mental_codes,MATCH(loaded!BS521,mental,0)),9)</f>
        <v>9</v>
      </c>
    </row>
    <row r="522" spans="1:33" x14ac:dyDescent="0.25">
      <c r="A522">
        <f>loaded!C522</f>
        <v>0</v>
      </c>
      <c r="B522">
        <f>loaded!I522</f>
        <v>0</v>
      </c>
      <c r="C522">
        <f>IF(loaded!K522="Male",1,IF(loaded!K522="Female",2,9))</f>
        <v>9</v>
      </c>
      <c r="D522" s="8">
        <f>loaded!M522</f>
        <v>0</v>
      </c>
      <c r="E522" t="str">
        <f>LEFT(loaded!O522,3)</f>
        <v/>
      </c>
      <c r="F522" t="e">
        <f>INDEX(cntry_codes,MATCH(loaded!Q522,countries,0))</f>
        <v>#N/A</v>
      </c>
      <c r="G522" t="e">
        <f>INDEX(atsi_codes,MATCH(loaded!S522,atsi,0))</f>
        <v>#N/A</v>
      </c>
      <c r="H522" t="e">
        <f>INDEX(lang_codes,MATCH(loaded!U522,lang,0))</f>
        <v>#N/A</v>
      </c>
      <c r="I522" s="8">
        <f>loaded!W522</f>
        <v>0</v>
      </c>
      <c r="J522" t="e">
        <f>INDEX(us_acc_codes,MATCH(loaded!Y522,us_acc,0))</f>
        <v>#N/A</v>
      </c>
      <c r="K522" t="e">
        <f>INDEX(client_codes,MATCH(loaded!AA522,client,0))</f>
        <v>#N/A</v>
      </c>
      <c r="L522" t="e">
        <f>INDEX(src_ref_codes,MATCH(loaded!AC522,src_ref,0))</f>
        <v>#N/A</v>
      </c>
      <c r="M522" s="8">
        <f>loaded!AE522</f>
        <v>0</v>
      </c>
      <c r="N522" s="8">
        <f>loaded!AG522</f>
        <v>0</v>
      </c>
      <c r="O522" t="e">
        <f>INDEX(reces_codes,MATCH(loaded!AI522,reason,0))</f>
        <v>#N/A</v>
      </c>
      <c r="P522" t="e">
        <f>INDEX(TDS_codes,MATCH(loaded!AK522,TDS,0))</f>
        <v>#N/A</v>
      </c>
      <c r="Q522" t="e">
        <f>IF(K522=2,"",INDEX(method_codes,MATCH(loaded!AM522,method,0)))</f>
        <v>#N/A</v>
      </c>
      <c r="R522" t="e">
        <f>IF(K522=2,"",INDEX(inj_codes,MATCH(loaded!AO522,inj,0)))</f>
        <v>#N/A</v>
      </c>
      <c r="S522" t="e">
        <f>IF(K522=2,"",INDEX(drug_codes,MATCH(loaded!AQ522,drug,0)))</f>
        <v>#N/A</v>
      </c>
      <c r="T522" t="e">
        <f>IF(K522=2,"",_xlfn.IFNA(INDEX(drug_codes,MATCH(loaded!AS522,drug,0)),""))</f>
        <v>#N/A</v>
      </c>
      <c r="U522" t="e">
        <f>IF(K522=2,"",_xlfn.IFNA(INDEX(drug_codes,MATCH(loaded!AU522,drug,0)),""))</f>
        <v>#N/A</v>
      </c>
      <c r="V522" t="e">
        <f>IF(K522=2,"",_xlfn.IFNA(INDEX(drug_codes,MATCH(loaded!AW522,drug,0)),""))</f>
        <v>#N/A</v>
      </c>
      <c r="W522" t="e">
        <f>IF(K522=2,"",_xlfn.IFNA(INDEX(drug_codes,MATCH(loaded!AY522,drug,0)),""))</f>
        <v>#N/A</v>
      </c>
      <c r="X522" t="e">
        <f>IF(K522=2,"",_xlfn.IFNA(INDEX(drug_codes,MATCH(loaded!BA522,drug,0)),""))</f>
        <v>#N/A</v>
      </c>
      <c r="Y522" t="e">
        <f>INDEX(MTT_codes,MATCH(loaded!BC522,MTT,0))</f>
        <v>#N/A</v>
      </c>
      <c r="Z522" t="str">
        <f>_xlfn.IFNA(INDEX(MTT_codes,MATCH(loaded!BE522,MTT,0)),"")</f>
        <v/>
      </c>
      <c r="AA522" t="str">
        <f>_xlfn.IFNA(INDEX(MTT_codes,MATCH(loaded!BG522,MTT,0)),"")</f>
        <v/>
      </c>
      <c r="AB522" t="str">
        <f>_xlfn.IFNA(INDEX(MTT_codes,MATCH(loaded!BI522,MTT,0)),"")</f>
        <v/>
      </c>
      <c r="AC522" t="str">
        <f>_xlfn.IFNA(INDEX(MTT_codes,MATCH(loaded!BK522,MTT,0)),"")</f>
        <v/>
      </c>
      <c r="AD522" t="str">
        <f>_xlfn.IFNA(INDEX(MTT_codes,MATCH(loaded!BM522,MTT,0)),"")</f>
        <v/>
      </c>
      <c r="AE522" t="e">
        <f>INDEX(liv_ar_codes,MATCH(loaded!BO522,liv_ar,0))</f>
        <v>#N/A</v>
      </c>
      <c r="AF522" t="str">
        <f>_xlfn.IFNA(INDEX(MTT_codes,MATCH(loaded!BQ522,MTT,0)),"")</f>
        <v/>
      </c>
      <c r="AG522">
        <f>_xlfn.IFNA(INDEX(mental_codes,MATCH(loaded!BS522,mental,0)),9)</f>
        <v>9</v>
      </c>
    </row>
    <row r="523" spans="1:33" x14ac:dyDescent="0.25">
      <c r="A523">
        <f>loaded!C523</f>
        <v>0</v>
      </c>
      <c r="B523">
        <f>loaded!I523</f>
        <v>0</v>
      </c>
      <c r="C523">
        <f>IF(loaded!K523="Male",1,IF(loaded!K523="Female",2,9))</f>
        <v>9</v>
      </c>
      <c r="D523" s="8">
        <f>loaded!M523</f>
        <v>0</v>
      </c>
      <c r="E523" t="str">
        <f>LEFT(loaded!O523,3)</f>
        <v/>
      </c>
      <c r="F523" t="e">
        <f>INDEX(cntry_codes,MATCH(loaded!Q523,countries,0))</f>
        <v>#N/A</v>
      </c>
      <c r="G523" t="e">
        <f>INDEX(atsi_codes,MATCH(loaded!S523,atsi,0))</f>
        <v>#N/A</v>
      </c>
      <c r="H523" t="e">
        <f>INDEX(lang_codes,MATCH(loaded!U523,lang,0))</f>
        <v>#N/A</v>
      </c>
      <c r="I523" s="8">
        <f>loaded!W523</f>
        <v>0</v>
      </c>
      <c r="J523" t="e">
        <f>INDEX(us_acc_codes,MATCH(loaded!Y523,us_acc,0))</f>
        <v>#N/A</v>
      </c>
      <c r="K523" t="e">
        <f>INDEX(client_codes,MATCH(loaded!AA523,client,0))</f>
        <v>#N/A</v>
      </c>
      <c r="L523" t="e">
        <f>INDEX(src_ref_codes,MATCH(loaded!AC523,src_ref,0))</f>
        <v>#N/A</v>
      </c>
      <c r="M523" s="8">
        <f>loaded!AE523</f>
        <v>0</v>
      </c>
      <c r="N523" s="8">
        <f>loaded!AG523</f>
        <v>0</v>
      </c>
      <c r="O523" t="e">
        <f>INDEX(reces_codes,MATCH(loaded!AI523,reason,0))</f>
        <v>#N/A</v>
      </c>
      <c r="P523" t="e">
        <f>INDEX(TDS_codes,MATCH(loaded!AK523,TDS,0))</f>
        <v>#N/A</v>
      </c>
      <c r="Q523" t="e">
        <f>IF(K523=2,"",INDEX(method_codes,MATCH(loaded!AM523,method,0)))</f>
        <v>#N/A</v>
      </c>
      <c r="R523" t="e">
        <f>IF(K523=2,"",INDEX(inj_codes,MATCH(loaded!AO523,inj,0)))</f>
        <v>#N/A</v>
      </c>
      <c r="S523" t="e">
        <f>IF(K523=2,"",INDEX(drug_codes,MATCH(loaded!AQ523,drug,0)))</f>
        <v>#N/A</v>
      </c>
      <c r="T523" t="e">
        <f>IF(K523=2,"",_xlfn.IFNA(INDEX(drug_codes,MATCH(loaded!AS523,drug,0)),""))</f>
        <v>#N/A</v>
      </c>
      <c r="U523" t="e">
        <f>IF(K523=2,"",_xlfn.IFNA(INDEX(drug_codes,MATCH(loaded!AU523,drug,0)),""))</f>
        <v>#N/A</v>
      </c>
      <c r="V523" t="e">
        <f>IF(K523=2,"",_xlfn.IFNA(INDEX(drug_codes,MATCH(loaded!AW523,drug,0)),""))</f>
        <v>#N/A</v>
      </c>
      <c r="W523" t="e">
        <f>IF(K523=2,"",_xlfn.IFNA(INDEX(drug_codes,MATCH(loaded!AY523,drug,0)),""))</f>
        <v>#N/A</v>
      </c>
      <c r="X523" t="e">
        <f>IF(K523=2,"",_xlfn.IFNA(INDEX(drug_codes,MATCH(loaded!BA523,drug,0)),""))</f>
        <v>#N/A</v>
      </c>
      <c r="Y523" t="e">
        <f>INDEX(MTT_codes,MATCH(loaded!BC523,MTT,0))</f>
        <v>#N/A</v>
      </c>
      <c r="Z523" t="str">
        <f>_xlfn.IFNA(INDEX(MTT_codes,MATCH(loaded!BE523,MTT,0)),"")</f>
        <v/>
      </c>
      <c r="AA523" t="str">
        <f>_xlfn.IFNA(INDEX(MTT_codes,MATCH(loaded!BG523,MTT,0)),"")</f>
        <v/>
      </c>
      <c r="AB523" t="str">
        <f>_xlfn.IFNA(INDEX(MTT_codes,MATCH(loaded!BI523,MTT,0)),"")</f>
        <v/>
      </c>
      <c r="AC523" t="str">
        <f>_xlfn.IFNA(INDEX(MTT_codes,MATCH(loaded!BK523,MTT,0)),"")</f>
        <v/>
      </c>
      <c r="AD523" t="str">
        <f>_xlfn.IFNA(INDEX(MTT_codes,MATCH(loaded!BM523,MTT,0)),"")</f>
        <v/>
      </c>
      <c r="AE523" t="e">
        <f>INDEX(liv_ar_codes,MATCH(loaded!BO523,liv_ar,0))</f>
        <v>#N/A</v>
      </c>
      <c r="AF523" t="str">
        <f>_xlfn.IFNA(INDEX(MTT_codes,MATCH(loaded!BQ523,MTT,0)),"")</f>
        <v/>
      </c>
      <c r="AG523">
        <f>_xlfn.IFNA(INDEX(mental_codes,MATCH(loaded!BS523,mental,0)),9)</f>
        <v>9</v>
      </c>
    </row>
    <row r="524" spans="1:33" x14ac:dyDescent="0.25">
      <c r="A524">
        <f>loaded!C524</f>
        <v>0</v>
      </c>
      <c r="B524">
        <f>loaded!I524</f>
        <v>0</v>
      </c>
      <c r="C524">
        <f>IF(loaded!K524="Male",1,IF(loaded!K524="Female",2,9))</f>
        <v>9</v>
      </c>
      <c r="D524" s="8">
        <f>loaded!M524</f>
        <v>0</v>
      </c>
      <c r="E524" t="str">
        <f>LEFT(loaded!O524,3)</f>
        <v/>
      </c>
      <c r="F524" t="e">
        <f>INDEX(cntry_codes,MATCH(loaded!Q524,countries,0))</f>
        <v>#N/A</v>
      </c>
      <c r="G524" t="e">
        <f>INDEX(atsi_codes,MATCH(loaded!S524,atsi,0))</f>
        <v>#N/A</v>
      </c>
      <c r="H524" t="e">
        <f>INDEX(lang_codes,MATCH(loaded!U524,lang,0))</f>
        <v>#N/A</v>
      </c>
      <c r="I524" s="8">
        <f>loaded!W524</f>
        <v>0</v>
      </c>
      <c r="J524" t="e">
        <f>INDEX(us_acc_codes,MATCH(loaded!Y524,us_acc,0))</f>
        <v>#N/A</v>
      </c>
      <c r="K524" t="e">
        <f>INDEX(client_codes,MATCH(loaded!AA524,client,0))</f>
        <v>#N/A</v>
      </c>
      <c r="L524" t="e">
        <f>INDEX(src_ref_codes,MATCH(loaded!AC524,src_ref,0))</f>
        <v>#N/A</v>
      </c>
      <c r="M524" s="8">
        <f>loaded!AE524</f>
        <v>0</v>
      </c>
      <c r="N524" s="8">
        <f>loaded!AG524</f>
        <v>0</v>
      </c>
      <c r="O524" t="e">
        <f>INDEX(reces_codes,MATCH(loaded!AI524,reason,0))</f>
        <v>#N/A</v>
      </c>
      <c r="P524" t="e">
        <f>INDEX(TDS_codes,MATCH(loaded!AK524,TDS,0))</f>
        <v>#N/A</v>
      </c>
      <c r="Q524" t="e">
        <f>IF(K524=2,"",INDEX(method_codes,MATCH(loaded!AM524,method,0)))</f>
        <v>#N/A</v>
      </c>
      <c r="R524" t="e">
        <f>IF(K524=2,"",INDEX(inj_codes,MATCH(loaded!AO524,inj,0)))</f>
        <v>#N/A</v>
      </c>
      <c r="S524" t="e">
        <f>IF(K524=2,"",INDEX(drug_codes,MATCH(loaded!AQ524,drug,0)))</f>
        <v>#N/A</v>
      </c>
      <c r="T524" t="e">
        <f>IF(K524=2,"",_xlfn.IFNA(INDEX(drug_codes,MATCH(loaded!AS524,drug,0)),""))</f>
        <v>#N/A</v>
      </c>
      <c r="U524" t="e">
        <f>IF(K524=2,"",_xlfn.IFNA(INDEX(drug_codes,MATCH(loaded!AU524,drug,0)),""))</f>
        <v>#N/A</v>
      </c>
      <c r="V524" t="e">
        <f>IF(K524=2,"",_xlfn.IFNA(INDEX(drug_codes,MATCH(loaded!AW524,drug,0)),""))</f>
        <v>#N/A</v>
      </c>
      <c r="W524" t="e">
        <f>IF(K524=2,"",_xlfn.IFNA(INDEX(drug_codes,MATCH(loaded!AY524,drug,0)),""))</f>
        <v>#N/A</v>
      </c>
      <c r="X524" t="e">
        <f>IF(K524=2,"",_xlfn.IFNA(INDEX(drug_codes,MATCH(loaded!BA524,drug,0)),""))</f>
        <v>#N/A</v>
      </c>
      <c r="Y524" t="e">
        <f>INDEX(MTT_codes,MATCH(loaded!BC524,MTT,0))</f>
        <v>#N/A</v>
      </c>
      <c r="Z524" t="str">
        <f>_xlfn.IFNA(INDEX(MTT_codes,MATCH(loaded!BE524,MTT,0)),"")</f>
        <v/>
      </c>
      <c r="AA524" t="str">
        <f>_xlfn.IFNA(INDEX(MTT_codes,MATCH(loaded!BG524,MTT,0)),"")</f>
        <v/>
      </c>
      <c r="AB524" t="str">
        <f>_xlfn.IFNA(INDEX(MTT_codes,MATCH(loaded!BI524,MTT,0)),"")</f>
        <v/>
      </c>
      <c r="AC524" t="str">
        <f>_xlfn.IFNA(INDEX(MTT_codes,MATCH(loaded!BK524,MTT,0)),"")</f>
        <v/>
      </c>
      <c r="AD524" t="str">
        <f>_xlfn.IFNA(INDEX(MTT_codes,MATCH(loaded!BM524,MTT,0)),"")</f>
        <v/>
      </c>
      <c r="AE524" t="e">
        <f>INDEX(liv_ar_codes,MATCH(loaded!BO524,liv_ar,0))</f>
        <v>#N/A</v>
      </c>
      <c r="AF524" t="str">
        <f>_xlfn.IFNA(INDEX(MTT_codes,MATCH(loaded!BQ524,MTT,0)),"")</f>
        <v/>
      </c>
      <c r="AG524">
        <f>_xlfn.IFNA(INDEX(mental_codes,MATCH(loaded!BS524,mental,0)),9)</f>
        <v>9</v>
      </c>
    </row>
    <row r="525" spans="1:33" x14ac:dyDescent="0.25">
      <c r="A525">
        <f>loaded!C525</f>
        <v>0</v>
      </c>
      <c r="B525">
        <f>loaded!I525</f>
        <v>0</v>
      </c>
      <c r="C525">
        <f>IF(loaded!K525="Male",1,IF(loaded!K525="Female",2,9))</f>
        <v>9</v>
      </c>
      <c r="D525" s="8">
        <f>loaded!M525</f>
        <v>0</v>
      </c>
      <c r="E525" t="str">
        <f>LEFT(loaded!O525,3)</f>
        <v/>
      </c>
      <c r="F525" t="e">
        <f>INDEX(cntry_codes,MATCH(loaded!Q525,countries,0))</f>
        <v>#N/A</v>
      </c>
      <c r="G525" t="e">
        <f>INDEX(atsi_codes,MATCH(loaded!S525,atsi,0))</f>
        <v>#N/A</v>
      </c>
      <c r="H525" t="e">
        <f>INDEX(lang_codes,MATCH(loaded!U525,lang,0))</f>
        <v>#N/A</v>
      </c>
      <c r="I525" s="8">
        <f>loaded!W525</f>
        <v>0</v>
      </c>
      <c r="J525" t="e">
        <f>INDEX(us_acc_codes,MATCH(loaded!Y525,us_acc,0))</f>
        <v>#N/A</v>
      </c>
      <c r="K525" t="e">
        <f>INDEX(client_codes,MATCH(loaded!AA525,client,0))</f>
        <v>#N/A</v>
      </c>
      <c r="L525" t="e">
        <f>INDEX(src_ref_codes,MATCH(loaded!AC525,src_ref,0))</f>
        <v>#N/A</v>
      </c>
      <c r="M525" s="8">
        <f>loaded!AE525</f>
        <v>0</v>
      </c>
      <c r="N525" s="8">
        <f>loaded!AG525</f>
        <v>0</v>
      </c>
      <c r="O525" t="e">
        <f>INDEX(reces_codes,MATCH(loaded!AI525,reason,0))</f>
        <v>#N/A</v>
      </c>
      <c r="P525" t="e">
        <f>INDEX(TDS_codes,MATCH(loaded!AK525,TDS,0))</f>
        <v>#N/A</v>
      </c>
      <c r="Q525" t="e">
        <f>IF(K525=2,"",INDEX(method_codes,MATCH(loaded!AM525,method,0)))</f>
        <v>#N/A</v>
      </c>
      <c r="R525" t="e">
        <f>IF(K525=2,"",INDEX(inj_codes,MATCH(loaded!AO525,inj,0)))</f>
        <v>#N/A</v>
      </c>
      <c r="S525" t="e">
        <f>IF(K525=2,"",INDEX(drug_codes,MATCH(loaded!AQ525,drug,0)))</f>
        <v>#N/A</v>
      </c>
      <c r="T525" t="e">
        <f>IF(K525=2,"",_xlfn.IFNA(INDEX(drug_codes,MATCH(loaded!AS525,drug,0)),""))</f>
        <v>#N/A</v>
      </c>
      <c r="U525" t="e">
        <f>IF(K525=2,"",_xlfn.IFNA(INDEX(drug_codes,MATCH(loaded!AU525,drug,0)),""))</f>
        <v>#N/A</v>
      </c>
      <c r="V525" t="e">
        <f>IF(K525=2,"",_xlfn.IFNA(INDEX(drug_codes,MATCH(loaded!AW525,drug,0)),""))</f>
        <v>#N/A</v>
      </c>
      <c r="W525" t="e">
        <f>IF(K525=2,"",_xlfn.IFNA(INDEX(drug_codes,MATCH(loaded!AY525,drug,0)),""))</f>
        <v>#N/A</v>
      </c>
      <c r="X525" t="e">
        <f>IF(K525=2,"",_xlfn.IFNA(INDEX(drug_codes,MATCH(loaded!BA525,drug,0)),""))</f>
        <v>#N/A</v>
      </c>
      <c r="Y525" t="e">
        <f>INDEX(MTT_codes,MATCH(loaded!BC525,MTT,0))</f>
        <v>#N/A</v>
      </c>
      <c r="Z525" t="str">
        <f>_xlfn.IFNA(INDEX(MTT_codes,MATCH(loaded!BE525,MTT,0)),"")</f>
        <v/>
      </c>
      <c r="AA525" t="str">
        <f>_xlfn.IFNA(INDEX(MTT_codes,MATCH(loaded!BG525,MTT,0)),"")</f>
        <v/>
      </c>
      <c r="AB525" t="str">
        <f>_xlfn.IFNA(INDEX(MTT_codes,MATCH(loaded!BI525,MTT,0)),"")</f>
        <v/>
      </c>
      <c r="AC525" t="str">
        <f>_xlfn.IFNA(INDEX(MTT_codes,MATCH(loaded!BK525,MTT,0)),"")</f>
        <v/>
      </c>
      <c r="AD525" t="str">
        <f>_xlfn.IFNA(INDEX(MTT_codes,MATCH(loaded!BM525,MTT,0)),"")</f>
        <v/>
      </c>
      <c r="AE525" t="e">
        <f>INDEX(liv_ar_codes,MATCH(loaded!BO525,liv_ar,0))</f>
        <v>#N/A</v>
      </c>
      <c r="AF525" t="str">
        <f>_xlfn.IFNA(INDEX(MTT_codes,MATCH(loaded!BQ525,MTT,0)),"")</f>
        <v/>
      </c>
      <c r="AG525">
        <f>_xlfn.IFNA(INDEX(mental_codes,MATCH(loaded!BS525,mental,0)),9)</f>
        <v>9</v>
      </c>
    </row>
    <row r="526" spans="1:33" x14ac:dyDescent="0.25">
      <c r="A526">
        <f>loaded!C526</f>
        <v>0</v>
      </c>
      <c r="B526">
        <f>loaded!I526</f>
        <v>0</v>
      </c>
      <c r="C526">
        <f>IF(loaded!K526="Male",1,IF(loaded!K526="Female",2,9))</f>
        <v>9</v>
      </c>
      <c r="D526" s="8">
        <f>loaded!M526</f>
        <v>0</v>
      </c>
      <c r="E526" t="str">
        <f>LEFT(loaded!O526,3)</f>
        <v/>
      </c>
      <c r="F526" t="e">
        <f>INDEX(cntry_codes,MATCH(loaded!Q526,countries,0))</f>
        <v>#N/A</v>
      </c>
      <c r="G526" t="e">
        <f>INDEX(atsi_codes,MATCH(loaded!S526,atsi,0))</f>
        <v>#N/A</v>
      </c>
      <c r="H526" t="e">
        <f>INDEX(lang_codes,MATCH(loaded!U526,lang,0))</f>
        <v>#N/A</v>
      </c>
      <c r="I526" s="8">
        <f>loaded!W526</f>
        <v>0</v>
      </c>
      <c r="J526" t="e">
        <f>INDEX(us_acc_codes,MATCH(loaded!Y526,us_acc,0))</f>
        <v>#N/A</v>
      </c>
      <c r="K526" t="e">
        <f>INDEX(client_codes,MATCH(loaded!AA526,client,0))</f>
        <v>#N/A</v>
      </c>
      <c r="L526" t="e">
        <f>INDEX(src_ref_codes,MATCH(loaded!AC526,src_ref,0))</f>
        <v>#N/A</v>
      </c>
      <c r="M526" s="8">
        <f>loaded!AE526</f>
        <v>0</v>
      </c>
      <c r="N526" s="8">
        <f>loaded!AG526</f>
        <v>0</v>
      </c>
      <c r="O526" t="e">
        <f>INDEX(reces_codes,MATCH(loaded!AI526,reason,0))</f>
        <v>#N/A</v>
      </c>
      <c r="P526" t="e">
        <f>INDEX(TDS_codes,MATCH(loaded!AK526,TDS,0))</f>
        <v>#N/A</v>
      </c>
      <c r="Q526" t="e">
        <f>IF(K526=2,"",INDEX(method_codes,MATCH(loaded!AM526,method,0)))</f>
        <v>#N/A</v>
      </c>
      <c r="R526" t="e">
        <f>IF(K526=2,"",INDEX(inj_codes,MATCH(loaded!AO526,inj,0)))</f>
        <v>#N/A</v>
      </c>
      <c r="S526" t="e">
        <f>IF(K526=2,"",INDEX(drug_codes,MATCH(loaded!AQ526,drug,0)))</f>
        <v>#N/A</v>
      </c>
      <c r="T526" t="e">
        <f>IF(K526=2,"",_xlfn.IFNA(INDEX(drug_codes,MATCH(loaded!AS526,drug,0)),""))</f>
        <v>#N/A</v>
      </c>
      <c r="U526" t="e">
        <f>IF(K526=2,"",_xlfn.IFNA(INDEX(drug_codes,MATCH(loaded!AU526,drug,0)),""))</f>
        <v>#N/A</v>
      </c>
      <c r="V526" t="e">
        <f>IF(K526=2,"",_xlfn.IFNA(INDEX(drug_codes,MATCH(loaded!AW526,drug,0)),""))</f>
        <v>#N/A</v>
      </c>
      <c r="W526" t="e">
        <f>IF(K526=2,"",_xlfn.IFNA(INDEX(drug_codes,MATCH(loaded!AY526,drug,0)),""))</f>
        <v>#N/A</v>
      </c>
      <c r="X526" t="e">
        <f>IF(K526=2,"",_xlfn.IFNA(INDEX(drug_codes,MATCH(loaded!BA526,drug,0)),""))</f>
        <v>#N/A</v>
      </c>
      <c r="Y526" t="e">
        <f>INDEX(MTT_codes,MATCH(loaded!BC526,MTT,0))</f>
        <v>#N/A</v>
      </c>
      <c r="Z526" t="str">
        <f>_xlfn.IFNA(INDEX(MTT_codes,MATCH(loaded!BE526,MTT,0)),"")</f>
        <v/>
      </c>
      <c r="AA526" t="str">
        <f>_xlfn.IFNA(INDEX(MTT_codes,MATCH(loaded!BG526,MTT,0)),"")</f>
        <v/>
      </c>
      <c r="AB526" t="str">
        <f>_xlfn.IFNA(INDEX(MTT_codes,MATCH(loaded!BI526,MTT,0)),"")</f>
        <v/>
      </c>
      <c r="AC526" t="str">
        <f>_xlfn.IFNA(INDEX(MTT_codes,MATCH(loaded!BK526,MTT,0)),"")</f>
        <v/>
      </c>
      <c r="AD526" t="str">
        <f>_xlfn.IFNA(INDEX(MTT_codes,MATCH(loaded!BM526,MTT,0)),"")</f>
        <v/>
      </c>
      <c r="AE526" t="e">
        <f>INDEX(liv_ar_codes,MATCH(loaded!BO526,liv_ar,0))</f>
        <v>#N/A</v>
      </c>
      <c r="AF526" t="str">
        <f>_xlfn.IFNA(INDEX(MTT_codes,MATCH(loaded!BQ526,MTT,0)),"")</f>
        <v/>
      </c>
      <c r="AG526">
        <f>_xlfn.IFNA(INDEX(mental_codes,MATCH(loaded!BS526,mental,0)),9)</f>
        <v>9</v>
      </c>
    </row>
    <row r="527" spans="1:33" x14ac:dyDescent="0.25">
      <c r="A527">
        <f>loaded!C527</f>
        <v>0</v>
      </c>
      <c r="B527">
        <f>loaded!I527</f>
        <v>0</v>
      </c>
      <c r="C527">
        <f>IF(loaded!K527="Male",1,IF(loaded!K527="Female",2,9))</f>
        <v>9</v>
      </c>
      <c r="D527" s="8">
        <f>loaded!M527</f>
        <v>0</v>
      </c>
      <c r="E527" t="str">
        <f>LEFT(loaded!O527,3)</f>
        <v/>
      </c>
      <c r="F527" t="e">
        <f>INDEX(cntry_codes,MATCH(loaded!Q527,countries,0))</f>
        <v>#N/A</v>
      </c>
      <c r="G527" t="e">
        <f>INDEX(atsi_codes,MATCH(loaded!S527,atsi,0))</f>
        <v>#N/A</v>
      </c>
      <c r="H527" t="e">
        <f>INDEX(lang_codes,MATCH(loaded!U527,lang,0))</f>
        <v>#N/A</v>
      </c>
      <c r="I527" s="8">
        <f>loaded!W527</f>
        <v>0</v>
      </c>
      <c r="J527" t="e">
        <f>INDEX(us_acc_codes,MATCH(loaded!Y527,us_acc,0))</f>
        <v>#N/A</v>
      </c>
      <c r="K527" t="e">
        <f>INDEX(client_codes,MATCH(loaded!AA527,client,0))</f>
        <v>#N/A</v>
      </c>
      <c r="L527" t="e">
        <f>INDEX(src_ref_codes,MATCH(loaded!AC527,src_ref,0))</f>
        <v>#N/A</v>
      </c>
      <c r="M527" s="8">
        <f>loaded!AE527</f>
        <v>0</v>
      </c>
      <c r="N527" s="8">
        <f>loaded!AG527</f>
        <v>0</v>
      </c>
      <c r="O527" t="e">
        <f>INDEX(reces_codes,MATCH(loaded!AI527,reason,0))</f>
        <v>#N/A</v>
      </c>
      <c r="P527" t="e">
        <f>INDEX(TDS_codes,MATCH(loaded!AK527,TDS,0))</f>
        <v>#N/A</v>
      </c>
      <c r="Q527" t="e">
        <f>IF(K527=2,"",INDEX(method_codes,MATCH(loaded!AM527,method,0)))</f>
        <v>#N/A</v>
      </c>
      <c r="R527" t="e">
        <f>IF(K527=2,"",INDEX(inj_codes,MATCH(loaded!AO527,inj,0)))</f>
        <v>#N/A</v>
      </c>
      <c r="S527" t="e">
        <f>IF(K527=2,"",INDEX(drug_codes,MATCH(loaded!AQ527,drug,0)))</f>
        <v>#N/A</v>
      </c>
      <c r="T527" t="e">
        <f>IF(K527=2,"",_xlfn.IFNA(INDEX(drug_codes,MATCH(loaded!AS527,drug,0)),""))</f>
        <v>#N/A</v>
      </c>
      <c r="U527" t="e">
        <f>IF(K527=2,"",_xlfn.IFNA(INDEX(drug_codes,MATCH(loaded!AU527,drug,0)),""))</f>
        <v>#N/A</v>
      </c>
      <c r="V527" t="e">
        <f>IF(K527=2,"",_xlfn.IFNA(INDEX(drug_codes,MATCH(loaded!AW527,drug,0)),""))</f>
        <v>#N/A</v>
      </c>
      <c r="W527" t="e">
        <f>IF(K527=2,"",_xlfn.IFNA(INDEX(drug_codes,MATCH(loaded!AY527,drug,0)),""))</f>
        <v>#N/A</v>
      </c>
      <c r="X527" t="e">
        <f>IF(K527=2,"",_xlfn.IFNA(INDEX(drug_codes,MATCH(loaded!BA527,drug,0)),""))</f>
        <v>#N/A</v>
      </c>
      <c r="Y527" t="e">
        <f>INDEX(MTT_codes,MATCH(loaded!BC527,MTT,0))</f>
        <v>#N/A</v>
      </c>
      <c r="Z527" t="str">
        <f>_xlfn.IFNA(INDEX(MTT_codes,MATCH(loaded!BE527,MTT,0)),"")</f>
        <v/>
      </c>
      <c r="AA527" t="str">
        <f>_xlfn.IFNA(INDEX(MTT_codes,MATCH(loaded!BG527,MTT,0)),"")</f>
        <v/>
      </c>
      <c r="AB527" t="str">
        <f>_xlfn.IFNA(INDEX(MTT_codes,MATCH(loaded!BI527,MTT,0)),"")</f>
        <v/>
      </c>
      <c r="AC527" t="str">
        <f>_xlfn.IFNA(INDEX(MTT_codes,MATCH(loaded!BK527,MTT,0)),"")</f>
        <v/>
      </c>
      <c r="AD527" t="str">
        <f>_xlfn.IFNA(INDEX(MTT_codes,MATCH(loaded!BM527,MTT,0)),"")</f>
        <v/>
      </c>
      <c r="AE527" t="e">
        <f>INDEX(liv_ar_codes,MATCH(loaded!BO527,liv_ar,0))</f>
        <v>#N/A</v>
      </c>
      <c r="AF527" t="str">
        <f>_xlfn.IFNA(INDEX(MTT_codes,MATCH(loaded!BQ527,MTT,0)),"")</f>
        <v/>
      </c>
      <c r="AG527">
        <f>_xlfn.IFNA(INDEX(mental_codes,MATCH(loaded!BS527,mental,0)),9)</f>
        <v>9</v>
      </c>
    </row>
    <row r="528" spans="1:33" x14ac:dyDescent="0.25">
      <c r="A528">
        <f>loaded!C528</f>
        <v>0</v>
      </c>
      <c r="B528">
        <f>loaded!I528</f>
        <v>0</v>
      </c>
      <c r="C528">
        <f>IF(loaded!K528="Male",1,IF(loaded!K528="Female",2,9))</f>
        <v>9</v>
      </c>
      <c r="D528" s="8">
        <f>loaded!M528</f>
        <v>0</v>
      </c>
      <c r="E528" t="str">
        <f>LEFT(loaded!O528,3)</f>
        <v/>
      </c>
      <c r="F528" t="e">
        <f>INDEX(cntry_codes,MATCH(loaded!Q528,countries,0))</f>
        <v>#N/A</v>
      </c>
      <c r="G528" t="e">
        <f>INDEX(atsi_codes,MATCH(loaded!S528,atsi,0))</f>
        <v>#N/A</v>
      </c>
      <c r="H528" t="e">
        <f>INDEX(lang_codes,MATCH(loaded!U528,lang,0))</f>
        <v>#N/A</v>
      </c>
      <c r="I528" s="8">
        <f>loaded!W528</f>
        <v>0</v>
      </c>
      <c r="J528" t="e">
        <f>INDEX(us_acc_codes,MATCH(loaded!Y528,us_acc,0))</f>
        <v>#N/A</v>
      </c>
      <c r="K528" t="e">
        <f>INDEX(client_codes,MATCH(loaded!AA528,client,0))</f>
        <v>#N/A</v>
      </c>
      <c r="L528" t="e">
        <f>INDEX(src_ref_codes,MATCH(loaded!AC528,src_ref,0))</f>
        <v>#N/A</v>
      </c>
      <c r="M528" s="8">
        <f>loaded!AE528</f>
        <v>0</v>
      </c>
      <c r="N528" s="8">
        <f>loaded!AG528</f>
        <v>0</v>
      </c>
      <c r="O528" t="e">
        <f>INDEX(reces_codes,MATCH(loaded!AI528,reason,0))</f>
        <v>#N/A</v>
      </c>
      <c r="P528" t="e">
        <f>INDEX(TDS_codes,MATCH(loaded!AK528,TDS,0))</f>
        <v>#N/A</v>
      </c>
      <c r="Q528" t="e">
        <f>IF(K528=2,"",INDEX(method_codes,MATCH(loaded!AM528,method,0)))</f>
        <v>#N/A</v>
      </c>
      <c r="R528" t="e">
        <f>IF(K528=2,"",INDEX(inj_codes,MATCH(loaded!AO528,inj,0)))</f>
        <v>#N/A</v>
      </c>
      <c r="S528" t="e">
        <f>IF(K528=2,"",INDEX(drug_codes,MATCH(loaded!AQ528,drug,0)))</f>
        <v>#N/A</v>
      </c>
      <c r="T528" t="e">
        <f>IF(K528=2,"",_xlfn.IFNA(INDEX(drug_codes,MATCH(loaded!AS528,drug,0)),""))</f>
        <v>#N/A</v>
      </c>
      <c r="U528" t="e">
        <f>IF(K528=2,"",_xlfn.IFNA(INDEX(drug_codes,MATCH(loaded!AU528,drug,0)),""))</f>
        <v>#N/A</v>
      </c>
      <c r="V528" t="e">
        <f>IF(K528=2,"",_xlfn.IFNA(INDEX(drug_codes,MATCH(loaded!AW528,drug,0)),""))</f>
        <v>#N/A</v>
      </c>
      <c r="W528" t="e">
        <f>IF(K528=2,"",_xlfn.IFNA(INDEX(drug_codes,MATCH(loaded!AY528,drug,0)),""))</f>
        <v>#N/A</v>
      </c>
      <c r="X528" t="e">
        <f>IF(K528=2,"",_xlfn.IFNA(INDEX(drug_codes,MATCH(loaded!BA528,drug,0)),""))</f>
        <v>#N/A</v>
      </c>
      <c r="Y528" t="e">
        <f>INDEX(MTT_codes,MATCH(loaded!BC528,MTT,0))</f>
        <v>#N/A</v>
      </c>
      <c r="Z528" t="str">
        <f>_xlfn.IFNA(INDEX(MTT_codes,MATCH(loaded!BE528,MTT,0)),"")</f>
        <v/>
      </c>
      <c r="AA528" t="str">
        <f>_xlfn.IFNA(INDEX(MTT_codes,MATCH(loaded!BG528,MTT,0)),"")</f>
        <v/>
      </c>
      <c r="AB528" t="str">
        <f>_xlfn.IFNA(INDEX(MTT_codes,MATCH(loaded!BI528,MTT,0)),"")</f>
        <v/>
      </c>
      <c r="AC528" t="str">
        <f>_xlfn.IFNA(INDEX(MTT_codes,MATCH(loaded!BK528,MTT,0)),"")</f>
        <v/>
      </c>
      <c r="AD528" t="str">
        <f>_xlfn.IFNA(INDEX(MTT_codes,MATCH(loaded!BM528,MTT,0)),"")</f>
        <v/>
      </c>
      <c r="AE528" t="e">
        <f>INDEX(liv_ar_codes,MATCH(loaded!BO528,liv_ar,0))</f>
        <v>#N/A</v>
      </c>
      <c r="AF528" t="str">
        <f>_xlfn.IFNA(INDEX(MTT_codes,MATCH(loaded!BQ528,MTT,0)),"")</f>
        <v/>
      </c>
      <c r="AG528">
        <f>_xlfn.IFNA(INDEX(mental_codes,MATCH(loaded!BS528,mental,0)),9)</f>
        <v>9</v>
      </c>
    </row>
    <row r="529" spans="1:33" x14ac:dyDescent="0.25">
      <c r="A529">
        <f>loaded!C529</f>
        <v>0</v>
      </c>
      <c r="B529">
        <f>loaded!I529</f>
        <v>0</v>
      </c>
      <c r="C529">
        <f>IF(loaded!K529="Male",1,IF(loaded!K529="Female",2,9))</f>
        <v>9</v>
      </c>
      <c r="D529" s="8">
        <f>loaded!M529</f>
        <v>0</v>
      </c>
      <c r="E529" t="str">
        <f>LEFT(loaded!O529,3)</f>
        <v/>
      </c>
      <c r="F529" t="e">
        <f>INDEX(cntry_codes,MATCH(loaded!Q529,countries,0))</f>
        <v>#N/A</v>
      </c>
      <c r="G529" t="e">
        <f>INDEX(atsi_codes,MATCH(loaded!S529,atsi,0))</f>
        <v>#N/A</v>
      </c>
      <c r="H529" t="e">
        <f>INDEX(lang_codes,MATCH(loaded!U529,lang,0))</f>
        <v>#N/A</v>
      </c>
      <c r="I529" s="8">
        <f>loaded!W529</f>
        <v>0</v>
      </c>
      <c r="J529" t="e">
        <f>INDEX(us_acc_codes,MATCH(loaded!Y529,us_acc,0))</f>
        <v>#N/A</v>
      </c>
      <c r="K529" t="e">
        <f>INDEX(client_codes,MATCH(loaded!AA529,client,0))</f>
        <v>#N/A</v>
      </c>
      <c r="L529" t="e">
        <f>INDEX(src_ref_codes,MATCH(loaded!AC529,src_ref,0))</f>
        <v>#N/A</v>
      </c>
      <c r="M529" s="8">
        <f>loaded!AE529</f>
        <v>0</v>
      </c>
      <c r="N529" s="8">
        <f>loaded!AG529</f>
        <v>0</v>
      </c>
      <c r="O529" t="e">
        <f>INDEX(reces_codes,MATCH(loaded!AI529,reason,0))</f>
        <v>#N/A</v>
      </c>
      <c r="P529" t="e">
        <f>INDEX(TDS_codes,MATCH(loaded!AK529,TDS,0))</f>
        <v>#N/A</v>
      </c>
      <c r="Q529" t="e">
        <f>IF(K529=2,"",INDEX(method_codes,MATCH(loaded!AM529,method,0)))</f>
        <v>#N/A</v>
      </c>
      <c r="R529" t="e">
        <f>IF(K529=2,"",INDEX(inj_codes,MATCH(loaded!AO529,inj,0)))</f>
        <v>#N/A</v>
      </c>
      <c r="S529" t="e">
        <f>IF(K529=2,"",INDEX(drug_codes,MATCH(loaded!AQ529,drug,0)))</f>
        <v>#N/A</v>
      </c>
      <c r="T529" t="e">
        <f>IF(K529=2,"",_xlfn.IFNA(INDEX(drug_codes,MATCH(loaded!AS529,drug,0)),""))</f>
        <v>#N/A</v>
      </c>
      <c r="U529" t="e">
        <f>IF(K529=2,"",_xlfn.IFNA(INDEX(drug_codes,MATCH(loaded!AU529,drug,0)),""))</f>
        <v>#N/A</v>
      </c>
      <c r="V529" t="e">
        <f>IF(K529=2,"",_xlfn.IFNA(INDEX(drug_codes,MATCH(loaded!AW529,drug,0)),""))</f>
        <v>#N/A</v>
      </c>
      <c r="W529" t="e">
        <f>IF(K529=2,"",_xlfn.IFNA(INDEX(drug_codes,MATCH(loaded!AY529,drug,0)),""))</f>
        <v>#N/A</v>
      </c>
      <c r="X529" t="e">
        <f>IF(K529=2,"",_xlfn.IFNA(INDEX(drug_codes,MATCH(loaded!BA529,drug,0)),""))</f>
        <v>#N/A</v>
      </c>
      <c r="Y529" t="e">
        <f>INDEX(MTT_codes,MATCH(loaded!BC529,MTT,0))</f>
        <v>#N/A</v>
      </c>
      <c r="Z529" t="str">
        <f>_xlfn.IFNA(INDEX(MTT_codes,MATCH(loaded!BE529,MTT,0)),"")</f>
        <v/>
      </c>
      <c r="AA529" t="str">
        <f>_xlfn.IFNA(INDEX(MTT_codes,MATCH(loaded!BG529,MTT,0)),"")</f>
        <v/>
      </c>
      <c r="AB529" t="str">
        <f>_xlfn.IFNA(INDEX(MTT_codes,MATCH(loaded!BI529,MTT,0)),"")</f>
        <v/>
      </c>
      <c r="AC529" t="str">
        <f>_xlfn.IFNA(INDEX(MTT_codes,MATCH(loaded!BK529,MTT,0)),"")</f>
        <v/>
      </c>
      <c r="AD529" t="str">
        <f>_xlfn.IFNA(INDEX(MTT_codes,MATCH(loaded!BM529,MTT,0)),"")</f>
        <v/>
      </c>
      <c r="AE529" t="e">
        <f>INDEX(liv_ar_codes,MATCH(loaded!BO529,liv_ar,0))</f>
        <v>#N/A</v>
      </c>
      <c r="AF529" t="str">
        <f>_xlfn.IFNA(INDEX(MTT_codes,MATCH(loaded!BQ529,MTT,0)),"")</f>
        <v/>
      </c>
      <c r="AG529">
        <f>_xlfn.IFNA(INDEX(mental_codes,MATCH(loaded!BS529,mental,0)),9)</f>
        <v>9</v>
      </c>
    </row>
    <row r="530" spans="1:33" x14ac:dyDescent="0.25">
      <c r="A530">
        <f>loaded!C530</f>
        <v>0</v>
      </c>
      <c r="B530">
        <f>loaded!I530</f>
        <v>0</v>
      </c>
      <c r="C530">
        <f>IF(loaded!K530="Male",1,IF(loaded!K530="Female",2,9))</f>
        <v>9</v>
      </c>
      <c r="D530" s="8">
        <f>loaded!M530</f>
        <v>0</v>
      </c>
      <c r="E530" t="str">
        <f>LEFT(loaded!O530,3)</f>
        <v/>
      </c>
      <c r="F530" t="e">
        <f>INDEX(cntry_codes,MATCH(loaded!Q530,countries,0))</f>
        <v>#N/A</v>
      </c>
      <c r="G530" t="e">
        <f>INDEX(atsi_codes,MATCH(loaded!S530,atsi,0))</f>
        <v>#N/A</v>
      </c>
      <c r="H530" t="e">
        <f>INDEX(lang_codes,MATCH(loaded!U530,lang,0))</f>
        <v>#N/A</v>
      </c>
      <c r="I530" s="8">
        <f>loaded!W530</f>
        <v>0</v>
      </c>
      <c r="J530" t="e">
        <f>INDEX(us_acc_codes,MATCH(loaded!Y530,us_acc,0))</f>
        <v>#N/A</v>
      </c>
      <c r="K530" t="e">
        <f>INDEX(client_codes,MATCH(loaded!AA530,client,0))</f>
        <v>#N/A</v>
      </c>
      <c r="L530" t="e">
        <f>INDEX(src_ref_codes,MATCH(loaded!AC530,src_ref,0))</f>
        <v>#N/A</v>
      </c>
      <c r="M530" s="8">
        <f>loaded!AE530</f>
        <v>0</v>
      </c>
      <c r="N530" s="8">
        <f>loaded!AG530</f>
        <v>0</v>
      </c>
      <c r="O530" t="e">
        <f>INDEX(reces_codes,MATCH(loaded!AI530,reason,0))</f>
        <v>#N/A</v>
      </c>
      <c r="P530" t="e">
        <f>INDEX(TDS_codes,MATCH(loaded!AK530,TDS,0))</f>
        <v>#N/A</v>
      </c>
      <c r="Q530" t="e">
        <f>IF(K530=2,"",INDEX(method_codes,MATCH(loaded!AM530,method,0)))</f>
        <v>#N/A</v>
      </c>
      <c r="R530" t="e">
        <f>IF(K530=2,"",INDEX(inj_codes,MATCH(loaded!AO530,inj,0)))</f>
        <v>#N/A</v>
      </c>
      <c r="S530" t="e">
        <f>IF(K530=2,"",INDEX(drug_codes,MATCH(loaded!AQ530,drug,0)))</f>
        <v>#N/A</v>
      </c>
      <c r="T530" t="e">
        <f>IF(K530=2,"",_xlfn.IFNA(INDEX(drug_codes,MATCH(loaded!AS530,drug,0)),""))</f>
        <v>#N/A</v>
      </c>
      <c r="U530" t="e">
        <f>IF(K530=2,"",_xlfn.IFNA(INDEX(drug_codes,MATCH(loaded!AU530,drug,0)),""))</f>
        <v>#N/A</v>
      </c>
      <c r="V530" t="e">
        <f>IF(K530=2,"",_xlfn.IFNA(INDEX(drug_codes,MATCH(loaded!AW530,drug,0)),""))</f>
        <v>#N/A</v>
      </c>
      <c r="W530" t="e">
        <f>IF(K530=2,"",_xlfn.IFNA(INDEX(drug_codes,MATCH(loaded!AY530,drug,0)),""))</f>
        <v>#N/A</v>
      </c>
      <c r="X530" t="e">
        <f>IF(K530=2,"",_xlfn.IFNA(INDEX(drug_codes,MATCH(loaded!BA530,drug,0)),""))</f>
        <v>#N/A</v>
      </c>
      <c r="Y530" t="e">
        <f>INDEX(MTT_codes,MATCH(loaded!BC530,MTT,0))</f>
        <v>#N/A</v>
      </c>
      <c r="Z530" t="str">
        <f>_xlfn.IFNA(INDEX(MTT_codes,MATCH(loaded!BE530,MTT,0)),"")</f>
        <v/>
      </c>
      <c r="AA530" t="str">
        <f>_xlfn.IFNA(INDEX(MTT_codes,MATCH(loaded!BG530,MTT,0)),"")</f>
        <v/>
      </c>
      <c r="AB530" t="str">
        <f>_xlfn.IFNA(INDEX(MTT_codes,MATCH(loaded!BI530,MTT,0)),"")</f>
        <v/>
      </c>
      <c r="AC530" t="str">
        <f>_xlfn.IFNA(INDEX(MTT_codes,MATCH(loaded!BK530,MTT,0)),"")</f>
        <v/>
      </c>
      <c r="AD530" t="str">
        <f>_xlfn.IFNA(INDEX(MTT_codes,MATCH(loaded!BM530,MTT,0)),"")</f>
        <v/>
      </c>
      <c r="AE530" t="e">
        <f>INDEX(liv_ar_codes,MATCH(loaded!BO530,liv_ar,0))</f>
        <v>#N/A</v>
      </c>
      <c r="AF530" t="str">
        <f>_xlfn.IFNA(INDEX(MTT_codes,MATCH(loaded!BQ530,MTT,0)),"")</f>
        <v/>
      </c>
      <c r="AG530">
        <f>_xlfn.IFNA(INDEX(mental_codes,MATCH(loaded!BS530,mental,0)),9)</f>
        <v>9</v>
      </c>
    </row>
    <row r="531" spans="1:33" x14ac:dyDescent="0.25">
      <c r="A531">
        <f>loaded!C531</f>
        <v>0</v>
      </c>
      <c r="B531">
        <f>loaded!I531</f>
        <v>0</v>
      </c>
      <c r="C531">
        <f>IF(loaded!K531="Male",1,IF(loaded!K531="Female",2,9))</f>
        <v>9</v>
      </c>
      <c r="D531" s="8">
        <f>loaded!M531</f>
        <v>0</v>
      </c>
      <c r="E531" t="str">
        <f>LEFT(loaded!O531,3)</f>
        <v/>
      </c>
      <c r="F531" t="e">
        <f>INDEX(cntry_codes,MATCH(loaded!Q531,countries,0))</f>
        <v>#N/A</v>
      </c>
      <c r="G531" t="e">
        <f>INDEX(atsi_codes,MATCH(loaded!S531,atsi,0))</f>
        <v>#N/A</v>
      </c>
      <c r="H531" t="e">
        <f>INDEX(lang_codes,MATCH(loaded!U531,lang,0))</f>
        <v>#N/A</v>
      </c>
      <c r="I531" s="8">
        <f>loaded!W531</f>
        <v>0</v>
      </c>
      <c r="J531" t="e">
        <f>INDEX(us_acc_codes,MATCH(loaded!Y531,us_acc,0))</f>
        <v>#N/A</v>
      </c>
      <c r="K531" t="e">
        <f>INDEX(client_codes,MATCH(loaded!AA531,client,0))</f>
        <v>#N/A</v>
      </c>
      <c r="L531" t="e">
        <f>INDEX(src_ref_codes,MATCH(loaded!AC531,src_ref,0))</f>
        <v>#N/A</v>
      </c>
      <c r="M531" s="8">
        <f>loaded!AE531</f>
        <v>0</v>
      </c>
      <c r="N531" s="8">
        <f>loaded!AG531</f>
        <v>0</v>
      </c>
      <c r="O531" t="e">
        <f>INDEX(reces_codes,MATCH(loaded!AI531,reason,0))</f>
        <v>#N/A</v>
      </c>
      <c r="P531" t="e">
        <f>INDEX(TDS_codes,MATCH(loaded!AK531,TDS,0))</f>
        <v>#N/A</v>
      </c>
      <c r="Q531" t="e">
        <f>IF(K531=2,"",INDEX(method_codes,MATCH(loaded!AM531,method,0)))</f>
        <v>#N/A</v>
      </c>
      <c r="R531" t="e">
        <f>IF(K531=2,"",INDEX(inj_codes,MATCH(loaded!AO531,inj,0)))</f>
        <v>#N/A</v>
      </c>
      <c r="S531" t="e">
        <f>IF(K531=2,"",INDEX(drug_codes,MATCH(loaded!AQ531,drug,0)))</f>
        <v>#N/A</v>
      </c>
      <c r="T531" t="e">
        <f>IF(K531=2,"",_xlfn.IFNA(INDEX(drug_codes,MATCH(loaded!AS531,drug,0)),""))</f>
        <v>#N/A</v>
      </c>
      <c r="U531" t="e">
        <f>IF(K531=2,"",_xlfn.IFNA(INDEX(drug_codes,MATCH(loaded!AU531,drug,0)),""))</f>
        <v>#N/A</v>
      </c>
      <c r="V531" t="e">
        <f>IF(K531=2,"",_xlfn.IFNA(INDEX(drug_codes,MATCH(loaded!AW531,drug,0)),""))</f>
        <v>#N/A</v>
      </c>
      <c r="W531" t="e">
        <f>IF(K531=2,"",_xlfn.IFNA(INDEX(drug_codes,MATCH(loaded!AY531,drug,0)),""))</f>
        <v>#N/A</v>
      </c>
      <c r="X531" t="e">
        <f>IF(K531=2,"",_xlfn.IFNA(INDEX(drug_codes,MATCH(loaded!BA531,drug,0)),""))</f>
        <v>#N/A</v>
      </c>
      <c r="Y531" t="e">
        <f>INDEX(MTT_codes,MATCH(loaded!BC531,MTT,0))</f>
        <v>#N/A</v>
      </c>
      <c r="Z531" t="str">
        <f>_xlfn.IFNA(INDEX(MTT_codes,MATCH(loaded!BE531,MTT,0)),"")</f>
        <v/>
      </c>
      <c r="AA531" t="str">
        <f>_xlfn.IFNA(INDEX(MTT_codes,MATCH(loaded!BG531,MTT,0)),"")</f>
        <v/>
      </c>
      <c r="AB531" t="str">
        <f>_xlfn.IFNA(INDEX(MTT_codes,MATCH(loaded!BI531,MTT,0)),"")</f>
        <v/>
      </c>
      <c r="AC531" t="str">
        <f>_xlfn.IFNA(INDEX(MTT_codes,MATCH(loaded!BK531,MTT,0)),"")</f>
        <v/>
      </c>
      <c r="AD531" t="str">
        <f>_xlfn.IFNA(INDEX(MTT_codes,MATCH(loaded!BM531,MTT,0)),"")</f>
        <v/>
      </c>
      <c r="AE531" t="e">
        <f>INDEX(liv_ar_codes,MATCH(loaded!BO531,liv_ar,0))</f>
        <v>#N/A</v>
      </c>
      <c r="AF531" t="str">
        <f>_xlfn.IFNA(INDEX(MTT_codes,MATCH(loaded!BQ531,MTT,0)),"")</f>
        <v/>
      </c>
      <c r="AG531">
        <f>_xlfn.IFNA(INDEX(mental_codes,MATCH(loaded!BS531,mental,0)),9)</f>
        <v>9</v>
      </c>
    </row>
    <row r="532" spans="1:33" x14ac:dyDescent="0.25">
      <c r="A532">
        <f>loaded!C532</f>
        <v>0</v>
      </c>
      <c r="B532">
        <f>loaded!I532</f>
        <v>0</v>
      </c>
      <c r="C532">
        <f>IF(loaded!K532="Male",1,IF(loaded!K532="Female",2,9))</f>
        <v>9</v>
      </c>
      <c r="D532" s="8">
        <f>loaded!M532</f>
        <v>0</v>
      </c>
      <c r="E532" t="str">
        <f>LEFT(loaded!O532,3)</f>
        <v/>
      </c>
      <c r="F532" t="e">
        <f>INDEX(cntry_codes,MATCH(loaded!Q532,countries,0))</f>
        <v>#N/A</v>
      </c>
      <c r="G532" t="e">
        <f>INDEX(atsi_codes,MATCH(loaded!S532,atsi,0))</f>
        <v>#N/A</v>
      </c>
      <c r="H532" t="e">
        <f>INDEX(lang_codes,MATCH(loaded!U532,lang,0))</f>
        <v>#N/A</v>
      </c>
      <c r="I532" s="8">
        <f>loaded!W532</f>
        <v>0</v>
      </c>
      <c r="J532" t="e">
        <f>INDEX(us_acc_codes,MATCH(loaded!Y532,us_acc,0))</f>
        <v>#N/A</v>
      </c>
      <c r="K532" t="e">
        <f>INDEX(client_codes,MATCH(loaded!AA532,client,0))</f>
        <v>#N/A</v>
      </c>
      <c r="L532" t="e">
        <f>INDEX(src_ref_codes,MATCH(loaded!AC532,src_ref,0))</f>
        <v>#N/A</v>
      </c>
      <c r="M532" s="8">
        <f>loaded!AE532</f>
        <v>0</v>
      </c>
      <c r="N532" s="8">
        <f>loaded!AG532</f>
        <v>0</v>
      </c>
      <c r="O532" t="e">
        <f>INDEX(reces_codes,MATCH(loaded!AI532,reason,0))</f>
        <v>#N/A</v>
      </c>
      <c r="P532" t="e">
        <f>INDEX(TDS_codes,MATCH(loaded!AK532,TDS,0))</f>
        <v>#N/A</v>
      </c>
      <c r="Q532" t="e">
        <f>IF(K532=2,"",INDEX(method_codes,MATCH(loaded!AM532,method,0)))</f>
        <v>#N/A</v>
      </c>
      <c r="R532" t="e">
        <f>IF(K532=2,"",INDEX(inj_codes,MATCH(loaded!AO532,inj,0)))</f>
        <v>#N/A</v>
      </c>
      <c r="S532" t="e">
        <f>IF(K532=2,"",INDEX(drug_codes,MATCH(loaded!AQ532,drug,0)))</f>
        <v>#N/A</v>
      </c>
      <c r="T532" t="e">
        <f>IF(K532=2,"",_xlfn.IFNA(INDEX(drug_codes,MATCH(loaded!AS532,drug,0)),""))</f>
        <v>#N/A</v>
      </c>
      <c r="U532" t="e">
        <f>IF(K532=2,"",_xlfn.IFNA(INDEX(drug_codes,MATCH(loaded!AU532,drug,0)),""))</f>
        <v>#N/A</v>
      </c>
      <c r="V532" t="e">
        <f>IF(K532=2,"",_xlfn.IFNA(INDEX(drug_codes,MATCH(loaded!AW532,drug,0)),""))</f>
        <v>#N/A</v>
      </c>
      <c r="W532" t="e">
        <f>IF(K532=2,"",_xlfn.IFNA(INDEX(drug_codes,MATCH(loaded!AY532,drug,0)),""))</f>
        <v>#N/A</v>
      </c>
      <c r="X532" t="e">
        <f>IF(K532=2,"",_xlfn.IFNA(INDEX(drug_codes,MATCH(loaded!BA532,drug,0)),""))</f>
        <v>#N/A</v>
      </c>
      <c r="Y532" t="e">
        <f>INDEX(MTT_codes,MATCH(loaded!BC532,MTT,0))</f>
        <v>#N/A</v>
      </c>
      <c r="Z532" t="str">
        <f>_xlfn.IFNA(INDEX(MTT_codes,MATCH(loaded!BE532,MTT,0)),"")</f>
        <v/>
      </c>
      <c r="AA532" t="str">
        <f>_xlfn.IFNA(INDEX(MTT_codes,MATCH(loaded!BG532,MTT,0)),"")</f>
        <v/>
      </c>
      <c r="AB532" t="str">
        <f>_xlfn.IFNA(INDEX(MTT_codes,MATCH(loaded!BI532,MTT,0)),"")</f>
        <v/>
      </c>
      <c r="AC532" t="str">
        <f>_xlfn.IFNA(INDEX(MTT_codes,MATCH(loaded!BK532,MTT,0)),"")</f>
        <v/>
      </c>
      <c r="AD532" t="str">
        <f>_xlfn.IFNA(INDEX(MTT_codes,MATCH(loaded!BM532,MTT,0)),"")</f>
        <v/>
      </c>
      <c r="AE532" t="e">
        <f>INDEX(liv_ar_codes,MATCH(loaded!BO532,liv_ar,0))</f>
        <v>#N/A</v>
      </c>
      <c r="AF532" t="str">
        <f>_xlfn.IFNA(INDEX(MTT_codes,MATCH(loaded!BQ532,MTT,0)),"")</f>
        <v/>
      </c>
      <c r="AG532">
        <f>_xlfn.IFNA(INDEX(mental_codes,MATCH(loaded!BS532,mental,0)),9)</f>
        <v>9</v>
      </c>
    </row>
    <row r="533" spans="1:33" x14ac:dyDescent="0.25">
      <c r="A533">
        <f>loaded!C533</f>
        <v>0</v>
      </c>
      <c r="B533">
        <f>loaded!I533</f>
        <v>0</v>
      </c>
      <c r="C533">
        <f>IF(loaded!K533="Male",1,IF(loaded!K533="Female",2,9))</f>
        <v>9</v>
      </c>
      <c r="D533" s="8">
        <f>loaded!M533</f>
        <v>0</v>
      </c>
      <c r="E533" t="str">
        <f>LEFT(loaded!O533,3)</f>
        <v/>
      </c>
      <c r="F533" t="e">
        <f>INDEX(cntry_codes,MATCH(loaded!Q533,countries,0))</f>
        <v>#N/A</v>
      </c>
      <c r="G533" t="e">
        <f>INDEX(atsi_codes,MATCH(loaded!S533,atsi,0))</f>
        <v>#N/A</v>
      </c>
      <c r="H533" t="e">
        <f>INDEX(lang_codes,MATCH(loaded!U533,lang,0))</f>
        <v>#N/A</v>
      </c>
      <c r="I533" s="8">
        <f>loaded!W533</f>
        <v>0</v>
      </c>
      <c r="J533" t="e">
        <f>INDEX(us_acc_codes,MATCH(loaded!Y533,us_acc,0))</f>
        <v>#N/A</v>
      </c>
      <c r="K533" t="e">
        <f>INDEX(client_codes,MATCH(loaded!AA533,client,0))</f>
        <v>#N/A</v>
      </c>
      <c r="L533" t="e">
        <f>INDEX(src_ref_codes,MATCH(loaded!AC533,src_ref,0))</f>
        <v>#N/A</v>
      </c>
      <c r="M533" s="8">
        <f>loaded!AE533</f>
        <v>0</v>
      </c>
      <c r="N533" s="8">
        <f>loaded!AG533</f>
        <v>0</v>
      </c>
      <c r="O533" t="e">
        <f>INDEX(reces_codes,MATCH(loaded!AI533,reason,0))</f>
        <v>#N/A</v>
      </c>
      <c r="P533" t="e">
        <f>INDEX(TDS_codes,MATCH(loaded!AK533,TDS,0))</f>
        <v>#N/A</v>
      </c>
      <c r="Q533" t="e">
        <f>IF(K533=2,"",INDEX(method_codes,MATCH(loaded!AM533,method,0)))</f>
        <v>#N/A</v>
      </c>
      <c r="R533" t="e">
        <f>IF(K533=2,"",INDEX(inj_codes,MATCH(loaded!AO533,inj,0)))</f>
        <v>#N/A</v>
      </c>
      <c r="S533" t="e">
        <f>IF(K533=2,"",INDEX(drug_codes,MATCH(loaded!AQ533,drug,0)))</f>
        <v>#N/A</v>
      </c>
      <c r="T533" t="e">
        <f>IF(K533=2,"",_xlfn.IFNA(INDEX(drug_codes,MATCH(loaded!AS533,drug,0)),""))</f>
        <v>#N/A</v>
      </c>
      <c r="U533" t="e">
        <f>IF(K533=2,"",_xlfn.IFNA(INDEX(drug_codes,MATCH(loaded!AU533,drug,0)),""))</f>
        <v>#N/A</v>
      </c>
      <c r="V533" t="e">
        <f>IF(K533=2,"",_xlfn.IFNA(INDEX(drug_codes,MATCH(loaded!AW533,drug,0)),""))</f>
        <v>#N/A</v>
      </c>
      <c r="W533" t="e">
        <f>IF(K533=2,"",_xlfn.IFNA(INDEX(drug_codes,MATCH(loaded!AY533,drug,0)),""))</f>
        <v>#N/A</v>
      </c>
      <c r="X533" t="e">
        <f>IF(K533=2,"",_xlfn.IFNA(INDEX(drug_codes,MATCH(loaded!BA533,drug,0)),""))</f>
        <v>#N/A</v>
      </c>
      <c r="Y533" t="e">
        <f>INDEX(MTT_codes,MATCH(loaded!BC533,MTT,0))</f>
        <v>#N/A</v>
      </c>
      <c r="Z533" t="str">
        <f>_xlfn.IFNA(INDEX(MTT_codes,MATCH(loaded!BE533,MTT,0)),"")</f>
        <v/>
      </c>
      <c r="AA533" t="str">
        <f>_xlfn.IFNA(INDEX(MTT_codes,MATCH(loaded!BG533,MTT,0)),"")</f>
        <v/>
      </c>
      <c r="AB533" t="str">
        <f>_xlfn.IFNA(INDEX(MTT_codes,MATCH(loaded!BI533,MTT,0)),"")</f>
        <v/>
      </c>
      <c r="AC533" t="str">
        <f>_xlfn.IFNA(INDEX(MTT_codes,MATCH(loaded!BK533,MTT,0)),"")</f>
        <v/>
      </c>
      <c r="AD533" t="str">
        <f>_xlfn.IFNA(INDEX(MTT_codes,MATCH(loaded!BM533,MTT,0)),"")</f>
        <v/>
      </c>
      <c r="AE533" t="e">
        <f>INDEX(liv_ar_codes,MATCH(loaded!BO533,liv_ar,0))</f>
        <v>#N/A</v>
      </c>
      <c r="AF533" t="str">
        <f>_xlfn.IFNA(INDEX(MTT_codes,MATCH(loaded!BQ533,MTT,0)),"")</f>
        <v/>
      </c>
      <c r="AG533">
        <f>_xlfn.IFNA(INDEX(mental_codes,MATCH(loaded!BS533,mental,0)),9)</f>
        <v>9</v>
      </c>
    </row>
    <row r="534" spans="1:33" x14ac:dyDescent="0.25">
      <c r="A534">
        <f>loaded!C534</f>
        <v>0</v>
      </c>
      <c r="B534">
        <f>loaded!I534</f>
        <v>0</v>
      </c>
      <c r="C534">
        <f>IF(loaded!K534="Male",1,IF(loaded!K534="Female",2,9))</f>
        <v>9</v>
      </c>
      <c r="D534" s="8">
        <f>loaded!M534</f>
        <v>0</v>
      </c>
      <c r="E534" t="str">
        <f>LEFT(loaded!O534,3)</f>
        <v/>
      </c>
      <c r="F534" t="e">
        <f>INDEX(cntry_codes,MATCH(loaded!Q534,countries,0))</f>
        <v>#N/A</v>
      </c>
      <c r="G534" t="e">
        <f>INDEX(atsi_codes,MATCH(loaded!S534,atsi,0))</f>
        <v>#N/A</v>
      </c>
      <c r="H534" t="e">
        <f>INDEX(lang_codes,MATCH(loaded!U534,lang,0))</f>
        <v>#N/A</v>
      </c>
      <c r="I534" s="8">
        <f>loaded!W534</f>
        <v>0</v>
      </c>
      <c r="J534" t="e">
        <f>INDEX(us_acc_codes,MATCH(loaded!Y534,us_acc,0))</f>
        <v>#N/A</v>
      </c>
      <c r="K534" t="e">
        <f>INDEX(client_codes,MATCH(loaded!AA534,client,0))</f>
        <v>#N/A</v>
      </c>
      <c r="L534" t="e">
        <f>INDEX(src_ref_codes,MATCH(loaded!AC534,src_ref,0))</f>
        <v>#N/A</v>
      </c>
      <c r="M534" s="8">
        <f>loaded!AE534</f>
        <v>0</v>
      </c>
      <c r="N534" s="8">
        <f>loaded!AG534</f>
        <v>0</v>
      </c>
      <c r="O534" t="e">
        <f>INDEX(reces_codes,MATCH(loaded!AI534,reason,0))</f>
        <v>#N/A</v>
      </c>
      <c r="P534" t="e">
        <f>INDEX(TDS_codes,MATCH(loaded!AK534,TDS,0))</f>
        <v>#N/A</v>
      </c>
      <c r="Q534" t="e">
        <f>IF(K534=2,"",INDEX(method_codes,MATCH(loaded!AM534,method,0)))</f>
        <v>#N/A</v>
      </c>
      <c r="R534" t="e">
        <f>IF(K534=2,"",INDEX(inj_codes,MATCH(loaded!AO534,inj,0)))</f>
        <v>#N/A</v>
      </c>
      <c r="S534" t="e">
        <f>IF(K534=2,"",INDEX(drug_codes,MATCH(loaded!AQ534,drug,0)))</f>
        <v>#N/A</v>
      </c>
      <c r="T534" t="e">
        <f>IF(K534=2,"",_xlfn.IFNA(INDEX(drug_codes,MATCH(loaded!AS534,drug,0)),""))</f>
        <v>#N/A</v>
      </c>
      <c r="U534" t="e">
        <f>IF(K534=2,"",_xlfn.IFNA(INDEX(drug_codes,MATCH(loaded!AU534,drug,0)),""))</f>
        <v>#N/A</v>
      </c>
      <c r="V534" t="e">
        <f>IF(K534=2,"",_xlfn.IFNA(INDEX(drug_codes,MATCH(loaded!AW534,drug,0)),""))</f>
        <v>#N/A</v>
      </c>
      <c r="W534" t="e">
        <f>IF(K534=2,"",_xlfn.IFNA(INDEX(drug_codes,MATCH(loaded!AY534,drug,0)),""))</f>
        <v>#N/A</v>
      </c>
      <c r="X534" t="e">
        <f>IF(K534=2,"",_xlfn.IFNA(INDEX(drug_codes,MATCH(loaded!BA534,drug,0)),""))</f>
        <v>#N/A</v>
      </c>
      <c r="Y534" t="e">
        <f>INDEX(MTT_codes,MATCH(loaded!BC534,MTT,0))</f>
        <v>#N/A</v>
      </c>
      <c r="Z534" t="str">
        <f>_xlfn.IFNA(INDEX(MTT_codes,MATCH(loaded!BE534,MTT,0)),"")</f>
        <v/>
      </c>
      <c r="AA534" t="str">
        <f>_xlfn.IFNA(INDEX(MTT_codes,MATCH(loaded!BG534,MTT,0)),"")</f>
        <v/>
      </c>
      <c r="AB534" t="str">
        <f>_xlfn.IFNA(INDEX(MTT_codes,MATCH(loaded!BI534,MTT,0)),"")</f>
        <v/>
      </c>
      <c r="AC534" t="str">
        <f>_xlfn.IFNA(INDEX(MTT_codes,MATCH(loaded!BK534,MTT,0)),"")</f>
        <v/>
      </c>
      <c r="AD534" t="str">
        <f>_xlfn.IFNA(INDEX(MTT_codes,MATCH(loaded!BM534,MTT,0)),"")</f>
        <v/>
      </c>
      <c r="AE534" t="e">
        <f>INDEX(liv_ar_codes,MATCH(loaded!BO534,liv_ar,0))</f>
        <v>#N/A</v>
      </c>
      <c r="AF534" t="str">
        <f>_xlfn.IFNA(INDEX(MTT_codes,MATCH(loaded!BQ534,MTT,0)),"")</f>
        <v/>
      </c>
      <c r="AG534">
        <f>_xlfn.IFNA(INDEX(mental_codes,MATCH(loaded!BS534,mental,0)),9)</f>
        <v>9</v>
      </c>
    </row>
    <row r="535" spans="1:33" x14ac:dyDescent="0.25">
      <c r="A535">
        <f>loaded!C535</f>
        <v>0</v>
      </c>
      <c r="B535">
        <f>loaded!I535</f>
        <v>0</v>
      </c>
      <c r="C535">
        <f>IF(loaded!K535="Male",1,IF(loaded!K535="Female",2,9))</f>
        <v>9</v>
      </c>
      <c r="D535" s="8">
        <f>loaded!M535</f>
        <v>0</v>
      </c>
      <c r="E535" t="str">
        <f>LEFT(loaded!O535,3)</f>
        <v/>
      </c>
      <c r="F535" t="e">
        <f>INDEX(cntry_codes,MATCH(loaded!Q535,countries,0))</f>
        <v>#N/A</v>
      </c>
      <c r="G535" t="e">
        <f>INDEX(atsi_codes,MATCH(loaded!S535,atsi,0))</f>
        <v>#N/A</v>
      </c>
      <c r="H535" t="e">
        <f>INDEX(lang_codes,MATCH(loaded!U535,lang,0))</f>
        <v>#N/A</v>
      </c>
      <c r="I535" s="8">
        <f>loaded!W535</f>
        <v>0</v>
      </c>
      <c r="J535" t="e">
        <f>INDEX(us_acc_codes,MATCH(loaded!Y535,us_acc,0))</f>
        <v>#N/A</v>
      </c>
      <c r="K535" t="e">
        <f>INDEX(client_codes,MATCH(loaded!AA535,client,0))</f>
        <v>#N/A</v>
      </c>
      <c r="L535" t="e">
        <f>INDEX(src_ref_codes,MATCH(loaded!AC535,src_ref,0))</f>
        <v>#N/A</v>
      </c>
      <c r="M535" s="8">
        <f>loaded!AE535</f>
        <v>0</v>
      </c>
      <c r="N535" s="8">
        <f>loaded!AG535</f>
        <v>0</v>
      </c>
      <c r="O535" t="e">
        <f>INDEX(reces_codes,MATCH(loaded!AI535,reason,0))</f>
        <v>#N/A</v>
      </c>
      <c r="P535" t="e">
        <f>INDEX(TDS_codes,MATCH(loaded!AK535,TDS,0))</f>
        <v>#N/A</v>
      </c>
      <c r="Q535" t="e">
        <f>IF(K535=2,"",INDEX(method_codes,MATCH(loaded!AM535,method,0)))</f>
        <v>#N/A</v>
      </c>
      <c r="R535" t="e">
        <f>IF(K535=2,"",INDEX(inj_codes,MATCH(loaded!AO535,inj,0)))</f>
        <v>#N/A</v>
      </c>
      <c r="S535" t="e">
        <f>IF(K535=2,"",INDEX(drug_codes,MATCH(loaded!AQ535,drug,0)))</f>
        <v>#N/A</v>
      </c>
      <c r="T535" t="e">
        <f>IF(K535=2,"",_xlfn.IFNA(INDEX(drug_codes,MATCH(loaded!AS535,drug,0)),""))</f>
        <v>#N/A</v>
      </c>
      <c r="U535" t="e">
        <f>IF(K535=2,"",_xlfn.IFNA(INDEX(drug_codes,MATCH(loaded!AU535,drug,0)),""))</f>
        <v>#N/A</v>
      </c>
      <c r="V535" t="e">
        <f>IF(K535=2,"",_xlfn.IFNA(INDEX(drug_codes,MATCH(loaded!AW535,drug,0)),""))</f>
        <v>#N/A</v>
      </c>
      <c r="W535" t="e">
        <f>IF(K535=2,"",_xlfn.IFNA(INDEX(drug_codes,MATCH(loaded!AY535,drug,0)),""))</f>
        <v>#N/A</v>
      </c>
      <c r="X535" t="e">
        <f>IF(K535=2,"",_xlfn.IFNA(INDEX(drug_codes,MATCH(loaded!BA535,drug,0)),""))</f>
        <v>#N/A</v>
      </c>
      <c r="Y535" t="e">
        <f>INDEX(MTT_codes,MATCH(loaded!BC535,MTT,0))</f>
        <v>#N/A</v>
      </c>
      <c r="Z535" t="str">
        <f>_xlfn.IFNA(INDEX(MTT_codes,MATCH(loaded!BE535,MTT,0)),"")</f>
        <v/>
      </c>
      <c r="AA535" t="str">
        <f>_xlfn.IFNA(INDEX(MTT_codes,MATCH(loaded!BG535,MTT,0)),"")</f>
        <v/>
      </c>
      <c r="AB535" t="str">
        <f>_xlfn.IFNA(INDEX(MTT_codes,MATCH(loaded!BI535,MTT,0)),"")</f>
        <v/>
      </c>
      <c r="AC535" t="str">
        <f>_xlfn.IFNA(INDEX(MTT_codes,MATCH(loaded!BK535,MTT,0)),"")</f>
        <v/>
      </c>
      <c r="AD535" t="str">
        <f>_xlfn.IFNA(INDEX(MTT_codes,MATCH(loaded!BM535,MTT,0)),"")</f>
        <v/>
      </c>
      <c r="AE535" t="e">
        <f>INDEX(liv_ar_codes,MATCH(loaded!BO535,liv_ar,0))</f>
        <v>#N/A</v>
      </c>
      <c r="AF535" t="str">
        <f>_xlfn.IFNA(INDEX(MTT_codes,MATCH(loaded!BQ535,MTT,0)),"")</f>
        <v/>
      </c>
      <c r="AG535">
        <f>_xlfn.IFNA(INDEX(mental_codes,MATCH(loaded!BS535,mental,0)),9)</f>
        <v>9</v>
      </c>
    </row>
    <row r="536" spans="1:33" x14ac:dyDescent="0.25">
      <c r="A536">
        <f>loaded!C536</f>
        <v>0</v>
      </c>
      <c r="B536">
        <f>loaded!I536</f>
        <v>0</v>
      </c>
      <c r="C536">
        <f>IF(loaded!K536="Male",1,IF(loaded!K536="Female",2,9))</f>
        <v>9</v>
      </c>
      <c r="D536" s="8">
        <f>loaded!M536</f>
        <v>0</v>
      </c>
      <c r="E536" t="str">
        <f>LEFT(loaded!O536,3)</f>
        <v/>
      </c>
      <c r="F536" t="e">
        <f>INDEX(cntry_codes,MATCH(loaded!Q536,countries,0))</f>
        <v>#N/A</v>
      </c>
      <c r="G536" t="e">
        <f>INDEX(atsi_codes,MATCH(loaded!S536,atsi,0))</f>
        <v>#N/A</v>
      </c>
      <c r="H536" t="e">
        <f>INDEX(lang_codes,MATCH(loaded!U536,lang,0))</f>
        <v>#N/A</v>
      </c>
      <c r="I536" s="8">
        <f>loaded!W536</f>
        <v>0</v>
      </c>
      <c r="J536" t="e">
        <f>INDEX(us_acc_codes,MATCH(loaded!Y536,us_acc,0))</f>
        <v>#N/A</v>
      </c>
      <c r="K536" t="e">
        <f>INDEX(client_codes,MATCH(loaded!AA536,client,0))</f>
        <v>#N/A</v>
      </c>
      <c r="L536" t="e">
        <f>INDEX(src_ref_codes,MATCH(loaded!AC536,src_ref,0))</f>
        <v>#N/A</v>
      </c>
      <c r="M536" s="8">
        <f>loaded!AE536</f>
        <v>0</v>
      </c>
      <c r="N536" s="8">
        <f>loaded!AG536</f>
        <v>0</v>
      </c>
      <c r="O536" t="e">
        <f>INDEX(reces_codes,MATCH(loaded!AI536,reason,0))</f>
        <v>#N/A</v>
      </c>
      <c r="P536" t="e">
        <f>INDEX(TDS_codes,MATCH(loaded!AK536,TDS,0))</f>
        <v>#N/A</v>
      </c>
      <c r="Q536" t="e">
        <f>IF(K536=2,"",INDEX(method_codes,MATCH(loaded!AM536,method,0)))</f>
        <v>#N/A</v>
      </c>
      <c r="R536" t="e">
        <f>IF(K536=2,"",INDEX(inj_codes,MATCH(loaded!AO536,inj,0)))</f>
        <v>#N/A</v>
      </c>
      <c r="S536" t="e">
        <f>IF(K536=2,"",INDEX(drug_codes,MATCH(loaded!AQ536,drug,0)))</f>
        <v>#N/A</v>
      </c>
      <c r="T536" t="e">
        <f>IF(K536=2,"",_xlfn.IFNA(INDEX(drug_codes,MATCH(loaded!AS536,drug,0)),""))</f>
        <v>#N/A</v>
      </c>
      <c r="U536" t="e">
        <f>IF(K536=2,"",_xlfn.IFNA(INDEX(drug_codes,MATCH(loaded!AU536,drug,0)),""))</f>
        <v>#N/A</v>
      </c>
      <c r="V536" t="e">
        <f>IF(K536=2,"",_xlfn.IFNA(INDEX(drug_codes,MATCH(loaded!AW536,drug,0)),""))</f>
        <v>#N/A</v>
      </c>
      <c r="W536" t="e">
        <f>IF(K536=2,"",_xlfn.IFNA(INDEX(drug_codes,MATCH(loaded!AY536,drug,0)),""))</f>
        <v>#N/A</v>
      </c>
      <c r="X536" t="e">
        <f>IF(K536=2,"",_xlfn.IFNA(INDEX(drug_codes,MATCH(loaded!BA536,drug,0)),""))</f>
        <v>#N/A</v>
      </c>
      <c r="Y536" t="e">
        <f>INDEX(MTT_codes,MATCH(loaded!BC536,MTT,0))</f>
        <v>#N/A</v>
      </c>
      <c r="Z536" t="str">
        <f>_xlfn.IFNA(INDEX(MTT_codes,MATCH(loaded!BE536,MTT,0)),"")</f>
        <v/>
      </c>
      <c r="AA536" t="str">
        <f>_xlfn.IFNA(INDEX(MTT_codes,MATCH(loaded!BG536,MTT,0)),"")</f>
        <v/>
      </c>
      <c r="AB536" t="str">
        <f>_xlfn.IFNA(INDEX(MTT_codes,MATCH(loaded!BI536,MTT,0)),"")</f>
        <v/>
      </c>
      <c r="AC536" t="str">
        <f>_xlfn.IFNA(INDEX(MTT_codes,MATCH(loaded!BK536,MTT,0)),"")</f>
        <v/>
      </c>
      <c r="AD536" t="str">
        <f>_xlfn.IFNA(INDEX(MTT_codes,MATCH(loaded!BM536,MTT,0)),"")</f>
        <v/>
      </c>
      <c r="AE536" t="e">
        <f>INDEX(liv_ar_codes,MATCH(loaded!BO536,liv_ar,0))</f>
        <v>#N/A</v>
      </c>
      <c r="AF536" t="str">
        <f>_xlfn.IFNA(INDEX(MTT_codes,MATCH(loaded!BQ536,MTT,0)),"")</f>
        <v/>
      </c>
      <c r="AG536">
        <f>_xlfn.IFNA(INDEX(mental_codes,MATCH(loaded!BS536,mental,0)),9)</f>
        <v>9</v>
      </c>
    </row>
    <row r="537" spans="1:33" x14ac:dyDescent="0.25">
      <c r="A537">
        <f>loaded!C537</f>
        <v>0</v>
      </c>
      <c r="B537">
        <f>loaded!I537</f>
        <v>0</v>
      </c>
      <c r="C537">
        <f>IF(loaded!K537="Male",1,IF(loaded!K537="Female",2,9))</f>
        <v>9</v>
      </c>
      <c r="D537" s="8">
        <f>loaded!M537</f>
        <v>0</v>
      </c>
      <c r="E537" t="str">
        <f>LEFT(loaded!O537,3)</f>
        <v/>
      </c>
      <c r="F537" t="e">
        <f>INDEX(cntry_codes,MATCH(loaded!Q537,countries,0))</f>
        <v>#N/A</v>
      </c>
      <c r="G537" t="e">
        <f>INDEX(atsi_codes,MATCH(loaded!S537,atsi,0))</f>
        <v>#N/A</v>
      </c>
      <c r="H537" t="e">
        <f>INDEX(lang_codes,MATCH(loaded!U537,lang,0))</f>
        <v>#N/A</v>
      </c>
      <c r="I537" s="8">
        <f>loaded!W537</f>
        <v>0</v>
      </c>
      <c r="J537" t="e">
        <f>INDEX(us_acc_codes,MATCH(loaded!Y537,us_acc,0))</f>
        <v>#N/A</v>
      </c>
      <c r="K537" t="e">
        <f>INDEX(client_codes,MATCH(loaded!AA537,client,0))</f>
        <v>#N/A</v>
      </c>
      <c r="L537" t="e">
        <f>INDEX(src_ref_codes,MATCH(loaded!AC537,src_ref,0))</f>
        <v>#N/A</v>
      </c>
      <c r="M537" s="8">
        <f>loaded!AE537</f>
        <v>0</v>
      </c>
      <c r="N537" s="8">
        <f>loaded!AG537</f>
        <v>0</v>
      </c>
      <c r="O537" t="e">
        <f>INDEX(reces_codes,MATCH(loaded!AI537,reason,0))</f>
        <v>#N/A</v>
      </c>
      <c r="P537" t="e">
        <f>INDEX(TDS_codes,MATCH(loaded!AK537,TDS,0))</f>
        <v>#N/A</v>
      </c>
      <c r="Q537" t="e">
        <f>IF(K537=2,"",INDEX(method_codes,MATCH(loaded!AM537,method,0)))</f>
        <v>#N/A</v>
      </c>
      <c r="R537" t="e">
        <f>IF(K537=2,"",INDEX(inj_codes,MATCH(loaded!AO537,inj,0)))</f>
        <v>#N/A</v>
      </c>
      <c r="S537" t="e">
        <f>IF(K537=2,"",INDEX(drug_codes,MATCH(loaded!AQ537,drug,0)))</f>
        <v>#N/A</v>
      </c>
      <c r="T537" t="e">
        <f>IF(K537=2,"",_xlfn.IFNA(INDEX(drug_codes,MATCH(loaded!AS537,drug,0)),""))</f>
        <v>#N/A</v>
      </c>
      <c r="U537" t="e">
        <f>IF(K537=2,"",_xlfn.IFNA(INDEX(drug_codes,MATCH(loaded!AU537,drug,0)),""))</f>
        <v>#N/A</v>
      </c>
      <c r="V537" t="e">
        <f>IF(K537=2,"",_xlfn.IFNA(INDEX(drug_codes,MATCH(loaded!AW537,drug,0)),""))</f>
        <v>#N/A</v>
      </c>
      <c r="W537" t="e">
        <f>IF(K537=2,"",_xlfn.IFNA(INDEX(drug_codes,MATCH(loaded!AY537,drug,0)),""))</f>
        <v>#N/A</v>
      </c>
      <c r="X537" t="e">
        <f>IF(K537=2,"",_xlfn.IFNA(INDEX(drug_codes,MATCH(loaded!BA537,drug,0)),""))</f>
        <v>#N/A</v>
      </c>
      <c r="Y537" t="e">
        <f>INDEX(MTT_codes,MATCH(loaded!BC537,MTT,0))</f>
        <v>#N/A</v>
      </c>
      <c r="Z537" t="str">
        <f>_xlfn.IFNA(INDEX(MTT_codes,MATCH(loaded!BE537,MTT,0)),"")</f>
        <v/>
      </c>
      <c r="AA537" t="str">
        <f>_xlfn.IFNA(INDEX(MTT_codes,MATCH(loaded!BG537,MTT,0)),"")</f>
        <v/>
      </c>
      <c r="AB537" t="str">
        <f>_xlfn.IFNA(INDEX(MTT_codes,MATCH(loaded!BI537,MTT,0)),"")</f>
        <v/>
      </c>
      <c r="AC537" t="str">
        <f>_xlfn.IFNA(INDEX(MTT_codes,MATCH(loaded!BK537,MTT,0)),"")</f>
        <v/>
      </c>
      <c r="AD537" t="str">
        <f>_xlfn.IFNA(INDEX(MTT_codes,MATCH(loaded!BM537,MTT,0)),"")</f>
        <v/>
      </c>
      <c r="AE537" t="e">
        <f>INDEX(liv_ar_codes,MATCH(loaded!BO537,liv_ar,0))</f>
        <v>#N/A</v>
      </c>
      <c r="AF537" t="str">
        <f>_xlfn.IFNA(INDEX(MTT_codes,MATCH(loaded!BQ537,MTT,0)),"")</f>
        <v/>
      </c>
      <c r="AG537">
        <f>_xlfn.IFNA(INDEX(mental_codes,MATCH(loaded!BS537,mental,0)),9)</f>
        <v>9</v>
      </c>
    </row>
    <row r="538" spans="1:33" x14ac:dyDescent="0.25">
      <c r="A538">
        <f>loaded!C538</f>
        <v>0</v>
      </c>
      <c r="B538">
        <f>loaded!I538</f>
        <v>0</v>
      </c>
      <c r="C538">
        <f>IF(loaded!K538="Male",1,IF(loaded!K538="Female",2,9))</f>
        <v>9</v>
      </c>
      <c r="D538" s="8">
        <f>loaded!M538</f>
        <v>0</v>
      </c>
      <c r="E538" t="str">
        <f>LEFT(loaded!O538,3)</f>
        <v/>
      </c>
      <c r="F538" t="e">
        <f>INDEX(cntry_codes,MATCH(loaded!Q538,countries,0))</f>
        <v>#N/A</v>
      </c>
      <c r="G538" t="e">
        <f>INDEX(atsi_codes,MATCH(loaded!S538,atsi,0))</f>
        <v>#N/A</v>
      </c>
      <c r="H538" t="e">
        <f>INDEX(lang_codes,MATCH(loaded!U538,lang,0))</f>
        <v>#N/A</v>
      </c>
      <c r="I538" s="8">
        <f>loaded!W538</f>
        <v>0</v>
      </c>
      <c r="J538" t="e">
        <f>INDEX(us_acc_codes,MATCH(loaded!Y538,us_acc,0))</f>
        <v>#N/A</v>
      </c>
      <c r="K538" t="e">
        <f>INDEX(client_codes,MATCH(loaded!AA538,client,0))</f>
        <v>#N/A</v>
      </c>
      <c r="L538" t="e">
        <f>INDEX(src_ref_codes,MATCH(loaded!AC538,src_ref,0))</f>
        <v>#N/A</v>
      </c>
      <c r="M538" s="8">
        <f>loaded!AE538</f>
        <v>0</v>
      </c>
      <c r="N538" s="8">
        <f>loaded!AG538</f>
        <v>0</v>
      </c>
      <c r="O538" t="e">
        <f>INDEX(reces_codes,MATCH(loaded!AI538,reason,0))</f>
        <v>#N/A</v>
      </c>
      <c r="P538" t="e">
        <f>INDEX(TDS_codes,MATCH(loaded!AK538,TDS,0))</f>
        <v>#N/A</v>
      </c>
      <c r="Q538" t="e">
        <f>IF(K538=2,"",INDEX(method_codes,MATCH(loaded!AM538,method,0)))</f>
        <v>#N/A</v>
      </c>
      <c r="R538" t="e">
        <f>IF(K538=2,"",INDEX(inj_codes,MATCH(loaded!AO538,inj,0)))</f>
        <v>#N/A</v>
      </c>
      <c r="S538" t="e">
        <f>IF(K538=2,"",INDEX(drug_codes,MATCH(loaded!AQ538,drug,0)))</f>
        <v>#N/A</v>
      </c>
      <c r="T538" t="e">
        <f>IF(K538=2,"",_xlfn.IFNA(INDEX(drug_codes,MATCH(loaded!AS538,drug,0)),""))</f>
        <v>#N/A</v>
      </c>
      <c r="U538" t="e">
        <f>IF(K538=2,"",_xlfn.IFNA(INDEX(drug_codes,MATCH(loaded!AU538,drug,0)),""))</f>
        <v>#N/A</v>
      </c>
      <c r="V538" t="e">
        <f>IF(K538=2,"",_xlfn.IFNA(INDEX(drug_codes,MATCH(loaded!AW538,drug,0)),""))</f>
        <v>#N/A</v>
      </c>
      <c r="W538" t="e">
        <f>IF(K538=2,"",_xlfn.IFNA(INDEX(drug_codes,MATCH(loaded!AY538,drug,0)),""))</f>
        <v>#N/A</v>
      </c>
      <c r="X538" t="e">
        <f>IF(K538=2,"",_xlfn.IFNA(INDEX(drug_codes,MATCH(loaded!BA538,drug,0)),""))</f>
        <v>#N/A</v>
      </c>
      <c r="Y538" t="e">
        <f>INDEX(MTT_codes,MATCH(loaded!BC538,MTT,0))</f>
        <v>#N/A</v>
      </c>
      <c r="Z538" t="str">
        <f>_xlfn.IFNA(INDEX(MTT_codes,MATCH(loaded!BE538,MTT,0)),"")</f>
        <v/>
      </c>
      <c r="AA538" t="str">
        <f>_xlfn.IFNA(INDEX(MTT_codes,MATCH(loaded!BG538,MTT,0)),"")</f>
        <v/>
      </c>
      <c r="AB538" t="str">
        <f>_xlfn.IFNA(INDEX(MTT_codes,MATCH(loaded!BI538,MTT,0)),"")</f>
        <v/>
      </c>
      <c r="AC538" t="str">
        <f>_xlfn.IFNA(INDEX(MTT_codes,MATCH(loaded!BK538,MTT,0)),"")</f>
        <v/>
      </c>
      <c r="AD538" t="str">
        <f>_xlfn.IFNA(INDEX(MTT_codes,MATCH(loaded!BM538,MTT,0)),"")</f>
        <v/>
      </c>
      <c r="AE538" t="e">
        <f>INDEX(liv_ar_codes,MATCH(loaded!BO538,liv_ar,0))</f>
        <v>#N/A</v>
      </c>
      <c r="AF538" t="str">
        <f>_xlfn.IFNA(INDEX(MTT_codes,MATCH(loaded!BQ538,MTT,0)),"")</f>
        <v/>
      </c>
      <c r="AG538">
        <f>_xlfn.IFNA(INDEX(mental_codes,MATCH(loaded!BS538,mental,0)),9)</f>
        <v>9</v>
      </c>
    </row>
    <row r="539" spans="1:33" x14ac:dyDescent="0.25">
      <c r="A539">
        <f>loaded!C539</f>
        <v>0</v>
      </c>
      <c r="B539">
        <f>loaded!I539</f>
        <v>0</v>
      </c>
      <c r="C539">
        <f>IF(loaded!K539="Male",1,IF(loaded!K539="Female",2,9))</f>
        <v>9</v>
      </c>
      <c r="D539" s="8">
        <f>loaded!M539</f>
        <v>0</v>
      </c>
      <c r="E539" t="str">
        <f>LEFT(loaded!O539,3)</f>
        <v/>
      </c>
      <c r="F539" t="e">
        <f>INDEX(cntry_codes,MATCH(loaded!Q539,countries,0))</f>
        <v>#N/A</v>
      </c>
      <c r="G539" t="e">
        <f>INDEX(atsi_codes,MATCH(loaded!S539,atsi,0))</f>
        <v>#N/A</v>
      </c>
      <c r="H539" t="e">
        <f>INDEX(lang_codes,MATCH(loaded!U539,lang,0))</f>
        <v>#N/A</v>
      </c>
      <c r="I539" s="8">
        <f>loaded!W539</f>
        <v>0</v>
      </c>
      <c r="J539" t="e">
        <f>INDEX(us_acc_codes,MATCH(loaded!Y539,us_acc,0))</f>
        <v>#N/A</v>
      </c>
      <c r="K539" t="e">
        <f>INDEX(client_codes,MATCH(loaded!AA539,client,0))</f>
        <v>#N/A</v>
      </c>
      <c r="L539" t="e">
        <f>INDEX(src_ref_codes,MATCH(loaded!AC539,src_ref,0))</f>
        <v>#N/A</v>
      </c>
      <c r="M539" s="8">
        <f>loaded!AE539</f>
        <v>0</v>
      </c>
      <c r="N539" s="8">
        <f>loaded!AG539</f>
        <v>0</v>
      </c>
      <c r="O539" t="e">
        <f>INDEX(reces_codes,MATCH(loaded!AI539,reason,0))</f>
        <v>#N/A</v>
      </c>
      <c r="P539" t="e">
        <f>INDEX(TDS_codes,MATCH(loaded!AK539,TDS,0))</f>
        <v>#N/A</v>
      </c>
      <c r="Q539" t="e">
        <f>IF(K539=2,"",INDEX(method_codes,MATCH(loaded!AM539,method,0)))</f>
        <v>#N/A</v>
      </c>
      <c r="R539" t="e">
        <f>IF(K539=2,"",INDEX(inj_codes,MATCH(loaded!AO539,inj,0)))</f>
        <v>#N/A</v>
      </c>
      <c r="S539" t="e">
        <f>IF(K539=2,"",INDEX(drug_codes,MATCH(loaded!AQ539,drug,0)))</f>
        <v>#N/A</v>
      </c>
      <c r="T539" t="e">
        <f>IF(K539=2,"",_xlfn.IFNA(INDEX(drug_codes,MATCH(loaded!AS539,drug,0)),""))</f>
        <v>#N/A</v>
      </c>
      <c r="U539" t="e">
        <f>IF(K539=2,"",_xlfn.IFNA(INDEX(drug_codes,MATCH(loaded!AU539,drug,0)),""))</f>
        <v>#N/A</v>
      </c>
      <c r="V539" t="e">
        <f>IF(K539=2,"",_xlfn.IFNA(INDEX(drug_codes,MATCH(loaded!AW539,drug,0)),""))</f>
        <v>#N/A</v>
      </c>
      <c r="W539" t="e">
        <f>IF(K539=2,"",_xlfn.IFNA(INDEX(drug_codes,MATCH(loaded!AY539,drug,0)),""))</f>
        <v>#N/A</v>
      </c>
      <c r="X539" t="e">
        <f>IF(K539=2,"",_xlfn.IFNA(INDEX(drug_codes,MATCH(loaded!BA539,drug,0)),""))</f>
        <v>#N/A</v>
      </c>
      <c r="Y539" t="e">
        <f>INDEX(MTT_codes,MATCH(loaded!BC539,MTT,0))</f>
        <v>#N/A</v>
      </c>
      <c r="Z539" t="str">
        <f>_xlfn.IFNA(INDEX(MTT_codes,MATCH(loaded!BE539,MTT,0)),"")</f>
        <v/>
      </c>
      <c r="AA539" t="str">
        <f>_xlfn.IFNA(INDEX(MTT_codes,MATCH(loaded!BG539,MTT,0)),"")</f>
        <v/>
      </c>
      <c r="AB539" t="str">
        <f>_xlfn.IFNA(INDEX(MTT_codes,MATCH(loaded!BI539,MTT,0)),"")</f>
        <v/>
      </c>
      <c r="AC539" t="str">
        <f>_xlfn.IFNA(INDEX(MTT_codes,MATCH(loaded!BK539,MTT,0)),"")</f>
        <v/>
      </c>
      <c r="AD539" t="str">
        <f>_xlfn.IFNA(INDEX(MTT_codes,MATCH(loaded!BM539,MTT,0)),"")</f>
        <v/>
      </c>
      <c r="AE539" t="e">
        <f>INDEX(liv_ar_codes,MATCH(loaded!BO539,liv_ar,0))</f>
        <v>#N/A</v>
      </c>
      <c r="AF539" t="str">
        <f>_xlfn.IFNA(INDEX(MTT_codes,MATCH(loaded!BQ539,MTT,0)),"")</f>
        <v/>
      </c>
      <c r="AG539">
        <f>_xlfn.IFNA(INDEX(mental_codes,MATCH(loaded!BS539,mental,0)),9)</f>
        <v>9</v>
      </c>
    </row>
    <row r="540" spans="1:33" x14ac:dyDescent="0.25">
      <c r="A540">
        <f>loaded!C540</f>
        <v>0</v>
      </c>
      <c r="B540">
        <f>loaded!I540</f>
        <v>0</v>
      </c>
      <c r="C540">
        <f>IF(loaded!K540="Male",1,IF(loaded!K540="Female",2,9))</f>
        <v>9</v>
      </c>
      <c r="D540" s="8">
        <f>loaded!M540</f>
        <v>0</v>
      </c>
      <c r="E540" t="str">
        <f>LEFT(loaded!O540,3)</f>
        <v/>
      </c>
      <c r="F540" t="e">
        <f>INDEX(cntry_codes,MATCH(loaded!Q540,countries,0))</f>
        <v>#N/A</v>
      </c>
      <c r="G540" t="e">
        <f>INDEX(atsi_codes,MATCH(loaded!S540,atsi,0))</f>
        <v>#N/A</v>
      </c>
      <c r="H540" t="e">
        <f>INDEX(lang_codes,MATCH(loaded!U540,lang,0))</f>
        <v>#N/A</v>
      </c>
      <c r="I540" s="8">
        <f>loaded!W540</f>
        <v>0</v>
      </c>
      <c r="J540" t="e">
        <f>INDEX(us_acc_codes,MATCH(loaded!Y540,us_acc,0))</f>
        <v>#N/A</v>
      </c>
      <c r="K540" t="e">
        <f>INDEX(client_codes,MATCH(loaded!AA540,client,0))</f>
        <v>#N/A</v>
      </c>
      <c r="L540" t="e">
        <f>INDEX(src_ref_codes,MATCH(loaded!AC540,src_ref,0))</f>
        <v>#N/A</v>
      </c>
      <c r="M540" s="8">
        <f>loaded!AE540</f>
        <v>0</v>
      </c>
      <c r="N540" s="8">
        <f>loaded!AG540</f>
        <v>0</v>
      </c>
      <c r="O540" t="e">
        <f>INDEX(reces_codes,MATCH(loaded!AI540,reason,0))</f>
        <v>#N/A</v>
      </c>
      <c r="P540" t="e">
        <f>INDEX(TDS_codes,MATCH(loaded!AK540,TDS,0))</f>
        <v>#N/A</v>
      </c>
      <c r="Q540" t="e">
        <f>IF(K540=2,"",INDEX(method_codes,MATCH(loaded!AM540,method,0)))</f>
        <v>#N/A</v>
      </c>
      <c r="R540" t="e">
        <f>IF(K540=2,"",INDEX(inj_codes,MATCH(loaded!AO540,inj,0)))</f>
        <v>#N/A</v>
      </c>
      <c r="S540" t="e">
        <f>IF(K540=2,"",INDEX(drug_codes,MATCH(loaded!AQ540,drug,0)))</f>
        <v>#N/A</v>
      </c>
      <c r="T540" t="e">
        <f>IF(K540=2,"",_xlfn.IFNA(INDEX(drug_codes,MATCH(loaded!AS540,drug,0)),""))</f>
        <v>#N/A</v>
      </c>
      <c r="U540" t="e">
        <f>IF(K540=2,"",_xlfn.IFNA(INDEX(drug_codes,MATCH(loaded!AU540,drug,0)),""))</f>
        <v>#N/A</v>
      </c>
      <c r="V540" t="e">
        <f>IF(K540=2,"",_xlfn.IFNA(INDEX(drug_codes,MATCH(loaded!AW540,drug,0)),""))</f>
        <v>#N/A</v>
      </c>
      <c r="W540" t="e">
        <f>IF(K540=2,"",_xlfn.IFNA(INDEX(drug_codes,MATCH(loaded!AY540,drug,0)),""))</f>
        <v>#N/A</v>
      </c>
      <c r="X540" t="e">
        <f>IF(K540=2,"",_xlfn.IFNA(INDEX(drug_codes,MATCH(loaded!BA540,drug,0)),""))</f>
        <v>#N/A</v>
      </c>
      <c r="Y540" t="e">
        <f>INDEX(MTT_codes,MATCH(loaded!BC540,MTT,0))</f>
        <v>#N/A</v>
      </c>
      <c r="Z540" t="str">
        <f>_xlfn.IFNA(INDEX(MTT_codes,MATCH(loaded!BE540,MTT,0)),"")</f>
        <v/>
      </c>
      <c r="AA540" t="str">
        <f>_xlfn.IFNA(INDEX(MTT_codes,MATCH(loaded!BG540,MTT,0)),"")</f>
        <v/>
      </c>
      <c r="AB540" t="str">
        <f>_xlfn.IFNA(INDEX(MTT_codes,MATCH(loaded!BI540,MTT,0)),"")</f>
        <v/>
      </c>
      <c r="AC540" t="str">
        <f>_xlfn.IFNA(INDEX(MTT_codes,MATCH(loaded!BK540,MTT,0)),"")</f>
        <v/>
      </c>
      <c r="AD540" t="str">
        <f>_xlfn.IFNA(INDEX(MTT_codes,MATCH(loaded!BM540,MTT,0)),"")</f>
        <v/>
      </c>
      <c r="AE540" t="e">
        <f>INDEX(liv_ar_codes,MATCH(loaded!BO540,liv_ar,0))</f>
        <v>#N/A</v>
      </c>
      <c r="AF540" t="str">
        <f>_xlfn.IFNA(INDEX(MTT_codes,MATCH(loaded!BQ540,MTT,0)),"")</f>
        <v/>
      </c>
      <c r="AG540">
        <f>_xlfn.IFNA(INDEX(mental_codes,MATCH(loaded!BS540,mental,0)),9)</f>
        <v>9</v>
      </c>
    </row>
    <row r="541" spans="1:33" x14ac:dyDescent="0.25">
      <c r="A541">
        <f>loaded!C541</f>
        <v>0</v>
      </c>
      <c r="B541">
        <f>loaded!I541</f>
        <v>0</v>
      </c>
      <c r="C541">
        <f>IF(loaded!K541="Male",1,IF(loaded!K541="Female",2,9))</f>
        <v>9</v>
      </c>
      <c r="D541" s="8">
        <f>loaded!M541</f>
        <v>0</v>
      </c>
      <c r="E541" t="str">
        <f>LEFT(loaded!O541,3)</f>
        <v/>
      </c>
      <c r="F541" t="e">
        <f>INDEX(cntry_codes,MATCH(loaded!Q541,countries,0))</f>
        <v>#N/A</v>
      </c>
      <c r="G541" t="e">
        <f>INDEX(atsi_codes,MATCH(loaded!S541,atsi,0))</f>
        <v>#N/A</v>
      </c>
      <c r="H541" t="e">
        <f>INDEX(lang_codes,MATCH(loaded!U541,lang,0))</f>
        <v>#N/A</v>
      </c>
      <c r="I541" s="8">
        <f>loaded!W541</f>
        <v>0</v>
      </c>
      <c r="J541" t="e">
        <f>INDEX(us_acc_codes,MATCH(loaded!Y541,us_acc,0))</f>
        <v>#N/A</v>
      </c>
      <c r="K541" t="e">
        <f>INDEX(client_codes,MATCH(loaded!AA541,client,0))</f>
        <v>#N/A</v>
      </c>
      <c r="L541" t="e">
        <f>INDEX(src_ref_codes,MATCH(loaded!AC541,src_ref,0))</f>
        <v>#N/A</v>
      </c>
      <c r="M541" s="8">
        <f>loaded!AE541</f>
        <v>0</v>
      </c>
      <c r="N541" s="8">
        <f>loaded!AG541</f>
        <v>0</v>
      </c>
      <c r="O541" t="e">
        <f>INDEX(reces_codes,MATCH(loaded!AI541,reason,0))</f>
        <v>#N/A</v>
      </c>
      <c r="P541" t="e">
        <f>INDEX(TDS_codes,MATCH(loaded!AK541,TDS,0))</f>
        <v>#N/A</v>
      </c>
      <c r="Q541" t="e">
        <f>IF(K541=2,"",INDEX(method_codes,MATCH(loaded!AM541,method,0)))</f>
        <v>#N/A</v>
      </c>
      <c r="R541" t="e">
        <f>IF(K541=2,"",INDEX(inj_codes,MATCH(loaded!AO541,inj,0)))</f>
        <v>#N/A</v>
      </c>
      <c r="S541" t="e">
        <f>IF(K541=2,"",INDEX(drug_codes,MATCH(loaded!AQ541,drug,0)))</f>
        <v>#N/A</v>
      </c>
      <c r="T541" t="e">
        <f>IF(K541=2,"",_xlfn.IFNA(INDEX(drug_codes,MATCH(loaded!AS541,drug,0)),""))</f>
        <v>#N/A</v>
      </c>
      <c r="U541" t="e">
        <f>IF(K541=2,"",_xlfn.IFNA(INDEX(drug_codes,MATCH(loaded!AU541,drug,0)),""))</f>
        <v>#N/A</v>
      </c>
      <c r="V541" t="e">
        <f>IF(K541=2,"",_xlfn.IFNA(INDEX(drug_codes,MATCH(loaded!AW541,drug,0)),""))</f>
        <v>#N/A</v>
      </c>
      <c r="W541" t="e">
        <f>IF(K541=2,"",_xlfn.IFNA(INDEX(drug_codes,MATCH(loaded!AY541,drug,0)),""))</f>
        <v>#N/A</v>
      </c>
      <c r="X541" t="e">
        <f>IF(K541=2,"",_xlfn.IFNA(INDEX(drug_codes,MATCH(loaded!BA541,drug,0)),""))</f>
        <v>#N/A</v>
      </c>
      <c r="Y541" t="e">
        <f>INDEX(MTT_codes,MATCH(loaded!BC541,MTT,0))</f>
        <v>#N/A</v>
      </c>
      <c r="Z541" t="str">
        <f>_xlfn.IFNA(INDEX(MTT_codes,MATCH(loaded!BE541,MTT,0)),"")</f>
        <v/>
      </c>
      <c r="AA541" t="str">
        <f>_xlfn.IFNA(INDEX(MTT_codes,MATCH(loaded!BG541,MTT,0)),"")</f>
        <v/>
      </c>
      <c r="AB541" t="str">
        <f>_xlfn.IFNA(INDEX(MTT_codes,MATCH(loaded!BI541,MTT,0)),"")</f>
        <v/>
      </c>
      <c r="AC541" t="str">
        <f>_xlfn.IFNA(INDEX(MTT_codes,MATCH(loaded!BK541,MTT,0)),"")</f>
        <v/>
      </c>
      <c r="AD541" t="str">
        <f>_xlfn.IFNA(INDEX(MTT_codes,MATCH(loaded!BM541,MTT,0)),"")</f>
        <v/>
      </c>
      <c r="AE541" t="e">
        <f>INDEX(liv_ar_codes,MATCH(loaded!BO541,liv_ar,0))</f>
        <v>#N/A</v>
      </c>
      <c r="AF541" t="str">
        <f>_xlfn.IFNA(INDEX(MTT_codes,MATCH(loaded!BQ541,MTT,0)),"")</f>
        <v/>
      </c>
      <c r="AG541">
        <f>_xlfn.IFNA(INDEX(mental_codes,MATCH(loaded!BS541,mental,0)),9)</f>
        <v>9</v>
      </c>
    </row>
    <row r="542" spans="1:33" x14ac:dyDescent="0.25">
      <c r="A542">
        <f>loaded!C542</f>
        <v>0</v>
      </c>
      <c r="B542">
        <f>loaded!I542</f>
        <v>0</v>
      </c>
      <c r="C542">
        <f>IF(loaded!K542="Male",1,IF(loaded!K542="Female",2,9))</f>
        <v>9</v>
      </c>
      <c r="D542" s="8">
        <f>loaded!M542</f>
        <v>0</v>
      </c>
      <c r="E542" t="str">
        <f>LEFT(loaded!O542,3)</f>
        <v/>
      </c>
      <c r="F542" t="e">
        <f>INDEX(cntry_codes,MATCH(loaded!Q542,countries,0))</f>
        <v>#N/A</v>
      </c>
      <c r="G542" t="e">
        <f>INDEX(atsi_codes,MATCH(loaded!S542,atsi,0))</f>
        <v>#N/A</v>
      </c>
      <c r="H542" t="e">
        <f>INDEX(lang_codes,MATCH(loaded!U542,lang,0))</f>
        <v>#N/A</v>
      </c>
      <c r="I542" s="8">
        <f>loaded!W542</f>
        <v>0</v>
      </c>
      <c r="J542" t="e">
        <f>INDEX(us_acc_codes,MATCH(loaded!Y542,us_acc,0))</f>
        <v>#N/A</v>
      </c>
      <c r="K542" t="e">
        <f>INDEX(client_codes,MATCH(loaded!AA542,client,0))</f>
        <v>#N/A</v>
      </c>
      <c r="L542" t="e">
        <f>INDEX(src_ref_codes,MATCH(loaded!AC542,src_ref,0))</f>
        <v>#N/A</v>
      </c>
      <c r="M542" s="8">
        <f>loaded!AE542</f>
        <v>0</v>
      </c>
      <c r="N542" s="8">
        <f>loaded!AG542</f>
        <v>0</v>
      </c>
      <c r="O542" t="e">
        <f>INDEX(reces_codes,MATCH(loaded!AI542,reason,0))</f>
        <v>#N/A</v>
      </c>
      <c r="P542" t="e">
        <f>INDEX(TDS_codes,MATCH(loaded!AK542,TDS,0))</f>
        <v>#N/A</v>
      </c>
      <c r="Q542" t="e">
        <f>IF(K542=2,"",INDEX(method_codes,MATCH(loaded!AM542,method,0)))</f>
        <v>#N/A</v>
      </c>
      <c r="R542" t="e">
        <f>IF(K542=2,"",INDEX(inj_codes,MATCH(loaded!AO542,inj,0)))</f>
        <v>#N/A</v>
      </c>
      <c r="S542" t="e">
        <f>IF(K542=2,"",INDEX(drug_codes,MATCH(loaded!AQ542,drug,0)))</f>
        <v>#N/A</v>
      </c>
      <c r="T542" t="e">
        <f>IF(K542=2,"",_xlfn.IFNA(INDEX(drug_codes,MATCH(loaded!AS542,drug,0)),""))</f>
        <v>#N/A</v>
      </c>
      <c r="U542" t="e">
        <f>IF(K542=2,"",_xlfn.IFNA(INDEX(drug_codes,MATCH(loaded!AU542,drug,0)),""))</f>
        <v>#N/A</v>
      </c>
      <c r="V542" t="e">
        <f>IF(K542=2,"",_xlfn.IFNA(INDEX(drug_codes,MATCH(loaded!AW542,drug,0)),""))</f>
        <v>#N/A</v>
      </c>
      <c r="W542" t="e">
        <f>IF(K542=2,"",_xlfn.IFNA(INDEX(drug_codes,MATCH(loaded!AY542,drug,0)),""))</f>
        <v>#N/A</v>
      </c>
      <c r="X542" t="e">
        <f>IF(K542=2,"",_xlfn.IFNA(INDEX(drug_codes,MATCH(loaded!BA542,drug,0)),""))</f>
        <v>#N/A</v>
      </c>
      <c r="Y542" t="e">
        <f>INDEX(MTT_codes,MATCH(loaded!BC542,MTT,0))</f>
        <v>#N/A</v>
      </c>
      <c r="Z542" t="str">
        <f>_xlfn.IFNA(INDEX(MTT_codes,MATCH(loaded!BE542,MTT,0)),"")</f>
        <v/>
      </c>
      <c r="AA542" t="str">
        <f>_xlfn.IFNA(INDEX(MTT_codes,MATCH(loaded!BG542,MTT,0)),"")</f>
        <v/>
      </c>
      <c r="AB542" t="str">
        <f>_xlfn.IFNA(INDEX(MTT_codes,MATCH(loaded!BI542,MTT,0)),"")</f>
        <v/>
      </c>
      <c r="AC542" t="str">
        <f>_xlfn.IFNA(INDEX(MTT_codes,MATCH(loaded!BK542,MTT,0)),"")</f>
        <v/>
      </c>
      <c r="AD542" t="str">
        <f>_xlfn.IFNA(INDEX(MTT_codes,MATCH(loaded!BM542,MTT,0)),"")</f>
        <v/>
      </c>
      <c r="AE542" t="e">
        <f>INDEX(liv_ar_codes,MATCH(loaded!BO542,liv_ar,0))</f>
        <v>#N/A</v>
      </c>
      <c r="AF542" t="str">
        <f>_xlfn.IFNA(INDEX(MTT_codes,MATCH(loaded!BQ542,MTT,0)),"")</f>
        <v/>
      </c>
      <c r="AG542">
        <f>_xlfn.IFNA(INDEX(mental_codes,MATCH(loaded!BS542,mental,0)),9)</f>
        <v>9</v>
      </c>
    </row>
    <row r="543" spans="1:33" x14ac:dyDescent="0.25">
      <c r="A543">
        <f>loaded!C543</f>
        <v>0</v>
      </c>
      <c r="B543">
        <f>loaded!I543</f>
        <v>0</v>
      </c>
      <c r="C543">
        <f>IF(loaded!K543="Male",1,IF(loaded!K543="Female",2,9))</f>
        <v>9</v>
      </c>
      <c r="D543" s="8">
        <f>loaded!M543</f>
        <v>0</v>
      </c>
      <c r="E543" t="str">
        <f>LEFT(loaded!O543,3)</f>
        <v/>
      </c>
      <c r="F543" t="e">
        <f>INDEX(cntry_codes,MATCH(loaded!Q543,countries,0))</f>
        <v>#N/A</v>
      </c>
      <c r="G543" t="e">
        <f>INDEX(atsi_codes,MATCH(loaded!S543,atsi,0))</f>
        <v>#N/A</v>
      </c>
      <c r="H543" t="e">
        <f>INDEX(lang_codes,MATCH(loaded!U543,lang,0))</f>
        <v>#N/A</v>
      </c>
      <c r="I543" s="8">
        <f>loaded!W543</f>
        <v>0</v>
      </c>
      <c r="J543" t="e">
        <f>INDEX(us_acc_codes,MATCH(loaded!Y543,us_acc,0))</f>
        <v>#N/A</v>
      </c>
      <c r="K543" t="e">
        <f>INDEX(client_codes,MATCH(loaded!AA543,client,0))</f>
        <v>#N/A</v>
      </c>
      <c r="L543" t="e">
        <f>INDEX(src_ref_codes,MATCH(loaded!AC543,src_ref,0))</f>
        <v>#N/A</v>
      </c>
      <c r="M543" s="8">
        <f>loaded!AE543</f>
        <v>0</v>
      </c>
      <c r="N543" s="8">
        <f>loaded!AG543</f>
        <v>0</v>
      </c>
      <c r="O543" t="e">
        <f>INDEX(reces_codes,MATCH(loaded!AI543,reason,0))</f>
        <v>#N/A</v>
      </c>
      <c r="P543" t="e">
        <f>INDEX(TDS_codes,MATCH(loaded!AK543,TDS,0))</f>
        <v>#N/A</v>
      </c>
      <c r="Q543" t="e">
        <f>IF(K543=2,"",INDEX(method_codes,MATCH(loaded!AM543,method,0)))</f>
        <v>#N/A</v>
      </c>
      <c r="R543" t="e">
        <f>IF(K543=2,"",INDEX(inj_codes,MATCH(loaded!AO543,inj,0)))</f>
        <v>#N/A</v>
      </c>
      <c r="S543" t="e">
        <f>IF(K543=2,"",INDEX(drug_codes,MATCH(loaded!AQ543,drug,0)))</f>
        <v>#N/A</v>
      </c>
      <c r="T543" t="e">
        <f>IF(K543=2,"",_xlfn.IFNA(INDEX(drug_codes,MATCH(loaded!AS543,drug,0)),""))</f>
        <v>#N/A</v>
      </c>
      <c r="U543" t="e">
        <f>IF(K543=2,"",_xlfn.IFNA(INDEX(drug_codes,MATCH(loaded!AU543,drug,0)),""))</f>
        <v>#N/A</v>
      </c>
      <c r="V543" t="e">
        <f>IF(K543=2,"",_xlfn.IFNA(INDEX(drug_codes,MATCH(loaded!AW543,drug,0)),""))</f>
        <v>#N/A</v>
      </c>
      <c r="W543" t="e">
        <f>IF(K543=2,"",_xlfn.IFNA(INDEX(drug_codes,MATCH(loaded!AY543,drug,0)),""))</f>
        <v>#N/A</v>
      </c>
      <c r="X543" t="e">
        <f>IF(K543=2,"",_xlfn.IFNA(INDEX(drug_codes,MATCH(loaded!BA543,drug,0)),""))</f>
        <v>#N/A</v>
      </c>
      <c r="Y543" t="e">
        <f>INDEX(MTT_codes,MATCH(loaded!BC543,MTT,0))</f>
        <v>#N/A</v>
      </c>
      <c r="Z543" t="str">
        <f>_xlfn.IFNA(INDEX(MTT_codes,MATCH(loaded!BE543,MTT,0)),"")</f>
        <v/>
      </c>
      <c r="AA543" t="str">
        <f>_xlfn.IFNA(INDEX(MTT_codes,MATCH(loaded!BG543,MTT,0)),"")</f>
        <v/>
      </c>
      <c r="AB543" t="str">
        <f>_xlfn.IFNA(INDEX(MTT_codes,MATCH(loaded!BI543,MTT,0)),"")</f>
        <v/>
      </c>
      <c r="AC543" t="str">
        <f>_xlfn.IFNA(INDEX(MTT_codes,MATCH(loaded!BK543,MTT,0)),"")</f>
        <v/>
      </c>
      <c r="AD543" t="str">
        <f>_xlfn.IFNA(INDEX(MTT_codes,MATCH(loaded!BM543,MTT,0)),"")</f>
        <v/>
      </c>
      <c r="AE543" t="e">
        <f>INDEX(liv_ar_codes,MATCH(loaded!BO543,liv_ar,0))</f>
        <v>#N/A</v>
      </c>
      <c r="AF543" t="str">
        <f>_xlfn.IFNA(INDEX(MTT_codes,MATCH(loaded!BQ543,MTT,0)),"")</f>
        <v/>
      </c>
      <c r="AG543">
        <f>_xlfn.IFNA(INDEX(mental_codes,MATCH(loaded!BS543,mental,0)),9)</f>
        <v>9</v>
      </c>
    </row>
    <row r="544" spans="1:33" x14ac:dyDescent="0.25">
      <c r="A544">
        <f>loaded!C544</f>
        <v>0</v>
      </c>
      <c r="B544">
        <f>loaded!I544</f>
        <v>0</v>
      </c>
      <c r="C544">
        <f>IF(loaded!K544="Male",1,IF(loaded!K544="Female",2,9))</f>
        <v>9</v>
      </c>
      <c r="D544" s="8">
        <f>loaded!M544</f>
        <v>0</v>
      </c>
      <c r="E544" t="str">
        <f>LEFT(loaded!O544,3)</f>
        <v/>
      </c>
      <c r="F544" t="e">
        <f>INDEX(cntry_codes,MATCH(loaded!Q544,countries,0))</f>
        <v>#N/A</v>
      </c>
      <c r="G544" t="e">
        <f>INDEX(atsi_codes,MATCH(loaded!S544,atsi,0))</f>
        <v>#N/A</v>
      </c>
      <c r="H544" t="e">
        <f>INDEX(lang_codes,MATCH(loaded!U544,lang,0))</f>
        <v>#N/A</v>
      </c>
      <c r="I544" s="8">
        <f>loaded!W544</f>
        <v>0</v>
      </c>
      <c r="J544" t="e">
        <f>INDEX(us_acc_codes,MATCH(loaded!Y544,us_acc,0))</f>
        <v>#N/A</v>
      </c>
      <c r="K544" t="e">
        <f>INDEX(client_codes,MATCH(loaded!AA544,client,0))</f>
        <v>#N/A</v>
      </c>
      <c r="L544" t="e">
        <f>INDEX(src_ref_codes,MATCH(loaded!AC544,src_ref,0))</f>
        <v>#N/A</v>
      </c>
      <c r="M544" s="8">
        <f>loaded!AE544</f>
        <v>0</v>
      </c>
      <c r="N544" s="8">
        <f>loaded!AG544</f>
        <v>0</v>
      </c>
      <c r="O544" t="e">
        <f>INDEX(reces_codes,MATCH(loaded!AI544,reason,0))</f>
        <v>#N/A</v>
      </c>
      <c r="P544" t="e">
        <f>INDEX(TDS_codes,MATCH(loaded!AK544,TDS,0))</f>
        <v>#N/A</v>
      </c>
      <c r="Q544" t="e">
        <f>IF(K544=2,"",INDEX(method_codes,MATCH(loaded!AM544,method,0)))</f>
        <v>#N/A</v>
      </c>
      <c r="R544" t="e">
        <f>IF(K544=2,"",INDEX(inj_codes,MATCH(loaded!AO544,inj,0)))</f>
        <v>#N/A</v>
      </c>
      <c r="S544" t="e">
        <f>IF(K544=2,"",INDEX(drug_codes,MATCH(loaded!AQ544,drug,0)))</f>
        <v>#N/A</v>
      </c>
      <c r="T544" t="e">
        <f>IF(K544=2,"",_xlfn.IFNA(INDEX(drug_codes,MATCH(loaded!AS544,drug,0)),""))</f>
        <v>#N/A</v>
      </c>
      <c r="U544" t="e">
        <f>IF(K544=2,"",_xlfn.IFNA(INDEX(drug_codes,MATCH(loaded!AU544,drug,0)),""))</f>
        <v>#N/A</v>
      </c>
      <c r="V544" t="e">
        <f>IF(K544=2,"",_xlfn.IFNA(INDEX(drug_codes,MATCH(loaded!AW544,drug,0)),""))</f>
        <v>#N/A</v>
      </c>
      <c r="W544" t="e">
        <f>IF(K544=2,"",_xlfn.IFNA(INDEX(drug_codes,MATCH(loaded!AY544,drug,0)),""))</f>
        <v>#N/A</v>
      </c>
      <c r="X544" t="e">
        <f>IF(K544=2,"",_xlfn.IFNA(INDEX(drug_codes,MATCH(loaded!BA544,drug,0)),""))</f>
        <v>#N/A</v>
      </c>
      <c r="Y544" t="e">
        <f>INDEX(MTT_codes,MATCH(loaded!BC544,MTT,0))</f>
        <v>#N/A</v>
      </c>
      <c r="Z544" t="str">
        <f>_xlfn.IFNA(INDEX(MTT_codes,MATCH(loaded!BE544,MTT,0)),"")</f>
        <v/>
      </c>
      <c r="AA544" t="str">
        <f>_xlfn.IFNA(INDEX(MTT_codes,MATCH(loaded!BG544,MTT,0)),"")</f>
        <v/>
      </c>
      <c r="AB544" t="str">
        <f>_xlfn.IFNA(INDEX(MTT_codes,MATCH(loaded!BI544,MTT,0)),"")</f>
        <v/>
      </c>
      <c r="AC544" t="str">
        <f>_xlfn.IFNA(INDEX(MTT_codes,MATCH(loaded!BK544,MTT,0)),"")</f>
        <v/>
      </c>
      <c r="AD544" t="str">
        <f>_xlfn.IFNA(INDEX(MTT_codes,MATCH(loaded!BM544,MTT,0)),"")</f>
        <v/>
      </c>
      <c r="AE544" t="e">
        <f>INDEX(liv_ar_codes,MATCH(loaded!BO544,liv_ar,0))</f>
        <v>#N/A</v>
      </c>
      <c r="AF544" t="str">
        <f>_xlfn.IFNA(INDEX(MTT_codes,MATCH(loaded!BQ544,MTT,0)),"")</f>
        <v/>
      </c>
      <c r="AG544">
        <f>_xlfn.IFNA(INDEX(mental_codes,MATCH(loaded!BS544,mental,0)),9)</f>
        <v>9</v>
      </c>
    </row>
    <row r="545" spans="1:33" x14ac:dyDescent="0.25">
      <c r="A545">
        <f>loaded!C545</f>
        <v>0</v>
      </c>
      <c r="B545">
        <f>loaded!I545</f>
        <v>0</v>
      </c>
      <c r="C545">
        <f>IF(loaded!K545="Male",1,IF(loaded!K545="Female",2,9))</f>
        <v>9</v>
      </c>
      <c r="D545" s="8">
        <f>loaded!M545</f>
        <v>0</v>
      </c>
      <c r="E545" t="str">
        <f>LEFT(loaded!O545,3)</f>
        <v/>
      </c>
      <c r="F545" t="e">
        <f>INDEX(cntry_codes,MATCH(loaded!Q545,countries,0))</f>
        <v>#N/A</v>
      </c>
      <c r="G545" t="e">
        <f>INDEX(atsi_codes,MATCH(loaded!S545,atsi,0))</f>
        <v>#N/A</v>
      </c>
      <c r="H545" t="e">
        <f>INDEX(lang_codes,MATCH(loaded!U545,lang,0))</f>
        <v>#N/A</v>
      </c>
      <c r="I545" s="8">
        <f>loaded!W545</f>
        <v>0</v>
      </c>
      <c r="J545" t="e">
        <f>INDEX(us_acc_codes,MATCH(loaded!Y545,us_acc,0))</f>
        <v>#N/A</v>
      </c>
      <c r="K545" t="e">
        <f>INDEX(client_codes,MATCH(loaded!AA545,client,0))</f>
        <v>#N/A</v>
      </c>
      <c r="L545" t="e">
        <f>INDEX(src_ref_codes,MATCH(loaded!AC545,src_ref,0))</f>
        <v>#N/A</v>
      </c>
      <c r="M545" s="8">
        <f>loaded!AE545</f>
        <v>0</v>
      </c>
      <c r="N545" s="8">
        <f>loaded!AG545</f>
        <v>0</v>
      </c>
      <c r="O545" t="e">
        <f>INDEX(reces_codes,MATCH(loaded!AI545,reason,0))</f>
        <v>#N/A</v>
      </c>
      <c r="P545" t="e">
        <f>INDEX(TDS_codes,MATCH(loaded!AK545,TDS,0))</f>
        <v>#N/A</v>
      </c>
      <c r="Q545" t="e">
        <f>IF(K545=2,"",INDEX(method_codes,MATCH(loaded!AM545,method,0)))</f>
        <v>#N/A</v>
      </c>
      <c r="R545" t="e">
        <f>IF(K545=2,"",INDEX(inj_codes,MATCH(loaded!AO545,inj,0)))</f>
        <v>#N/A</v>
      </c>
      <c r="S545" t="e">
        <f>IF(K545=2,"",INDEX(drug_codes,MATCH(loaded!AQ545,drug,0)))</f>
        <v>#N/A</v>
      </c>
      <c r="T545" t="e">
        <f>IF(K545=2,"",_xlfn.IFNA(INDEX(drug_codes,MATCH(loaded!AS545,drug,0)),""))</f>
        <v>#N/A</v>
      </c>
      <c r="U545" t="e">
        <f>IF(K545=2,"",_xlfn.IFNA(INDEX(drug_codes,MATCH(loaded!AU545,drug,0)),""))</f>
        <v>#N/A</v>
      </c>
      <c r="V545" t="e">
        <f>IF(K545=2,"",_xlfn.IFNA(INDEX(drug_codes,MATCH(loaded!AW545,drug,0)),""))</f>
        <v>#N/A</v>
      </c>
      <c r="W545" t="e">
        <f>IF(K545=2,"",_xlfn.IFNA(INDEX(drug_codes,MATCH(loaded!AY545,drug,0)),""))</f>
        <v>#N/A</v>
      </c>
      <c r="X545" t="e">
        <f>IF(K545=2,"",_xlfn.IFNA(INDEX(drug_codes,MATCH(loaded!BA545,drug,0)),""))</f>
        <v>#N/A</v>
      </c>
      <c r="Y545" t="e">
        <f>INDEX(MTT_codes,MATCH(loaded!BC545,MTT,0))</f>
        <v>#N/A</v>
      </c>
      <c r="Z545" t="str">
        <f>_xlfn.IFNA(INDEX(MTT_codes,MATCH(loaded!BE545,MTT,0)),"")</f>
        <v/>
      </c>
      <c r="AA545" t="str">
        <f>_xlfn.IFNA(INDEX(MTT_codes,MATCH(loaded!BG545,MTT,0)),"")</f>
        <v/>
      </c>
      <c r="AB545" t="str">
        <f>_xlfn.IFNA(INDEX(MTT_codes,MATCH(loaded!BI545,MTT,0)),"")</f>
        <v/>
      </c>
      <c r="AC545" t="str">
        <f>_xlfn.IFNA(INDEX(MTT_codes,MATCH(loaded!BK545,MTT,0)),"")</f>
        <v/>
      </c>
      <c r="AD545" t="str">
        <f>_xlfn.IFNA(INDEX(MTT_codes,MATCH(loaded!BM545,MTT,0)),"")</f>
        <v/>
      </c>
      <c r="AE545" t="e">
        <f>INDEX(liv_ar_codes,MATCH(loaded!BO545,liv_ar,0))</f>
        <v>#N/A</v>
      </c>
      <c r="AF545" t="str">
        <f>_xlfn.IFNA(INDEX(MTT_codes,MATCH(loaded!BQ545,MTT,0)),"")</f>
        <v/>
      </c>
      <c r="AG545">
        <f>_xlfn.IFNA(INDEX(mental_codes,MATCH(loaded!BS545,mental,0)),9)</f>
        <v>9</v>
      </c>
    </row>
    <row r="546" spans="1:33" x14ac:dyDescent="0.25">
      <c r="A546">
        <f>loaded!C546</f>
        <v>0</v>
      </c>
      <c r="B546">
        <f>loaded!I546</f>
        <v>0</v>
      </c>
      <c r="C546">
        <f>IF(loaded!K546="Male",1,IF(loaded!K546="Female",2,9))</f>
        <v>9</v>
      </c>
      <c r="D546" s="8">
        <f>loaded!M546</f>
        <v>0</v>
      </c>
      <c r="E546" t="str">
        <f>LEFT(loaded!O546,3)</f>
        <v/>
      </c>
      <c r="F546" t="e">
        <f>INDEX(cntry_codes,MATCH(loaded!Q546,countries,0))</f>
        <v>#N/A</v>
      </c>
      <c r="G546" t="e">
        <f>INDEX(atsi_codes,MATCH(loaded!S546,atsi,0))</f>
        <v>#N/A</v>
      </c>
      <c r="H546" t="e">
        <f>INDEX(lang_codes,MATCH(loaded!U546,lang,0))</f>
        <v>#N/A</v>
      </c>
      <c r="I546" s="8">
        <f>loaded!W546</f>
        <v>0</v>
      </c>
      <c r="J546" t="e">
        <f>INDEX(us_acc_codes,MATCH(loaded!Y546,us_acc,0))</f>
        <v>#N/A</v>
      </c>
      <c r="K546" t="e">
        <f>INDEX(client_codes,MATCH(loaded!AA546,client,0))</f>
        <v>#N/A</v>
      </c>
      <c r="L546" t="e">
        <f>INDEX(src_ref_codes,MATCH(loaded!AC546,src_ref,0))</f>
        <v>#N/A</v>
      </c>
      <c r="M546" s="8">
        <f>loaded!AE546</f>
        <v>0</v>
      </c>
      <c r="N546" s="8">
        <f>loaded!AG546</f>
        <v>0</v>
      </c>
      <c r="O546" t="e">
        <f>INDEX(reces_codes,MATCH(loaded!AI546,reason,0))</f>
        <v>#N/A</v>
      </c>
      <c r="P546" t="e">
        <f>INDEX(TDS_codes,MATCH(loaded!AK546,TDS,0))</f>
        <v>#N/A</v>
      </c>
      <c r="Q546" t="e">
        <f>IF(K546=2,"",INDEX(method_codes,MATCH(loaded!AM546,method,0)))</f>
        <v>#N/A</v>
      </c>
      <c r="R546" t="e">
        <f>IF(K546=2,"",INDEX(inj_codes,MATCH(loaded!AO546,inj,0)))</f>
        <v>#N/A</v>
      </c>
      <c r="S546" t="e">
        <f>IF(K546=2,"",INDEX(drug_codes,MATCH(loaded!AQ546,drug,0)))</f>
        <v>#N/A</v>
      </c>
      <c r="T546" t="e">
        <f>IF(K546=2,"",_xlfn.IFNA(INDEX(drug_codes,MATCH(loaded!AS546,drug,0)),""))</f>
        <v>#N/A</v>
      </c>
      <c r="U546" t="e">
        <f>IF(K546=2,"",_xlfn.IFNA(INDEX(drug_codes,MATCH(loaded!AU546,drug,0)),""))</f>
        <v>#N/A</v>
      </c>
      <c r="V546" t="e">
        <f>IF(K546=2,"",_xlfn.IFNA(INDEX(drug_codes,MATCH(loaded!AW546,drug,0)),""))</f>
        <v>#N/A</v>
      </c>
      <c r="W546" t="e">
        <f>IF(K546=2,"",_xlfn.IFNA(INDEX(drug_codes,MATCH(loaded!AY546,drug,0)),""))</f>
        <v>#N/A</v>
      </c>
      <c r="X546" t="e">
        <f>IF(K546=2,"",_xlfn.IFNA(INDEX(drug_codes,MATCH(loaded!BA546,drug,0)),""))</f>
        <v>#N/A</v>
      </c>
      <c r="Y546" t="e">
        <f>INDEX(MTT_codes,MATCH(loaded!BC546,MTT,0))</f>
        <v>#N/A</v>
      </c>
      <c r="Z546" t="str">
        <f>_xlfn.IFNA(INDEX(MTT_codes,MATCH(loaded!BE546,MTT,0)),"")</f>
        <v/>
      </c>
      <c r="AA546" t="str">
        <f>_xlfn.IFNA(INDEX(MTT_codes,MATCH(loaded!BG546,MTT,0)),"")</f>
        <v/>
      </c>
      <c r="AB546" t="str">
        <f>_xlfn.IFNA(INDEX(MTT_codes,MATCH(loaded!BI546,MTT,0)),"")</f>
        <v/>
      </c>
      <c r="AC546" t="str">
        <f>_xlfn.IFNA(INDEX(MTT_codes,MATCH(loaded!BK546,MTT,0)),"")</f>
        <v/>
      </c>
      <c r="AD546" t="str">
        <f>_xlfn.IFNA(INDEX(MTT_codes,MATCH(loaded!BM546,MTT,0)),"")</f>
        <v/>
      </c>
      <c r="AE546" t="e">
        <f>INDEX(liv_ar_codes,MATCH(loaded!BO546,liv_ar,0))</f>
        <v>#N/A</v>
      </c>
      <c r="AF546" t="str">
        <f>_xlfn.IFNA(INDEX(MTT_codes,MATCH(loaded!BQ546,MTT,0)),"")</f>
        <v/>
      </c>
      <c r="AG546">
        <f>_xlfn.IFNA(INDEX(mental_codes,MATCH(loaded!BS546,mental,0)),9)</f>
        <v>9</v>
      </c>
    </row>
    <row r="547" spans="1:33" x14ac:dyDescent="0.25">
      <c r="A547">
        <f>loaded!C547</f>
        <v>0</v>
      </c>
      <c r="B547">
        <f>loaded!I547</f>
        <v>0</v>
      </c>
      <c r="C547">
        <f>IF(loaded!K547="Male",1,IF(loaded!K547="Female",2,9))</f>
        <v>9</v>
      </c>
      <c r="D547" s="8">
        <f>loaded!M547</f>
        <v>0</v>
      </c>
      <c r="E547" t="str">
        <f>LEFT(loaded!O547,3)</f>
        <v/>
      </c>
      <c r="F547" t="e">
        <f>INDEX(cntry_codes,MATCH(loaded!Q547,countries,0))</f>
        <v>#N/A</v>
      </c>
      <c r="G547" t="e">
        <f>INDEX(atsi_codes,MATCH(loaded!S547,atsi,0))</f>
        <v>#N/A</v>
      </c>
      <c r="H547" t="e">
        <f>INDEX(lang_codes,MATCH(loaded!U547,lang,0))</f>
        <v>#N/A</v>
      </c>
      <c r="I547" s="8">
        <f>loaded!W547</f>
        <v>0</v>
      </c>
      <c r="J547" t="e">
        <f>INDEX(us_acc_codes,MATCH(loaded!Y547,us_acc,0))</f>
        <v>#N/A</v>
      </c>
      <c r="K547" t="e">
        <f>INDEX(client_codes,MATCH(loaded!AA547,client,0))</f>
        <v>#N/A</v>
      </c>
      <c r="L547" t="e">
        <f>INDEX(src_ref_codes,MATCH(loaded!AC547,src_ref,0))</f>
        <v>#N/A</v>
      </c>
      <c r="M547" s="8">
        <f>loaded!AE547</f>
        <v>0</v>
      </c>
      <c r="N547" s="8">
        <f>loaded!AG547</f>
        <v>0</v>
      </c>
      <c r="O547" t="e">
        <f>INDEX(reces_codes,MATCH(loaded!AI547,reason,0))</f>
        <v>#N/A</v>
      </c>
      <c r="P547" t="e">
        <f>INDEX(TDS_codes,MATCH(loaded!AK547,TDS,0))</f>
        <v>#N/A</v>
      </c>
      <c r="Q547" t="e">
        <f>IF(K547=2,"",INDEX(method_codes,MATCH(loaded!AM547,method,0)))</f>
        <v>#N/A</v>
      </c>
      <c r="R547" t="e">
        <f>IF(K547=2,"",INDEX(inj_codes,MATCH(loaded!AO547,inj,0)))</f>
        <v>#N/A</v>
      </c>
      <c r="S547" t="e">
        <f>IF(K547=2,"",INDEX(drug_codes,MATCH(loaded!AQ547,drug,0)))</f>
        <v>#N/A</v>
      </c>
      <c r="T547" t="e">
        <f>IF(K547=2,"",_xlfn.IFNA(INDEX(drug_codes,MATCH(loaded!AS547,drug,0)),""))</f>
        <v>#N/A</v>
      </c>
      <c r="U547" t="e">
        <f>IF(K547=2,"",_xlfn.IFNA(INDEX(drug_codes,MATCH(loaded!AU547,drug,0)),""))</f>
        <v>#N/A</v>
      </c>
      <c r="V547" t="e">
        <f>IF(K547=2,"",_xlfn.IFNA(INDEX(drug_codes,MATCH(loaded!AW547,drug,0)),""))</f>
        <v>#N/A</v>
      </c>
      <c r="W547" t="e">
        <f>IF(K547=2,"",_xlfn.IFNA(INDEX(drug_codes,MATCH(loaded!AY547,drug,0)),""))</f>
        <v>#N/A</v>
      </c>
      <c r="X547" t="e">
        <f>IF(K547=2,"",_xlfn.IFNA(INDEX(drug_codes,MATCH(loaded!BA547,drug,0)),""))</f>
        <v>#N/A</v>
      </c>
      <c r="Y547" t="e">
        <f>INDEX(MTT_codes,MATCH(loaded!BC547,MTT,0))</f>
        <v>#N/A</v>
      </c>
      <c r="Z547" t="str">
        <f>_xlfn.IFNA(INDEX(MTT_codes,MATCH(loaded!BE547,MTT,0)),"")</f>
        <v/>
      </c>
      <c r="AA547" t="str">
        <f>_xlfn.IFNA(INDEX(MTT_codes,MATCH(loaded!BG547,MTT,0)),"")</f>
        <v/>
      </c>
      <c r="AB547" t="str">
        <f>_xlfn.IFNA(INDEX(MTT_codes,MATCH(loaded!BI547,MTT,0)),"")</f>
        <v/>
      </c>
      <c r="AC547" t="str">
        <f>_xlfn.IFNA(INDEX(MTT_codes,MATCH(loaded!BK547,MTT,0)),"")</f>
        <v/>
      </c>
      <c r="AD547" t="str">
        <f>_xlfn.IFNA(INDEX(MTT_codes,MATCH(loaded!BM547,MTT,0)),"")</f>
        <v/>
      </c>
      <c r="AE547" t="e">
        <f>INDEX(liv_ar_codes,MATCH(loaded!BO547,liv_ar,0))</f>
        <v>#N/A</v>
      </c>
      <c r="AF547" t="str">
        <f>_xlfn.IFNA(INDEX(MTT_codes,MATCH(loaded!BQ547,MTT,0)),"")</f>
        <v/>
      </c>
      <c r="AG547">
        <f>_xlfn.IFNA(INDEX(mental_codes,MATCH(loaded!BS547,mental,0)),9)</f>
        <v>9</v>
      </c>
    </row>
    <row r="548" spans="1:33" x14ac:dyDescent="0.25">
      <c r="A548">
        <f>loaded!C548</f>
        <v>0</v>
      </c>
      <c r="B548">
        <f>loaded!I548</f>
        <v>0</v>
      </c>
      <c r="C548">
        <f>IF(loaded!K548="Male",1,IF(loaded!K548="Female",2,9))</f>
        <v>9</v>
      </c>
      <c r="D548" s="8">
        <f>loaded!M548</f>
        <v>0</v>
      </c>
      <c r="E548" t="str">
        <f>LEFT(loaded!O548,3)</f>
        <v/>
      </c>
      <c r="F548" t="e">
        <f>INDEX(cntry_codes,MATCH(loaded!Q548,countries,0))</f>
        <v>#N/A</v>
      </c>
      <c r="G548" t="e">
        <f>INDEX(atsi_codes,MATCH(loaded!S548,atsi,0))</f>
        <v>#N/A</v>
      </c>
      <c r="H548" t="e">
        <f>INDEX(lang_codes,MATCH(loaded!U548,lang,0))</f>
        <v>#N/A</v>
      </c>
      <c r="I548" s="8">
        <f>loaded!W548</f>
        <v>0</v>
      </c>
      <c r="J548" t="e">
        <f>INDEX(us_acc_codes,MATCH(loaded!Y548,us_acc,0))</f>
        <v>#N/A</v>
      </c>
      <c r="K548" t="e">
        <f>INDEX(client_codes,MATCH(loaded!AA548,client,0))</f>
        <v>#N/A</v>
      </c>
      <c r="L548" t="e">
        <f>INDEX(src_ref_codes,MATCH(loaded!AC548,src_ref,0))</f>
        <v>#N/A</v>
      </c>
      <c r="M548" s="8">
        <f>loaded!AE548</f>
        <v>0</v>
      </c>
      <c r="N548" s="8">
        <f>loaded!AG548</f>
        <v>0</v>
      </c>
      <c r="O548" t="e">
        <f>INDEX(reces_codes,MATCH(loaded!AI548,reason,0))</f>
        <v>#N/A</v>
      </c>
      <c r="P548" t="e">
        <f>INDEX(TDS_codes,MATCH(loaded!AK548,TDS,0))</f>
        <v>#N/A</v>
      </c>
      <c r="Q548" t="e">
        <f>IF(K548=2,"",INDEX(method_codes,MATCH(loaded!AM548,method,0)))</f>
        <v>#N/A</v>
      </c>
      <c r="R548" t="e">
        <f>IF(K548=2,"",INDEX(inj_codes,MATCH(loaded!AO548,inj,0)))</f>
        <v>#N/A</v>
      </c>
      <c r="S548" t="e">
        <f>IF(K548=2,"",INDEX(drug_codes,MATCH(loaded!AQ548,drug,0)))</f>
        <v>#N/A</v>
      </c>
      <c r="T548" t="e">
        <f>IF(K548=2,"",_xlfn.IFNA(INDEX(drug_codes,MATCH(loaded!AS548,drug,0)),""))</f>
        <v>#N/A</v>
      </c>
      <c r="U548" t="e">
        <f>IF(K548=2,"",_xlfn.IFNA(INDEX(drug_codes,MATCH(loaded!AU548,drug,0)),""))</f>
        <v>#N/A</v>
      </c>
      <c r="V548" t="e">
        <f>IF(K548=2,"",_xlfn.IFNA(INDEX(drug_codes,MATCH(loaded!AW548,drug,0)),""))</f>
        <v>#N/A</v>
      </c>
      <c r="W548" t="e">
        <f>IF(K548=2,"",_xlfn.IFNA(INDEX(drug_codes,MATCH(loaded!AY548,drug,0)),""))</f>
        <v>#N/A</v>
      </c>
      <c r="X548" t="e">
        <f>IF(K548=2,"",_xlfn.IFNA(INDEX(drug_codes,MATCH(loaded!BA548,drug,0)),""))</f>
        <v>#N/A</v>
      </c>
      <c r="Y548" t="e">
        <f>INDEX(MTT_codes,MATCH(loaded!BC548,MTT,0))</f>
        <v>#N/A</v>
      </c>
      <c r="Z548" t="str">
        <f>_xlfn.IFNA(INDEX(MTT_codes,MATCH(loaded!BE548,MTT,0)),"")</f>
        <v/>
      </c>
      <c r="AA548" t="str">
        <f>_xlfn.IFNA(INDEX(MTT_codes,MATCH(loaded!BG548,MTT,0)),"")</f>
        <v/>
      </c>
      <c r="AB548" t="str">
        <f>_xlfn.IFNA(INDEX(MTT_codes,MATCH(loaded!BI548,MTT,0)),"")</f>
        <v/>
      </c>
      <c r="AC548" t="str">
        <f>_xlfn.IFNA(INDEX(MTT_codes,MATCH(loaded!BK548,MTT,0)),"")</f>
        <v/>
      </c>
      <c r="AD548" t="str">
        <f>_xlfn.IFNA(INDEX(MTT_codes,MATCH(loaded!BM548,MTT,0)),"")</f>
        <v/>
      </c>
      <c r="AE548" t="e">
        <f>INDEX(liv_ar_codes,MATCH(loaded!BO548,liv_ar,0))</f>
        <v>#N/A</v>
      </c>
      <c r="AF548" t="str">
        <f>_xlfn.IFNA(INDEX(MTT_codes,MATCH(loaded!BQ548,MTT,0)),"")</f>
        <v/>
      </c>
      <c r="AG548">
        <f>_xlfn.IFNA(INDEX(mental_codes,MATCH(loaded!BS548,mental,0)),9)</f>
        <v>9</v>
      </c>
    </row>
    <row r="549" spans="1:33" x14ac:dyDescent="0.25">
      <c r="A549">
        <f>loaded!C549</f>
        <v>0</v>
      </c>
      <c r="B549">
        <f>loaded!I549</f>
        <v>0</v>
      </c>
      <c r="C549">
        <f>IF(loaded!K549="Male",1,IF(loaded!K549="Female",2,9))</f>
        <v>9</v>
      </c>
      <c r="D549" s="8">
        <f>loaded!M549</f>
        <v>0</v>
      </c>
      <c r="E549" t="str">
        <f>LEFT(loaded!O549,3)</f>
        <v/>
      </c>
      <c r="F549" t="e">
        <f>INDEX(cntry_codes,MATCH(loaded!Q549,countries,0))</f>
        <v>#N/A</v>
      </c>
      <c r="G549" t="e">
        <f>INDEX(atsi_codes,MATCH(loaded!S549,atsi,0))</f>
        <v>#N/A</v>
      </c>
      <c r="H549" t="e">
        <f>INDEX(lang_codes,MATCH(loaded!U549,lang,0))</f>
        <v>#N/A</v>
      </c>
      <c r="I549" s="8">
        <f>loaded!W549</f>
        <v>0</v>
      </c>
      <c r="J549" t="e">
        <f>INDEX(us_acc_codes,MATCH(loaded!Y549,us_acc,0))</f>
        <v>#N/A</v>
      </c>
      <c r="K549" t="e">
        <f>INDEX(client_codes,MATCH(loaded!AA549,client,0))</f>
        <v>#N/A</v>
      </c>
      <c r="L549" t="e">
        <f>INDEX(src_ref_codes,MATCH(loaded!AC549,src_ref,0))</f>
        <v>#N/A</v>
      </c>
      <c r="M549" s="8">
        <f>loaded!AE549</f>
        <v>0</v>
      </c>
      <c r="N549" s="8">
        <f>loaded!AG549</f>
        <v>0</v>
      </c>
      <c r="O549" t="e">
        <f>INDEX(reces_codes,MATCH(loaded!AI549,reason,0))</f>
        <v>#N/A</v>
      </c>
      <c r="P549" t="e">
        <f>INDEX(TDS_codes,MATCH(loaded!AK549,TDS,0))</f>
        <v>#N/A</v>
      </c>
      <c r="Q549" t="e">
        <f>IF(K549=2,"",INDEX(method_codes,MATCH(loaded!AM549,method,0)))</f>
        <v>#N/A</v>
      </c>
      <c r="R549" t="e">
        <f>IF(K549=2,"",INDEX(inj_codes,MATCH(loaded!AO549,inj,0)))</f>
        <v>#N/A</v>
      </c>
      <c r="S549" t="e">
        <f>IF(K549=2,"",INDEX(drug_codes,MATCH(loaded!AQ549,drug,0)))</f>
        <v>#N/A</v>
      </c>
      <c r="T549" t="e">
        <f>IF(K549=2,"",_xlfn.IFNA(INDEX(drug_codes,MATCH(loaded!AS549,drug,0)),""))</f>
        <v>#N/A</v>
      </c>
      <c r="U549" t="e">
        <f>IF(K549=2,"",_xlfn.IFNA(INDEX(drug_codes,MATCH(loaded!AU549,drug,0)),""))</f>
        <v>#N/A</v>
      </c>
      <c r="V549" t="e">
        <f>IF(K549=2,"",_xlfn.IFNA(INDEX(drug_codes,MATCH(loaded!AW549,drug,0)),""))</f>
        <v>#N/A</v>
      </c>
      <c r="W549" t="e">
        <f>IF(K549=2,"",_xlfn.IFNA(INDEX(drug_codes,MATCH(loaded!AY549,drug,0)),""))</f>
        <v>#N/A</v>
      </c>
      <c r="X549" t="e">
        <f>IF(K549=2,"",_xlfn.IFNA(INDEX(drug_codes,MATCH(loaded!BA549,drug,0)),""))</f>
        <v>#N/A</v>
      </c>
      <c r="Y549" t="e">
        <f>INDEX(MTT_codes,MATCH(loaded!BC549,MTT,0))</f>
        <v>#N/A</v>
      </c>
      <c r="Z549" t="str">
        <f>_xlfn.IFNA(INDEX(MTT_codes,MATCH(loaded!BE549,MTT,0)),"")</f>
        <v/>
      </c>
      <c r="AA549" t="str">
        <f>_xlfn.IFNA(INDEX(MTT_codes,MATCH(loaded!BG549,MTT,0)),"")</f>
        <v/>
      </c>
      <c r="AB549" t="str">
        <f>_xlfn.IFNA(INDEX(MTT_codes,MATCH(loaded!BI549,MTT,0)),"")</f>
        <v/>
      </c>
      <c r="AC549" t="str">
        <f>_xlfn.IFNA(INDEX(MTT_codes,MATCH(loaded!BK549,MTT,0)),"")</f>
        <v/>
      </c>
      <c r="AD549" t="str">
        <f>_xlfn.IFNA(INDEX(MTT_codes,MATCH(loaded!BM549,MTT,0)),"")</f>
        <v/>
      </c>
      <c r="AE549" t="e">
        <f>INDEX(liv_ar_codes,MATCH(loaded!BO549,liv_ar,0))</f>
        <v>#N/A</v>
      </c>
      <c r="AF549" t="str">
        <f>_xlfn.IFNA(INDEX(MTT_codes,MATCH(loaded!BQ549,MTT,0)),"")</f>
        <v/>
      </c>
      <c r="AG549">
        <f>_xlfn.IFNA(INDEX(mental_codes,MATCH(loaded!BS549,mental,0)),9)</f>
        <v>9</v>
      </c>
    </row>
    <row r="550" spans="1:33" x14ac:dyDescent="0.25">
      <c r="A550">
        <f>loaded!C550</f>
        <v>0</v>
      </c>
      <c r="B550">
        <f>loaded!I550</f>
        <v>0</v>
      </c>
      <c r="C550">
        <f>IF(loaded!K550="Male",1,IF(loaded!K550="Female",2,9))</f>
        <v>9</v>
      </c>
      <c r="D550" s="8">
        <f>loaded!M550</f>
        <v>0</v>
      </c>
      <c r="E550" t="str">
        <f>LEFT(loaded!O550,3)</f>
        <v/>
      </c>
      <c r="F550" t="e">
        <f>INDEX(cntry_codes,MATCH(loaded!Q550,countries,0))</f>
        <v>#N/A</v>
      </c>
      <c r="G550" t="e">
        <f>INDEX(atsi_codes,MATCH(loaded!S550,atsi,0))</f>
        <v>#N/A</v>
      </c>
      <c r="H550" t="e">
        <f>INDEX(lang_codes,MATCH(loaded!U550,lang,0))</f>
        <v>#N/A</v>
      </c>
      <c r="I550" s="8">
        <f>loaded!W550</f>
        <v>0</v>
      </c>
      <c r="J550" t="e">
        <f>INDEX(us_acc_codes,MATCH(loaded!Y550,us_acc,0))</f>
        <v>#N/A</v>
      </c>
      <c r="K550" t="e">
        <f>INDEX(client_codes,MATCH(loaded!AA550,client,0))</f>
        <v>#N/A</v>
      </c>
      <c r="L550" t="e">
        <f>INDEX(src_ref_codes,MATCH(loaded!AC550,src_ref,0))</f>
        <v>#N/A</v>
      </c>
      <c r="M550" s="8">
        <f>loaded!AE550</f>
        <v>0</v>
      </c>
      <c r="N550" s="8">
        <f>loaded!AG550</f>
        <v>0</v>
      </c>
      <c r="O550" t="e">
        <f>INDEX(reces_codes,MATCH(loaded!AI550,reason,0))</f>
        <v>#N/A</v>
      </c>
      <c r="P550" t="e">
        <f>INDEX(TDS_codes,MATCH(loaded!AK550,TDS,0))</f>
        <v>#N/A</v>
      </c>
      <c r="Q550" t="e">
        <f>IF(K550=2,"",INDEX(method_codes,MATCH(loaded!AM550,method,0)))</f>
        <v>#N/A</v>
      </c>
      <c r="R550" t="e">
        <f>IF(K550=2,"",INDEX(inj_codes,MATCH(loaded!AO550,inj,0)))</f>
        <v>#N/A</v>
      </c>
      <c r="S550" t="e">
        <f>IF(K550=2,"",INDEX(drug_codes,MATCH(loaded!AQ550,drug,0)))</f>
        <v>#N/A</v>
      </c>
      <c r="T550" t="e">
        <f>IF(K550=2,"",_xlfn.IFNA(INDEX(drug_codes,MATCH(loaded!AS550,drug,0)),""))</f>
        <v>#N/A</v>
      </c>
      <c r="U550" t="e">
        <f>IF(K550=2,"",_xlfn.IFNA(INDEX(drug_codes,MATCH(loaded!AU550,drug,0)),""))</f>
        <v>#N/A</v>
      </c>
      <c r="V550" t="e">
        <f>IF(K550=2,"",_xlfn.IFNA(INDEX(drug_codes,MATCH(loaded!AW550,drug,0)),""))</f>
        <v>#N/A</v>
      </c>
      <c r="W550" t="e">
        <f>IF(K550=2,"",_xlfn.IFNA(INDEX(drug_codes,MATCH(loaded!AY550,drug,0)),""))</f>
        <v>#N/A</v>
      </c>
      <c r="X550" t="e">
        <f>IF(K550=2,"",_xlfn.IFNA(INDEX(drug_codes,MATCH(loaded!BA550,drug,0)),""))</f>
        <v>#N/A</v>
      </c>
      <c r="Y550" t="e">
        <f>INDEX(MTT_codes,MATCH(loaded!BC550,MTT,0))</f>
        <v>#N/A</v>
      </c>
      <c r="Z550" t="str">
        <f>_xlfn.IFNA(INDEX(MTT_codes,MATCH(loaded!BE550,MTT,0)),"")</f>
        <v/>
      </c>
      <c r="AA550" t="str">
        <f>_xlfn.IFNA(INDEX(MTT_codes,MATCH(loaded!BG550,MTT,0)),"")</f>
        <v/>
      </c>
      <c r="AB550" t="str">
        <f>_xlfn.IFNA(INDEX(MTT_codes,MATCH(loaded!BI550,MTT,0)),"")</f>
        <v/>
      </c>
      <c r="AC550" t="str">
        <f>_xlfn.IFNA(INDEX(MTT_codes,MATCH(loaded!BK550,MTT,0)),"")</f>
        <v/>
      </c>
      <c r="AD550" t="str">
        <f>_xlfn.IFNA(INDEX(MTT_codes,MATCH(loaded!BM550,MTT,0)),"")</f>
        <v/>
      </c>
      <c r="AE550" t="e">
        <f>INDEX(liv_ar_codes,MATCH(loaded!BO550,liv_ar,0))</f>
        <v>#N/A</v>
      </c>
      <c r="AF550" t="str">
        <f>_xlfn.IFNA(INDEX(MTT_codes,MATCH(loaded!BQ550,MTT,0)),"")</f>
        <v/>
      </c>
      <c r="AG550">
        <f>_xlfn.IFNA(INDEX(mental_codes,MATCH(loaded!BS550,mental,0)),9)</f>
        <v>9</v>
      </c>
    </row>
    <row r="551" spans="1:33" x14ac:dyDescent="0.25">
      <c r="A551">
        <f>loaded!C551</f>
        <v>0</v>
      </c>
      <c r="B551">
        <f>loaded!I551</f>
        <v>0</v>
      </c>
      <c r="C551">
        <f>IF(loaded!K551="Male",1,IF(loaded!K551="Female",2,9))</f>
        <v>9</v>
      </c>
      <c r="D551" s="8">
        <f>loaded!M551</f>
        <v>0</v>
      </c>
      <c r="E551" t="str">
        <f>LEFT(loaded!O551,3)</f>
        <v/>
      </c>
      <c r="F551" t="e">
        <f>INDEX(cntry_codes,MATCH(loaded!Q551,countries,0))</f>
        <v>#N/A</v>
      </c>
      <c r="G551" t="e">
        <f>INDEX(atsi_codes,MATCH(loaded!S551,atsi,0))</f>
        <v>#N/A</v>
      </c>
      <c r="H551" t="e">
        <f>INDEX(lang_codes,MATCH(loaded!U551,lang,0))</f>
        <v>#N/A</v>
      </c>
      <c r="I551" s="8">
        <f>loaded!W551</f>
        <v>0</v>
      </c>
      <c r="J551" t="e">
        <f>INDEX(us_acc_codes,MATCH(loaded!Y551,us_acc,0))</f>
        <v>#N/A</v>
      </c>
      <c r="K551" t="e">
        <f>INDEX(client_codes,MATCH(loaded!AA551,client,0))</f>
        <v>#N/A</v>
      </c>
      <c r="L551" t="e">
        <f>INDEX(src_ref_codes,MATCH(loaded!AC551,src_ref,0))</f>
        <v>#N/A</v>
      </c>
      <c r="M551" s="8">
        <f>loaded!AE551</f>
        <v>0</v>
      </c>
      <c r="N551" s="8">
        <f>loaded!AG551</f>
        <v>0</v>
      </c>
      <c r="O551" t="e">
        <f>INDEX(reces_codes,MATCH(loaded!AI551,reason,0))</f>
        <v>#N/A</v>
      </c>
      <c r="P551" t="e">
        <f>INDEX(TDS_codes,MATCH(loaded!AK551,TDS,0))</f>
        <v>#N/A</v>
      </c>
      <c r="Q551" t="e">
        <f>IF(K551=2,"",INDEX(method_codes,MATCH(loaded!AM551,method,0)))</f>
        <v>#N/A</v>
      </c>
      <c r="R551" t="e">
        <f>IF(K551=2,"",INDEX(inj_codes,MATCH(loaded!AO551,inj,0)))</f>
        <v>#N/A</v>
      </c>
      <c r="S551" t="e">
        <f>IF(K551=2,"",INDEX(drug_codes,MATCH(loaded!AQ551,drug,0)))</f>
        <v>#N/A</v>
      </c>
      <c r="T551" t="e">
        <f>IF(K551=2,"",_xlfn.IFNA(INDEX(drug_codes,MATCH(loaded!AS551,drug,0)),""))</f>
        <v>#N/A</v>
      </c>
      <c r="U551" t="e">
        <f>IF(K551=2,"",_xlfn.IFNA(INDEX(drug_codes,MATCH(loaded!AU551,drug,0)),""))</f>
        <v>#N/A</v>
      </c>
      <c r="V551" t="e">
        <f>IF(K551=2,"",_xlfn.IFNA(INDEX(drug_codes,MATCH(loaded!AW551,drug,0)),""))</f>
        <v>#N/A</v>
      </c>
      <c r="W551" t="e">
        <f>IF(K551=2,"",_xlfn.IFNA(INDEX(drug_codes,MATCH(loaded!AY551,drug,0)),""))</f>
        <v>#N/A</v>
      </c>
      <c r="X551" t="e">
        <f>IF(K551=2,"",_xlfn.IFNA(INDEX(drug_codes,MATCH(loaded!BA551,drug,0)),""))</f>
        <v>#N/A</v>
      </c>
      <c r="Y551" t="e">
        <f>INDEX(MTT_codes,MATCH(loaded!BC551,MTT,0))</f>
        <v>#N/A</v>
      </c>
      <c r="Z551" t="str">
        <f>_xlfn.IFNA(INDEX(MTT_codes,MATCH(loaded!BE551,MTT,0)),"")</f>
        <v/>
      </c>
      <c r="AA551" t="str">
        <f>_xlfn.IFNA(INDEX(MTT_codes,MATCH(loaded!BG551,MTT,0)),"")</f>
        <v/>
      </c>
      <c r="AB551" t="str">
        <f>_xlfn.IFNA(INDEX(MTT_codes,MATCH(loaded!BI551,MTT,0)),"")</f>
        <v/>
      </c>
      <c r="AC551" t="str">
        <f>_xlfn.IFNA(INDEX(MTT_codes,MATCH(loaded!BK551,MTT,0)),"")</f>
        <v/>
      </c>
      <c r="AD551" t="str">
        <f>_xlfn.IFNA(INDEX(MTT_codes,MATCH(loaded!BM551,MTT,0)),"")</f>
        <v/>
      </c>
      <c r="AE551" t="e">
        <f>INDEX(liv_ar_codes,MATCH(loaded!BO551,liv_ar,0))</f>
        <v>#N/A</v>
      </c>
      <c r="AF551" t="str">
        <f>_xlfn.IFNA(INDEX(MTT_codes,MATCH(loaded!BQ551,MTT,0)),"")</f>
        <v/>
      </c>
      <c r="AG551">
        <f>_xlfn.IFNA(INDEX(mental_codes,MATCH(loaded!BS551,mental,0)),9)</f>
        <v>9</v>
      </c>
    </row>
    <row r="552" spans="1:33" x14ac:dyDescent="0.25">
      <c r="A552">
        <f>loaded!C552</f>
        <v>0</v>
      </c>
      <c r="B552">
        <f>loaded!I552</f>
        <v>0</v>
      </c>
      <c r="C552">
        <f>IF(loaded!K552="Male",1,IF(loaded!K552="Female",2,9))</f>
        <v>9</v>
      </c>
      <c r="D552" s="8">
        <f>loaded!M552</f>
        <v>0</v>
      </c>
      <c r="E552" t="str">
        <f>LEFT(loaded!O552,3)</f>
        <v/>
      </c>
      <c r="F552" t="e">
        <f>INDEX(cntry_codes,MATCH(loaded!Q552,countries,0))</f>
        <v>#N/A</v>
      </c>
      <c r="G552" t="e">
        <f>INDEX(atsi_codes,MATCH(loaded!S552,atsi,0))</f>
        <v>#N/A</v>
      </c>
      <c r="H552" t="e">
        <f>INDEX(lang_codes,MATCH(loaded!U552,lang,0))</f>
        <v>#N/A</v>
      </c>
      <c r="I552" s="8">
        <f>loaded!W552</f>
        <v>0</v>
      </c>
      <c r="J552" t="e">
        <f>INDEX(us_acc_codes,MATCH(loaded!Y552,us_acc,0))</f>
        <v>#N/A</v>
      </c>
      <c r="K552" t="e">
        <f>INDEX(client_codes,MATCH(loaded!AA552,client,0))</f>
        <v>#N/A</v>
      </c>
      <c r="L552" t="e">
        <f>INDEX(src_ref_codes,MATCH(loaded!AC552,src_ref,0))</f>
        <v>#N/A</v>
      </c>
      <c r="M552" s="8">
        <f>loaded!AE552</f>
        <v>0</v>
      </c>
      <c r="N552" s="8">
        <f>loaded!AG552</f>
        <v>0</v>
      </c>
      <c r="O552" t="e">
        <f>INDEX(reces_codes,MATCH(loaded!AI552,reason,0))</f>
        <v>#N/A</v>
      </c>
      <c r="P552" t="e">
        <f>INDEX(TDS_codes,MATCH(loaded!AK552,TDS,0))</f>
        <v>#N/A</v>
      </c>
      <c r="Q552" t="e">
        <f>IF(K552=2,"",INDEX(method_codes,MATCH(loaded!AM552,method,0)))</f>
        <v>#N/A</v>
      </c>
      <c r="R552" t="e">
        <f>IF(K552=2,"",INDEX(inj_codes,MATCH(loaded!AO552,inj,0)))</f>
        <v>#N/A</v>
      </c>
      <c r="S552" t="e">
        <f>IF(K552=2,"",INDEX(drug_codes,MATCH(loaded!AQ552,drug,0)))</f>
        <v>#N/A</v>
      </c>
      <c r="T552" t="e">
        <f>IF(K552=2,"",_xlfn.IFNA(INDEX(drug_codes,MATCH(loaded!AS552,drug,0)),""))</f>
        <v>#N/A</v>
      </c>
      <c r="U552" t="e">
        <f>IF(K552=2,"",_xlfn.IFNA(INDEX(drug_codes,MATCH(loaded!AU552,drug,0)),""))</f>
        <v>#N/A</v>
      </c>
      <c r="V552" t="e">
        <f>IF(K552=2,"",_xlfn.IFNA(INDEX(drug_codes,MATCH(loaded!AW552,drug,0)),""))</f>
        <v>#N/A</v>
      </c>
      <c r="W552" t="e">
        <f>IF(K552=2,"",_xlfn.IFNA(INDEX(drug_codes,MATCH(loaded!AY552,drug,0)),""))</f>
        <v>#N/A</v>
      </c>
      <c r="X552" t="e">
        <f>IF(K552=2,"",_xlfn.IFNA(INDEX(drug_codes,MATCH(loaded!BA552,drug,0)),""))</f>
        <v>#N/A</v>
      </c>
      <c r="Y552" t="e">
        <f>INDEX(MTT_codes,MATCH(loaded!BC552,MTT,0))</f>
        <v>#N/A</v>
      </c>
      <c r="Z552" t="str">
        <f>_xlfn.IFNA(INDEX(MTT_codes,MATCH(loaded!BE552,MTT,0)),"")</f>
        <v/>
      </c>
      <c r="AA552" t="str">
        <f>_xlfn.IFNA(INDEX(MTT_codes,MATCH(loaded!BG552,MTT,0)),"")</f>
        <v/>
      </c>
      <c r="AB552" t="str">
        <f>_xlfn.IFNA(INDEX(MTT_codes,MATCH(loaded!BI552,MTT,0)),"")</f>
        <v/>
      </c>
      <c r="AC552" t="str">
        <f>_xlfn.IFNA(INDEX(MTT_codes,MATCH(loaded!BK552,MTT,0)),"")</f>
        <v/>
      </c>
      <c r="AD552" t="str">
        <f>_xlfn.IFNA(INDEX(MTT_codes,MATCH(loaded!BM552,MTT,0)),"")</f>
        <v/>
      </c>
      <c r="AE552" t="e">
        <f>INDEX(liv_ar_codes,MATCH(loaded!BO552,liv_ar,0))</f>
        <v>#N/A</v>
      </c>
      <c r="AF552" t="str">
        <f>_xlfn.IFNA(INDEX(MTT_codes,MATCH(loaded!BQ552,MTT,0)),"")</f>
        <v/>
      </c>
      <c r="AG552">
        <f>_xlfn.IFNA(INDEX(mental_codes,MATCH(loaded!BS552,mental,0)),9)</f>
        <v>9</v>
      </c>
    </row>
    <row r="553" spans="1:33" x14ac:dyDescent="0.25">
      <c r="A553">
        <f>loaded!C553</f>
        <v>0</v>
      </c>
      <c r="B553">
        <f>loaded!I553</f>
        <v>0</v>
      </c>
      <c r="C553">
        <f>IF(loaded!K553="Male",1,IF(loaded!K553="Female",2,9))</f>
        <v>9</v>
      </c>
      <c r="D553" s="8">
        <f>loaded!M553</f>
        <v>0</v>
      </c>
      <c r="E553" t="str">
        <f>LEFT(loaded!O553,3)</f>
        <v/>
      </c>
      <c r="F553" t="e">
        <f>INDEX(cntry_codes,MATCH(loaded!Q553,countries,0))</f>
        <v>#N/A</v>
      </c>
      <c r="G553" t="e">
        <f>INDEX(atsi_codes,MATCH(loaded!S553,atsi,0))</f>
        <v>#N/A</v>
      </c>
      <c r="H553" t="e">
        <f>INDEX(lang_codes,MATCH(loaded!U553,lang,0))</f>
        <v>#N/A</v>
      </c>
      <c r="I553" s="8">
        <f>loaded!W553</f>
        <v>0</v>
      </c>
      <c r="J553" t="e">
        <f>INDEX(us_acc_codes,MATCH(loaded!Y553,us_acc,0))</f>
        <v>#N/A</v>
      </c>
      <c r="K553" t="e">
        <f>INDEX(client_codes,MATCH(loaded!AA553,client,0))</f>
        <v>#N/A</v>
      </c>
      <c r="L553" t="e">
        <f>INDEX(src_ref_codes,MATCH(loaded!AC553,src_ref,0))</f>
        <v>#N/A</v>
      </c>
      <c r="M553" s="8">
        <f>loaded!AE553</f>
        <v>0</v>
      </c>
      <c r="N553" s="8">
        <f>loaded!AG553</f>
        <v>0</v>
      </c>
      <c r="O553" t="e">
        <f>INDEX(reces_codes,MATCH(loaded!AI553,reason,0))</f>
        <v>#N/A</v>
      </c>
      <c r="P553" t="e">
        <f>INDEX(TDS_codes,MATCH(loaded!AK553,TDS,0))</f>
        <v>#N/A</v>
      </c>
      <c r="Q553" t="e">
        <f>IF(K553=2,"",INDEX(method_codes,MATCH(loaded!AM553,method,0)))</f>
        <v>#N/A</v>
      </c>
      <c r="R553" t="e">
        <f>IF(K553=2,"",INDEX(inj_codes,MATCH(loaded!AO553,inj,0)))</f>
        <v>#N/A</v>
      </c>
      <c r="S553" t="e">
        <f>IF(K553=2,"",INDEX(drug_codes,MATCH(loaded!AQ553,drug,0)))</f>
        <v>#N/A</v>
      </c>
      <c r="T553" t="e">
        <f>IF(K553=2,"",_xlfn.IFNA(INDEX(drug_codes,MATCH(loaded!AS553,drug,0)),""))</f>
        <v>#N/A</v>
      </c>
      <c r="U553" t="e">
        <f>IF(K553=2,"",_xlfn.IFNA(INDEX(drug_codes,MATCH(loaded!AU553,drug,0)),""))</f>
        <v>#N/A</v>
      </c>
      <c r="V553" t="e">
        <f>IF(K553=2,"",_xlfn.IFNA(INDEX(drug_codes,MATCH(loaded!AW553,drug,0)),""))</f>
        <v>#N/A</v>
      </c>
      <c r="W553" t="e">
        <f>IF(K553=2,"",_xlfn.IFNA(INDEX(drug_codes,MATCH(loaded!AY553,drug,0)),""))</f>
        <v>#N/A</v>
      </c>
      <c r="X553" t="e">
        <f>IF(K553=2,"",_xlfn.IFNA(INDEX(drug_codes,MATCH(loaded!BA553,drug,0)),""))</f>
        <v>#N/A</v>
      </c>
      <c r="Y553" t="e">
        <f>INDEX(MTT_codes,MATCH(loaded!BC553,MTT,0))</f>
        <v>#N/A</v>
      </c>
      <c r="Z553" t="str">
        <f>_xlfn.IFNA(INDEX(MTT_codes,MATCH(loaded!BE553,MTT,0)),"")</f>
        <v/>
      </c>
      <c r="AA553" t="str">
        <f>_xlfn.IFNA(INDEX(MTT_codes,MATCH(loaded!BG553,MTT,0)),"")</f>
        <v/>
      </c>
      <c r="AB553" t="str">
        <f>_xlfn.IFNA(INDEX(MTT_codes,MATCH(loaded!BI553,MTT,0)),"")</f>
        <v/>
      </c>
      <c r="AC553" t="str">
        <f>_xlfn.IFNA(INDEX(MTT_codes,MATCH(loaded!BK553,MTT,0)),"")</f>
        <v/>
      </c>
      <c r="AD553" t="str">
        <f>_xlfn.IFNA(INDEX(MTT_codes,MATCH(loaded!BM553,MTT,0)),"")</f>
        <v/>
      </c>
      <c r="AE553" t="e">
        <f>INDEX(liv_ar_codes,MATCH(loaded!BO553,liv_ar,0))</f>
        <v>#N/A</v>
      </c>
      <c r="AF553" t="str">
        <f>_xlfn.IFNA(INDEX(MTT_codes,MATCH(loaded!BQ553,MTT,0)),"")</f>
        <v/>
      </c>
      <c r="AG553">
        <f>_xlfn.IFNA(INDEX(mental_codes,MATCH(loaded!BS553,mental,0)),9)</f>
        <v>9</v>
      </c>
    </row>
    <row r="554" spans="1:33" x14ac:dyDescent="0.25">
      <c r="A554">
        <f>loaded!C554</f>
        <v>0</v>
      </c>
      <c r="B554">
        <f>loaded!I554</f>
        <v>0</v>
      </c>
      <c r="C554">
        <f>IF(loaded!K554="Male",1,IF(loaded!K554="Female",2,9))</f>
        <v>9</v>
      </c>
      <c r="D554" s="8">
        <f>loaded!M554</f>
        <v>0</v>
      </c>
      <c r="E554" t="str">
        <f>LEFT(loaded!O554,3)</f>
        <v/>
      </c>
      <c r="F554" t="e">
        <f>INDEX(cntry_codes,MATCH(loaded!Q554,countries,0))</f>
        <v>#N/A</v>
      </c>
      <c r="G554" t="e">
        <f>INDEX(atsi_codes,MATCH(loaded!S554,atsi,0))</f>
        <v>#N/A</v>
      </c>
      <c r="H554" t="e">
        <f>INDEX(lang_codes,MATCH(loaded!U554,lang,0))</f>
        <v>#N/A</v>
      </c>
      <c r="I554" s="8">
        <f>loaded!W554</f>
        <v>0</v>
      </c>
      <c r="J554" t="e">
        <f>INDEX(us_acc_codes,MATCH(loaded!Y554,us_acc,0))</f>
        <v>#N/A</v>
      </c>
      <c r="K554" t="e">
        <f>INDEX(client_codes,MATCH(loaded!AA554,client,0))</f>
        <v>#N/A</v>
      </c>
      <c r="L554" t="e">
        <f>INDEX(src_ref_codes,MATCH(loaded!AC554,src_ref,0))</f>
        <v>#N/A</v>
      </c>
      <c r="M554" s="8">
        <f>loaded!AE554</f>
        <v>0</v>
      </c>
      <c r="N554" s="8">
        <f>loaded!AG554</f>
        <v>0</v>
      </c>
      <c r="O554" t="e">
        <f>INDEX(reces_codes,MATCH(loaded!AI554,reason,0))</f>
        <v>#N/A</v>
      </c>
      <c r="P554" t="e">
        <f>INDEX(TDS_codes,MATCH(loaded!AK554,TDS,0))</f>
        <v>#N/A</v>
      </c>
      <c r="Q554" t="e">
        <f>IF(K554=2,"",INDEX(method_codes,MATCH(loaded!AM554,method,0)))</f>
        <v>#N/A</v>
      </c>
      <c r="R554" t="e">
        <f>IF(K554=2,"",INDEX(inj_codes,MATCH(loaded!AO554,inj,0)))</f>
        <v>#N/A</v>
      </c>
      <c r="S554" t="e">
        <f>IF(K554=2,"",INDEX(drug_codes,MATCH(loaded!AQ554,drug,0)))</f>
        <v>#N/A</v>
      </c>
      <c r="T554" t="e">
        <f>IF(K554=2,"",_xlfn.IFNA(INDEX(drug_codes,MATCH(loaded!AS554,drug,0)),""))</f>
        <v>#N/A</v>
      </c>
      <c r="U554" t="e">
        <f>IF(K554=2,"",_xlfn.IFNA(INDEX(drug_codes,MATCH(loaded!AU554,drug,0)),""))</f>
        <v>#N/A</v>
      </c>
      <c r="V554" t="e">
        <f>IF(K554=2,"",_xlfn.IFNA(INDEX(drug_codes,MATCH(loaded!AW554,drug,0)),""))</f>
        <v>#N/A</v>
      </c>
      <c r="W554" t="e">
        <f>IF(K554=2,"",_xlfn.IFNA(INDEX(drug_codes,MATCH(loaded!AY554,drug,0)),""))</f>
        <v>#N/A</v>
      </c>
      <c r="X554" t="e">
        <f>IF(K554=2,"",_xlfn.IFNA(INDEX(drug_codes,MATCH(loaded!BA554,drug,0)),""))</f>
        <v>#N/A</v>
      </c>
      <c r="Y554" t="e">
        <f>INDEX(MTT_codes,MATCH(loaded!BC554,MTT,0))</f>
        <v>#N/A</v>
      </c>
      <c r="Z554" t="str">
        <f>_xlfn.IFNA(INDEX(MTT_codes,MATCH(loaded!BE554,MTT,0)),"")</f>
        <v/>
      </c>
      <c r="AA554" t="str">
        <f>_xlfn.IFNA(INDEX(MTT_codes,MATCH(loaded!BG554,MTT,0)),"")</f>
        <v/>
      </c>
      <c r="AB554" t="str">
        <f>_xlfn.IFNA(INDEX(MTT_codes,MATCH(loaded!BI554,MTT,0)),"")</f>
        <v/>
      </c>
      <c r="AC554" t="str">
        <f>_xlfn.IFNA(INDEX(MTT_codes,MATCH(loaded!BK554,MTT,0)),"")</f>
        <v/>
      </c>
      <c r="AD554" t="str">
        <f>_xlfn.IFNA(INDEX(MTT_codes,MATCH(loaded!BM554,MTT,0)),"")</f>
        <v/>
      </c>
      <c r="AE554" t="e">
        <f>INDEX(liv_ar_codes,MATCH(loaded!BO554,liv_ar,0))</f>
        <v>#N/A</v>
      </c>
      <c r="AF554" t="str">
        <f>_xlfn.IFNA(INDEX(MTT_codes,MATCH(loaded!BQ554,MTT,0)),"")</f>
        <v/>
      </c>
      <c r="AG554">
        <f>_xlfn.IFNA(INDEX(mental_codes,MATCH(loaded!BS554,mental,0)),9)</f>
        <v>9</v>
      </c>
    </row>
    <row r="555" spans="1:33" x14ac:dyDescent="0.25">
      <c r="A555">
        <f>loaded!C555</f>
        <v>0</v>
      </c>
      <c r="B555">
        <f>loaded!I555</f>
        <v>0</v>
      </c>
      <c r="C555">
        <f>IF(loaded!K555="Male",1,IF(loaded!K555="Female",2,9))</f>
        <v>9</v>
      </c>
      <c r="D555" s="8">
        <f>loaded!M555</f>
        <v>0</v>
      </c>
      <c r="E555" t="str">
        <f>LEFT(loaded!O555,3)</f>
        <v/>
      </c>
      <c r="F555" t="e">
        <f>INDEX(cntry_codes,MATCH(loaded!Q555,countries,0))</f>
        <v>#N/A</v>
      </c>
      <c r="G555" t="e">
        <f>INDEX(atsi_codes,MATCH(loaded!S555,atsi,0))</f>
        <v>#N/A</v>
      </c>
      <c r="H555" t="e">
        <f>INDEX(lang_codes,MATCH(loaded!U555,lang,0))</f>
        <v>#N/A</v>
      </c>
      <c r="I555" s="8">
        <f>loaded!W555</f>
        <v>0</v>
      </c>
      <c r="J555" t="e">
        <f>INDEX(us_acc_codes,MATCH(loaded!Y555,us_acc,0))</f>
        <v>#N/A</v>
      </c>
      <c r="K555" t="e">
        <f>INDEX(client_codes,MATCH(loaded!AA555,client,0))</f>
        <v>#N/A</v>
      </c>
      <c r="L555" t="e">
        <f>INDEX(src_ref_codes,MATCH(loaded!AC555,src_ref,0))</f>
        <v>#N/A</v>
      </c>
      <c r="M555" s="8">
        <f>loaded!AE555</f>
        <v>0</v>
      </c>
      <c r="N555" s="8">
        <f>loaded!AG555</f>
        <v>0</v>
      </c>
      <c r="O555" t="e">
        <f>INDEX(reces_codes,MATCH(loaded!AI555,reason,0))</f>
        <v>#N/A</v>
      </c>
      <c r="P555" t="e">
        <f>INDEX(TDS_codes,MATCH(loaded!AK555,TDS,0))</f>
        <v>#N/A</v>
      </c>
      <c r="Q555" t="e">
        <f>IF(K555=2,"",INDEX(method_codes,MATCH(loaded!AM555,method,0)))</f>
        <v>#N/A</v>
      </c>
      <c r="R555" t="e">
        <f>IF(K555=2,"",INDEX(inj_codes,MATCH(loaded!AO555,inj,0)))</f>
        <v>#N/A</v>
      </c>
      <c r="S555" t="e">
        <f>IF(K555=2,"",INDEX(drug_codes,MATCH(loaded!AQ555,drug,0)))</f>
        <v>#N/A</v>
      </c>
      <c r="T555" t="e">
        <f>IF(K555=2,"",_xlfn.IFNA(INDEX(drug_codes,MATCH(loaded!AS555,drug,0)),""))</f>
        <v>#N/A</v>
      </c>
      <c r="U555" t="e">
        <f>IF(K555=2,"",_xlfn.IFNA(INDEX(drug_codes,MATCH(loaded!AU555,drug,0)),""))</f>
        <v>#N/A</v>
      </c>
      <c r="V555" t="e">
        <f>IF(K555=2,"",_xlfn.IFNA(INDEX(drug_codes,MATCH(loaded!AW555,drug,0)),""))</f>
        <v>#N/A</v>
      </c>
      <c r="W555" t="e">
        <f>IF(K555=2,"",_xlfn.IFNA(INDEX(drug_codes,MATCH(loaded!AY555,drug,0)),""))</f>
        <v>#N/A</v>
      </c>
      <c r="X555" t="e">
        <f>IF(K555=2,"",_xlfn.IFNA(INDEX(drug_codes,MATCH(loaded!BA555,drug,0)),""))</f>
        <v>#N/A</v>
      </c>
      <c r="Y555" t="e">
        <f>INDEX(MTT_codes,MATCH(loaded!BC555,MTT,0))</f>
        <v>#N/A</v>
      </c>
      <c r="Z555" t="str">
        <f>_xlfn.IFNA(INDEX(MTT_codes,MATCH(loaded!BE555,MTT,0)),"")</f>
        <v/>
      </c>
      <c r="AA555" t="str">
        <f>_xlfn.IFNA(INDEX(MTT_codes,MATCH(loaded!BG555,MTT,0)),"")</f>
        <v/>
      </c>
      <c r="AB555" t="str">
        <f>_xlfn.IFNA(INDEX(MTT_codes,MATCH(loaded!BI555,MTT,0)),"")</f>
        <v/>
      </c>
      <c r="AC555" t="str">
        <f>_xlfn.IFNA(INDEX(MTT_codes,MATCH(loaded!BK555,MTT,0)),"")</f>
        <v/>
      </c>
      <c r="AD555" t="str">
        <f>_xlfn.IFNA(INDEX(MTT_codes,MATCH(loaded!BM555,MTT,0)),"")</f>
        <v/>
      </c>
      <c r="AE555" t="e">
        <f>INDEX(liv_ar_codes,MATCH(loaded!BO555,liv_ar,0))</f>
        <v>#N/A</v>
      </c>
      <c r="AF555" t="str">
        <f>_xlfn.IFNA(INDEX(MTT_codes,MATCH(loaded!BQ555,MTT,0)),"")</f>
        <v/>
      </c>
      <c r="AG555">
        <f>_xlfn.IFNA(INDEX(mental_codes,MATCH(loaded!BS555,mental,0)),9)</f>
        <v>9</v>
      </c>
    </row>
    <row r="556" spans="1:33" x14ac:dyDescent="0.25">
      <c r="A556">
        <f>loaded!C556</f>
        <v>0</v>
      </c>
      <c r="B556">
        <f>loaded!I556</f>
        <v>0</v>
      </c>
      <c r="C556">
        <f>IF(loaded!K556="Male",1,IF(loaded!K556="Female",2,9))</f>
        <v>9</v>
      </c>
      <c r="D556" s="8">
        <f>loaded!M556</f>
        <v>0</v>
      </c>
      <c r="E556" t="str">
        <f>LEFT(loaded!O556,3)</f>
        <v/>
      </c>
      <c r="F556" t="e">
        <f>INDEX(cntry_codes,MATCH(loaded!Q556,countries,0))</f>
        <v>#N/A</v>
      </c>
      <c r="G556" t="e">
        <f>INDEX(atsi_codes,MATCH(loaded!S556,atsi,0))</f>
        <v>#N/A</v>
      </c>
      <c r="H556" t="e">
        <f>INDEX(lang_codes,MATCH(loaded!U556,lang,0))</f>
        <v>#N/A</v>
      </c>
      <c r="I556" s="8">
        <f>loaded!W556</f>
        <v>0</v>
      </c>
      <c r="J556" t="e">
        <f>INDEX(us_acc_codes,MATCH(loaded!Y556,us_acc,0))</f>
        <v>#N/A</v>
      </c>
      <c r="K556" t="e">
        <f>INDEX(client_codes,MATCH(loaded!AA556,client,0))</f>
        <v>#N/A</v>
      </c>
      <c r="L556" t="e">
        <f>INDEX(src_ref_codes,MATCH(loaded!AC556,src_ref,0))</f>
        <v>#N/A</v>
      </c>
      <c r="M556" s="8">
        <f>loaded!AE556</f>
        <v>0</v>
      </c>
      <c r="N556" s="8">
        <f>loaded!AG556</f>
        <v>0</v>
      </c>
      <c r="O556" t="e">
        <f>INDEX(reces_codes,MATCH(loaded!AI556,reason,0))</f>
        <v>#N/A</v>
      </c>
      <c r="P556" t="e">
        <f>INDEX(TDS_codes,MATCH(loaded!AK556,TDS,0))</f>
        <v>#N/A</v>
      </c>
      <c r="Q556" t="e">
        <f>IF(K556=2,"",INDEX(method_codes,MATCH(loaded!AM556,method,0)))</f>
        <v>#N/A</v>
      </c>
      <c r="R556" t="e">
        <f>IF(K556=2,"",INDEX(inj_codes,MATCH(loaded!AO556,inj,0)))</f>
        <v>#N/A</v>
      </c>
      <c r="S556" t="e">
        <f>IF(K556=2,"",INDEX(drug_codes,MATCH(loaded!AQ556,drug,0)))</f>
        <v>#N/A</v>
      </c>
      <c r="T556" t="e">
        <f>IF(K556=2,"",_xlfn.IFNA(INDEX(drug_codes,MATCH(loaded!AS556,drug,0)),""))</f>
        <v>#N/A</v>
      </c>
      <c r="U556" t="e">
        <f>IF(K556=2,"",_xlfn.IFNA(INDEX(drug_codes,MATCH(loaded!AU556,drug,0)),""))</f>
        <v>#N/A</v>
      </c>
      <c r="V556" t="e">
        <f>IF(K556=2,"",_xlfn.IFNA(INDEX(drug_codes,MATCH(loaded!AW556,drug,0)),""))</f>
        <v>#N/A</v>
      </c>
      <c r="W556" t="e">
        <f>IF(K556=2,"",_xlfn.IFNA(INDEX(drug_codes,MATCH(loaded!AY556,drug,0)),""))</f>
        <v>#N/A</v>
      </c>
      <c r="X556" t="e">
        <f>IF(K556=2,"",_xlfn.IFNA(INDEX(drug_codes,MATCH(loaded!BA556,drug,0)),""))</f>
        <v>#N/A</v>
      </c>
      <c r="Y556" t="e">
        <f>INDEX(MTT_codes,MATCH(loaded!BC556,MTT,0))</f>
        <v>#N/A</v>
      </c>
      <c r="Z556" t="str">
        <f>_xlfn.IFNA(INDEX(MTT_codes,MATCH(loaded!BE556,MTT,0)),"")</f>
        <v/>
      </c>
      <c r="AA556" t="str">
        <f>_xlfn.IFNA(INDEX(MTT_codes,MATCH(loaded!BG556,MTT,0)),"")</f>
        <v/>
      </c>
      <c r="AB556" t="str">
        <f>_xlfn.IFNA(INDEX(MTT_codes,MATCH(loaded!BI556,MTT,0)),"")</f>
        <v/>
      </c>
      <c r="AC556" t="str">
        <f>_xlfn.IFNA(INDEX(MTT_codes,MATCH(loaded!BK556,MTT,0)),"")</f>
        <v/>
      </c>
      <c r="AD556" t="str">
        <f>_xlfn.IFNA(INDEX(MTT_codes,MATCH(loaded!BM556,MTT,0)),"")</f>
        <v/>
      </c>
      <c r="AE556" t="e">
        <f>INDEX(liv_ar_codes,MATCH(loaded!BO556,liv_ar,0))</f>
        <v>#N/A</v>
      </c>
      <c r="AF556" t="str">
        <f>_xlfn.IFNA(INDEX(MTT_codes,MATCH(loaded!BQ556,MTT,0)),"")</f>
        <v/>
      </c>
      <c r="AG556">
        <f>_xlfn.IFNA(INDEX(mental_codes,MATCH(loaded!BS556,mental,0)),9)</f>
        <v>9</v>
      </c>
    </row>
    <row r="557" spans="1:33" x14ac:dyDescent="0.25">
      <c r="A557">
        <f>loaded!C557</f>
        <v>0</v>
      </c>
      <c r="B557">
        <f>loaded!I557</f>
        <v>0</v>
      </c>
      <c r="C557">
        <f>IF(loaded!K557="Male",1,IF(loaded!K557="Female",2,9))</f>
        <v>9</v>
      </c>
      <c r="D557" s="8">
        <f>loaded!M557</f>
        <v>0</v>
      </c>
      <c r="E557" t="str">
        <f>LEFT(loaded!O557,3)</f>
        <v/>
      </c>
      <c r="F557" t="e">
        <f>INDEX(cntry_codes,MATCH(loaded!Q557,countries,0))</f>
        <v>#N/A</v>
      </c>
      <c r="G557" t="e">
        <f>INDEX(atsi_codes,MATCH(loaded!S557,atsi,0))</f>
        <v>#N/A</v>
      </c>
      <c r="H557" t="e">
        <f>INDEX(lang_codes,MATCH(loaded!U557,lang,0))</f>
        <v>#N/A</v>
      </c>
      <c r="I557" s="8">
        <f>loaded!W557</f>
        <v>0</v>
      </c>
      <c r="J557" t="e">
        <f>INDEX(us_acc_codes,MATCH(loaded!Y557,us_acc,0))</f>
        <v>#N/A</v>
      </c>
      <c r="K557" t="e">
        <f>INDEX(client_codes,MATCH(loaded!AA557,client,0))</f>
        <v>#N/A</v>
      </c>
      <c r="L557" t="e">
        <f>INDEX(src_ref_codes,MATCH(loaded!AC557,src_ref,0))</f>
        <v>#N/A</v>
      </c>
      <c r="M557" s="8">
        <f>loaded!AE557</f>
        <v>0</v>
      </c>
      <c r="N557" s="8">
        <f>loaded!AG557</f>
        <v>0</v>
      </c>
      <c r="O557" t="e">
        <f>INDEX(reces_codes,MATCH(loaded!AI557,reason,0))</f>
        <v>#N/A</v>
      </c>
      <c r="P557" t="e">
        <f>INDEX(TDS_codes,MATCH(loaded!AK557,TDS,0))</f>
        <v>#N/A</v>
      </c>
      <c r="Q557" t="e">
        <f>IF(K557=2,"",INDEX(method_codes,MATCH(loaded!AM557,method,0)))</f>
        <v>#N/A</v>
      </c>
      <c r="R557" t="e">
        <f>IF(K557=2,"",INDEX(inj_codes,MATCH(loaded!AO557,inj,0)))</f>
        <v>#N/A</v>
      </c>
      <c r="S557" t="e">
        <f>IF(K557=2,"",INDEX(drug_codes,MATCH(loaded!AQ557,drug,0)))</f>
        <v>#N/A</v>
      </c>
      <c r="T557" t="e">
        <f>IF(K557=2,"",_xlfn.IFNA(INDEX(drug_codes,MATCH(loaded!AS557,drug,0)),""))</f>
        <v>#N/A</v>
      </c>
      <c r="U557" t="e">
        <f>IF(K557=2,"",_xlfn.IFNA(INDEX(drug_codes,MATCH(loaded!AU557,drug,0)),""))</f>
        <v>#N/A</v>
      </c>
      <c r="V557" t="e">
        <f>IF(K557=2,"",_xlfn.IFNA(INDEX(drug_codes,MATCH(loaded!AW557,drug,0)),""))</f>
        <v>#N/A</v>
      </c>
      <c r="W557" t="e">
        <f>IF(K557=2,"",_xlfn.IFNA(INDEX(drug_codes,MATCH(loaded!AY557,drug,0)),""))</f>
        <v>#N/A</v>
      </c>
      <c r="X557" t="e">
        <f>IF(K557=2,"",_xlfn.IFNA(INDEX(drug_codes,MATCH(loaded!BA557,drug,0)),""))</f>
        <v>#N/A</v>
      </c>
      <c r="Y557" t="e">
        <f>INDEX(MTT_codes,MATCH(loaded!BC557,MTT,0))</f>
        <v>#N/A</v>
      </c>
      <c r="Z557" t="str">
        <f>_xlfn.IFNA(INDEX(MTT_codes,MATCH(loaded!BE557,MTT,0)),"")</f>
        <v/>
      </c>
      <c r="AA557" t="str">
        <f>_xlfn.IFNA(INDEX(MTT_codes,MATCH(loaded!BG557,MTT,0)),"")</f>
        <v/>
      </c>
      <c r="AB557" t="str">
        <f>_xlfn.IFNA(INDEX(MTT_codes,MATCH(loaded!BI557,MTT,0)),"")</f>
        <v/>
      </c>
      <c r="AC557" t="str">
        <f>_xlfn.IFNA(INDEX(MTT_codes,MATCH(loaded!BK557,MTT,0)),"")</f>
        <v/>
      </c>
      <c r="AD557" t="str">
        <f>_xlfn.IFNA(INDEX(MTT_codes,MATCH(loaded!BM557,MTT,0)),"")</f>
        <v/>
      </c>
      <c r="AE557" t="e">
        <f>INDEX(liv_ar_codes,MATCH(loaded!BO557,liv_ar,0))</f>
        <v>#N/A</v>
      </c>
      <c r="AF557" t="str">
        <f>_xlfn.IFNA(INDEX(MTT_codes,MATCH(loaded!BQ557,MTT,0)),"")</f>
        <v/>
      </c>
      <c r="AG557">
        <f>_xlfn.IFNA(INDEX(mental_codes,MATCH(loaded!BS557,mental,0)),9)</f>
        <v>9</v>
      </c>
    </row>
    <row r="558" spans="1:33" x14ac:dyDescent="0.25">
      <c r="A558">
        <f>loaded!C558</f>
        <v>0</v>
      </c>
      <c r="B558">
        <f>loaded!I558</f>
        <v>0</v>
      </c>
      <c r="C558">
        <f>IF(loaded!K558="Male",1,IF(loaded!K558="Female",2,9))</f>
        <v>9</v>
      </c>
      <c r="D558" s="8">
        <f>loaded!M558</f>
        <v>0</v>
      </c>
      <c r="E558" t="str">
        <f>LEFT(loaded!O558,3)</f>
        <v/>
      </c>
      <c r="F558" t="e">
        <f>INDEX(cntry_codes,MATCH(loaded!Q558,countries,0))</f>
        <v>#N/A</v>
      </c>
      <c r="G558" t="e">
        <f>INDEX(atsi_codes,MATCH(loaded!S558,atsi,0))</f>
        <v>#N/A</v>
      </c>
      <c r="H558" t="e">
        <f>INDEX(lang_codes,MATCH(loaded!U558,lang,0))</f>
        <v>#N/A</v>
      </c>
      <c r="I558" s="8">
        <f>loaded!W558</f>
        <v>0</v>
      </c>
      <c r="J558" t="e">
        <f>INDEX(us_acc_codes,MATCH(loaded!Y558,us_acc,0))</f>
        <v>#N/A</v>
      </c>
      <c r="K558" t="e">
        <f>INDEX(client_codes,MATCH(loaded!AA558,client,0))</f>
        <v>#N/A</v>
      </c>
      <c r="L558" t="e">
        <f>INDEX(src_ref_codes,MATCH(loaded!AC558,src_ref,0))</f>
        <v>#N/A</v>
      </c>
      <c r="M558" s="8">
        <f>loaded!AE558</f>
        <v>0</v>
      </c>
      <c r="N558" s="8">
        <f>loaded!AG558</f>
        <v>0</v>
      </c>
      <c r="O558" t="e">
        <f>INDEX(reces_codes,MATCH(loaded!AI558,reason,0))</f>
        <v>#N/A</v>
      </c>
      <c r="P558" t="e">
        <f>INDEX(TDS_codes,MATCH(loaded!AK558,TDS,0))</f>
        <v>#N/A</v>
      </c>
      <c r="Q558" t="e">
        <f>IF(K558=2,"",INDEX(method_codes,MATCH(loaded!AM558,method,0)))</f>
        <v>#N/A</v>
      </c>
      <c r="R558" t="e">
        <f>IF(K558=2,"",INDEX(inj_codes,MATCH(loaded!AO558,inj,0)))</f>
        <v>#N/A</v>
      </c>
      <c r="S558" t="e">
        <f>IF(K558=2,"",INDEX(drug_codes,MATCH(loaded!AQ558,drug,0)))</f>
        <v>#N/A</v>
      </c>
      <c r="T558" t="e">
        <f>IF(K558=2,"",_xlfn.IFNA(INDEX(drug_codes,MATCH(loaded!AS558,drug,0)),""))</f>
        <v>#N/A</v>
      </c>
      <c r="U558" t="e">
        <f>IF(K558=2,"",_xlfn.IFNA(INDEX(drug_codes,MATCH(loaded!AU558,drug,0)),""))</f>
        <v>#N/A</v>
      </c>
      <c r="V558" t="e">
        <f>IF(K558=2,"",_xlfn.IFNA(INDEX(drug_codes,MATCH(loaded!AW558,drug,0)),""))</f>
        <v>#N/A</v>
      </c>
      <c r="W558" t="e">
        <f>IF(K558=2,"",_xlfn.IFNA(INDEX(drug_codes,MATCH(loaded!AY558,drug,0)),""))</f>
        <v>#N/A</v>
      </c>
      <c r="X558" t="e">
        <f>IF(K558=2,"",_xlfn.IFNA(INDEX(drug_codes,MATCH(loaded!BA558,drug,0)),""))</f>
        <v>#N/A</v>
      </c>
      <c r="Y558" t="e">
        <f>INDEX(MTT_codes,MATCH(loaded!BC558,MTT,0))</f>
        <v>#N/A</v>
      </c>
      <c r="Z558" t="str">
        <f>_xlfn.IFNA(INDEX(MTT_codes,MATCH(loaded!BE558,MTT,0)),"")</f>
        <v/>
      </c>
      <c r="AA558" t="str">
        <f>_xlfn.IFNA(INDEX(MTT_codes,MATCH(loaded!BG558,MTT,0)),"")</f>
        <v/>
      </c>
      <c r="AB558" t="str">
        <f>_xlfn.IFNA(INDEX(MTT_codes,MATCH(loaded!BI558,MTT,0)),"")</f>
        <v/>
      </c>
      <c r="AC558" t="str">
        <f>_xlfn.IFNA(INDEX(MTT_codes,MATCH(loaded!BK558,MTT,0)),"")</f>
        <v/>
      </c>
      <c r="AD558" t="str">
        <f>_xlfn.IFNA(INDEX(MTT_codes,MATCH(loaded!BM558,MTT,0)),"")</f>
        <v/>
      </c>
      <c r="AE558" t="e">
        <f>INDEX(liv_ar_codes,MATCH(loaded!BO558,liv_ar,0))</f>
        <v>#N/A</v>
      </c>
      <c r="AF558" t="str">
        <f>_xlfn.IFNA(INDEX(MTT_codes,MATCH(loaded!BQ558,MTT,0)),"")</f>
        <v/>
      </c>
      <c r="AG558">
        <f>_xlfn.IFNA(INDEX(mental_codes,MATCH(loaded!BS558,mental,0)),9)</f>
        <v>9</v>
      </c>
    </row>
    <row r="559" spans="1:33" x14ac:dyDescent="0.25">
      <c r="A559">
        <f>loaded!C559</f>
        <v>0</v>
      </c>
      <c r="B559">
        <f>loaded!I559</f>
        <v>0</v>
      </c>
      <c r="C559">
        <f>IF(loaded!K559="Male",1,IF(loaded!K559="Female",2,9))</f>
        <v>9</v>
      </c>
      <c r="D559" s="8">
        <f>loaded!M559</f>
        <v>0</v>
      </c>
      <c r="E559" t="str">
        <f>LEFT(loaded!O559,3)</f>
        <v/>
      </c>
      <c r="F559" t="e">
        <f>INDEX(cntry_codes,MATCH(loaded!Q559,countries,0))</f>
        <v>#N/A</v>
      </c>
      <c r="G559" t="e">
        <f>INDEX(atsi_codes,MATCH(loaded!S559,atsi,0))</f>
        <v>#N/A</v>
      </c>
      <c r="H559" t="e">
        <f>INDEX(lang_codes,MATCH(loaded!U559,lang,0))</f>
        <v>#N/A</v>
      </c>
      <c r="I559" s="8">
        <f>loaded!W559</f>
        <v>0</v>
      </c>
      <c r="J559" t="e">
        <f>INDEX(us_acc_codes,MATCH(loaded!Y559,us_acc,0))</f>
        <v>#N/A</v>
      </c>
      <c r="K559" t="e">
        <f>INDEX(client_codes,MATCH(loaded!AA559,client,0))</f>
        <v>#N/A</v>
      </c>
      <c r="L559" t="e">
        <f>INDEX(src_ref_codes,MATCH(loaded!AC559,src_ref,0))</f>
        <v>#N/A</v>
      </c>
      <c r="M559" s="8">
        <f>loaded!AE559</f>
        <v>0</v>
      </c>
      <c r="N559" s="8">
        <f>loaded!AG559</f>
        <v>0</v>
      </c>
      <c r="O559" t="e">
        <f>INDEX(reces_codes,MATCH(loaded!AI559,reason,0))</f>
        <v>#N/A</v>
      </c>
      <c r="P559" t="e">
        <f>INDEX(TDS_codes,MATCH(loaded!AK559,TDS,0))</f>
        <v>#N/A</v>
      </c>
      <c r="Q559" t="e">
        <f>IF(K559=2,"",INDEX(method_codes,MATCH(loaded!AM559,method,0)))</f>
        <v>#N/A</v>
      </c>
      <c r="R559" t="e">
        <f>IF(K559=2,"",INDEX(inj_codes,MATCH(loaded!AO559,inj,0)))</f>
        <v>#N/A</v>
      </c>
      <c r="S559" t="e">
        <f>IF(K559=2,"",INDEX(drug_codes,MATCH(loaded!AQ559,drug,0)))</f>
        <v>#N/A</v>
      </c>
      <c r="T559" t="e">
        <f>IF(K559=2,"",_xlfn.IFNA(INDEX(drug_codes,MATCH(loaded!AS559,drug,0)),""))</f>
        <v>#N/A</v>
      </c>
      <c r="U559" t="e">
        <f>IF(K559=2,"",_xlfn.IFNA(INDEX(drug_codes,MATCH(loaded!AU559,drug,0)),""))</f>
        <v>#N/A</v>
      </c>
      <c r="V559" t="e">
        <f>IF(K559=2,"",_xlfn.IFNA(INDEX(drug_codes,MATCH(loaded!AW559,drug,0)),""))</f>
        <v>#N/A</v>
      </c>
      <c r="W559" t="e">
        <f>IF(K559=2,"",_xlfn.IFNA(INDEX(drug_codes,MATCH(loaded!AY559,drug,0)),""))</f>
        <v>#N/A</v>
      </c>
      <c r="X559" t="e">
        <f>IF(K559=2,"",_xlfn.IFNA(INDEX(drug_codes,MATCH(loaded!BA559,drug,0)),""))</f>
        <v>#N/A</v>
      </c>
      <c r="Y559" t="e">
        <f>INDEX(MTT_codes,MATCH(loaded!BC559,MTT,0))</f>
        <v>#N/A</v>
      </c>
      <c r="Z559" t="str">
        <f>_xlfn.IFNA(INDEX(MTT_codes,MATCH(loaded!BE559,MTT,0)),"")</f>
        <v/>
      </c>
      <c r="AA559" t="str">
        <f>_xlfn.IFNA(INDEX(MTT_codes,MATCH(loaded!BG559,MTT,0)),"")</f>
        <v/>
      </c>
      <c r="AB559" t="str">
        <f>_xlfn.IFNA(INDEX(MTT_codes,MATCH(loaded!BI559,MTT,0)),"")</f>
        <v/>
      </c>
      <c r="AC559" t="str">
        <f>_xlfn.IFNA(INDEX(MTT_codes,MATCH(loaded!BK559,MTT,0)),"")</f>
        <v/>
      </c>
      <c r="AD559" t="str">
        <f>_xlfn.IFNA(INDEX(MTT_codes,MATCH(loaded!BM559,MTT,0)),"")</f>
        <v/>
      </c>
      <c r="AE559" t="e">
        <f>INDEX(liv_ar_codes,MATCH(loaded!BO559,liv_ar,0))</f>
        <v>#N/A</v>
      </c>
      <c r="AF559" t="str">
        <f>_xlfn.IFNA(INDEX(MTT_codes,MATCH(loaded!BQ559,MTT,0)),"")</f>
        <v/>
      </c>
      <c r="AG559">
        <f>_xlfn.IFNA(INDEX(mental_codes,MATCH(loaded!BS559,mental,0)),9)</f>
        <v>9</v>
      </c>
    </row>
    <row r="560" spans="1:33" x14ac:dyDescent="0.25">
      <c r="A560">
        <f>loaded!C560</f>
        <v>0</v>
      </c>
      <c r="B560">
        <f>loaded!I560</f>
        <v>0</v>
      </c>
      <c r="C560">
        <f>IF(loaded!K560="Male",1,IF(loaded!K560="Female",2,9))</f>
        <v>9</v>
      </c>
      <c r="D560" s="8">
        <f>loaded!M560</f>
        <v>0</v>
      </c>
      <c r="E560" t="str">
        <f>LEFT(loaded!O560,3)</f>
        <v/>
      </c>
      <c r="F560" t="e">
        <f>INDEX(cntry_codes,MATCH(loaded!Q560,countries,0))</f>
        <v>#N/A</v>
      </c>
      <c r="G560" t="e">
        <f>INDEX(atsi_codes,MATCH(loaded!S560,atsi,0))</f>
        <v>#N/A</v>
      </c>
      <c r="H560" t="e">
        <f>INDEX(lang_codes,MATCH(loaded!U560,lang,0))</f>
        <v>#N/A</v>
      </c>
      <c r="I560" s="8">
        <f>loaded!W560</f>
        <v>0</v>
      </c>
      <c r="J560" t="e">
        <f>INDEX(us_acc_codes,MATCH(loaded!Y560,us_acc,0))</f>
        <v>#N/A</v>
      </c>
      <c r="K560" t="e">
        <f>INDEX(client_codes,MATCH(loaded!AA560,client,0))</f>
        <v>#N/A</v>
      </c>
      <c r="L560" t="e">
        <f>INDEX(src_ref_codes,MATCH(loaded!AC560,src_ref,0))</f>
        <v>#N/A</v>
      </c>
      <c r="M560" s="8">
        <f>loaded!AE560</f>
        <v>0</v>
      </c>
      <c r="N560" s="8">
        <f>loaded!AG560</f>
        <v>0</v>
      </c>
      <c r="O560" t="e">
        <f>INDEX(reces_codes,MATCH(loaded!AI560,reason,0))</f>
        <v>#N/A</v>
      </c>
      <c r="P560" t="e">
        <f>INDEX(TDS_codes,MATCH(loaded!AK560,TDS,0))</f>
        <v>#N/A</v>
      </c>
      <c r="Q560" t="e">
        <f>IF(K560=2,"",INDEX(method_codes,MATCH(loaded!AM560,method,0)))</f>
        <v>#N/A</v>
      </c>
      <c r="R560" t="e">
        <f>IF(K560=2,"",INDEX(inj_codes,MATCH(loaded!AO560,inj,0)))</f>
        <v>#N/A</v>
      </c>
      <c r="S560" t="e">
        <f>IF(K560=2,"",INDEX(drug_codes,MATCH(loaded!AQ560,drug,0)))</f>
        <v>#N/A</v>
      </c>
      <c r="T560" t="e">
        <f>IF(K560=2,"",_xlfn.IFNA(INDEX(drug_codes,MATCH(loaded!AS560,drug,0)),""))</f>
        <v>#N/A</v>
      </c>
      <c r="U560" t="e">
        <f>IF(K560=2,"",_xlfn.IFNA(INDEX(drug_codes,MATCH(loaded!AU560,drug,0)),""))</f>
        <v>#N/A</v>
      </c>
      <c r="V560" t="e">
        <f>IF(K560=2,"",_xlfn.IFNA(INDEX(drug_codes,MATCH(loaded!AW560,drug,0)),""))</f>
        <v>#N/A</v>
      </c>
      <c r="W560" t="e">
        <f>IF(K560=2,"",_xlfn.IFNA(INDEX(drug_codes,MATCH(loaded!AY560,drug,0)),""))</f>
        <v>#N/A</v>
      </c>
      <c r="X560" t="e">
        <f>IF(K560=2,"",_xlfn.IFNA(INDEX(drug_codes,MATCH(loaded!BA560,drug,0)),""))</f>
        <v>#N/A</v>
      </c>
      <c r="Y560" t="e">
        <f>INDEX(MTT_codes,MATCH(loaded!BC560,MTT,0))</f>
        <v>#N/A</v>
      </c>
      <c r="Z560" t="str">
        <f>_xlfn.IFNA(INDEX(MTT_codes,MATCH(loaded!BE560,MTT,0)),"")</f>
        <v/>
      </c>
      <c r="AA560" t="str">
        <f>_xlfn.IFNA(INDEX(MTT_codes,MATCH(loaded!BG560,MTT,0)),"")</f>
        <v/>
      </c>
      <c r="AB560" t="str">
        <f>_xlfn.IFNA(INDEX(MTT_codes,MATCH(loaded!BI560,MTT,0)),"")</f>
        <v/>
      </c>
      <c r="AC560" t="str">
        <f>_xlfn.IFNA(INDEX(MTT_codes,MATCH(loaded!BK560,MTT,0)),"")</f>
        <v/>
      </c>
      <c r="AD560" t="str">
        <f>_xlfn.IFNA(INDEX(MTT_codes,MATCH(loaded!BM560,MTT,0)),"")</f>
        <v/>
      </c>
      <c r="AE560" t="e">
        <f>INDEX(liv_ar_codes,MATCH(loaded!BO560,liv_ar,0))</f>
        <v>#N/A</v>
      </c>
      <c r="AF560" t="str">
        <f>_xlfn.IFNA(INDEX(MTT_codes,MATCH(loaded!BQ560,MTT,0)),"")</f>
        <v/>
      </c>
      <c r="AG560">
        <f>_xlfn.IFNA(INDEX(mental_codes,MATCH(loaded!BS560,mental,0)),9)</f>
        <v>9</v>
      </c>
    </row>
    <row r="561" spans="1:33" x14ac:dyDescent="0.25">
      <c r="A561">
        <f>loaded!C561</f>
        <v>0</v>
      </c>
      <c r="B561">
        <f>loaded!I561</f>
        <v>0</v>
      </c>
      <c r="C561">
        <f>IF(loaded!K561="Male",1,IF(loaded!K561="Female",2,9))</f>
        <v>9</v>
      </c>
      <c r="D561" s="8">
        <f>loaded!M561</f>
        <v>0</v>
      </c>
      <c r="E561" t="str">
        <f>LEFT(loaded!O561,3)</f>
        <v/>
      </c>
      <c r="F561" t="e">
        <f>INDEX(cntry_codes,MATCH(loaded!Q561,countries,0))</f>
        <v>#N/A</v>
      </c>
      <c r="G561" t="e">
        <f>INDEX(atsi_codes,MATCH(loaded!S561,atsi,0))</f>
        <v>#N/A</v>
      </c>
      <c r="H561" t="e">
        <f>INDEX(lang_codes,MATCH(loaded!U561,lang,0))</f>
        <v>#N/A</v>
      </c>
      <c r="I561" s="8">
        <f>loaded!W561</f>
        <v>0</v>
      </c>
      <c r="J561" t="e">
        <f>INDEX(us_acc_codes,MATCH(loaded!Y561,us_acc,0))</f>
        <v>#N/A</v>
      </c>
      <c r="K561" t="e">
        <f>INDEX(client_codes,MATCH(loaded!AA561,client,0))</f>
        <v>#N/A</v>
      </c>
      <c r="L561" t="e">
        <f>INDEX(src_ref_codes,MATCH(loaded!AC561,src_ref,0))</f>
        <v>#N/A</v>
      </c>
      <c r="M561" s="8">
        <f>loaded!AE561</f>
        <v>0</v>
      </c>
      <c r="N561" s="8">
        <f>loaded!AG561</f>
        <v>0</v>
      </c>
      <c r="O561" t="e">
        <f>INDEX(reces_codes,MATCH(loaded!AI561,reason,0))</f>
        <v>#N/A</v>
      </c>
      <c r="P561" t="e">
        <f>INDEX(TDS_codes,MATCH(loaded!AK561,TDS,0))</f>
        <v>#N/A</v>
      </c>
      <c r="Q561" t="e">
        <f>IF(K561=2,"",INDEX(method_codes,MATCH(loaded!AM561,method,0)))</f>
        <v>#N/A</v>
      </c>
      <c r="R561" t="e">
        <f>IF(K561=2,"",INDEX(inj_codes,MATCH(loaded!AO561,inj,0)))</f>
        <v>#N/A</v>
      </c>
      <c r="S561" t="e">
        <f>IF(K561=2,"",INDEX(drug_codes,MATCH(loaded!AQ561,drug,0)))</f>
        <v>#N/A</v>
      </c>
      <c r="T561" t="e">
        <f>IF(K561=2,"",_xlfn.IFNA(INDEX(drug_codes,MATCH(loaded!AS561,drug,0)),""))</f>
        <v>#N/A</v>
      </c>
      <c r="U561" t="e">
        <f>IF(K561=2,"",_xlfn.IFNA(INDEX(drug_codes,MATCH(loaded!AU561,drug,0)),""))</f>
        <v>#N/A</v>
      </c>
      <c r="V561" t="e">
        <f>IF(K561=2,"",_xlfn.IFNA(INDEX(drug_codes,MATCH(loaded!AW561,drug,0)),""))</f>
        <v>#N/A</v>
      </c>
      <c r="W561" t="e">
        <f>IF(K561=2,"",_xlfn.IFNA(INDEX(drug_codes,MATCH(loaded!AY561,drug,0)),""))</f>
        <v>#N/A</v>
      </c>
      <c r="X561" t="e">
        <f>IF(K561=2,"",_xlfn.IFNA(INDEX(drug_codes,MATCH(loaded!BA561,drug,0)),""))</f>
        <v>#N/A</v>
      </c>
      <c r="Y561" t="e">
        <f>INDEX(MTT_codes,MATCH(loaded!BC561,MTT,0))</f>
        <v>#N/A</v>
      </c>
      <c r="Z561" t="str">
        <f>_xlfn.IFNA(INDEX(MTT_codes,MATCH(loaded!BE561,MTT,0)),"")</f>
        <v/>
      </c>
      <c r="AA561" t="str">
        <f>_xlfn.IFNA(INDEX(MTT_codes,MATCH(loaded!BG561,MTT,0)),"")</f>
        <v/>
      </c>
      <c r="AB561" t="str">
        <f>_xlfn.IFNA(INDEX(MTT_codes,MATCH(loaded!BI561,MTT,0)),"")</f>
        <v/>
      </c>
      <c r="AC561" t="str">
        <f>_xlfn.IFNA(INDEX(MTT_codes,MATCH(loaded!BK561,MTT,0)),"")</f>
        <v/>
      </c>
      <c r="AD561" t="str">
        <f>_xlfn.IFNA(INDEX(MTT_codes,MATCH(loaded!BM561,MTT,0)),"")</f>
        <v/>
      </c>
      <c r="AE561" t="e">
        <f>INDEX(liv_ar_codes,MATCH(loaded!BO561,liv_ar,0))</f>
        <v>#N/A</v>
      </c>
      <c r="AF561" t="str">
        <f>_xlfn.IFNA(INDEX(MTT_codes,MATCH(loaded!BQ561,MTT,0)),"")</f>
        <v/>
      </c>
      <c r="AG561">
        <f>_xlfn.IFNA(INDEX(mental_codes,MATCH(loaded!BS561,mental,0)),9)</f>
        <v>9</v>
      </c>
    </row>
    <row r="562" spans="1:33" x14ac:dyDescent="0.25">
      <c r="A562">
        <f>loaded!C562</f>
        <v>0</v>
      </c>
      <c r="B562">
        <f>loaded!I562</f>
        <v>0</v>
      </c>
      <c r="C562">
        <f>IF(loaded!K562="Male",1,IF(loaded!K562="Female",2,9))</f>
        <v>9</v>
      </c>
      <c r="D562" s="8">
        <f>loaded!M562</f>
        <v>0</v>
      </c>
      <c r="E562" t="str">
        <f>LEFT(loaded!O562,3)</f>
        <v/>
      </c>
      <c r="F562" t="e">
        <f>INDEX(cntry_codes,MATCH(loaded!Q562,countries,0))</f>
        <v>#N/A</v>
      </c>
      <c r="G562" t="e">
        <f>INDEX(atsi_codes,MATCH(loaded!S562,atsi,0))</f>
        <v>#N/A</v>
      </c>
      <c r="H562" t="e">
        <f>INDEX(lang_codes,MATCH(loaded!U562,lang,0))</f>
        <v>#N/A</v>
      </c>
      <c r="I562" s="8">
        <f>loaded!W562</f>
        <v>0</v>
      </c>
      <c r="J562" t="e">
        <f>INDEX(us_acc_codes,MATCH(loaded!Y562,us_acc,0))</f>
        <v>#N/A</v>
      </c>
      <c r="K562" t="e">
        <f>INDEX(client_codes,MATCH(loaded!AA562,client,0))</f>
        <v>#N/A</v>
      </c>
      <c r="L562" t="e">
        <f>INDEX(src_ref_codes,MATCH(loaded!AC562,src_ref,0))</f>
        <v>#N/A</v>
      </c>
      <c r="M562" s="8">
        <f>loaded!AE562</f>
        <v>0</v>
      </c>
      <c r="N562" s="8">
        <f>loaded!AG562</f>
        <v>0</v>
      </c>
      <c r="O562" t="e">
        <f>INDEX(reces_codes,MATCH(loaded!AI562,reason,0))</f>
        <v>#N/A</v>
      </c>
      <c r="P562" t="e">
        <f>INDEX(TDS_codes,MATCH(loaded!AK562,TDS,0))</f>
        <v>#N/A</v>
      </c>
      <c r="Q562" t="e">
        <f>IF(K562=2,"",INDEX(method_codes,MATCH(loaded!AM562,method,0)))</f>
        <v>#N/A</v>
      </c>
      <c r="R562" t="e">
        <f>IF(K562=2,"",INDEX(inj_codes,MATCH(loaded!AO562,inj,0)))</f>
        <v>#N/A</v>
      </c>
      <c r="S562" t="e">
        <f>IF(K562=2,"",INDEX(drug_codes,MATCH(loaded!AQ562,drug,0)))</f>
        <v>#N/A</v>
      </c>
      <c r="T562" t="e">
        <f>IF(K562=2,"",_xlfn.IFNA(INDEX(drug_codes,MATCH(loaded!AS562,drug,0)),""))</f>
        <v>#N/A</v>
      </c>
      <c r="U562" t="e">
        <f>IF(K562=2,"",_xlfn.IFNA(INDEX(drug_codes,MATCH(loaded!AU562,drug,0)),""))</f>
        <v>#N/A</v>
      </c>
      <c r="V562" t="e">
        <f>IF(K562=2,"",_xlfn.IFNA(INDEX(drug_codes,MATCH(loaded!AW562,drug,0)),""))</f>
        <v>#N/A</v>
      </c>
      <c r="W562" t="e">
        <f>IF(K562=2,"",_xlfn.IFNA(INDEX(drug_codes,MATCH(loaded!AY562,drug,0)),""))</f>
        <v>#N/A</v>
      </c>
      <c r="X562" t="e">
        <f>IF(K562=2,"",_xlfn.IFNA(INDEX(drug_codes,MATCH(loaded!BA562,drug,0)),""))</f>
        <v>#N/A</v>
      </c>
      <c r="Y562" t="e">
        <f>INDEX(MTT_codes,MATCH(loaded!BC562,MTT,0))</f>
        <v>#N/A</v>
      </c>
      <c r="Z562" t="str">
        <f>_xlfn.IFNA(INDEX(MTT_codes,MATCH(loaded!BE562,MTT,0)),"")</f>
        <v/>
      </c>
      <c r="AA562" t="str">
        <f>_xlfn.IFNA(INDEX(MTT_codes,MATCH(loaded!BG562,MTT,0)),"")</f>
        <v/>
      </c>
      <c r="AB562" t="str">
        <f>_xlfn.IFNA(INDEX(MTT_codes,MATCH(loaded!BI562,MTT,0)),"")</f>
        <v/>
      </c>
      <c r="AC562" t="str">
        <f>_xlfn.IFNA(INDEX(MTT_codes,MATCH(loaded!BK562,MTT,0)),"")</f>
        <v/>
      </c>
      <c r="AD562" t="str">
        <f>_xlfn.IFNA(INDEX(MTT_codes,MATCH(loaded!BM562,MTT,0)),"")</f>
        <v/>
      </c>
      <c r="AE562" t="e">
        <f>INDEX(liv_ar_codes,MATCH(loaded!BO562,liv_ar,0))</f>
        <v>#N/A</v>
      </c>
      <c r="AF562" t="str">
        <f>_xlfn.IFNA(INDEX(MTT_codes,MATCH(loaded!BQ562,MTT,0)),"")</f>
        <v/>
      </c>
      <c r="AG562">
        <f>_xlfn.IFNA(INDEX(mental_codes,MATCH(loaded!BS562,mental,0)),9)</f>
        <v>9</v>
      </c>
    </row>
    <row r="563" spans="1:33" x14ac:dyDescent="0.25">
      <c r="A563">
        <f>loaded!C563</f>
        <v>0</v>
      </c>
      <c r="B563">
        <f>loaded!I563</f>
        <v>0</v>
      </c>
      <c r="C563">
        <f>IF(loaded!K563="Male",1,IF(loaded!K563="Female",2,9))</f>
        <v>9</v>
      </c>
      <c r="D563" s="8">
        <f>loaded!M563</f>
        <v>0</v>
      </c>
      <c r="E563" t="str">
        <f>LEFT(loaded!O563,3)</f>
        <v/>
      </c>
      <c r="F563" t="e">
        <f>INDEX(cntry_codes,MATCH(loaded!Q563,countries,0))</f>
        <v>#N/A</v>
      </c>
      <c r="G563" t="e">
        <f>INDEX(atsi_codes,MATCH(loaded!S563,atsi,0))</f>
        <v>#N/A</v>
      </c>
      <c r="H563" t="e">
        <f>INDEX(lang_codes,MATCH(loaded!U563,lang,0))</f>
        <v>#N/A</v>
      </c>
      <c r="I563" s="8">
        <f>loaded!W563</f>
        <v>0</v>
      </c>
      <c r="J563" t="e">
        <f>INDEX(us_acc_codes,MATCH(loaded!Y563,us_acc,0))</f>
        <v>#N/A</v>
      </c>
      <c r="K563" t="e">
        <f>INDEX(client_codes,MATCH(loaded!AA563,client,0))</f>
        <v>#N/A</v>
      </c>
      <c r="L563" t="e">
        <f>INDEX(src_ref_codes,MATCH(loaded!AC563,src_ref,0))</f>
        <v>#N/A</v>
      </c>
      <c r="M563" s="8">
        <f>loaded!AE563</f>
        <v>0</v>
      </c>
      <c r="N563" s="8">
        <f>loaded!AG563</f>
        <v>0</v>
      </c>
      <c r="O563" t="e">
        <f>INDEX(reces_codes,MATCH(loaded!AI563,reason,0))</f>
        <v>#N/A</v>
      </c>
      <c r="P563" t="e">
        <f>INDEX(TDS_codes,MATCH(loaded!AK563,TDS,0))</f>
        <v>#N/A</v>
      </c>
      <c r="Q563" t="e">
        <f>IF(K563=2,"",INDEX(method_codes,MATCH(loaded!AM563,method,0)))</f>
        <v>#N/A</v>
      </c>
      <c r="R563" t="e">
        <f>IF(K563=2,"",INDEX(inj_codes,MATCH(loaded!AO563,inj,0)))</f>
        <v>#N/A</v>
      </c>
      <c r="S563" t="e">
        <f>IF(K563=2,"",INDEX(drug_codes,MATCH(loaded!AQ563,drug,0)))</f>
        <v>#N/A</v>
      </c>
      <c r="T563" t="e">
        <f>IF(K563=2,"",_xlfn.IFNA(INDEX(drug_codes,MATCH(loaded!AS563,drug,0)),""))</f>
        <v>#N/A</v>
      </c>
      <c r="U563" t="e">
        <f>IF(K563=2,"",_xlfn.IFNA(INDEX(drug_codes,MATCH(loaded!AU563,drug,0)),""))</f>
        <v>#N/A</v>
      </c>
      <c r="V563" t="e">
        <f>IF(K563=2,"",_xlfn.IFNA(INDEX(drug_codes,MATCH(loaded!AW563,drug,0)),""))</f>
        <v>#N/A</v>
      </c>
      <c r="W563" t="e">
        <f>IF(K563=2,"",_xlfn.IFNA(INDEX(drug_codes,MATCH(loaded!AY563,drug,0)),""))</f>
        <v>#N/A</v>
      </c>
      <c r="X563" t="e">
        <f>IF(K563=2,"",_xlfn.IFNA(INDEX(drug_codes,MATCH(loaded!BA563,drug,0)),""))</f>
        <v>#N/A</v>
      </c>
      <c r="Y563" t="e">
        <f>INDEX(MTT_codes,MATCH(loaded!BC563,MTT,0))</f>
        <v>#N/A</v>
      </c>
      <c r="Z563" t="str">
        <f>_xlfn.IFNA(INDEX(MTT_codes,MATCH(loaded!BE563,MTT,0)),"")</f>
        <v/>
      </c>
      <c r="AA563" t="str">
        <f>_xlfn.IFNA(INDEX(MTT_codes,MATCH(loaded!BG563,MTT,0)),"")</f>
        <v/>
      </c>
      <c r="AB563" t="str">
        <f>_xlfn.IFNA(INDEX(MTT_codes,MATCH(loaded!BI563,MTT,0)),"")</f>
        <v/>
      </c>
      <c r="AC563" t="str">
        <f>_xlfn.IFNA(INDEX(MTT_codes,MATCH(loaded!BK563,MTT,0)),"")</f>
        <v/>
      </c>
      <c r="AD563" t="str">
        <f>_xlfn.IFNA(INDEX(MTT_codes,MATCH(loaded!BM563,MTT,0)),"")</f>
        <v/>
      </c>
      <c r="AE563" t="e">
        <f>INDEX(liv_ar_codes,MATCH(loaded!BO563,liv_ar,0))</f>
        <v>#N/A</v>
      </c>
      <c r="AF563" t="str">
        <f>_xlfn.IFNA(INDEX(MTT_codes,MATCH(loaded!BQ563,MTT,0)),"")</f>
        <v/>
      </c>
      <c r="AG563">
        <f>_xlfn.IFNA(INDEX(mental_codes,MATCH(loaded!BS563,mental,0)),9)</f>
        <v>9</v>
      </c>
    </row>
    <row r="564" spans="1:33" x14ac:dyDescent="0.25">
      <c r="A564">
        <f>loaded!C564</f>
        <v>0</v>
      </c>
      <c r="B564">
        <f>loaded!I564</f>
        <v>0</v>
      </c>
      <c r="C564">
        <f>IF(loaded!K564="Male",1,IF(loaded!K564="Female",2,9))</f>
        <v>9</v>
      </c>
      <c r="D564" s="8">
        <f>loaded!M564</f>
        <v>0</v>
      </c>
      <c r="E564" t="str">
        <f>LEFT(loaded!O564,3)</f>
        <v/>
      </c>
      <c r="F564" t="e">
        <f>INDEX(cntry_codes,MATCH(loaded!Q564,countries,0))</f>
        <v>#N/A</v>
      </c>
      <c r="G564" t="e">
        <f>INDEX(atsi_codes,MATCH(loaded!S564,atsi,0))</f>
        <v>#N/A</v>
      </c>
      <c r="H564" t="e">
        <f>INDEX(lang_codes,MATCH(loaded!U564,lang,0))</f>
        <v>#N/A</v>
      </c>
      <c r="I564" s="8">
        <f>loaded!W564</f>
        <v>0</v>
      </c>
      <c r="J564" t="e">
        <f>INDEX(us_acc_codes,MATCH(loaded!Y564,us_acc,0))</f>
        <v>#N/A</v>
      </c>
      <c r="K564" t="e">
        <f>INDEX(client_codes,MATCH(loaded!AA564,client,0))</f>
        <v>#N/A</v>
      </c>
      <c r="L564" t="e">
        <f>INDEX(src_ref_codes,MATCH(loaded!AC564,src_ref,0))</f>
        <v>#N/A</v>
      </c>
      <c r="M564" s="8">
        <f>loaded!AE564</f>
        <v>0</v>
      </c>
      <c r="N564" s="8">
        <f>loaded!AG564</f>
        <v>0</v>
      </c>
      <c r="O564" t="e">
        <f>INDEX(reces_codes,MATCH(loaded!AI564,reason,0))</f>
        <v>#N/A</v>
      </c>
      <c r="P564" t="e">
        <f>INDEX(TDS_codes,MATCH(loaded!AK564,TDS,0))</f>
        <v>#N/A</v>
      </c>
      <c r="Q564" t="e">
        <f>IF(K564=2,"",INDEX(method_codes,MATCH(loaded!AM564,method,0)))</f>
        <v>#N/A</v>
      </c>
      <c r="R564" t="e">
        <f>IF(K564=2,"",INDEX(inj_codes,MATCH(loaded!AO564,inj,0)))</f>
        <v>#N/A</v>
      </c>
      <c r="S564" t="e">
        <f>IF(K564=2,"",INDEX(drug_codes,MATCH(loaded!AQ564,drug,0)))</f>
        <v>#N/A</v>
      </c>
      <c r="T564" t="e">
        <f>IF(K564=2,"",_xlfn.IFNA(INDEX(drug_codes,MATCH(loaded!AS564,drug,0)),""))</f>
        <v>#N/A</v>
      </c>
      <c r="U564" t="e">
        <f>IF(K564=2,"",_xlfn.IFNA(INDEX(drug_codes,MATCH(loaded!AU564,drug,0)),""))</f>
        <v>#N/A</v>
      </c>
      <c r="V564" t="e">
        <f>IF(K564=2,"",_xlfn.IFNA(INDEX(drug_codes,MATCH(loaded!AW564,drug,0)),""))</f>
        <v>#N/A</v>
      </c>
      <c r="W564" t="e">
        <f>IF(K564=2,"",_xlfn.IFNA(INDEX(drug_codes,MATCH(loaded!AY564,drug,0)),""))</f>
        <v>#N/A</v>
      </c>
      <c r="X564" t="e">
        <f>IF(K564=2,"",_xlfn.IFNA(INDEX(drug_codes,MATCH(loaded!BA564,drug,0)),""))</f>
        <v>#N/A</v>
      </c>
      <c r="Y564" t="e">
        <f>INDEX(MTT_codes,MATCH(loaded!BC564,MTT,0))</f>
        <v>#N/A</v>
      </c>
      <c r="Z564" t="str">
        <f>_xlfn.IFNA(INDEX(MTT_codes,MATCH(loaded!BE564,MTT,0)),"")</f>
        <v/>
      </c>
      <c r="AA564" t="str">
        <f>_xlfn.IFNA(INDEX(MTT_codes,MATCH(loaded!BG564,MTT,0)),"")</f>
        <v/>
      </c>
      <c r="AB564" t="str">
        <f>_xlfn.IFNA(INDEX(MTT_codes,MATCH(loaded!BI564,MTT,0)),"")</f>
        <v/>
      </c>
      <c r="AC564" t="str">
        <f>_xlfn.IFNA(INDEX(MTT_codes,MATCH(loaded!BK564,MTT,0)),"")</f>
        <v/>
      </c>
      <c r="AD564" t="str">
        <f>_xlfn.IFNA(INDEX(MTT_codes,MATCH(loaded!BM564,MTT,0)),"")</f>
        <v/>
      </c>
      <c r="AE564" t="e">
        <f>INDEX(liv_ar_codes,MATCH(loaded!BO564,liv_ar,0))</f>
        <v>#N/A</v>
      </c>
      <c r="AF564" t="str">
        <f>_xlfn.IFNA(INDEX(MTT_codes,MATCH(loaded!BQ564,MTT,0)),"")</f>
        <v/>
      </c>
      <c r="AG564">
        <f>_xlfn.IFNA(INDEX(mental_codes,MATCH(loaded!BS564,mental,0)),9)</f>
        <v>9</v>
      </c>
    </row>
    <row r="565" spans="1:33" x14ac:dyDescent="0.25">
      <c r="A565">
        <f>loaded!C565</f>
        <v>0</v>
      </c>
      <c r="B565">
        <f>loaded!I565</f>
        <v>0</v>
      </c>
      <c r="C565">
        <f>IF(loaded!K565="Male",1,IF(loaded!K565="Female",2,9))</f>
        <v>9</v>
      </c>
      <c r="D565" s="8">
        <f>loaded!M565</f>
        <v>0</v>
      </c>
      <c r="E565" t="str">
        <f>LEFT(loaded!O565,3)</f>
        <v/>
      </c>
      <c r="F565" t="e">
        <f>INDEX(cntry_codes,MATCH(loaded!Q565,countries,0))</f>
        <v>#N/A</v>
      </c>
      <c r="G565" t="e">
        <f>INDEX(atsi_codes,MATCH(loaded!S565,atsi,0))</f>
        <v>#N/A</v>
      </c>
      <c r="H565" t="e">
        <f>INDEX(lang_codes,MATCH(loaded!U565,lang,0))</f>
        <v>#N/A</v>
      </c>
      <c r="I565" s="8">
        <f>loaded!W565</f>
        <v>0</v>
      </c>
      <c r="J565" t="e">
        <f>INDEX(us_acc_codes,MATCH(loaded!Y565,us_acc,0))</f>
        <v>#N/A</v>
      </c>
      <c r="K565" t="e">
        <f>INDEX(client_codes,MATCH(loaded!AA565,client,0))</f>
        <v>#N/A</v>
      </c>
      <c r="L565" t="e">
        <f>INDEX(src_ref_codes,MATCH(loaded!AC565,src_ref,0))</f>
        <v>#N/A</v>
      </c>
      <c r="M565" s="8">
        <f>loaded!AE565</f>
        <v>0</v>
      </c>
      <c r="N565" s="8">
        <f>loaded!AG565</f>
        <v>0</v>
      </c>
      <c r="O565" t="e">
        <f>INDEX(reces_codes,MATCH(loaded!AI565,reason,0))</f>
        <v>#N/A</v>
      </c>
      <c r="P565" t="e">
        <f>INDEX(TDS_codes,MATCH(loaded!AK565,TDS,0))</f>
        <v>#N/A</v>
      </c>
      <c r="Q565" t="e">
        <f>IF(K565=2,"",INDEX(method_codes,MATCH(loaded!AM565,method,0)))</f>
        <v>#N/A</v>
      </c>
      <c r="R565" t="e">
        <f>IF(K565=2,"",INDEX(inj_codes,MATCH(loaded!AO565,inj,0)))</f>
        <v>#N/A</v>
      </c>
      <c r="S565" t="e">
        <f>IF(K565=2,"",INDEX(drug_codes,MATCH(loaded!AQ565,drug,0)))</f>
        <v>#N/A</v>
      </c>
      <c r="T565" t="e">
        <f>IF(K565=2,"",_xlfn.IFNA(INDEX(drug_codes,MATCH(loaded!AS565,drug,0)),""))</f>
        <v>#N/A</v>
      </c>
      <c r="U565" t="e">
        <f>IF(K565=2,"",_xlfn.IFNA(INDEX(drug_codes,MATCH(loaded!AU565,drug,0)),""))</f>
        <v>#N/A</v>
      </c>
      <c r="V565" t="e">
        <f>IF(K565=2,"",_xlfn.IFNA(INDEX(drug_codes,MATCH(loaded!AW565,drug,0)),""))</f>
        <v>#N/A</v>
      </c>
      <c r="W565" t="e">
        <f>IF(K565=2,"",_xlfn.IFNA(INDEX(drug_codes,MATCH(loaded!AY565,drug,0)),""))</f>
        <v>#N/A</v>
      </c>
      <c r="X565" t="e">
        <f>IF(K565=2,"",_xlfn.IFNA(INDEX(drug_codes,MATCH(loaded!BA565,drug,0)),""))</f>
        <v>#N/A</v>
      </c>
      <c r="Y565" t="e">
        <f>INDEX(MTT_codes,MATCH(loaded!BC565,MTT,0))</f>
        <v>#N/A</v>
      </c>
      <c r="Z565" t="str">
        <f>_xlfn.IFNA(INDEX(MTT_codes,MATCH(loaded!BE565,MTT,0)),"")</f>
        <v/>
      </c>
      <c r="AA565" t="str">
        <f>_xlfn.IFNA(INDEX(MTT_codes,MATCH(loaded!BG565,MTT,0)),"")</f>
        <v/>
      </c>
      <c r="AB565" t="str">
        <f>_xlfn.IFNA(INDEX(MTT_codes,MATCH(loaded!BI565,MTT,0)),"")</f>
        <v/>
      </c>
      <c r="AC565" t="str">
        <f>_xlfn.IFNA(INDEX(MTT_codes,MATCH(loaded!BK565,MTT,0)),"")</f>
        <v/>
      </c>
      <c r="AD565" t="str">
        <f>_xlfn.IFNA(INDEX(MTT_codes,MATCH(loaded!BM565,MTT,0)),"")</f>
        <v/>
      </c>
      <c r="AE565" t="e">
        <f>INDEX(liv_ar_codes,MATCH(loaded!BO565,liv_ar,0))</f>
        <v>#N/A</v>
      </c>
      <c r="AF565" t="str">
        <f>_xlfn.IFNA(INDEX(MTT_codes,MATCH(loaded!BQ565,MTT,0)),"")</f>
        <v/>
      </c>
      <c r="AG565">
        <f>_xlfn.IFNA(INDEX(mental_codes,MATCH(loaded!BS565,mental,0)),9)</f>
        <v>9</v>
      </c>
    </row>
    <row r="566" spans="1:33" x14ac:dyDescent="0.25">
      <c r="A566">
        <f>loaded!C566</f>
        <v>0</v>
      </c>
      <c r="B566">
        <f>loaded!I566</f>
        <v>0</v>
      </c>
      <c r="C566">
        <f>IF(loaded!K566="Male",1,IF(loaded!K566="Female",2,9))</f>
        <v>9</v>
      </c>
      <c r="D566" s="8">
        <f>loaded!M566</f>
        <v>0</v>
      </c>
      <c r="E566" t="str">
        <f>LEFT(loaded!O566,3)</f>
        <v/>
      </c>
      <c r="F566" t="e">
        <f>INDEX(cntry_codes,MATCH(loaded!Q566,countries,0))</f>
        <v>#N/A</v>
      </c>
      <c r="G566" t="e">
        <f>INDEX(atsi_codes,MATCH(loaded!S566,atsi,0))</f>
        <v>#N/A</v>
      </c>
      <c r="H566" t="e">
        <f>INDEX(lang_codes,MATCH(loaded!U566,lang,0))</f>
        <v>#N/A</v>
      </c>
      <c r="I566" s="8">
        <f>loaded!W566</f>
        <v>0</v>
      </c>
      <c r="J566" t="e">
        <f>INDEX(us_acc_codes,MATCH(loaded!Y566,us_acc,0))</f>
        <v>#N/A</v>
      </c>
      <c r="K566" t="e">
        <f>INDEX(client_codes,MATCH(loaded!AA566,client,0))</f>
        <v>#N/A</v>
      </c>
      <c r="L566" t="e">
        <f>INDEX(src_ref_codes,MATCH(loaded!AC566,src_ref,0))</f>
        <v>#N/A</v>
      </c>
      <c r="M566" s="8">
        <f>loaded!AE566</f>
        <v>0</v>
      </c>
      <c r="N566" s="8">
        <f>loaded!AG566</f>
        <v>0</v>
      </c>
      <c r="O566" t="e">
        <f>INDEX(reces_codes,MATCH(loaded!AI566,reason,0))</f>
        <v>#N/A</v>
      </c>
      <c r="P566" t="e">
        <f>INDEX(TDS_codes,MATCH(loaded!AK566,TDS,0))</f>
        <v>#N/A</v>
      </c>
      <c r="Q566" t="e">
        <f>IF(K566=2,"",INDEX(method_codes,MATCH(loaded!AM566,method,0)))</f>
        <v>#N/A</v>
      </c>
      <c r="R566" t="e">
        <f>IF(K566=2,"",INDEX(inj_codes,MATCH(loaded!AO566,inj,0)))</f>
        <v>#N/A</v>
      </c>
      <c r="S566" t="e">
        <f>IF(K566=2,"",INDEX(drug_codes,MATCH(loaded!AQ566,drug,0)))</f>
        <v>#N/A</v>
      </c>
      <c r="T566" t="e">
        <f>IF(K566=2,"",_xlfn.IFNA(INDEX(drug_codes,MATCH(loaded!AS566,drug,0)),""))</f>
        <v>#N/A</v>
      </c>
      <c r="U566" t="e">
        <f>IF(K566=2,"",_xlfn.IFNA(INDEX(drug_codes,MATCH(loaded!AU566,drug,0)),""))</f>
        <v>#N/A</v>
      </c>
      <c r="V566" t="e">
        <f>IF(K566=2,"",_xlfn.IFNA(INDEX(drug_codes,MATCH(loaded!AW566,drug,0)),""))</f>
        <v>#N/A</v>
      </c>
      <c r="W566" t="e">
        <f>IF(K566=2,"",_xlfn.IFNA(INDEX(drug_codes,MATCH(loaded!AY566,drug,0)),""))</f>
        <v>#N/A</v>
      </c>
      <c r="X566" t="e">
        <f>IF(K566=2,"",_xlfn.IFNA(INDEX(drug_codes,MATCH(loaded!BA566,drug,0)),""))</f>
        <v>#N/A</v>
      </c>
      <c r="Y566" t="e">
        <f>INDEX(MTT_codes,MATCH(loaded!BC566,MTT,0))</f>
        <v>#N/A</v>
      </c>
      <c r="Z566" t="str">
        <f>_xlfn.IFNA(INDEX(MTT_codes,MATCH(loaded!BE566,MTT,0)),"")</f>
        <v/>
      </c>
      <c r="AA566" t="str">
        <f>_xlfn.IFNA(INDEX(MTT_codes,MATCH(loaded!BG566,MTT,0)),"")</f>
        <v/>
      </c>
      <c r="AB566" t="str">
        <f>_xlfn.IFNA(INDEX(MTT_codes,MATCH(loaded!BI566,MTT,0)),"")</f>
        <v/>
      </c>
      <c r="AC566" t="str">
        <f>_xlfn.IFNA(INDEX(MTT_codes,MATCH(loaded!BK566,MTT,0)),"")</f>
        <v/>
      </c>
      <c r="AD566" t="str">
        <f>_xlfn.IFNA(INDEX(MTT_codes,MATCH(loaded!BM566,MTT,0)),"")</f>
        <v/>
      </c>
      <c r="AE566" t="e">
        <f>INDEX(liv_ar_codes,MATCH(loaded!BO566,liv_ar,0))</f>
        <v>#N/A</v>
      </c>
      <c r="AF566" t="str">
        <f>_xlfn.IFNA(INDEX(MTT_codes,MATCH(loaded!BQ566,MTT,0)),"")</f>
        <v/>
      </c>
      <c r="AG566">
        <f>_xlfn.IFNA(INDEX(mental_codes,MATCH(loaded!BS566,mental,0)),9)</f>
        <v>9</v>
      </c>
    </row>
    <row r="567" spans="1:33" x14ac:dyDescent="0.25">
      <c r="A567">
        <f>loaded!C567</f>
        <v>0</v>
      </c>
      <c r="B567">
        <f>loaded!I567</f>
        <v>0</v>
      </c>
      <c r="C567">
        <f>IF(loaded!K567="Male",1,IF(loaded!K567="Female",2,9))</f>
        <v>9</v>
      </c>
      <c r="D567" s="8">
        <f>loaded!M567</f>
        <v>0</v>
      </c>
      <c r="E567" t="str">
        <f>LEFT(loaded!O567,3)</f>
        <v/>
      </c>
      <c r="F567" t="e">
        <f>INDEX(cntry_codes,MATCH(loaded!Q567,countries,0))</f>
        <v>#N/A</v>
      </c>
      <c r="G567" t="e">
        <f>INDEX(atsi_codes,MATCH(loaded!S567,atsi,0))</f>
        <v>#N/A</v>
      </c>
      <c r="H567" t="e">
        <f>INDEX(lang_codes,MATCH(loaded!U567,lang,0))</f>
        <v>#N/A</v>
      </c>
      <c r="I567" s="8">
        <f>loaded!W567</f>
        <v>0</v>
      </c>
      <c r="J567" t="e">
        <f>INDEX(us_acc_codes,MATCH(loaded!Y567,us_acc,0))</f>
        <v>#N/A</v>
      </c>
      <c r="K567" t="e">
        <f>INDEX(client_codes,MATCH(loaded!AA567,client,0))</f>
        <v>#N/A</v>
      </c>
      <c r="L567" t="e">
        <f>INDEX(src_ref_codes,MATCH(loaded!AC567,src_ref,0))</f>
        <v>#N/A</v>
      </c>
      <c r="M567" s="8">
        <f>loaded!AE567</f>
        <v>0</v>
      </c>
      <c r="N567" s="8">
        <f>loaded!AG567</f>
        <v>0</v>
      </c>
      <c r="O567" t="e">
        <f>INDEX(reces_codes,MATCH(loaded!AI567,reason,0))</f>
        <v>#N/A</v>
      </c>
      <c r="P567" t="e">
        <f>INDEX(TDS_codes,MATCH(loaded!AK567,TDS,0))</f>
        <v>#N/A</v>
      </c>
      <c r="Q567" t="e">
        <f>IF(K567=2,"",INDEX(method_codes,MATCH(loaded!AM567,method,0)))</f>
        <v>#N/A</v>
      </c>
      <c r="R567" t="e">
        <f>IF(K567=2,"",INDEX(inj_codes,MATCH(loaded!AO567,inj,0)))</f>
        <v>#N/A</v>
      </c>
      <c r="S567" t="e">
        <f>IF(K567=2,"",INDEX(drug_codes,MATCH(loaded!AQ567,drug,0)))</f>
        <v>#N/A</v>
      </c>
      <c r="T567" t="e">
        <f>IF(K567=2,"",_xlfn.IFNA(INDEX(drug_codes,MATCH(loaded!AS567,drug,0)),""))</f>
        <v>#N/A</v>
      </c>
      <c r="U567" t="e">
        <f>IF(K567=2,"",_xlfn.IFNA(INDEX(drug_codes,MATCH(loaded!AU567,drug,0)),""))</f>
        <v>#N/A</v>
      </c>
      <c r="V567" t="e">
        <f>IF(K567=2,"",_xlfn.IFNA(INDEX(drug_codes,MATCH(loaded!AW567,drug,0)),""))</f>
        <v>#N/A</v>
      </c>
      <c r="W567" t="e">
        <f>IF(K567=2,"",_xlfn.IFNA(INDEX(drug_codes,MATCH(loaded!AY567,drug,0)),""))</f>
        <v>#N/A</v>
      </c>
      <c r="X567" t="e">
        <f>IF(K567=2,"",_xlfn.IFNA(INDEX(drug_codes,MATCH(loaded!BA567,drug,0)),""))</f>
        <v>#N/A</v>
      </c>
      <c r="Y567" t="e">
        <f>INDEX(MTT_codes,MATCH(loaded!BC567,MTT,0))</f>
        <v>#N/A</v>
      </c>
      <c r="Z567" t="str">
        <f>_xlfn.IFNA(INDEX(MTT_codes,MATCH(loaded!BE567,MTT,0)),"")</f>
        <v/>
      </c>
      <c r="AA567" t="str">
        <f>_xlfn.IFNA(INDEX(MTT_codes,MATCH(loaded!BG567,MTT,0)),"")</f>
        <v/>
      </c>
      <c r="AB567" t="str">
        <f>_xlfn.IFNA(INDEX(MTT_codes,MATCH(loaded!BI567,MTT,0)),"")</f>
        <v/>
      </c>
      <c r="AC567" t="str">
        <f>_xlfn.IFNA(INDEX(MTT_codes,MATCH(loaded!BK567,MTT,0)),"")</f>
        <v/>
      </c>
      <c r="AD567" t="str">
        <f>_xlfn.IFNA(INDEX(MTT_codes,MATCH(loaded!BM567,MTT,0)),"")</f>
        <v/>
      </c>
      <c r="AE567" t="e">
        <f>INDEX(liv_ar_codes,MATCH(loaded!BO567,liv_ar,0))</f>
        <v>#N/A</v>
      </c>
      <c r="AF567" t="str">
        <f>_xlfn.IFNA(INDEX(MTT_codes,MATCH(loaded!BQ567,MTT,0)),"")</f>
        <v/>
      </c>
      <c r="AG567">
        <f>_xlfn.IFNA(INDEX(mental_codes,MATCH(loaded!BS567,mental,0)),9)</f>
        <v>9</v>
      </c>
    </row>
    <row r="568" spans="1:33" x14ac:dyDescent="0.25">
      <c r="A568">
        <f>loaded!C568</f>
        <v>0</v>
      </c>
      <c r="B568">
        <f>loaded!I568</f>
        <v>0</v>
      </c>
      <c r="C568">
        <f>IF(loaded!K568="Male",1,IF(loaded!K568="Female",2,9))</f>
        <v>9</v>
      </c>
      <c r="D568" s="8">
        <f>loaded!M568</f>
        <v>0</v>
      </c>
      <c r="E568" t="str">
        <f>LEFT(loaded!O568,3)</f>
        <v/>
      </c>
      <c r="F568" t="e">
        <f>INDEX(cntry_codes,MATCH(loaded!Q568,countries,0))</f>
        <v>#N/A</v>
      </c>
      <c r="G568" t="e">
        <f>INDEX(atsi_codes,MATCH(loaded!S568,atsi,0))</f>
        <v>#N/A</v>
      </c>
      <c r="H568" t="e">
        <f>INDEX(lang_codes,MATCH(loaded!U568,lang,0))</f>
        <v>#N/A</v>
      </c>
      <c r="I568" s="8">
        <f>loaded!W568</f>
        <v>0</v>
      </c>
      <c r="J568" t="e">
        <f>INDEX(us_acc_codes,MATCH(loaded!Y568,us_acc,0))</f>
        <v>#N/A</v>
      </c>
      <c r="K568" t="e">
        <f>INDEX(client_codes,MATCH(loaded!AA568,client,0))</f>
        <v>#N/A</v>
      </c>
      <c r="L568" t="e">
        <f>INDEX(src_ref_codes,MATCH(loaded!AC568,src_ref,0))</f>
        <v>#N/A</v>
      </c>
      <c r="M568" s="8">
        <f>loaded!AE568</f>
        <v>0</v>
      </c>
      <c r="N568" s="8">
        <f>loaded!AG568</f>
        <v>0</v>
      </c>
      <c r="O568" t="e">
        <f>INDEX(reces_codes,MATCH(loaded!AI568,reason,0))</f>
        <v>#N/A</v>
      </c>
      <c r="P568" t="e">
        <f>INDEX(TDS_codes,MATCH(loaded!AK568,TDS,0))</f>
        <v>#N/A</v>
      </c>
      <c r="Q568" t="e">
        <f>IF(K568=2,"",INDEX(method_codes,MATCH(loaded!AM568,method,0)))</f>
        <v>#N/A</v>
      </c>
      <c r="R568" t="e">
        <f>IF(K568=2,"",INDEX(inj_codes,MATCH(loaded!AO568,inj,0)))</f>
        <v>#N/A</v>
      </c>
      <c r="S568" t="e">
        <f>IF(K568=2,"",INDEX(drug_codes,MATCH(loaded!AQ568,drug,0)))</f>
        <v>#N/A</v>
      </c>
      <c r="T568" t="e">
        <f>IF(K568=2,"",_xlfn.IFNA(INDEX(drug_codes,MATCH(loaded!AS568,drug,0)),""))</f>
        <v>#N/A</v>
      </c>
      <c r="U568" t="e">
        <f>IF(K568=2,"",_xlfn.IFNA(INDEX(drug_codes,MATCH(loaded!AU568,drug,0)),""))</f>
        <v>#N/A</v>
      </c>
      <c r="V568" t="e">
        <f>IF(K568=2,"",_xlfn.IFNA(INDEX(drug_codes,MATCH(loaded!AW568,drug,0)),""))</f>
        <v>#N/A</v>
      </c>
      <c r="W568" t="e">
        <f>IF(K568=2,"",_xlfn.IFNA(INDEX(drug_codes,MATCH(loaded!AY568,drug,0)),""))</f>
        <v>#N/A</v>
      </c>
      <c r="X568" t="e">
        <f>IF(K568=2,"",_xlfn.IFNA(INDEX(drug_codes,MATCH(loaded!BA568,drug,0)),""))</f>
        <v>#N/A</v>
      </c>
      <c r="Y568" t="e">
        <f>INDEX(MTT_codes,MATCH(loaded!BC568,MTT,0))</f>
        <v>#N/A</v>
      </c>
      <c r="Z568" t="str">
        <f>_xlfn.IFNA(INDEX(MTT_codes,MATCH(loaded!BE568,MTT,0)),"")</f>
        <v/>
      </c>
      <c r="AA568" t="str">
        <f>_xlfn.IFNA(INDEX(MTT_codes,MATCH(loaded!BG568,MTT,0)),"")</f>
        <v/>
      </c>
      <c r="AB568" t="str">
        <f>_xlfn.IFNA(INDEX(MTT_codes,MATCH(loaded!BI568,MTT,0)),"")</f>
        <v/>
      </c>
      <c r="AC568" t="str">
        <f>_xlfn.IFNA(INDEX(MTT_codes,MATCH(loaded!BK568,MTT,0)),"")</f>
        <v/>
      </c>
      <c r="AD568" t="str">
        <f>_xlfn.IFNA(INDEX(MTT_codes,MATCH(loaded!BM568,MTT,0)),"")</f>
        <v/>
      </c>
      <c r="AE568" t="e">
        <f>INDEX(liv_ar_codes,MATCH(loaded!BO568,liv_ar,0))</f>
        <v>#N/A</v>
      </c>
      <c r="AF568" t="str">
        <f>_xlfn.IFNA(INDEX(MTT_codes,MATCH(loaded!BQ568,MTT,0)),"")</f>
        <v/>
      </c>
      <c r="AG568">
        <f>_xlfn.IFNA(INDEX(mental_codes,MATCH(loaded!BS568,mental,0)),9)</f>
        <v>9</v>
      </c>
    </row>
    <row r="569" spans="1:33" x14ac:dyDescent="0.25">
      <c r="A569">
        <f>loaded!C569</f>
        <v>0</v>
      </c>
      <c r="B569">
        <f>loaded!I569</f>
        <v>0</v>
      </c>
      <c r="C569">
        <f>IF(loaded!K569="Male",1,IF(loaded!K569="Female",2,9))</f>
        <v>9</v>
      </c>
      <c r="D569" s="8">
        <f>loaded!M569</f>
        <v>0</v>
      </c>
      <c r="E569" t="str">
        <f>LEFT(loaded!O569,3)</f>
        <v/>
      </c>
      <c r="F569" t="e">
        <f>INDEX(cntry_codes,MATCH(loaded!Q569,countries,0))</f>
        <v>#N/A</v>
      </c>
      <c r="G569" t="e">
        <f>INDEX(atsi_codes,MATCH(loaded!S569,atsi,0))</f>
        <v>#N/A</v>
      </c>
      <c r="H569" t="e">
        <f>INDEX(lang_codes,MATCH(loaded!U569,lang,0))</f>
        <v>#N/A</v>
      </c>
      <c r="I569" s="8">
        <f>loaded!W569</f>
        <v>0</v>
      </c>
      <c r="J569" t="e">
        <f>INDEX(us_acc_codes,MATCH(loaded!Y569,us_acc,0))</f>
        <v>#N/A</v>
      </c>
      <c r="K569" t="e">
        <f>INDEX(client_codes,MATCH(loaded!AA569,client,0))</f>
        <v>#N/A</v>
      </c>
      <c r="L569" t="e">
        <f>INDEX(src_ref_codes,MATCH(loaded!AC569,src_ref,0))</f>
        <v>#N/A</v>
      </c>
      <c r="M569" s="8">
        <f>loaded!AE569</f>
        <v>0</v>
      </c>
      <c r="N569" s="8">
        <f>loaded!AG569</f>
        <v>0</v>
      </c>
      <c r="O569" t="e">
        <f>INDEX(reces_codes,MATCH(loaded!AI569,reason,0))</f>
        <v>#N/A</v>
      </c>
      <c r="P569" t="e">
        <f>INDEX(TDS_codes,MATCH(loaded!AK569,TDS,0))</f>
        <v>#N/A</v>
      </c>
      <c r="Q569" t="e">
        <f>IF(K569=2,"",INDEX(method_codes,MATCH(loaded!AM569,method,0)))</f>
        <v>#N/A</v>
      </c>
      <c r="R569" t="e">
        <f>IF(K569=2,"",INDEX(inj_codes,MATCH(loaded!AO569,inj,0)))</f>
        <v>#N/A</v>
      </c>
      <c r="S569" t="e">
        <f>IF(K569=2,"",INDEX(drug_codes,MATCH(loaded!AQ569,drug,0)))</f>
        <v>#N/A</v>
      </c>
      <c r="T569" t="e">
        <f>IF(K569=2,"",_xlfn.IFNA(INDEX(drug_codes,MATCH(loaded!AS569,drug,0)),""))</f>
        <v>#N/A</v>
      </c>
      <c r="U569" t="e">
        <f>IF(K569=2,"",_xlfn.IFNA(INDEX(drug_codes,MATCH(loaded!AU569,drug,0)),""))</f>
        <v>#N/A</v>
      </c>
      <c r="V569" t="e">
        <f>IF(K569=2,"",_xlfn.IFNA(INDEX(drug_codes,MATCH(loaded!AW569,drug,0)),""))</f>
        <v>#N/A</v>
      </c>
      <c r="W569" t="e">
        <f>IF(K569=2,"",_xlfn.IFNA(INDEX(drug_codes,MATCH(loaded!AY569,drug,0)),""))</f>
        <v>#N/A</v>
      </c>
      <c r="X569" t="e">
        <f>IF(K569=2,"",_xlfn.IFNA(INDEX(drug_codes,MATCH(loaded!BA569,drug,0)),""))</f>
        <v>#N/A</v>
      </c>
      <c r="Y569" t="e">
        <f>INDEX(MTT_codes,MATCH(loaded!BC569,MTT,0))</f>
        <v>#N/A</v>
      </c>
      <c r="Z569" t="str">
        <f>_xlfn.IFNA(INDEX(MTT_codes,MATCH(loaded!BE569,MTT,0)),"")</f>
        <v/>
      </c>
      <c r="AA569" t="str">
        <f>_xlfn.IFNA(INDEX(MTT_codes,MATCH(loaded!BG569,MTT,0)),"")</f>
        <v/>
      </c>
      <c r="AB569" t="str">
        <f>_xlfn.IFNA(INDEX(MTT_codes,MATCH(loaded!BI569,MTT,0)),"")</f>
        <v/>
      </c>
      <c r="AC569" t="str">
        <f>_xlfn.IFNA(INDEX(MTT_codes,MATCH(loaded!BK569,MTT,0)),"")</f>
        <v/>
      </c>
      <c r="AD569" t="str">
        <f>_xlfn.IFNA(INDEX(MTT_codes,MATCH(loaded!BM569,MTT,0)),"")</f>
        <v/>
      </c>
      <c r="AE569" t="e">
        <f>INDEX(liv_ar_codes,MATCH(loaded!BO569,liv_ar,0))</f>
        <v>#N/A</v>
      </c>
      <c r="AF569" t="str">
        <f>_xlfn.IFNA(INDEX(MTT_codes,MATCH(loaded!BQ569,MTT,0)),"")</f>
        <v/>
      </c>
      <c r="AG569">
        <f>_xlfn.IFNA(INDEX(mental_codes,MATCH(loaded!BS569,mental,0)),9)</f>
        <v>9</v>
      </c>
    </row>
    <row r="570" spans="1:33" x14ac:dyDescent="0.25">
      <c r="A570">
        <f>loaded!C570</f>
        <v>0</v>
      </c>
      <c r="B570">
        <f>loaded!I570</f>
        <v>0</v>
      </c>
      <c r="C570">
        <f>IF(loaded!K570="Male",1,IF(loaded!K570="Female",2,9))</f>
        <v>9</v>
      </c>
      <c r="D570" s="8">
        <f>loaded!M570</f>
        <v>0</v>
      </c>
      <c r="E570" t="str">
        <f>LEFT(loaded!O570,3)</f>
        <v/>
      </c>
      <c r="F570" t="e">
        <f>INDEX(cntry_codes,MATCH(loaded!Q570,countries,0))</f>
        <v>#N/A</v>
      </c>
      <c r="G570" t="e">
        <f>INDEX(atsi_codes,MATCH(loaded!S570,atsi,0))</f>
        <v>#N/A</v>
      </c>
      <c r="H570" t="e">
        <f>INDEX(lang_codes,MATCH(loaded!U570,lang,0))</f>
        <v>#N/A</v>
      </c>
      <c r="I570" s="8">
        <f>loaded!W570</f>
        <v>0</v>
      </c>
      <c r="J570" t="e">
        <f>INDEX(us_acc_codes,MATCH(loaded!Y570,us_acc,0))</f>
        <v>#N/A</v>
      </c>
      <c r="K570" t="e">
        <f>INDEX(client_codes,MATCH(loaded!AA570,client,0))</f>
        <v>#N/A</v>
      </c>
      <c r="L570" t="e">
        <f>INDEX(src_ref_codes,MATCH(loaded!AC570,src_ref,0))</f>
        <v>#N/A</v>
      </c>
      <c r="M570" s="8">
        <f>loaded!AE570</f>
        <v>0</v>
      </c>
      <c r="N570" s="8">
        <f>loaded!AG570</f>
        <v>0</v>
      </c>
      <c r="O570" t="e">
        <f>INDEX(reces_codes,MATCH(loaded!AI570,reason,0))</f>
        <v>#N/A</v>
      </c>
      <c r="P570" t="e">
        <f>INDEX(TDS_codes,MATCH(loaded!AK570,TDS,0))</f>
        <v>#N/A</v>
      </c>
      <c r="Q570" t="e">
        <f>IF(K570=2,"",INDEX(method_codes,MATCH(loaded!AM570,method,0)))</f>
        <v>#N/A</v>
      </c>
      <c r="R570" t="e">
        <f>IF(K570=2,"",INDEX(inj_codes,MATCH(loaded!AO570,inj,0)))</f>
        <v>#N/A</v>
      </c>
      <c r="S570" t="e">
        <f>IF(K570=2,"",INDEX(drug_codes,MATCH(loaded!AQ570,drug,0)))</f>
        <v>#N/A</v>
      </c>
      <c r="T570" t="e">
        <f>IF(K570=2,"",_xlfn.IFNA(INDEX(drug_codes,MATCH(loaded!AS570,drug,0)),""))</f>
        <v>#N/A</v>
      </c>
      <c r="U570" t="e">
        <f>IF(K570=2,"",_xlfn.IFNA(INDEX(drug_codes,MATCH(loaded!AU570,drug,0)),""))</f>
        <v>#N/A</v>
      </c>
      <c r="V570" t="e">
        <f>IF(K570=2,"",_xlfn.IFNA(INDEX(drug_codes,MATCH(loaded!AW570,drug,0)),""))</f>
        <v>#N/A</v>
      </c>
      <c r="W570" t="e">
        <f>IF(K570=2,"",_xlfn.IFNA(INDEX(drug_codes,MATCH(loaded!AY570,drug,0)),""))</f>
        <v>#N/A</v>
      </c>
      <c r="X570" t="e">
        <f>IF(K570=2,"",_xlfn.IFNA(INDEX(drug_codes,MATCH(loaded!BA570,drug,0)),""))</f>
        <v>#N/A</v>
      </c>
      <c r="Y570" t="e">
        <f>INDEX(MTT_codes,MATCH(loaded!BC570,MTT,0))</f>
        <v>#N/A</v>
      </c>
      <c r="Z570" t="str">
        <f>_xlfn.IFNA(INDEX(MTT_codes,MATCH(loaded!BE570,MTT,0)),"")</f>
        <v/>
      </c>
      <c r="AA570" t="str">
        <f>_xlfn.IFNA(INDEX(MTT_codes,MATCH(loaded!BG570,MTT,0)),"")</f>
        <v/>
      </c>
      <c r="AB570" t="str">
        <f>_xlfn.IFNA(INDEX(MTT_codes,MATCH(loaded!BI570,MTT,0)),"")</f>
        <v/>
      </c>
      <c r="AC570" t="str">
        <f>_xlfn.IFNA(INDEX(MTT_codes,MATCH(loaded!BK570,MTT,0)),"")</f>
        <v/>
      </c>
      <c r="AD570" t="str">
        <f>_xlfn.IFNA(INDEX(MTT_codes,MATCH(loaded!BM570,MTT,0)),"")</f>
        <v/>
      </c>
      <c r="AE570" t="e">
        <f>INDEX(liv_ar_codes,MATCH(loaded!BO570,liv_ar,0))</f>
        <v>#N/A</v>
      </c>
      <c r="AF570" t="str">
        <f>_xlfn.IFNA(INDEX(MTT_codes,MATCH(loaded!BQ570,MTT,0)),"")</f>
        <v/>
      </c>
      <c r="AG570">
        <f>_xlfn.IFNA(INDEX(mental_codes,MATCH(loaded!BS570,mental,0)),9)</f>
        <v>9</v>
      </c>
    </row>
    <row r="571" spans="1:33" x14ac:dyDescent="0.25">
      <c r="A571">
        <f>loaded!C571</f>
        <v>0</v>
      </c>
      <c r="B571">
        <f>loaded!I571</f>
        <v>0</v>
      </c>
      <c r="C571">
        <f>IF(loaded!K571="Male",1,IF(loaded!K571="Female",2,9))</f>
        <v>9</v>
      </c>
      <c r="D571" s="8">
        <f>loaded!M571</f>
        <v>0</v>
      </c>
      <c r="E571" t="str">
        <f>LEFT(loaded!O571,3)</f>
        <v/>
      </c>
      <c r="F571" t="e">
        <f>INDEX(cntry_codes,MATCH(loaded!Q571,countries,0))</f>
        <v>#N/A</v>
      </c>
      <c r="G571" t="e">
        <f>INDEX(atsi_codes,MATCH(loaded!S571,atsi,0))</f>
        <v>#N/A</v>
      </c>
      <c r="H571" t="e">
        <f>INDEX(lang_codes,MATCH(loaded!U571,lang,0))</f>
        <v>#N/A</v>
      </c>
      <c r="I571" s="8">
        <f>loaded!W571</f>
        <v>0</v>
      </c>
      <c r="J571" t="e">
        <f>INDEX(us_acc_codes,MATCH(loaded!Y571,us_acc,0))</f>
        <v>#N/A</v>
      </c>
      <c r="K571" t="e">
        <f>INDEX(client_codes,MATCH(loaded!AA571,client,0))</f>
        <v>#N/A</v>
      </c>
      <c r="L571" t="e">
        <f>INDEX(src_ref_codes,MATCH(loaded!AC571,src_ref,0))</f>
        <v>#N/A</v>
      </c>
      <c r="M571" s="8">
        <f>loaded!AE571</f>
        <v>0</v>
      </c>
      <c r="N571" s="8">
        <f>loaded!AG571</f>
        <v>0</v>
      </c>
      <c r="O571" t="e">
        <f>INDEX(reces_codes,MATCH(loaded!AI571,reason,0))</f>
        <v>#N/A</v>
      </c>
      <c r="P571" t="e">
        <f>INDEX(TDS_codes,MATCH(loaded!AK571,TDS,0))</f>
        <v>#N/A</v>
      </c>
      <c r="Q571" t="e">
        <f>IF(K571=2,"",INDEX(method_codes,MATCH(loaded!AM571,method,0)))</f>
        <v>#N/A</v>
      </c>
      <c r="R571" t="e">
        <f>IF(K571=2,"",INDEX(inj_codes,MATCH(loaded!AO571,inj,0)))</f>
        <v>#N/A</v>
      </c>
      <c r="S571" t="e">
        <f>IF(K571=2,"",INDEX(drug_codes,MATCH(loaded!AQ571,drug,0)))</f>
        <v>#N/A</v>
      </c>
      <c r="T571" t="e">
        <f>IF(K571=2,"",_xlfn.IFNA(INDEX(drug_codes,MATCH(loaded!AS571,drug,0)),""))</f>
        <v>#N/A</v>
      </c>
      <c r="U571" t="e">
        <f>IF(K571=2,"",_xlfn.IFNA(INDEX(drug_codes,MATCH(loaded!AU571,drug,0)),""))</f>
        <v>#N/A</v>
      </c>
      <c r="V571" t="e">
        <f>IF(K571=2,"",_xlfn.IFNA(INDEX(drug_codes,MATCH(loaded!AW571,drug,0)),""))</f>
        <v>#N/A</v>
      </c>
      <c r="W571" t="e">
        <f>IF(K571=2,"",_xlfn.IFNA(INDEX(drug_codes,MATCH(loaded!AY571,drug,0)),""))</f>
        <v>#N/A</v>
      </c>
      <c r="X571" t="e">
        <f>IF(K571=2,"",_xlfn.IFNA(INDEX(drug_codes,MATCH(loaded!BA571,drug,0)),""))</f>
        <v>#N/A</v>
      </c>
      <c r="Y571" t="e">
        <f>INDEX(MTT_codes,MATCH(loaded!BC571,MTT,0))</f>
        <v>#N/A</v>
      </c>
      <c r="Z571" t="str">
        <f>_xlfn.IFNA(INDEX(MTT_codes,MATCH(loaded!BE571,MTT,0)),"")</f>
        <v/>
      </c>
      <c r="AA571" t="str">
        <f>_xlfn.IFNA(INDEX(MTT_codes,MATCH(loaded!BG571,MTT,0)),"")</f>
        <v/>
      </c>
      <c r="AB571" t="str">
        <f>_xlfn.IFNA(INDEX(MTT_codes,MATCH(loaded!BI571,MTT,0)),"")</f>
        <v/>
      </c>
      <c r="AC571" t="str">
        <f>_xlfn.IFNA(INDEX(MTT_codes,MATCH(loaded!BK571,MTT,0)),"")</f>
        <v/>
      </c>
      <c r="AD571" t="str">
        <f>_xlfn.IFNA(INDEX(MTT_codes,MATCH(loaded!BM571,MTT,0)),"")</f>
        <v/>
      </c>
      <c r="AE571" t="e">
        <f>INDEX(liv_ar_codes,MATCH(loaded!BO571,liv_ar,0))</f>
        <v>#N/A</v>
      </c>
      <c r="AF571" t="str">
        <f>_xlfn.IFNA(INDEX(MTT_codes,MATCH(loaded!BQ571,MTT,0)),"")</f>
        <v/>
      </c>
      <c r="AG571">
        <f>_xlfn.IFNA(INDEX(mental_codes,MATCH(loaded!BS571,mental,0)),9)</f>
        <v>9</v>
      </c>
    </row>
    <row r="572" spans="1:33" x14ac:dyDescent="0.25">
      <c r="A572">
        <f>loaded!C572</f>
        <v>0</v>
      </c>
      <c r="B572">
        <f>loaded!I572</f>
        <v>0</v>
      </c>
      <c r="C572">
        <f>IF(loaded!K572="Male",1,IF(loaded!K572="Female",2,9))</f>
        <v>9</v>
      </c>
      <c r="D572" s="8">
        <f>loaded!M572</f>
        <v>0</v>
      </c>
      <c r="E572" t="str">
        <f>LEFT(loaded!O572,3)</f>
        <v/>
      </c>
      <c r="F572" t="e">
        <f>INDEX(cntry_codes,MATCH(loaded!Q572,countries,0))</f>
        <v>#N/A</v>
      </c>
      <c r="G572" t="e">
        <f>INDEX(atsi_codes,MATCH(loaded!S572,atsi,0))</f>
        <v>#N/A</v>
      </c>
      <c r="H572" t="e">
        <f>INDEX(lang_codes,MATCH(loaded!U572,lang,0))</f>
        <v>#N/A</v>
      </c>
      <c r="I572" s="8">
        <f>loaded!W572</f>
        <v>0</v>
      </c>
      <c r="J572" t="e">
        <f>INDEX(us_acc_codes,MATCH(loaded!Y572,us_acc,0))</f>
        <v>#N/A</v>
      </c>
      <c r="K572" t="e">
        <f>INDEX(client_codes,MATCH(loaded!AA572,client,0))</f>
        <v>#N/A</v>
      </c>
      <c r="L572" t="e">
        <f>INDEX(src_ref_codes,MATCH(loaded!AC572,src_ref,0))</f>
        <v>#N/A</v>
      </c>
      <c r="M572" s="8">
        <f>loaded!AE572</f>
        <v>0</v>
      </c>
      <c r="N572" s="8">
        <f>loaded!AG572</f>
        <v>0</v>
      </c>
      <c r="O572" t="e">
        <f>INDEX(reces_codes,MATCH(loaded!AI572,reason,0))</f>
        <v>#N/A</v>
      </c>
      <c r="P572" t="e">
        <f>INDEX(TDS_codes,MATCH(loaded!AK572,TDS,0))</f>
        <v>#N/A</v>
      </c>
      <c r="Q572" t="e">
        <f>IF(K572=2,"",INDEX(method_codes,MATCH(loaded!AM572,method,0)))</f>
        <v>#N/A</v>
      </c>
      <c r="R572" t="e">
        <f>IF(K572=2,"",INDEX(inj_codes,MATCH(loaded!AO572,inj,0)))</f>
        <v>#N/A</v>
      </c>
      <c r="S572" t="e">
        <f>IF(K572=2,"",INDEX(drug_codes,MATCH(loaded!AQ572,drug,0)))</f>
        <v>#N/A</v>
      </c>
      <c r="T572" t="e">
        <f>IF(K572=2,"",_xlfn.IFNA(INDEX(drug_codes,MATCH(loaded!AS572,drug,0)),""))</f>
        <v>#N/A</v>
      </c>
      <c r="U572" t="e">
        <f>IF(K572=2,"",_xlfn.IFNA(INDEX(drug_codes,MATCH(loaded!AU572,drug,0)),""))</f>
        <v>#N/A</v>
      </c>
      <c r="V572" t="e">
        <f>IF(K572=2,"",_xlfn.IFNA(INDEX(drug_codes,MATCH(loaded!AW572,drug,0)),""))</f>
        <v>#N/A</v>
      </c>
      <c r="W572" t="e">
        <f>IF(K572=2,"",_xlfn.IFNA(INDEX(drug_codes,MATCH(loaded!AY572,drug,0)),""))</f>
        <v>#N/A</v>
      </c>
      <c r="X572" t="e">
        <f>IF(K572=2,"",_xlfn.IFNA(INDEX(drug_codes,MATCH(loaded!BA572,drug,0)),""))</f>
        <v>#N/A</v>
      </c>
      <c r="Y572" t="e">
        <f>INDEX(MTT_codes,MATCH(loaded!BC572,MTT,0))</f>
        <v>#N/A</v>
      </c>
      <c r="Z572" t="str">
        <f>_xlfn.IFNA(INDEX(MTT_codes,MATCH(loaded!BE572,MTT,0)),"")</f>
        <v/>
      </c>
      <c r="AA572" t="str">
        <f>_xlfn.IFNA(INDEX(MTT_codes,MATCH(loaded!BG572,MTT,0)),"")</f>
        <v/>
      </c>
      <c r="AB572" t="str">
        <f>_xlfn.IFNA(INDEX(MTT_codes,MATCH(loaded!BI572,MTT,0)),"")</f>
        <v/>
      </c>
      <c r="AC572" t="str">
        <f>_xlfn.IFNA(INDEX(MTT_codes,MATCH(loaded!BK572,MTT,0)),"")</f>
        <v/>
      </c>
      <c r="AD572" t="str">
        <f>_xlfn.IFNA(INDEX(MTT_codes,MATCH(loaded!BM572,MTT,0)),"")</f>
        <v/>
      </c>
      <c r="AE572" t="e">
        <f>INDEX(liv_ar_codes,MATCH(loaded!BO572,liv_ar,0))</f>
        <v>#N/A</v>
      </c>
      <c r="AF572" t="str">
        <f>_xlfn.IFNA(INDEX(MTT_codes,MATCH(loaded!BQ572,MTT,0)),"")</f>
        <v/>
      </c>
      <c r="AG572">
        <f>_xlfn.IFNA(INDEX(mental_codes,MATCH(loaded!BS572,mental,0)),9)</f>
        <v>9</v>
      </c>
    </row>
    <row r="573" spans="1:33" x14ac:dyDescent="0.25">
      <c r="A573">
        <f>loaded!C573</f>
        <v>0</v>
      </c>
      <c r="B573">
        <f>loaded!I573</f>
        <v>0</v>
      </c>
      <c r="C573">
        <f>IF(loaded!K573="Male",1,IF(loaded!K573="Female",2,9))</f>
        <v>9</v>
      </c>
      <c r="D573" s="8">
        <f>loaded!M573</f>
        <v>0</v>
      </c>
      <c r="E573" t="str">
        <f>LEFT(loaded!O573,3)</f>
        <v/>
      </c>
      <c r="F573" t="e">
        <f>INDEX(cntry_codes,MATCH(loaded!Q573,countries,0))</f>
        <v>#N/A</v>
      </c>
      <c r="G573" t="e">
        <f>INDEX(atsi_codes,MATCH(loaded!S573,atsi,0))</f>
        <v>#N/A</v>
      </c>
      <c r="H573" t="e">
        <f>INDEX(lang_codes,MATCH(loaded!U573,lang,0))</f>
        <v>#N/A</v>
      </c>
      <c r="I573" s="8">
        <f>loaded!W573</f>
        <v>0</v>
      </c>
      <c r="J573" t="e">
        <f>INDEX(us_acc_codes,MATCH(loaded!Y573,us_acc,0))</f>
        <v>#N/A</v>
      </c>
      <c r="K573" t="e">
        <f>INDEX(client_codes,MATCH(loaded!AA573,client,0))</f>
        <v>#N/A</v>
      </c>
      <c r="L573" t="e">
        <f>INDEX(src_ref_codes,MATCH(loaded!AC573,src_ref,0))</f>
        <v>#N/A</v>
      </c>
      <c r="M573" s="8">
        <f>loaded!AE573</f>
        <v>0</v>
      </c>
      <c r="N573" s="8">
        <f>loaded!AG573</f>
        <v>0</v>
      </c>
      <c r="O573" t="e">
        <f>INDEX(reces_codes,MATCH(loaded!AI573,reason,0))</f>
        <v>#N/A</v>
      </c>
      <c r="P573" t="e">
        <f>INDEX(TDS_codes,MATCH(loaded!AK573,TDS,0))</f>
        <v>#N/A</v>
      </c>
      <c r="Q573" t="e">
        <f>IF(K573=2,"",INDEX(method_codes,MATCH(loaded!AM573,method,0)))</f>
        <v>#N/A</v>
      </c>
      <c r="R573" t="e">
        <f>IF(K573=2,"",INDEX(inj_codes,MATCH(loaded!AO573,inj,0)))</f>
        <v>#N/A</v>
      </c>
      <c r="S573" t="e">
        <f>IF(K573=2,"",INDEX(drug_codes,MATCH(loaded!AQ573,drug,0)))</f>
        <v>#N/A</v>
      </c>
      <c r="T573" t="e">
        <f>IF(K573=2,"",_xlfn.IFNA(INDEX(drug_codes,MATCH(loaded!AS573,drug,0)),""))</f>
        <v>#N/A</v>
      </c>
      <c r="U573" t="e">
        <f>IF(K573=2,"",_xlfn.IFNA(INDEX(drug_codes,MATCH(loaded!AU573,drug,0)),""))</f>
        <v>#N/A</v>
      </c>
      <c r="V573" t="e">
        <f>IF(K573=2,"",_xlfn.IFNA(INDEX(drug_codes,MATCH(loaded!AW573,drug,0)),""))</f>
        <v>#N/A</v>
      </c>
      <c r="W573" t="e">
        <f>IF(K573=2,"",_xlfn.IFNA(INDEX(drug_codes,MATCH(loaded!AY573,drug,0)),""))</f>
        <v>#N/A</v>
      </c>
      <c r="X573" t="e">
        <f>IF(K573=2,"",_xlfn.IFNA(INDEX(drug_codes,MATCH(loaded!BA573,drug,0)),""))</f>
        <v>#N/A</v>
      </c>
      <c r="Y573" t="e">
        <f>INDEX(MTT_codes,MATCH(loaded!BC573,MTT,0))</f>
        <v>#N/A</v>
      </c>
      <c r="Z573" t="str">
        <f>_xlfn.IFNA(INDEX(MTT_codes,MATCH(loaded!BE573,MTT,0)),"")</f>
        <v/>
      </c>
      <c r="AA573" t="str">
        <f>_xlfn.IFNA(INDEX(MTT_codes,MATCH(loaded!BG573,MTT,0)),"")</f>
        <v/>
      </c>
      <c r="AB573" t="str">
        <f>_xlfn.IFNA(INDEX(MTT_codes,MATCH(loaded!BI573,MTT,0)),"")</f>
        <v/>
      </c>
      <c r="AC573" t="str">
        <f>_xlfn.IFNA(INDEX(MTT_codes,MATCH(loaded!BK573,MTT,0)),"")</f>
        <v/>
      </c>
      <c r="AD573" t="str">
        <f>_xlfn.IFNA(INDEX(MTT_codes,MATCH(loaded!BM573,MTT,0)),"")</f>
        <v/>
      </c>
      <c r="AE573" t="e">
        <f>INDEX(liv_ar_codes,MATCH(loaded!BO573,liv_ar,0))</f>
        <v>#N/A</v>
      </c>
      <c r="AF573" t="str">
        <f>_xlfn.IFNA(INDEX(MTT_codes,MATCH(loaded!BQ573,MTT,0)),"")</f>
        <v/>
      </c>
      <c r="AG573">
        <f>_xlfn.IFNA(INDEX(mental_codes,MATCH(loaded!BS573,mental,0)),9)</f>
        <v>9</v>
      </c>
    </row>
    <row r="574" spans="1:33" x14ac:dyDescent="0.25">
      <c r="A574">
        <f>loaded!C574</f>
        <v>0</v>
      </c>
      <c r="B574">
        <f>loaded!I574</f>
        <v>0</v>
      </c>
      <c r="C574">
        <f>IF(loaded!K574="Male",1,IF(loaded!K574="Female",2,9))</f>
        <v>9</v>
      </c>
      <c r="D574" s="8">
        <f>loaded!M574</f>
        <v>0</v>
      </c>
      <c r="E574" t="str">
        <f>LEFT(loaded!O574,3)</f>
        <v/>
      </c>
      <c r="F574" t="e">
        <f>INDEX(cntry_codes,MATCH(loaded!Q574,countries,0))</f>
        <v>#N/A</v>
      </c>
      <c r="G574" t="e">
        <f>INDEX(atsi_codes,MATCH(loaded!S574,atsi,0))</f>
        <v>#N/A</v>
      </c>
      <c r="H574" t="e">
        <f>INDEX(lang_codes,MATCH(loaded!U574,lang,0))</f>
        <v>#N/A</v>
      </c>
      <c r="I574" s="8">
        <f>loaded!W574</f>
        <v>0</v>
      </c>
      <c r="J574" t="e">
        <f>INDEX(us_acc_codes,MATCH(loaded!Y574,us_acc,0))</f>
        <v>#N/A</v>
      </c>
      <c r="K574" t="e">
        <f>INDEX(client_codes,MATCH(loaded!AA574,client,0))</f>
        <v>#N/A</v>
      </c>
      <c r="L574" t="e">
        <f>INDEX(src_ref_codes,MATCH(loaded!AC574,src_ref,0))</f>
        <v>#N/A</v>
      </c>
      <c r="M574" s="8">
        <f>loaded!AE574</f>
        <v>0</v>
      </c>
      <c r="N574" s="8">
        <f>loaded!AG574</f>
        <v>0</v>
      </c>
      <c r="O574" t="e">
        <f>INDEX(reces_codes,MATCH(loaded!AI574,reason,0))</f>
        <v>#N/A</v>
      </c>
      <c r="P574" t="e">
        <f>INDEX(TDS_codes,MATCH(loaded!AK574,TDS,0))</f>
        <v>#N/A</v>
      </c>
      <c r="Q574" t="e">
        <f>IF(K574=2,"",INDEX(method_codes,MATCH(loaded!AM574,method,0)))</f>
        <v>#N/A</v>
      </c>
      <c r="R574" t="e">
        <f>IF(K574=2,"",INDEX(inj_codes,MATCH(loaded!AO574,inj,0)))</f>
        <v>#N/A</v>
      </c>
      <c r="S574" t="e">
        <f>IF(K574=2,"",INDEX(drug_codes,MATCH(loaded!AQ574,drug,0)))</f>
        <v>#N/A</v>
      </c>
      <c r="T574" t="e">
        <f>IF(K574=2,"",_xlfn.IFNA(INDEX(drug_codes,MATCH(loaded!AS574,drug,0)),""))</f>
        <v>#N/A</v>
      </c>
      <c r="U574" t="e">
        <f>IF(K574=2,"",_xlfn.IFNA(INDEX(drug_codes,MATCH(loaded!AU574,drug,0)),""))</f>
        <v>#N/A</v>
      </c>
      <c r="V574" t="e">
        <f>IF(K574=2,"",_xlfn.IFNA(INDEX(drug_codes,MATCH(loaded!AW574,drug,0)),""))</f>
        <v>#N/A</v>
      </c>
      <c r="W574" t="e">
        <f>IF(K574=2,"",_xlfn.IFNA(INDEX(drug_codes,MATCH(loaded!AY574,drug,0)),""))</f>
        <v>#N/A</v>
      </c>
      <c r="X574" t="e">
        <f>IF(K574=2,"",_xlfn.IFNA(INDEX(drug_codes,MATCH(loaded!BA574,drug,0)),""))</f>
        <v>#N/A</v>
      </c>
      <c r="Y574" t="e">
        <f>INDEX(MTT_codes,MATCH(loaded!BC574,MTT,0))</f>
        <v>#N/A</v>
      </c>
      <c r="Z574" t="str">
        <f>_xlfn.IFNA(INDEX(MTT_codes,MATCH(loaded!BE574,MTT,0)),"")</f>
        <v/>
      </c>
      <c r="AA574" t="str">
        <f>_xlfn.IFNA(INDEX(MTT_codes,MATCH(loaded!BG574,MTT,0)),"")</f>
        <v/>
      </c>
      <c r="AB574" t="str">
        <f>_xlfn.IFNA(INDEX(MTT_codes,MATCH(loaded!BI574,MTT,0)),"")</f>
        <v/>
      </c>
      <c r="AC574" t="str">
        <f>_xlfn.IFNA(INDEX(MTT_codes,MATCH(loaded!BK574,MTT,0)),"")</f>
        <v/>
      </c>
      <c r="AD574" t="str">
        <f>_xlfn.IFNA(INDEX(MTT_codes,MATCH(loaded!BM574,MTT,0)),"")</f>
        <v/>
      </c>
      <c r="AE574" t="e">
        <f>INDEX(liv_ar_codes,MATCH(loaded!BO574,liv_ar,0))</f>
        <v>#N/A</v>
      </c>
      <c r="AF574" t="str">
        <f>_xlfn.IFNA(INDEX(MTT_codes,MATCH(loaded!BQ574,MTT,0)),"")</f>
        <v/>
      </c>
      <c r="AG574">
        <f>_xlfn.IFNA(INDEX(mental_codes,MATCH(loaded!BS574,mental,0)),9)</f>
        <v>9</v>
      </c>
    </row>
    <row r="575" spans="1:33" x14ac:dyDescent="0.25">
      <c r="A575">
        <f>loaded!C575</f>
        <v>0</v>
      </c>
      <c r="B575">
        <f>loaded!I575</f>
        <v>0</v>
      </c>
      <c r="C575">
        <f>IF(loaded!K575="Male",1,IF(loaded!K575="Female",2,9))</f>
        <v>9</v>
      </c>
      <c r="D575" s="8">
        <f>loaded!M575</f>
        <v>0</v>
      </c>
      <c r="E575" t="str">
        <f>LEFT(loaded!O575,3)</f>
        <v/>
      </c>
      <c r="F575" t="e">
        <f>INDEX(cntry_codes,MATCH(loaded!Q575,countries,0))</f>
        <v>#N/A</v>
      </c>
      <c r="G575" t="e">
        <f>INDEX(atsi_codes,MATCH(loaded!S575,atsi,0))</f>
        <v>#N/A</v>
      </c>
      <c r="H575" t="e">
        <f>INDEX(lang_codes,MATCH(loaded!U575,lang,0))</f>
        <v>#N/A</v>
      </c>
      <c r="I575" s="8">
        <f>loaded!W575</f>
        <v>0</v>
      </c>
      <c r="J575" t="e">
        <f>INDEX(us_acc_codes,MATCH(loaded!Y575,us_acc,0))</f>
        <v>#N/A</v>
      </c>
      <c r="K575" t="e">
        <f>INDEX(client_codes,MATCH(loaded!AA575,client,0))</f>
        <v>#N/A</v>
      </c>
      <c r="L575" t="e">
        <f>INDEX(src_ref_codes,MATCH(loaded!AC575,src_ref,0))</f>
        <v>#N/A</v>
      </c>
      <c r="M575" s="8">
        <f>loaded!AE575</f>
        <v>0</v>
      </c>
      <c r="N575" s="8">
        <f>loaded!AG575</f>
        <v>0</v>
      </c>
      <c r="O575" t="e">
        <f>INDEX(reces_codes,MATCH(loaded!AI575,reason,0))</f>
        <v>#N/A</v>
      </c>
      <c r="P575" t="e">
        <f>INDEX(TDS_codes,MATCH(loaded!AK575,TDS,0))</f>
        <v>#N/A</v>
      </c>
      <c r="Q575" t="e">
        <f>IF(K575=2,"",INDEX(method_codes,MATCH(loaded!AM575,method,0)))</f>
        <v>#N/A</v>
      </c>
      <c r="R575" t="e">
        <f>IF(K575=2,"",INDEX(inj_codes,MATCH(loaded!AO575,inj,0)))</f>
        <v>#N/A</v>
      </c>
      <c r="S575" t="e">
        <f>IF(K575=2,"",INDEX(drug_codes,MATCH(loaded!AQ575,drug,0)))</f>
        <v>#N/A</v>
      </c>
      <c r="T575" t="e">
        <f>IF(K575=2,"",_xlfn.IFNA(INDEX(drug_codes,MATCH(loaded!AS575,drug,0)),""))</f>
        <v>#N/A</v>
      </c>
      <c r="U575" t="e">
        <f>IF(K575=2,"",_xlfn.IFNA(INDEX(drug_codes,MATCH(loaded!AU575,drug,0)),""))</f>
        <v>#N/A</v>
      </c>
      <c r="V575" t="e">
        <f>IF(K575=2,"",_xlfn.IFNA(INDEX(drug_codes,MATCH(loaded!AW575,drug,0)),""))</f>
        <v>#N/A</v>
      </c>
      <c r="W575" t="e">
        <f>IF(K575=2,"",_xlfn.IFNA(INDEX(drug_codes,MATCH(loaded!AY575,drug,0)),""))</f>
        <v>#N/A</v>
      </c>
      <c r="X575" t="e">
        <f>IF(K575=2,"",_xlfn.IFNA(INDEX(drug_codes,MATCH(loaded!BA575,drug,0)),""))</f>
        <v>#N/A</v>
      </c>
      <c r="Y575" t="e">
        <f>INDEX(MTT_codes,MATCH(loaded!BC575,MTT,0))</f>
        <v>#N/A</v>
      </c>
      <c r="Z575" t="str">
        <f>_xlfn.IFNA(INDEX(MTT_codes,MATCH(loaded!BE575,MTT,0)),"")</f>
        <v/>
      </c>
      <c r="AA575" t="str">
        <f>_xlfn.IFNA(INDEX(MTT_codes,MATCH(loaded!BG575,MTT,0)),"")</f>
        <v/>
      </c>
      <c r="AB575" t="str">
        <f>_xlfn.IFNA(INDEX(MTT_codes,MATCH(loaded!BI575,MTT,0)),"")</f>
        <v/>
      </c>
      <c r="AC575" t="str">
        <f>_xlfn.IFNA(INDEX(MTT_codes,MATCH(loaded!BK575,MTT,0)),"")</f>
        <v/>
      </c>
      <c r="AD575" t="str">
        <f>_xlfn.IFNA(INDEX(MTT_codes,MATCH(loaded!BM575,MTT,0)),"")</f>
        <v/>
      </c>
      <c r="AE575" t="e">
        <f>INDEX(liv_ar_codes,MATCH(loaded!BO575,liv_ar,0))</f>
        <v>#N/A</v>
      </c>
      <c r="AF575" t="str">
        <f>_xlfn.IFNA(INDEX(MTT_codes,MATCH(loaded!BQ575,MTT,0)),"")</f>
        <v/>
      </c>
      <c r="AG575">
        <f>_xlfn.IFNA(INDEX(mental_codes,MATCH(loaded!BS575,mental,0)),9)</f>
        <v>9</v>
      </c>
    </row>
    <row r="576" spans="1:33" x14ac:dyDescent="0.25">
      <c r="A576">
        <f>loaded!C576</f>
        <v>0</v>
      </c>
      <c r="B576">
        <f>loaded!I576</f>
        <v>0</v>
      </c>
      <c r="C576">
        <f>IF(loaded!K576="Male",1,IF(loaded!K576="Female",2,9))</f>
        <v>9</v>
      </c>
      <c r="D576" s="8">
        <f>loaded!M576</f>
        <v>0</v>
      </c>
      <c r="E576" t="str">
        <f>LEFT(loaded!O576,3)</f>
        <v/>
      </c>
      <c r="F576" t="e">
        <f>INDEX(cntry_codes,MATCH(loaded!Q576,countries,0))</f>
        <v>#N/A</v>
      </c>
      <c r="G576" t="e">
        <f>INDEX(atsi_codes,MATCH(loaded!S576,atsi,0))</f>
        <v>#N/A</v>
      </c>
      <c r="H576" t="e">
        <f>INDEX(lang_codes,MATCH(loaded!U576,lang,0))</f>
        <v>#N/A</v>
      </c>
      <c r="I576" s="8">
        <f>loaded!W576</f>
        <v>0</v>
      </c>
      <c r="J576" t="e">
        <f>INDEX(us_acc_codes,MATCH(loaded!Y576,us_acc,0))</f>
        <v>#N/A</v>
      </c>
      <c r="K576" t="e">
        <f>INDEX(client_codes,MATCH(loaded!AA576,client,0))</f>
        <v>#N/A</v>
      </c>
      <c r="L576" t="e">
        <f>INDEX(src_ref_codes,MATCH(loaded!AC576,src_ref,0))</f>
        <v>#N/A</v>
      </c>
      <c r="M576" s="8">
        <f>loaded!AE576</f>
        <v>0</v>
      </c>
      <c r="N576" s="8">
        <f>loaded!AG576</f>
        <v>0</v>
      </c>
      <c r="O576" t="e">
        <f>INDEX(reces_codes,MATCH(loaded!AI576,reason,0))</f>
        <v>#N/A</v>
      </c>
      <c r="P576" t="e">
        <f>INDEX(TDS_codes,MATCH(loaded!AK576,TDS,0))</f>
        <v>#N/A</v>
      </c>
      <c r="Q576" t="e">
        <f>IF(K576=2,"",INDEX(method_codes,MATCH(loaded!AM576,method,0)))</f>
        <v>#N/A</v>
      </c>
      <c r="R576" t="e">
        <f>IF(K576=2,"",INDEX(inj_codes,MATCH(loaded!AO576,inj,0)))</f>
        <v>#N/A</v>
      </c>
      <c r="S576" t="e">
        <f>IF(K576=2,"",INDEX(drug_codes,MATCH(loaded!AQ576,drug,0)))</f>
        <v>#N/A</v>
      </c>
      <c r="T576" t="e">
        <f>IF(K576=2,"",_xlfn.IFNA(INDEX(drug_codes,MATCH(loaded!AS576,drug,0)),""))</f>
        <v>#N/A</v>
      </c>
      <c r="U576" t="e">
        <f>IF(K576=2,"",_xlfn.IFNA(INDEX(drug_codes,MATCH(loaded!AU576,drug,0)),""))</f>
        <v>#N/A</v>
      </c>
      <c r="V576" t="e">
        <f>IF(K576=2,"",_xlfn.IFNA(INDEX(drug_codes,MATCH(loaded!AW576,drug,0)),""))</f>
        <v>#N/A</v>
      </c>
      <c r="W576" t="e">
        <f>IF(K576=2,"",_xlfn.IFNA(INDEX(drug_codes,MATCH(loaded!AY576,drug,0)),""))</f>
        <v>#N/A</v>
      </c>
      <c r="X576" t="e">
        <f>IF(K576=2,"",_xlfn.IFNA(INDEX(drug_codes,MATCH(loaded!BA576,drug,0)),""))</f>
        <v>#N/A</v>
      </c>
      <c r="Y576" t="e">
        <f>INDEX(MTT_codes,MATCH(loaded!BC576,MTT,0))</f>
        <v>#N/A</v>
      </c>
      <c r="Z576" t="str">
        <f>_xlfn.IFNA(INDEX(MTT_codes,MATCH(loaded!BE576,MTT,0)),"")</f>
        <v/>
      </c>
      <c r="AA576" t="str">
        <f>_xlfn.IFNA(INDEX(MTT_codes,MATCH(loaded!BG576,MTT,0)),"")</f>
        <v/>
      </c>
      <c r="AB576" t="str">
        <f>_xlfn.IFNA(INDEX(MTT_codes,MATCH(loaded!BI576,MTT,0)),"")</f>
        <v/>
      </c>
      <c r="AC576" t="str">
        <f>_xlfn.IFNA(INDEX(MTT_codes,MATCH(loaded!BK576,MTT,0)),"")</f>
        <v/>
      </c>
      <c r="AD576" t="str">
        <f>_xlfn.IFNA(INDEX(MTT_codes,MATCH(loaded!BM576,MTT,0)),"")</f>
        <v/>
      </c>
      <c r="AE576" t="e">
        <f>INDEX(liv_ar_codes,MATCH(loaded!BO576,liv_ar,0))</f>
        <v>#N/A</v>
      </c>
      <c r="AF576" t="str">
        <f>_xlfn.IFNA(INDEX(MTT_codes,MATCH(loaded!BQ576,MTT,0)),"")</f>
        <v/>
      </c>
      <c r="AG576">
        <f>_xlfn.IFNA(INDEX(mental_codes,MATCH(loaded!BS576,mental,0)),9)</f>
        <v>9</v>
      </c>
    </row>
    <row r="577" spans="1:33" x14ac:dyDescent="0.25">
      <c r="A577">
        <f>loaded!C577</f>
        <v>0</v>
      </c>
      <c r="B577">
        <f>loaded!I577</f>
        <v>0</v>
      </c>
      <c r="C577">
        <f>IF(loaded!K577="Male",1,IF(loaded!K577="Female",2,9))</f>
        <v>9</v>
      </c>
      <c r="D577" s="8">
        <f>loaded!M577</f>
        <v>0</v>
      </c>
      <c r="E577" t="str">
        <f>LEFT(loaded!O577,3)</f>
        <v/>
      </c>
      <c r="F577" t="e">
        <f>INDEX(cntry_codes,MATCH(loaded!Q577,countries,0))</f>
        <v>#N/A</v>
      </c>
      <c r="G577" t="e">
        <f>INDEX(atsi_codes,MATCH(loaded!S577,atsi,0))</f>
        <v>#N/A</v>
      </c>
      <c r="H577" t="e">
        <f>INDEX(lang_codes,MATCH(loaded!U577,lang,0))</f>
        <v>#N/A</v>
      </c>
      <c r="I577" s="8">
        <f>loaded!W577</f>
        <v>0</v>
      </c>
      <c r="J577" t="e">
        <f>INDEX(us_acc_codes,MATCH(loaded!Y577,us_acc,0))</f>
        <v>#N/A</v>
      </c>
      <c r="K577" t="e">
        <f>INDEX(client_codes,MATCH(loaded!AA577,client,0))</f>
        <v>#N/A</v>
      </c>
      <c r="L577" t="e">
        <f>INDEX(src_ref_codes,MATCH(loaded!AC577,src_ref,0))</f>
        <v>#N/A</v>
      </c>
      <c r="M577" s="8">
        <f>loaded!AE577</f>
        <v>0</v>
      </c>
      <c r="N577" s="8">
        <f>loaded!AG577</f>
        <v>0</v>
      </c>
      <c r="O577" t="e">
        <f>INDEX(reces_codes,MATCH(loaded!AI577,reason,0))</f>
        <v>#N/A</v>
      </c>
      <c r="P577" t="e">
        <f>INDEX(TDS_codes,MATCH(loaded!AK577,TDS,0))</f>
        <v>#N/A</v>
      </c>
      <c r="Q577" t="e">
        <f>IF(K577=2,"",INDEX(method_codes,MATCH(loaded!AM577,method,0)))</f>
        <v>#N/A</v>
      </c>
      <c r="R577" t="e">
        <f>IF(K577=2,"",INDEX(inj_codes,MATCH(loaded!AO577,inj,0)))</f>
        <v>#N/A</v>
      </c>
      <c r="S577" t="e">
        <f>IF(K577=2,"",INDEX(drug_codes,MATCH(loaded!AQ577,drug,0)))</f>
        <v>#N/A</v>
      </c>
      <c r="T577" t="e">
        <f>IF(K577=2,"",_xlfn.IFNA(INDEX(drug_codes,MATCH(loaded!AS577,drug,0)),""))</f>
        <v>#N/A</v>
      </c>
      <c r="U577" t="e">
        <f>IF(K577=2,"",_xlfn.IFNA(INDEX(drug_codes,MATCH(loaded!AU577,drug,0)),""))</f>
        <v>#N/A</v>
      </c>
      <c r="V577" t="e">
        <f>IF(K577=2,"",_xlfn.IFNA(INDEX(drug_codes,MATCH(loaded!AW577,drug,0)),""))</f>
        <v>#N/A</v>
      </c>
      <c r="W577" t="e">
        <f>IF(K577=2,"",_xlfn.IFNA(INDEX(drug_codes,MATCH(loaded!AY577,drug,0)),""))</f>
        <v>#N/A</v>
      </c>
      <c r="X577" t="e">
        <f>IF(K577=2,"",_xlfn.IFNA(INDEX(drug_codes,MATCH(loaded!BA577,drug,0)),""))</f>
        <v>#N/A</v>
      </c>
      <c r="Y577" t="e">
        <f>INDEX(MTT_codes,MATCH(loaded!BC577,MTT,0))</f>
        <v>#N/A</v>
      </c>
      <c r="Z577" t="str">
        <f>_xlfn.IFNA(INDEX(MTT_codes,MATCH(loaded!BE577,MTT,0)),"")</f>
        <v/>
      </c>
      <c r="AA577" t="str">
        <f>_xlfn.IFNA(INDEX(MTT_codes,MATCH(loaded!BG577,MTT,0)),"")</f>
        <v/>
      </c>
      <c r="AB577" t="str">
        <f>_xlfn.IFNA(INDEX(MTT_codes,MATCH(loaded!BI577,MTT,0)),"")</f>
        <v/>
      </c>
      <c r="AC577" t="str">
        <f>_xlfn.IFNA(INDEX(MTT_codes,MATCH(loaded!BK577,MTT,0)),"")</f>
        <v/>
      </c>
      <c r="AD577" t="str">
        <f>_xlfn.IFNA(INDEX(MTT_codes,MATCH(loaded!BM577,MTT,0)),"")</f>
        <v/>
      </c>
      <c r="AE577" t="e">
        <f>INDEX(liv_ar_codes,MATCH(loaded!BO577,liv_ar,0))</f>
        <v>#N/A</v>
      </c>
      <c r="AF577" t="str">
        <f>_xlfn.IFNA(INDEX(MTT_codes,MATCH(loaded!BQ577,MTT,0)),"")</f>
        <v/>
      </c>
      <c r="AG577">
        <f>_xlfn.IFNA(INDEX(mental_codes,MATCH(loaded!BS577,mental,0)),9)</f>
        <v>9</v>
      </c>
    </row>
    <row r="578" spans="1:33" x14ac:dyDescent="0.25">
      <c r="A578">
        <f>loaded!C578</f>
        <v>0</v>
      </c>
      <c r="B578">
        <f>loaded!I578</f>
        <v>0</v>
      </c>
      <c r="C578">
        <f>IF(loaded!K578="Male",1,IF(loaded!K578="Female",2,9))</f>
        <v>9</v>
      </c>
      <c r="D578" s="8">
        <f>loaded!M578</f>
        <v>0</v>
      </c>
      <c r="E578" t="str">
        <f>LEFT(loaded!O578,3)</f>
        <v/>
      </c>
      <c r="F578" t="e">
        <f>INDEX(cntry_codes,MATCH(loaded!Q578,countries,0))</f>
        <v>#N/A</v>
      </c>
      <c r="G578" t="e">
        <f>INDEX(atsi_codes,MATCH(loaded!S578,atsi,0))</f>
        <v>#N/A</v>
      </c>
      <c r="H578" t="e">
        <f>INDEX(lang_codes,MATCH(loaded!U578,lang,0))</f>
        <v>#N/A</v>
      </c>
      <c r="I578" s="8">
        <f>loaded!W578</f>
        <v>0</v>
      </c>
      <c r="J578" t="e">
        <f>INDEX(us_acc_codes,MATCH(loaded!Y578,us_acc,0))</f>
        <v>#N/A</v>
      </c>
      <c r="K578" t="e">
        <f>INDEX(client_codes,MATCH(loaded!AA578,client,0))</f>
        <v>#N/A</v>
      </c>
      <c r="L578" t="e">
        <f>INDEX(src_ref_codes,MATCH(loaded!AC578,src_ref,0))</f>
        <v>#N/A</v>
      </c>
      <c r="M578" s="8">
        <f>loaded!AE578</f>
        <v>0</v>
      </c>
      <c r="N578" s="8">
        <f>loaded!AG578</f>
        <v>0</v>
      </c>
      <c r="O578" t="e">
        <f>INDEX(reces_codes,MATCH(loaded!AI578,reason,0))</f>
        <v>#N/A</v>
      </c>
      <c r="P578" t="e">
        <f>INDEX(TDS_codes,MATCH(loaded!AK578,TDS,0))</f>
        <v>#N/A</v>
      </c>
      <c r="Q578" t="e">
        <f>IF(K578=2,"",INDEX(method_codes,MATCH(loaded!AM578,method,0)))</f>
        <v>#N/A</v>
      </c>
      <c r="R578" t="e">
        <f>IF(K578=2,"",INDEX(inj_codes,MATCH(loaded!AO578,inj,0)))</f>
        <v>#N/A</v>
      </c>
      <c r="S578" t="e">
        <f>IF(K578=2,"",INDEX(drug_codes,MATCH(loaded!AQ578,drug,0)))</f>
        <v>#N/A</v>
      </c>
      <c r="T578" t="e">
        <f>IF(K578=2,"",_xlfn.IFNA(INDEX(drug_codes,MATCH(loaded!AS578,drug,0)),""))</f>
        <v>#N/A</v>
      </c>
      <c r="U578" t="e">
        <f>IF(K578=2,"",_xlfn.IFNA(INDEX(drug_codes,MATCH(loaded!AU578,drug,0)),""))</f>
        <v>#N/A</v>
      </c>
      <c r="V578" t="e">
        <f>IF(K578=2,"",_xlfn.IFNA(INDEX(drug_codes,MATCH(loaded!AW578,drug,0)),""))</f>
        <v>#N/A</v>
      </c>
      <c r="W578" t="e">
        <f>IF(K578=2,"",_xlfn.IFNA(INDEX(drug_codes,MATCH(loaded!AY578,drug,0)),""))</f>
        <v>#N/A</v>
      </c>
      <c r="X578" t="e">
        <f>IF(K578=2,"",_xlfn.IFNA(INDEX(drug_codes,MATCH(loaded!BA578,drug,0)),""))</f>
        <v>#N/A</v>
      </c>
      <c r="Y578" t="e">
        <f>INDEX(MTT_codes,MATCH(loaded!BC578,MTT,0))</f>
        <v>#N/A</v>
      </c>
      <c r="Z578" t="str">
        <f>_xlfn.IFNA(INDEX(MTT_codes,MATCH(loaded!BE578,MTT,0)),"")</f>
        <v/>
      </c>
      <c r="AA578" t="str">
        <f>_xlfn.IFNA(INDEX(MTT_codes,MATCH(loaded!BG578,MTT,0)),"")</f>
        <v/>
      </c>
      <c r="AB578" t="str">
        <f>_xlfn.IFNA(INDEX(MTT_codes,MATCH(loaded!BI578,MTT,0)),"")</f>
        <v/>
      </c>
      <c r="AC578" t="str">
        <f>_xlfn.IFNA(INDEX(MTT_codes,MATCH(loaded!BK578,MTT,0)),"")</f>
        <v/>
      </c>
      <c r="AD578" t="str">
        <f>_xlfn.IFNA(INDEX(MTT_codes,MATCH(loaded!BM578,MTT,0)),"")</f>
        <v/>
      </c>
      <c r="AE578" t="e">
        <f>INDEX(liv_ar_codes,MATCH(loaded!BO578,liv_ar,0))</f>
        <v>#N/A</v>
      </c>
      <c r="AF578" t="str">
        <f>_xlfn.IFNA(INDEX(MTT_codes,MATCH(loaded!BQ578,MTT,0)),"")</f>
        <v/>
      </c>
      <c r="AG578">
        <f>_xlfn.IFNA(INDEX(mental_codes,MATCH(loaded!BS578,mental,0)),9)</f>
        <v>9</v>
      </c>
    </row>
    <row r="579" spans="1:33" x14ac:dyDescent="0.25">
      <c r="A579">
        <f>loaded!C579</f>
        <v>0</v>
      </c>
      <c r="B579">
        <f>loaded!I579</f>
        <v>0</v>
      </c>
      <c r="C579">
        <f>IF(loaded!K579="Male",1,IF(loaded!K579="Female",2,9))</f>
        <v>9</v>
      </c>
      <c r="D579" s="8">
        <f>loaded!M579</f>
        <v>0</v>
      </c>
      <c r="E579" t="str">
        <f>LEFT(loaded!O579,3)</f>
        <v/>
      </c>
      <c r="F579" t="e">
        <f>INDEX(cntry_codes,MATCH(loaded!Q579,countries,0))</f>
        <v>#N/A</v>
      </c>
      <c r="G579" t="e">
        <f>INDEX(atsi_codes,MATCH(loaded!S579,atsi,0))</f>
        <v>#N/A</v>
      </c>
      <c r="H579" t="e">
        <f>INDEX(lang_codes,MATCH(loaded!U579,lang,0))</f>
        <v>#N/A</v>
      </c>
      <c r="I579" s="8">
        <f>loaded!W579</f>
        <v>0</v>
      </c>
      <c r="J579" t="e">
        <f>INDEX(us_acc_codes,MATCH(loaded!Y579,us_acc,0))</f>
        <v>#N/A</v>
      </c>
      <c r="K579" t="e">
        <f>INDEX(client_codes,MATCH(loaded!AA579,client,0))</f>
        <v>#N/A</v>
      </c>
      <c r="L579" t="e">
        <f>INDEX(src_ref_codes,MATCH(loaded!AC579,src_ref,0))</f>
        <v>#N/A</v>
      </c>
      <c r="M579" s="8">
        <f>loaded!AE579</f>
        <v>0</v>
      </c>
      <c r="N579" s="8">
        <f>loaded!AG579</f>
        <v>0</v>
      </c>
      <c r="O579" t="e">
        <f>INDEX(reces_codes,MATCH(loaded!AI579,reason,0))</f>
        <v>#N/A</v>
      </c>
      <c r="P579" t="e">
        <f>INDEX(TDS_codes,MATCH(loaded!AK579,TDS,0))</f>
        <v>#N/A</v>
      </c>
      <c r="Q579" t="e">
        <f>IF(K579=2,"",INDEX(method_codes,MATCH(loaded!AM579,method,0)))</f>
        <v>#N/A</v>
      </c>
      <c r="R579" t="e">
        <f>IF(K579=2,"",INDEX(inj_codes,MATCH(loaded!AO579,inj,0)))</f>
        <v>#N/A</v>
      </c>
      <c r="S579" t="e">
        <f>IF(K579=2,"",INDEX(drug_codes,MATCH(loaded!AQ579,drug,0)))</f>
        <v>#N/A</v>
      </c>
      <c r="T579" t="e">
        <f>IF(K579=2,"",_xlfn.IFNA(INDEX(drug_codes,MATCH(loaded!AS579,drug,0)),""))</f>
        <v>#N/A</v>
      </c>
      <c r="U579" t="e">
        <f>IF(K579=2,"",_xlfn.IFNA(INDEX(drug_codes,MATCH(loaded!AU579,drug,0)),""))</f>
        <v>#N/A</v>
      </c>
      <c r="V579" t="e">
        <f>IF(K579=2,"",_xlfn.IFNA(INDEX(drug_codes,MATCH(loaded!AW579,drug,0)),""))</f>
        <v>#N/A</v>
      </c>
      <c r="W579" t="e">
        <f>IF(K579=2,"",_xlfn.IFNA(INDEX(drug_codes,MATCH(loaded!AY579,drug,0)),""))</f>
        <v>#N/A</v>
      </c>
      <c r="X579" t="e">
        <f>IF(K579=2,"",_xlfn.IFNA(INDEX(drug_codes,MATCH(loaded!BA579,drug,0)),""))</f>
        <v>#N/A</v>
      </c>
      <c r="Y579" t="e">
        <f>INDEX(MTT_codes,MATCH(loaded!BC579,MTT,0))</f>
        <v>#N/A</v>
      </c>
      <c r="Z579" t="str">
        <f>_xlfn.IFNA(INDEX(MTT_codes,MATCH(loaded!BE579,MTT,0)),"")</f>
        <v/>
      </c>
      <c r="AA579" t="str">
        <f>_xlfn.IFNA(INDEX(MTT_codes,MATCH(loaded!BG579,MTT,0)),"")</f>
        <v/>
      </c>
      <c r="AB579" t="str">
        <f>_xlfn.IFNA(INDEX(MTT_codes,MATCH(loaded!BI579,MTT,0)),"")</f>
        <v/>
      </c>
      <c r="AC579" t="str">
        <f>_xlfn.IFNA(INDEX(MTT_codes,MATCH(loaded!BK579,MTT,0)),"")</f>
        <v/>
      </c>
      <c r="AD579" t="str">
        <f>_xlfn.IFNA(INDEX(MTT_codes,MATCH(loaded!BM579,MTT,0)),"")</f>
        <v/>
      </c>
      <c r="AE579" t="e">
        <f>INDEX(liv_ar_codes,MATCH(loaded!BO579,liv_ar,0))</f>
        <v>#N/A</v>
      </c>
      <c r="AF579" t="str">
        <f>_xlfn.IFNA(INDEX(MTT_codes,MATCH(loaded!BQ579,MTT,0)),"")</f>
        <v/>
      </c>
      <c r="AG579">
        <f>_xlfn.IFNA(INDEX(mental_codes,MATCH(loaded!BS579,mental,0)),9)</f>
        <v>9</v>
      </c>
    </row>
    <row r="580" spans="1:33" x14ac:dyDescent="0.25">
      <c r="A580">
        <f>loaded!C580</f>
        <v>0</v>
      </c>
      <c r="B580">
        <f>loaded!I580</f>
        <v>0</v>
      </c>
      <c r="C580">
        <f>IF(loaded!K580="Male",1,IF(loaded!K580="Female",2,9))</f>
        <v>9</v>
      </c>
      <c r="D580" s="8">
        <f>loaded!M580</f>
        <v>0</v>
      </c>
      <c r="E580" t="str">
        <f>LEFT(loaded!O580,3)</f>
        <v/>
      </c>
      <c r="F580" t="e">
        <f>INDEX(cntry_codes,MATCH(loaded!Q580,countries,0))</f>
        <v>#N/A</v>
      </c>
      <c r="G580" t="e">
        <f>INDEX(atsi_codes,MATCH(loaded!S580,atsi,0))</f>
        <v>#N/A</v>
      </c>
      <c r="H580" t="e">
        <f>INDEX(lang_codes,MATCH(loaded!U580,lang,0))</f>
        <v>#N/A</v>
      </c>
      <c r="I580" s="8">
        <f>loaded!W580</f>
        <v>0</v>
      </c>
      <c r="J580" t="e">
        <f>INDEX(us_acc_codes,MATCH(loaded!Y580,us_acc,0))</f>
        <v>#N/A</v>
      </c>
      <c r="K580" t="e">
        <f>INDEX(client_codes,MATCH(loaded!AA580,client,0))</f>
        <v>#N/A</v>
      </c>
      <c r="L580" t="e">
        <f>INDEX(src_ref_codes,MATCH(loaded!AC580,src_ref,0))</f>
        <v>#N/A</v>
      </c>
      <c r="M580" s="8">
        <f>loaded!AE580</f>
        <v>0</v>
      </c>
      <c r="N580" s="8">
        <f>loaded!AG580</f>
        <v>0</v>
      </c>
      <c r="O580" t="e">
        <f>INDEX(reces_codes,MATCH(loaded!AI580,reason,0))</f>
        <v>#N/A</v>
      </c>
      <c r="P580" t="e">
        <f>INDEX(TDS_codes,MATCH(loaded!AK580,TDS,0))</f>
        <v>#N/A</v>
      </c>
      <c r="Q580" t="e">
        <f>IF(K580=2,"",INDEX(method_codes,MATCH(loaded!AM580,method,0)))</f>
        <v>#N/A</v>
      </c>
      <c r="R580" t="e">
        <f>IF(K580=2,"",INDEX(inj_codes,MATCH(loaded!AO580,inj,0)))</f>
        <v>#N/A</v>
      </c>
      <c r="S580" t="e">
        <f>IF(K580=2,"",INDEX(drug_codes,MATCH(loaded!AQ580,drug,0)))</f>
        <v>#N/A</v>
      </c>
      <c r="T580" t="e">
        <f>IF(K580=2,"",_xlfn.IFNA(INDEX(drug_codes,MATCH(loaded!AS580,drug,0)),""))</f>
        <v>#N/A</v>
      </c>
      <c r="U580" t="e">
        <f>IF(K580=2,"",_xlfn.IFNA(INDEX(drug_codes,MATCH(loaded!AU580,drug,0)),""))</f>
        <v>#N/A</v>
      </c>
      <c r="V580" t="e">
        <f>IF(K580=2,"",_xlfn.IFNA(INDEX(drug_codes,MATCH(loaded!AW580,drug,0)),""))</f>
        <v>#N/A</v>
      </c>
      <c r="W580" t="e">
        <f>IF(K580=2,"",_xlfn.IFNA(INDEX(drug_codes,MATCH(loaded!AY580,drug,0)),""))</f>
        <v>#N/A</v>
      </c>
      <c r="X580" t="e">
        <f>IF(K580=2,"",_xlfn.IFNA(INDEX(drug_codes,MATCH(loaded!BA580,drug,0)),""))</f>
        <v>#N/A</v>
      </c>
      <c r="Y580" t="e">
        <f>INDEX(MTT_codes,MATCH(loaded!BC580,MTT,0))</f>
        <v>#N/A</v>
      </c>
      <c r="Z580" t="str">
        <f>_xlfn.IFNA(INDEX(MTT_codes,MATCH(loaded!BE580,MTT,0)),"")</f>
        <v/>
      </c>
      <c r="AA580" t="str">
        <f>_xlfn.IFNA(INDEX(MTT_codes,MATCH(loaded!BG580,MTT,0)),"")</f>
        <v/>
      </c>
      <c r="AB580" t="str">
        <f>_xlfn.IFNA(INDEX(MTT_codes,MATCH(loaded!BI580,MTT,0)),"")</f>
        <v/>
      </c>
      <c r="AC580" t="str">
        <f>_xlfn.IFNA(INDEX(MTT_codes,MATCH(loaded!BK580,MTT,0)),"")</f>
        <v/>
      </c>
      <c r="AD580" t="str">
        <f>_xlfn.IFNA(INDEX(MTT_codes,MATCH(loaded!BM580,MTT,0)),"")</f>
        <v/>
      </c>
      <c r="AE580" t="e">
        <f>INDEX(liv_ar_codes,MATCH(loaded!BO580,liv_ar,0))</f>
        <v>#N/A</v>
      </c>
      <c r="AF580" t="str">
        <f>_xlfn.IFNA(INDEX(MTT_codes,MATCH(loaded!BQ580,MTT,0)),"")</f>
        <v/>
      </c>
      <c r="AG580">
        <f>_xlfn.IFNA(INDEX(mental_codes,MATCH(loaded!BS580,mental,0)),9)</f>
        <v>9</v>
      </c>
    </row>
    <row r="581" spans="1:33" x14ac:dyDescent="0.25">
      <c r="A581">
        <f>loaded!C581</f>
        <v>0</v>
      </c>
      <c r="B581">
        <f>loaded!I581</f>
        <v>0</v>
      </c>
      <c r="C581">
        <f>IF(loaded!K581="Male",1,IF(loaded!K581="Female",2,9))</f>
        <v>9</v>
      </c>
      <c r="D581" s="8">
        <f>loaded!M581</f>
        <v>0</v>
      </c>
      <c r="E581" t="str">
        <f>LEFT(loaded!O581,3)</f>
        <v/>
      </c>
      <c r="F581" t="e">
        <f>INDEX(cntry_codes,MATCH(loaded!Q581,countries,0))</f>
        <v>#N/A</v>
      </c>
      <c r="G581" t="e">
        <f>INDEX(atsi_codes,MATCH(loaded!S581,atsi,0))</f>
        <v>#N/A</v>
      </c>
      <c r="H581" t="e">
        <f>INDEX(lang_codes,MATCH(loaded!U581,lang,0))</f>
        <v>#N/A</v>
      </c>
      <c r="I581" s="8">
        <f>loaded!W581</f>
        <v>0</v>
      </c>
      <c r="J581" t="e">
        <f>INDEX(us_acc_codes,MATCH(loaded!Y581,us_acc,0))</f>
        <v>#N/A</v>
      </c>
      <c r="K581" t="e">
        <f>INDEX(client_codes,MATCH(loaded!AA581,client,0))</f>
        <v>#N/A</v>
      </c>
      <c r="L581" t="e">
        <f>INDEX(src_ref_codes,MATCH(loaded!AC581,src_ref,0))</f>
        <v>#N/A</v>
      </c>
      <c r="M581" s="8">
        <f>loaded!AE581</f>
        <v>0</v>
      </c>
      <c r="N581" s="8">
        <f>loaded!AG581</f>
        <v>0</v>
      </c>
      <c r="O581" t="e">
        <f>INDEX(reces_codes,MATCH(loaded!AI581,reason,0))</f>
        <v>#N/A</v>
      </c>
      <c r="P581" t="e">
        <f>INDEX(TDS_codes,MATCH(loaded!AK581,TDS,0))</f>
        <v>#N/A</v>
      </c>
      <c r="Q581" t="e">
        <f>IF(K581=2,"",INDEX(method_codes,MATCH(loaded!AM581,method,0)))</f>
        <v>#N/A</v>
      </c>
      <c r="R581" t="e">
        <f>IF(K581=2,"",INDEX(inj_codes,MATCH(loaded!AO581,inj,0)))</f>
        <v>#N/A</v>
      </c>
      <c r="S581" t="e">
        <f>IF(K581=2,"",INDEX(drug_codes,MATCH(loaded!AQ581,drug,0)))</f>
        <v>#N/A</v>
      </c>
      <c r="T581" t="e">
        <f>IF(K581=2,"",_xlfn.IFNA(INDEX(drug_codes,MATCH(loaded!AS581,drug,0)),""))</f>
        <v>#N/A</v>
      </c>
      <c r="U581" t="e">
        <f>IF(K581=2,"",_xlfn.IFNA(INDEX(drug_codes,MATCH(loaded!AU581,drug,0)),""))</f>
        <v>#N/A</v>
      </c>
      <c r="V581" t="e">
        <f>IF(K581=2,"",_xlfn.IFNA(INDEX(drug_codes,MATCH(loaded!AW581,drug,0)),""))</f>
        <v>#N/A</v>
      </c>
      <c r="W581" t="e">
        <f>IF(K581=2,"",_xlfn.IFNA(INDEX(drug_codes,MATCH(loaded!AY581,drug,0)),""))</f>
        <v>#N/A</v>
      </c>
      <c r="X581" t="e">
        <f>IF(K581=2,"",_xlfn.IFNA(INDEX(drug_codes,MATCH(loaded!BA581,drug,0)),""))</f>
        <v>#N/A</v>
      </c>
      <c r="Y581" t="e">
        <f>INDEX(MTT_codes,MATCH(loaded!BC581,MTT,0))</f>
        <v>#N/A</v>
      </c>
      <c r="Z581" t="str">
        <f>_xlfn.IFNA(INDEX(MTT_codes,MATCH(loaded!BE581,MTT,0)),"")</f>
        <v/>
      </c>
      <c r="AA581" t="str">
        <f>_xlfn.IFNA(INDEX(MTT_codes,MATCH(loaded!BG581,MTT,0)),"")</f>
        <v/>
      </c>
      <c r="AB581" t="str">
        <f>_xlfn.IFNA(INDEX(MTT_codes,MATCH(loaded!BI581,MTT,0)),"")</f>
        <v/>
      </c>
      <c r="AC581" t="str">
        <f>_xlfn.IFNA(INDEX(MTT_codes,MATCH(loaded!BK581,MTT,0)),"")</f>
        <v/>
      </c>
      <c r="AD581" t="str">
        <f>_xlfn.IFNA(INDEX(MTT_codes,MATCH(loaded!BM581,MTT,0)),"")</f>
        <v/>
      </c>
      <c r="AE581" t="e">
        <f>INDEX(liv_ar_codes,MATCH(loaded!BO581,liv_ar,0))</f>
        <v>#N/A</v>
      </c>
      <c r="AF581" t="str">
        <f>_xlfn.IFNA(INDEX(MTT_codes,MATCH(loaded!BQ581,MTT,0)),"")</f>
        <v/>
      </c>
      <c r="AG581">
        <f>_xlfn.IFNA(INDEX(mental_codes,MATCH(loaded!BS581,mental,0)),9)</f>
        <v>9</v>
      </c>
    </row>
    <row r="582" spans="1:33" x14ac:dyDescent="0.25">
      <c r="A582">
        <f>loaded!C582</f>
        <v>0</v>
      </c>
      <c r="B582">
        <f>loaded!I582</f>
        <v>0</v>
      </c>
      <c r="C582">
        <f>IF(loaded!K582="Male",1,IF(loaded!K582="Female",2,9))</f>
        <v>9</v>
      </c>
      <c r="D582" s="8">
        <f>loaded!M582</f>
        <v>0</v>
      </c>
      <c r="E582" t="str">
        <f>LEFT(loaded!O582,3)</f>
        <v/>
      </c>
      <c r="F582" t="e">
        <f>INDEX(cntry_codes,MATCH(loaded!Q582,countries,0))</f>
        <v>#N/A</v>
      </c>
      <c r="G582" t="e">
        <f>INDEX(atsi_codes,MATCH(loaded!S582,atsi,0))</f>
        <v>#N/A</v>
      </c>
      <c r="H582" t="e">
        <f>INDEX(lang_codes,MATCH(loaded!U582,lang,0))</f>
        <v>#N/A</v>
      </c>
      <c r="I582" s="8">
        <f>loaded!W582</f>
        <v>0</v>
      </c>
      <c r="J582" t="e">
        <f>INDEX(us_acc_codes,MATCH(loaded!Y582,us_acc,0))</f>
        <v>#N/A</v>
      </c>
      <c r="K582" t="e">
        <f>INDEX(client_codes,MATCH(loaded!AA582,client,0))</f>
        <v>#N/A</v>
      </c>
      <c r="L582" t="e">
        <f>INDEX(src_ref_codes,MATCH(loaded!AC582,src_ref,0))</f>
        <v>#N/A</v>
      </c>
      <c r="M582" s="8">
        <f>loaded!AE582</f>
        <v>0</v>
      </c>
      <c r="N582" s="8">
        <f>loaded!AG582</f>
        <v>0</v>
      </c>
      <c r="O582" t="e">
        <f>INDEX(reces_codes,MATCH(loaded!AI582,reason,0))</f>
        <v>#N/A</v>
      </c>
      <c r="P582" t="e">
        <f>INDEX(TDS_codes,MATCH(loaded!AK582,TDS,0))</f>
        <v>#N/A</v>
      </c>
      <c r="Q582" t="e">
        <f>IF(K582=2,"",INDEX(method_codes,MATCH(loaded!AM582,method,0)))</f>
        <v>#N/A</v>
      </c>
      <c r="R582" t="e">
        <f>IF(K582=2,"",INDEX(inj_codes,MATCH(loaded!AO582,inj,0)))</f>
        <v>#N/A</v>
      </c>
      <c r="S582" t="e">
        <f>IF(K582=2,"",INDEX(drug_codes,MATCH(loaded!AQ582,drug,0)))</f>
        <v>#N/A</v>
      </c>
      <c r="T582" t="e">
        <f>IF(K582=2,"",_xlfn.IFNA(INDEX(drug_codes,MATCH(loaded!AS582,drug,0)),""))</f>
        <v>#N/A</v>
      </c>
      <c r="U582" t="e">
        <f>IF(K582=2,"",_xlfn.IFNA(INDEX(drug_codes,MATCH(loaded!AU582,drug,0)),""))</f>
        <v>#N/A</v>
      </c>
      <c r="V582" t="e">
        <f>IF(K582=2,"",_xlfn.IFNA(INDEX(drug_codes,MATCH(loaded!AW582,drug,0)),""))</f>
        <v>#N/A</v>
      </c>
      <c r="W582" t="e">
        <f>IF(K582=2,"",_xlfn.IFNA(INDEX(drug_codes,MATCH(loaded!AY582,drug,0)),""))</f>
        <v>#N/A</v>
      </c>
      <c r="X582" t="e">
        <f>IF(K582=2,"",_xlfn.IFNA(INDEX(drug_codes,MATCH(loaded!BA582,drug,0)),""))</f>
        <v>#N/A</v>
      </c>
      <c r="Y582" t="e">
        <f>INDEX(MTT_codes,MATCH(loaded!BC582,MTT,0))</f>
        <v>#N/A</v>
      </c>
      <c r="Z582" t="str">
        <f>_xlfn.IFNA(INDEX(MTT_codes,MATCH(loaded!BE582,MTT,0)),"")</f>
        <v/>
      </c>
      <c r="AA582" t="str">
        <f>_xlfn.IFNA(INDEX(MTT_codes,MATCH(loaded!BG582,MTT,0)),"")</f>
        <v/>
      </c>
      <c r="AB582" t="str">
        <f>_xlfn.IFNA(INDEX(MTT_codes,MATCH(loaded!BI582,MTT,0)),"")</f>
        <v/>
      </c>
      <c r="AC582" t="str">
        <f>_xlfn.IFNA(INDEX(MTT_codes,MATCH(loaded!BK582,MTT,0)),"")</f>
        <v/>
      </c>
      <c r="AD582" t="str">
        <f>_xlfn.IFNA(INDEX(MTT_codes,MATCH(loaded!BM582,MTT,0)),"")</f>
        <v/>
      </c>
      <c r="AE582" t="e">
        <f>INDEX(liv_ar_codes,MATCH(loaded!BO582,liv_ar,0))</f>
        <v>#N/A</v>
      </c>
      <c r="AF582" t="str">
        <f>_xlfn.IFNA(INDEX(MTT_codes,MATCH(loaded!BQ582,MTT,0)),"")</f>
        <v/>
      </c>
      <c r="AG582">
        <f>_xlfn.IFNA(INDEX(mental_codes,MATCH(loaded!BS582,mental,0)),9)</f>
        <v>9</v>
      </c>
    </row>
    <row r="583" spans="1:33" x14ac:dyDescent="0.25">
      <c r="A583">
        <f>loaded!C583</f>
        <v>0</v>
      </c>
      <c r="B583">
        <f>loaded!I583</f>
        <v>0</v>
      </c>
      <c r="C583">
        <f>IF(loaded!K583="Male",1,IF(loaded!K583="Female",2,9))</f>
        <v>9</v>
      </c>
      <c r="D583" s="8">
        <f>loaded!M583</f>
        <v>0</v>
      </c>
      <c r="E583" t="str">
        <f>LEFT(loaded!O583,3)</f>
        <v/>
      </c>
      <c r="F583" t="e">
        <f>INDEX(cntry_codes,MATCH(loaded!Q583,countries,0))</f>
        <v>#N/A</v>
      </c>
      <c r="G583" t="e">
        <f>INDEX(atsi_codes,MATCH(loaded!S583,atsi,0))</f>
        <v>#N/A</v>
      </c>
      <c r="H583" t="e">
        <f>INDEX(lang_codes,MATCH(loaded!U583,lang,0))</f>
        <v>#N/A</v>
      </c>
      <c r="I583" s="8">
        <f>loaded!W583</f>
        <v>0</v>
      </c>
      <c r="J583" t="e">
        <f>INDEX(us_acc_codes,MATCH(loaded!Y583,us_acc,0))</f>
        <v>#N/A</v>
      </c>
      <c r="K583" t="e">
        <f>INDEX(client_codes,MATCH(loaded!AA583,client,0))</f>
        <v>#N/A</v>
      </c>
      <c r="L583" t="e">
        <f>INDEX(src_ref_codes,MATCH(loaded!AC583,src_ref,0))</f>
        <v>#N/A</v>
      </c>
      <c r="M583" s="8">
        <f>loaded!AE583</f>
        <v>0</v>
      </c>
      <c r="N583" s="8">
        <f>loaded!AG583</f>
        <v>0</v>
      </c>
      <c r="O583" t="e">
        <f>INDEX(reces_codes,MATCH(loaded!AI583,reason,0))</f>
        <v>#N/A</v>
      </c>
      <c r="P583" t="e">
        <f>INDEX(TDS_codes,MATCH(loaded!AK583,TDS,0))</f>
        <v>#N/A</v>
      </c>
      <c r="Q583" t="e">
        <f>IF(K583=2,"",INDEX(method_codes,MATCH(loaded!AM583,method,0)))</f>
        <v>#N/A</v>
      </c>
      <c r="R583" t="e">
        <f>IF(K583=2,"",INDEX(inj_codes,MATCH(loaded!AO583,inj,0)))</f>
        <v>#N/A</v>
      </c>
      <c r="S583" t="e">
        <f>IF(K583=2,"",INDEX(drug_codes,MATCH(loaded!AQ583,drug,0)))</f>
        <v>#N/A</v>
      </c>
      <c r="T583" t="e">
        <f>IF(K583=2,"",_xlfn.IFNA(INDEX(drug_codes,MATCH(loaded!AS583,drug,0)),""))</f>
        <v>#N/A</v>
      </c>
      <c r="U583" t="e">
        <f>IF(K583=2,"",_xlfn.IFNA(INDEX(drug_codes,MATCH(loaded!AU583,drug,0)),""))</f>
        <v>#N/A</v>
      </c>
      <c r="V583" t="e">
        <f>IF(K583=2,"",_xlfn.IFNA(INDEX(drug_codes,MATCH(loaded!AW583,drug,0)),""))</f>
        <v>#N/A</v>
      </c>
      <c r="W583" t="e">
        <f>IF(K583=2,"",_xlfn.IFNA(INDEX(drug_codes,MATCH(loaded!AY583,drug,0)),""))</f>
        <v>#N/A</v>
      </c>
      <c r="X583" t="e">
        <f>IF(K583=2,"",_xlfn.IFNA(INDEX(drug_codes,MATCH(loaded!BA583,drug,0)),""))</f>
        <v>#N/A</v>
      </c>
      <c r="Y583" t="e">
        <f>INDEX(MTT_codes,MATCH(loaded!BC583,MTT,0))</f>
        <v>#N/A</v>
      </c>
      <c r="Z583" t="str">
        <f>_xlfn.IFNA(INDEX(MTT_codes,MATCH(loaded!BE583,MTT,0)),"")</f>
        <v/>
      </c>
      <c r="AA583" t="str">
        <f>_xlfn.IFNA(INDEX(MTT_codes,MATCH(loaded!BG583,MTT,0)),"")</f>
        <v/>
      </c>
      <c r="AB583" t="str">
        <f>_xlfn.IFNA(INDEX(MTT_codes,MATCH(loaded!BI583,MTT,0)),"")</f>
        <v/>
      </c>
      <c r="AC583" t="str">
        <f>_xlfn.IFNA(INDEX(MTT_codes,MATCH(loaded!BK583,MTT,0)),"")</f>
        <v/>
      </c>
      <c r="AD583" t="str">
        <f>_xlfn.IFNA(INDEX(MTT_codes,MATCH(loaded!BM583,MTT,0)),"")</f>
        <v/>
      </c>
      <c r="AE583" t="e">
        <f>INDEX(liv_ar_codes,MATCH(loaded!BO583,liv_ar,0))</f>
        <v>#N/A</v>
      </c>
      <c r="AF583" t="str">
        <f>_xlfn.IFNA(INDEX(MTT_codes,MATCH(loaded!BQ583,MTT,0)),"")</f>
        <v/>
      </c>
      <c r="AG583">
        <f>_xlfn.IFNA(INDEX(mental_codes,MATCH(loaded!BS583,mental,0)),9)</f>
        <v>9</v>
      </c>
    </row>
    <row r="584" spans="1:33" x14ac:dyDescent="0.25">
      <c r="A584">
        <f>loaded!C584</f>
        <v>0</v>
      </c>
      <c r="B584">
        <f>loaded!I584</f>
        <v>0</v>
      </c>
      <c r="C584">
        <f>IF(loaded!K584="Male",1,IF(loaded!K584="Female",2,9))</f>
        <v>9</v>
      </c>
      <c r="D584" s="8">
        <f>loaded!M584</f>
        <v>0</v>
      </c>
      <c r="E584" t="str">
        <f>LEFT(loaded!O584,3)</f>
        <v/>
      </c>
      <c r="F584" t="e">
        <f>INDEX(cntry_codes,MATCH(loaded!Q584,countries,0))</f>
        <v>#N/A</v>
      </c>
      <c r="G584" t="e">
        <f>INDEX(atsi_codes,MATCH(loaded!S584,atsi,0))</f>
        <v>#N/A</v>
      </c>
      <c r="H584" t="e">
        <f>INDEX(lang_codes,MATCH(loaded!U584,lang,0))</f>
        <v>#N/A</v>
      </c>
      <c r="I584" s="8">
        <f>loaded!W584</f>
        <v>0</v>
      </c>
      <c r="J584" t="e">
        <f>INDEX(us_acc_codes,MATCH(loaded!Y584,us_acc,0))</f>
        <v>#N/A</v>
      </c>
      <c r="K584" t="e">
        <f>INDEX(client_codes,MATCH(loaded!AA584,client,0))</f>
        <v>#N/A</v>
      </c>
      <c r="L584" t="e">
        <f>INDEX(src_ref_codes,MATCH(loaded!AC584,src_ref,0))</f>
        <v>#N/A</v>
      </c>
      <c r="M584" s="8">
        <f>loaded!AE584</f>
        <v>0</v>
      </c>
      <c r="N584" s="8">
        <f>loaded!AG584</f>
        <v>0</v>
      </c>
      <c r="O584" t="e">
        <f>INDEX(reces_codes,MATCH(loaded!AI584,reason,0))</f>
        <v>#N/A</v>
      </c>
      <c r="P584" t="e">
        <f>INDEX(TDS_codes,MATCH(loaded!AK584,TDS,0))</f>
        <v>#N/A</v>
      </c>
      <c r="Q584" t="e">
        <f>IF(K584=2,"",INDEX(method_codes,MATCH(loaded!AM584,method,0)))</f>
        <v>#N/A</v>
      </c>
      <c r="R584" t="e">
        <f>IF(K584=2,"",INDEX(inj_codes,MATCH(loaded!AO584,inj,0)))</f>
        <v>#N/A</v>
      </c>
      <c r="S584" t="e">
        <f>IF(K584=2,"",INDEX(drug_codes,MATCH(loaded!AQ584,drug,0)))</f>
        <v>#N/A</v>
      </c>
      <c r="T584" t="e">
        <f>IF(K584=2,"",_xlfn.IFNA(INDEX(drug_codes,MATCH(loaded!AS584,drug,0)),""))</f>
        <v>#N/A</v>
      </c>
      <c r="U584" t="e">
        <f>IF(K584=2,"",_xlfn.IFNA(INDEX(drug_codes,MATCH(loaded!AU584,drug,0)),""))</f>
        <v>#N/A</v>
      </c>
      <c r="V584" t="e">
        <f>IF(K584=2,"",_xlfn.IFNA(INDEX(drug_codes,MATCH(loaded!AW584,drug,0)),""))</f>
        <v>#N/A</v>
      </c>
      <c r="W584" t="e">
        <f>IF(K584=2,"",_xlfn.IFNA(INDEX(drug_codes,MATCH(loaded!AY584,drug,0)),""))</f>
        <v>#N/A</v>
      </c>
      <c r="X584" t="e">
        <f>IF(K584=2,"",_xlfn.IFNA(INDEX(drug_codes,MATCH(loaded!BA584,drug,0)),""))</f>
        <v>#N/A</v>
      </c>
      <c r="Y584" t="e">
        <f>INDEX(MTT_codes,MATCH(loaded!BC584,MTT,0))</f>
        <v>#N/A</v>
      </c>
      <c r="Z584" t="str">
        <f>_xlfn.IFNA(INDEX(MTT_codes,MATCH(loaded!BE584,MTT,0)),"")</f>
        <v/>
      </c>
      <c r="AA584" t="str">
        <f>_xlfn.IFNA(INDEX(MTT_codes,MATCH(loaded!BG584,MTT,0)),"")</f>
        <v/>
      </c>
      <c r="AB584" t="str">
        <f>_xlfn.IFNA(INDEX(MTT_codes,MATCH(loaded!BI584,MTT,0)),"")</f>
        <v/>
      </c>
      <c r="AC584" t="str">
        <f>_xlfn.IFNA(INDEX(MTT_codes,MATCH(loaded!BK584,MTT,0)),"")</f>
        <v/>
      </c>
      <c r="AD584" t="str">
        <f>_xlfn.IFNA(INDEX(MTT_codes,MATCH(loaded!BM584,MTT,0)),"")</f>
        <v/>
      </c>
      <c r="AE584" t="e">
        <f>INDEX(liv_ar_codes,MATCH(loaded!BO584,liv_ar,0))</f>
        <v>#N/A</v>
      </c>
      <c r="AF584" t="str">
        <f>_xlfn.IFNA(INDEX(MTT_codes,MATCH(loaded!BQ584,MTT,0)),"")</f>
        <v/>
      </c>
      <c r="AG584">
        <f>_xlfn.IFNA(INDEX(mental_codes,MATCH(loaded!BS584,mental,0)),9)</f>
        <v>9</v>
      </c>
    </row>
    <row r="585" spans="1:33" x14ac:dyDescent="0.25">
      <c r="A585">
        <f>loaded!C585</f>
        <v>0</v>
      </c>
      <c r="B585">
        <f>loaded!I585</f>
        <v>0</v>
      </c>
      <c r="C585">
        <f>IF(loaded!K585="Male",1,IF(loaded!K585="Female",2,9))</f>
        <v>9</v>
      </c>
      <c r="D585" s="8">
        <f>loaded!M585</f>
        <v>0</v>
      </c>
      <c r="E585" t="str">
        <f>LEFT(loaded!O585,3)</f>
        <v/>
      </c>
      <c r="F585" t="e">
        <f>INDEX(cntry_codes,MATCH(loaded!Q585,countries,0))</f>
        <v>#N/A</v>
      </c>
      <c r="G585" t="e">
        <f>INDEX(atsi_codes,MATCH(loaded!S585,atsi,0))</f>
        <v>#N/A</v>
      </c>
      <c r="H585" t="e">
        <f>INDEX(lang_codes,MATCH(loaded!U585,lang,0))</f>
        <v>#N/A</v>
      </c>
      <c r="I585" s="8">
        <f>loaded!W585</f>
        <v>0</v>
      </c>
      <c r="J585" t="e">
        <f>INDEX(us_acc_codes,MATCH(loaded!Y585,us_acc,0))</f>
        <v>#N/A</v>
      </c>
      <c r="K585" t="e">
        <f>INDEX(client_codes,MATCH(loaded!AA585,client,0))</f>
        <v>#N/A</v>
      </c>
      <c r="L585" t="e">
        <f>INDEX(src_ref_codes,MATCH(loaded!AC585,src_ref,0))</f>
        <v>#N/A</v>
      </c>
      <c r="M585" s="8">
        <f>loaded!AE585</f>
        <v>0</v>
      </c>
      <c r="N585" s="8">
        <f>loaded!AG585</f>
        <v>0</v>
      </c>
      <c r="O585" t="e">
        <f>INDEX(reces_codes,MATCH(loaded!AI585,reason,0))</f>
        <v>#N/A</v>
      </c>
      <c r="P585" t="e">
        <f>INDEX(TDS_codes,MATCH(loaded!AK585,TDS,0))</f>
        <v>#N/A</v>
      </c>
      <c r="Q585" t="e">
        <f>IF(K585=2,"",INDEX(method_codes,MATCH(loaded!AM585,method,0)))</f>
        <v>#N/A</v>
      </c>
      <c r="R585" t="e">
        <f>IF(K585=2,"",INDEX(inj_codes,MATCH(loaded!AO585,inj,0)))</f>
        <v>#N/A</v>
      </c>
      <c r="S585" t="e">
        <f>IF(K585=2,"",INDEX(drug_codes,MATCH(loaded!AQ585,drug,0)))</f>
        <v>#N/A</v>
      </c>
      <c r="T585" t="e">
        <f>IF(K585=2,"",_xlfn.IFNA(INDEX(drug_codes,MATCH(loaded!AS585,drug,0)),""))</f>
        <v>#N/A</v>
      </c>
      <c r="U585" t="e">
        <f>IF(K585=2,"",_xlfn.IFNA(INDEX(drug_codes,MATCH(loaded!AU585,drug,0)),""))</f>
        <v>#N/A</v>
      </c>
      <c r="V585" t="e">
        <f>IF(K585=2,"",_xlfn.IFNA(INDEX(drug_codes,MATCH(loaded!AW585,drug,0)),""))</f>
        <v>#N/A</v>
      </c>
      <c r="W585" t="e">
        <f>IF(K585=2,"",_xlfn.IFNA(INDEX(drug_codes,MATCH(loaded!AY585,drug,0)),""))</f>
        <v>#N/A</v>
      </c>
      <c r="X585" t="e">
        <f>IF(K585=2,"",_xlfn.IFNA(INDEX(drug_codes,MATCH(loaded!BA585,drug,0)),""))</f>
        <v>#N/A</v>
      </c>
      <c r="Y585" t="e">
        <f>INDEX(MTT_codes,MATCH(loaded!BC585,MTT,0))</f>
        <v>#N/A</v>
      </c>
      <c r="Z585" t="str">
        <f>_xlfn.IFNA(INDEX(MTT_codes,MATCH(loaded!BE585,MTT,0)),"")</f>
        <v/>
      </c>
      <c r="AA585" t="str">
        <f>_xlfn.IFNA(INDEX(MTT_codes,MATCH(loaded!BG585,MTT,0)),"")</f>
        <v/>
      </c>
      <c r="AB585" t="str">
        <f>_xlfn.IFNA(INDEX(MTT_codes,MATCH(loaded!BI585,MTT,0)),"")</f>
        <v/>
      </c>
      <c r="AC585" t="str">
        <f>_xlfn.IFNA(INDEX(MTT_codes,MATCH(loaded!BK585,MTT,0)),"")</f>
        <v/>
      </c>
      <c r="AD585" t="str">
        <f>_xlfn.IFNA(INDEX(MTT_codes,MATCH(loaded!BM585,MTT,0)),"")</f>
        <v/>
      </c>
      <c r="AE585" t="e">
        <f>INDEX(liv_ar_codes,MATCH(loaded!BO585,liv_ar,0))</f>
        <v>#N/A</v>
      </c>
      <c r="AF585" t="str">
        <f>_xlfn.IFNA(INDEX(MTT_codes,MATCH(loaded!BQ585,MTT,0)),"")</f>
        <v/>
      </c>
      <c r="AG585">
        <f>_xlfn.IFNA(INDEX(mental_codes,MATCH(loaded!BS585,mental,0)),9)</f>
        <v>9</v>
      </c>
    </row>
    <row r="586" spans="1:33" x14ac:dyDescent="0.25">
      <c r="A586">
        <f>loaded!C586</f>
        <v>0</v>
      </c>
      <c r="B586">
        <f>loaded!I586</f>
        <v>0</v>
      </c>
      <c r="C586">
        <f>IF(loaded!K586="Male",1,IF(loaded!K586="Female",2,9))</f>
        <v>9</v>
      </c>
      <c r="D586" s="8">
        <f>loaded!M586</f>
        <v>0</v>
      </c>
      <c r="E586" t="str">
        <f>LEFT(loaded!O586,3)</f>
        <v/>
      </c>
      <c r="F586" t="e">
        <f>INDEX(cntry_codes,MATCH(loaded!Q586,countries,0))</f>
        <v>#N/A</v>
      </c>
      <c r="G586" t="e">
        <f>INDEX(atsi_codes,MATCH(loaded!S586,atsi,0))</f>
        <v>#N/A</v>
      </c>
      <c r="H586" t="e">
        <f>INDEX(lang_codes,MATCH(loaded!U586,lang,0))</f>
        <v>#N/A</v>
      </c>
      <c r="I586" s="8">
        <f>loaded!W586</f>
        <v>0</v>
      </c>
      <c r="J586" t="e">
        <f>INDEX(us_acc_codes,MATCH(loaded!Y586,us_acc,0))</f>
        <v>#N/A</v>
      </c>
      <c r="K586" t="e">
        <f>INDEX(client_codes,MATCH(loaded!AA586,client,0))</f>
        <v>#N/A</v>
      </c>
      <c r="L586" t="e">
        <f>INDEX(src_ref_codes,MATCH(loaded!AC586,src_ref,0))</f>
        <v>#N/A</v>
      </c>
      <c r="M586" s="8">
        <f>loaded!AE586</f>
        <v>0</v>
      </c>
      <c r="N586" s="8">
        <f>loaded!AG586</f>
        <v>0</v>
      </c>
      <c r="O586" t="e">
        <f>INDEX(reces_codes,MATCH(loaded!AI586,reason,0))</f>
        <v>#N/A</v>
      </c>
      <c r="P586" t="e">
        <f>INDEX(TDS_codes,MATCH(loaded!AK586,TDS,0))</f>
        <v>#N/A</v>
      </c>
      <c r="Q586" t="e">
        <f>IF(K586=2,"",INDEX(method_codes,MATCH(loaded!AM586,method,0)))</f>
        <v>#N/A</v>
      </c>
      <c r="R586" t="e">
        <f>IF(K586=2,"",INDEX(inj_codes,MATCH(loaded!AO586,inj,0)))</f>
        <v>#N/A</v>
      </c>
      <c r="S586" t="e">
        <f>IF(K586=2,"",INDEX(drug_codes,MATCH(loaded!AQ586,drug,0)))</f>
        <v>#N/A</v>
      </c>
      <c r="T586" t="e">
        <f>IF(K586=2,"",_xlfn.IFNA(INDEX(drug_codes,MATCH(loaded!AS586,drug,0)),""))</f>
        <v>#N/A</v>
      </c>
      <c r="U586" t="e">
        <f>IF(K586=2,"",_xlfn.IFNA(INDEX(drug_codes,MATCH(loaded!AU586,drug,0)),""))</f>
        <v>#N/A</v>
      </c>
      <c r="V586" t="e">
        <f>IF(K586=2,"",_xlfn.IFNA(INDEX(drug_codes,MATCH(loaded!AW586,drug,0)),""))</f>
        <v>#N/A</v>
      </c>
      <c r="W586" t="e">
        <f>IF(K586=2,"",_xlfn.IFNA(INDEX(drug_codes,MATCH(loaded!AY586,drug,0)),""))</f>
        <v>#N/A</v>
      </c>
      <c r="X586" t="e">
        <f>IF(K586=2,"",_xlfn.IFNA(INDEX(drug_codes,MATCH(loaded!BA586,drug,0)),""))</f>
        <v>#N/A</v>
      </c>
      <c r="Y586" t="e">
        <f>INDEX(MTT_codes,MATCH(loaded!BC586,MTT,0))</f>
        <v>#N/A</v>
      </c>
      <c r="Z586" t="str">
        <f>_xlfn.IFNA(INDEX(MTT_codes,MATCH(loaded!BE586,MTT,0)),"")</f>
        <v/>
      </c>
      <c r="AA586" t="str">
        <f>_xlfn.IFNA(INDEX(MTT_codes,MATCH(loaded!BG586,MTT,0)),"")</f>
        <v/>
      </c>
      <c r="AB586" t="str">
        <f>_xlfn.IFNA(INDEX(MTT_codes,MATCH(loaded!BI586,MTT,0)),"")</f>
        <v/>
      </c>
      <c r="AC586" t="str">
        <f>_xlfn.IFNA(INDEX(MTT_codes,MATCH(loaded!BK586,MTT,0)),"")</f>
        <v/>
      </c>
      <c r="AD586" t="str">
        <f>_xlfn.IFNA(INDEX(MTT_codes,MATCH(loaded!BM586,MTT,0)),"")</f>
        <v/>
      </c>
      <c r="AE586" t="e">
        <f>INDEX(liv_ar_codes,MATCH(loaded!BO586,liv_ar,0))</f>
        <v>#N/A</v>
      </c>
      <c r="AF586" t="str">
        <f>_xlfn.IFNA(INDEX(MTT_codes,MATCH(loaded!BQ586,MTT,0)),"")</f>
        <v/>
      </c>
      <c r="AG586">
        <f>_xlfn.IFNA(INDEX(mental_codes,MATCH(loaded!BS586,mental,0)),9)</f>
        <v>9</v>
      </c>
    </row>
    <row r="587" spans="1:33" x14ac:dyDescent="0.25">
      <c r="A587">
        <f>loaded!C587</f>
        <v>0</v>
      </c>
      <c r="B587">
        <f>loaded!I587</f>
        <v>0</v>
      </c>
      <c r="C587">
        <f>IF(loaded!K587="Male",1,IF(loaded!K587="Female",2,9))</f>
        <v>9</v>
      </c>
      <c r="D587" s="8">
        <f>loaded!M587</f>
        <v>0</v>
      </c>
      <c r="E587" t="str">
        <f>LEFT(loaded!O587,3)</f>
        <v/>
      </c>
      <c r="F587" t="e">
        <f>INDEX(cntry_codes,MATCH(loaded!Q587,countries,0))</f>
        <v>#N/A</v>
      </c>
      <c r="G587" t="e">
        <f>INDEX(atsi_codes,MATCH(loaded!S587,atsi,0))</f>
        <v>#N/A</v>
      </c>
      <c r="H587" t="e">
        <f>INDEX(lang_codes,MATCH(loaded!U587,lang,0))</f>
        <v>#N/A</v>
      </c>
      <c r="I587" s="8">
        <f>loaded!W587</f>
        <v>0</v>
      </c>
      <c r="J587" t="e">
        <f>INDEX(us_acc_codes,MATCH(loaded!Y587,us_acc,0))</f>
        <v>#N/A</v>
      </c>
      <c r="K587" t="e">
        <f>INDEX(client_codes,MATCH(loaded!AA587,client,0))</f>
        <v>#N/A</v>
      </c>
      <c r="L587" t="e">
        <f>INDEX(src_ref_codes,MATCH(loaded!AC587,src_ref,0))</f>
        <v>#N/A</v>
      </c>
      <c r="M587" s="8">
        <f>loaded!AE587</f>
        <v>0</v>
      </c>
      <c r="N587" s="8">
        <f>loaded!AG587</f>
        <v>0</v>
      </c>
      <c r="O587" t="e">
        <f>INDEX(reces_codes,MATCH(loaded!AI587,reason,0))</f>
        <v>#N/A</v>
      </c>
      <c r="P587" t="e">
        <f>INDEX(TDS_codes,MATCH(loaded!AK587,TDS,0))</f>
        <v>#N/A</v>
      </c>
      <c r="Q587" t="e">
        <f>IF(K587=2,"",INDEX(method_codes,MATCH(loaded!AM587,method,0)))</f>
        <v>#N/A</v>
      </c>
      <c r="R587" t="e">
        <f>IF(K587=2,"",INDEX(inj_codes,MATCH(loaded!AO587,inj,0)))</f>
        <v>#N/A</v>
      </c>
      <c r="S587" t="e">
        <f>IF(K587=2,"",INDEX(drug_codes,MATCH(loaded!AQ587,drug,0)))</f>
        <v>#N/A</v>
      </c>
      <c r="T587" t="e">
        <f>IF(K587=2,"",_xlfn.IFNA(INDEX(drug_codes,MATCH(loaded!AS587,drug,0)),""))</f>
        <v>#N/A</v>
      </c>
      <c r="U587" t="e">
        <f>IF(K587=2,"",_xlfn.IFNA(INDEX(drug_codes,MATCH(loaded!AU587,drug,0)),""))</f>
        <v>#N/A</v>
      </c>
      <c r="V587" t="e">
        <f>IF(K587=2,"",_xlfn.IFNA(INDEX(drug_codes,MATCH(loaded!AW587,drug,0)),""))</f>
        <v>#N/A</v>
      </c>
      <c r="W587" t="e">
        <f>IF(K587=2,"",_xlfn.IFNA(INDEX(drug_codes,MATCH(loaded!AY587,drug,0)),""))</f>
        <v>#N/A</v>
      </c>
      <c r="X587" t="e">
        <f>IF(K587=2,"",_xlfn.IFNA(INDEX(drug_codes,MATCH(loaded!BA587,drug,0)),""))</f>
        <v>#N/A</v>
      </c>
      <c r="Y587" t="e">
        <f>INDEX(MTT_codes,MATCH(loaded!BC587,MTT,0))</f>
        <v>#N/A</v>
      </c>
      <c r="Z587" t="str">
        <f>_xlfn.IFNA(INDEX(MTT_codes,MATCH(loaded!BE587,MTT,0)),"")</f>
        <v/>
      </c>
      <c r="AA587" t="str">
        <f>_xlfn.IFNA(INDEX(MTT_codes,MATCH(loaded!BG587,MTT,0)),"")</f>
        <v/>
      </c>
      <c r="AB587" t="str">
        <f>_xlfn.IFNA(INDEX(MTT_codes,MATCH(loaded!BI587,MTT,0)),"")</f>
        <v/>
      </c>
      <c r="AC587" t="str">
        <f>_xlfn.IFNA(INDEX(MTT_codes,MATCH(loaded!BK587,MTT,0)),"")</f>
        <v/>
      </c>
      <c r="AD587" t="str">
        <f>_xlfn.IFNA(INDEX(MTT_codes,MATCH(loaded!BM587,MTT,0)),"")</f>
        <v/>
      </c>
      <c r="AE587" t="e">
        <f>INDEX(liv_ar_codes,MATCH(loaded!BO587,liv_ar,0))</f>
        <v>#N/A</v>
      </c>
      <c r="AF587" t="str">
        <f>_xlfn.IFNA(INDEX(MTT_codes,MATCH(loaded!BQ587,MTT,0)),"")</f>
        <v/>
      </c>
      <c r="AG587">
        <f>_xlfn.IFNA(INDEX(mental_codes,MATCH(loaded!BS587,mental,0)),9)</f>
        <v>9</v>
      </c>
    </row>
    <row r="588" spans="1:33" x14ac:dyDescent="0.25">
      <c r="A588">
        <f>loaded!C588</f>
        <v>0</v>
      </c>
      <c r="B588">
        <f>loaded!I588</f>
        <v>0</v>
      </c>
      <c r="C588">
        <f>IF(loaded!K588="Male",1,IF(loaded!K588="Female",2,9))</f>
        <v>9</v>
      </c>
      <c r="D588" s="8">
        <f>loaded!M588</f>
        <v>0</v>
      </c>
      <c r="E588" t="str">
        <f>LEFT(loaded!O588,3)</f>
        <v/>
      </c>
      <c r="F588" t="e">
        <f>INDEX(cntry_codes,MATCH(loaded!Q588,countries,0))</f>
        <v>#N/A</v>
      </c>
      <c r="G588" t="e">
        <f>INDEX(atsi_codes,MATCH(loaded!S588,atsi,0))</f>
        <v>#N/A</v>
      </c>
      <c r="H588" t="e">
        <f>INDEX(lang_codes,MATCH(loaded!U588,lang,0))</f>
        <v>#N/A</v>
      </c>
      <c r="I588" s="8">
        <f>loaded!W588</f>
        <v>0</v>
      </c>
      <c r="J588" t="e">
        <f>INDEX(us_acc_codes,MATCH(loaded!Y588,us_acc,0))</f>
        <v>#N/A</v>
      </c>
      <c r="K588" t="e">
        <f>INDEX(client_codes,MATCH(loaded!AA588,client,0))</f>
        <v>#N/A</v>
      </c>
      <c r="L588" t="e">
        <f>INDEX(src_ref_codes,MATCH(loaded!AC588,src_ref,0))</f>
        <v>#N/A</v>
      </c>
      <c r="M588" s="8">
        <f>loaded!AE588</f>
        <v>0</v>
      </c>
      <c r="N588" s="8">
        <f>loaded!AG588</f>
        <v>0</v>
      </c>
      <c r="O588" t="e">
        <f>INDEX(reces_codes,MATCH(loaded!AI588,reason,0))</f>
        <v>#N/A</v>
      </c>
      <c r="P588" t="e">
        <f>INDEX(TDS_codes,MATCH(loaded!AK588,TDS,0))</f>
        <v>#N/A</v>
      </c>
      <c r="Q588" t="e">
        <f>IF(K588=2,"",INDEX(method_codes,MATCH(loaded!AM588,method,0)))</f>
        <v>#N/A</v>
      </c>
      <c r="R588" t="e">
        <f>IF(K588=2,"",INDEX(inj_codes,MATCH(loaded!AO588,inj,0)))</f>
        <v>#N/A</v>
      </c>
      <c r="S588" t="e">
        <f>IF(K588=2,"",INDEX(drug_codes,MATCH(loaded!AQ588,drug,0)))</f>
        <v>#N/A</v>
      </c>
      <c r="T588" t="e">
        <f>IF(K588=2,"",_xlfn.IFNA(INDEX(drug_codes,MATCH(loaded!AS588,drug,0)),""))</f>
        <v>#N/A</v>
      </c>
      <c r="U588" t="e">
        <f>IF(K588=2,"",_xlfn.IFNA(INDEX(drug_codes,MATCH(loaded!AU588,drug,0)),""))</f>
        <v>#N/A</v>
      </c>
      <c r="V588" t="e">
        <f>IF(K588=2,"",_xlfn.IFNA(INDEX(drug_codes,MATCH(loaded!AW588,drug,0)),""))</f>
        <v>#N/A</v>
      </c>
      <c r="W588" t="e">
        <f>IF(K588=2,"",_xlfn.IFNA(INDEX(drug_codes,MATCH(loaded!AY588,drug,0)),""))</f>
        <v>#N/A</v>
      </c>
      <c r="X588" t="e">
        <f>IF(K588=2,"",_xlfn.IFNA(INDEX(drug_codes,MATCH(loaded!BA588,drug,0)),""))</f>
        <v>#N/A</v>
      </c>
      <c r="Y588" t="e">
        <f>INDEX(MTT_codes,MATCH(loaded!BC588,MTT,0))</f>
        <v>#N/A</v>
      </c>
      <c r="Z588" t="str">
        <f>_xlfn.IFNA(INDEX(MTT_codes,MATCH(loaded!BE588,MTT,0)),"")</f>
        <v/>
      </c>
      <c r="AA588" t="str">
        <f>_xlfn.IFNA(INDEX(MTT_codes,MATCH(loaded!BG588,MTT,0)),"")</f>
        <v/>
      </c>
      <c r="AB588" t="str">
        <f>_xlfn.IFNA(INDEX(MTT_codes,MATCH(loaded!BI588,MTT,0)),"")</f>
        <v/>
      </c>
      <c r="AC588" t="str">
        <f>_xlfn.IFNA(INDEX(MTT_codes,MATCH(loaded!BK588,MTT,0)),"")</f>
        <v/>
      </c>
      <c r="AD588" t="str">
        <f>_xlfn.IFNA(INDEX(MTT_codes,MATCH(loaded!BM588,MTT,0)),"")</f>
        <v/>
      </c>
      <c r="AE588" t="e">
        <f>INDEX(liv_ar_codes,MATCH(loaded!BO588,liv_ar,0))</f>
        <v>#N/A</v>
      </c>
      <c r="AF588" t="str">
        <f>_xlfn.IFNA(INDEX(MTT_codes,MATCH(loaded!BQ588,MTT,0)),"")</f>
        <v/>
      </c>
      <c r="AG588">
        <f>_xlfn.IFNA(INDEX(mental_codes,MATCH(loaded!BS588,mental,0)),9)</f>
        <v>9</v>
      </c>
    </row>
    <row r="589" spans="1:33" x14ac:dyDescent="0.25">
      <c r="A589">
        <f>loaded!C589</f>
        <v>0</v>
      </c>
      <c r="B589">
        <f>loaded!I589</f>
        <v>0</v>
      </c>
      <c r="C589">
        <f>IF(loaded!K589="Male",1,IF(loaded!K589="Female",2,9))</f>
        <v>9</v>
      </c>
      <c r="D589" s="8">
        <f>loaded!M589</f>
        <v>0</v>
      </c>
      <c r="E589" t="str">
        <f>LEFT(loaded!O589,3)</f>
        <v/>
      </c>
      <c r="F589" t="e">
        <f>INDEX(cntry_codes,MATCH(loaded!Q589,countries,0))</f>
        <v>#N/A</v>
      </c>
      <c r="G589" t="e">
        <f>INDEX(atsi_codes,MATCH(loaded!S589,atsi,0))</f>
        <v>#N/A</v>
      </c>
      <c r="H589" t="e">
        <f>INDEX(lang_codes,MATCH(loaded!U589,lang,0))</f>
        <v>#N/A</v>
      </c>
      <c r="I589" s="8">
        <f>loaded!W589</f>
        <v>0</v>
      </c>
      <c r="J589" t="e">
        <f>INDEX(us_acc_codes,MATCH(loaded!Y589,us_acc,0))</f>
        <v>#N/A</v>
      </c>
      <c r="K589" t="e">
        <f>INDEX(client_codes,MATCH(loaded!AA589,client,0))</f>
        <v>#N/A</v>
      </c>
      <c r="L589" t="e">
        <f>INDEX(src_ref_codes,MATCH(loaded!AC589,src_ref,0))</f>
        <v>#N/A</v>
      </c>
      <c r="M589" s="8">
        <f>loaded!AE589</f>
        <v>0</v>
      </c>
      <c r="N589" s="8">
        <f>loaded!AG589</f>
        <v>0</v>
      </c>
      <c r="O589" t="e">
        <f>INDEX(reces_codes,MATCH(loaded!AI589,reason,0))</f>
        <v>#N/A</v>
      </c>
      <c r="P589" t="e">
        <f>INDEX(TDS_codes,MATCH(loaded!AK589,TDS,0))</f>
        <v>#N/A</v>
      </c>
      <c r="Q589" t="e">
        <f>IF(K589=2,"",INDEX(method_codes,MATCH(loaded!AM589,method,0)))</f>
        <v>#N/A</v>
      </c>
      <c r="R589" t="e">
        <f>IF(K589=2,"",INDEX(inj_codes,MATCH(loaded!AO589,inj,0)))</f>
        <v>#N/A</v>
      </c>
      <c r="S589" t="e">
        <f>IF(K589=2,"",INDEX(drug_codes,MATCH(loaded!AQ589,drug,0)))</f>
        <v>#N/A</v>
      </c>
      <c r="T589" t="e">
        <f>IF(K589=2,"",_xlfn.IFNA(INDEX(drug_codes,MATCH(loaded!AS589,drug,0)),""))</f>
        <v>#N/A</v>
      </c>
      <c r="U589" t="e">
        <f>IF(K589=2,"",_xlfn.IFNA(INDEX(drug_codes,MATCH(loaded!AU589,drug,0)),""))</f>
        <v>#N/A</v>
      </c>
      <c r="V589" t="e">
        <f>IF(K589=2,"",_xlfn.IFNA(INDEX(drug_codes,MATCH(loaded!AW589,drug,0)),""))</f>
        <v>#N/A</v>
      </c>
      <c r="W589" t="e">
        <f>IF(K589=2,"",_xlfn.IFNA(INDEX(drug_codes,MATCH(loaded!AY589,drug,0)),""))</f>
        <v>#N/A</v>
      </c>
      <c r="X589" t="e">
        <f>IF(K589=2,"",_xlfn.IFNA(INDEX(drug_codes,MATCH(loaded!BA589,drug,0)),""))</f>
        <v>#N/A</v>
      </c>
      <c r="Y589" t="e">
        <f>INDEX(MTT_codes,MATCH(loaded!BC589,MTT,0))</f>
        <v>#N/A</v>
      </c>
      <c r="Z589" t="str">
        <f>_xlfn.IFNA(INDEX(MTT_codes,MATCH(loaded!BE589,MTT,0)),"")</f>
        <v/>
      </c>
      <c r="AA589" t="str">
        <f>_xlfn.IFNA(INDEX(MTT_codes,MATCH(loaded!BG589,MTT,0)),"")</f>
        <v/>
      </c>
      <c r="AB589" t="str">
        <f>_xlfn.IFNA(INDEX(MTT_codes,MATCH(loaded!BI589,MTT,0)),"")</f>
        <v/>
      </c>
      <c r="AC589" t="str">
        <f>_xlfn.IFNA(INDEX(MTT_codes,MATCH(loaded!BK589,MTT,0)),"")</f>
        <v/>
      </c>
      <c r="AD589" t="str">
        <f>_xlfn.IFNA(INDEX(MTT_codes,MATCH(loaded!BM589,MTT,0)),"")</f>
        <v/>
      </c>
      <c r="AE589" t="e">
        <f>INDEX(liv_ar_codes,MATCH(loaded!BO589,liv_ar,0))</f>
        <v>#N/A</v>
      </c>
      <c r="AF589" t="str">
        <f>_xlfn.IFNA(INDEX(MTT_codes,MATCH(loaded!BQ589,MTT,0)),"")</f>
        <v/>
      </c>
      <c r="AG589">
        <f>_xlfn.IFNA(INDEX(mental_codes,MATCH(loaded!BS589,mental,0)),9)</f>
        <v>9</v>
      </c>
    </row>
    <row r="590" spans="1:33" x14ac:dyDescent="0.25">
      <c r="A590">
        <f>loaded!C590</f>
        <v>0</v>
      </c>
      <c r="B590">
        <f>loaded!I590</f>
        <v>0</v>
      </c>
      <c r="C590">
        <f>IF(loaded!K590="Male",1,IF(loaded!K590="Female",2,9))</f>
        <v>9</v>
      </c>
      <c r="D590" s="8">
        <f>loaded!M590</f>
        <v>0</v>
      </c>
      <c r="E590" t="str">
        <f>LEFT(loaded!O590,3)</f>
        <v/>
      </c>
      <c r="F590" t="e">
        <f>INDEX(cntry_codes,MATCH(loaded!Q590,countries,0))</f>
        <v>#N/A</v>
      </c>
      <c r="G590" t="e">
        <f>INDEX(atsi_codes,MATCH(loaded!S590,atsi,0))</f>
        <v>#N/A</v>
      </c>
      <c r="H590" t="e">
        <f>INDEX(lang_codes,MATCH(loaded!U590,lang,0))</f>
        <v>#N/A</v>
      </c>
      <c r="I590" s="8">
        <f>loaded!W590</f>
        <v>0</v>
      </c>
      <c r="J590" t="e">
        <f>INDEX(us_acc_codes,MATCH(loaded!Y590,us_acc,0))</f>
        <v>#N/A</v>
      </c>
      <c r="K590" t="e">
        <f>INDEX(client_codes,MATCH(loaded!AA590,client,0))</f>
        <v>#N/A</v>
      </c>
      <c r="L590" t="e">
        <f>INDEX(src_ref_codes,MATCH(loaded!AC590,src_ref,0))</f>
        <v>#N/A</v>
      </c>
      <c r="M590" s="8">
        <f>loaded!AE590</f>
        <v>0</v>
      </c>
      <c r="N590" s="8">
        <f>loaded!AG590</f>
        <v>0</v>
      </c>
      <c r="O590" t="e">
        <f>INDEX(reces_codes,MATCH(loaded!AI590,reason,0))</f>
        <v>#N/A</v>
      </c>
      <c r="P590" t="e">
        <f>INDEX(TDS_codes,MATCH(loaded!AK590,TDS,0))</f>
        <v>#N/A</v>
      </c>
      <c r="Q590" t="e">
        <f>IF(K590=2,"",INDEX(method_codes,MATCH(loaded!AM590,method,0)))</f>
        <v>#N/A</v>
      </c>
      <c r="R590" t="e">
        <f>IF(K590=2,"",INDEX(inj_codes,MATCH(loaded!AO590,inj,0)))</f>
        <v>#N/A</v>
      </c>
      <c r="S590" t="e">
        <f>IF(K590=2,"",INDEX(drug_codes,MATCH(loaded!AQ590,drug,0)))</f>
        <v>#N/A</v>
      </c>
      <c r="T590" t="e">
        <f>IF(K590=2,"",_xlfn.IFNA(INDEX(drug_codes,MATCH(loaded!AS590,drug,0)),""))</f>
        <v>#N/A</v>
      </c>
      <c r="U590" t="e">
        <f>IF(K590=2,"",_xlfn.IFNA(INDEX(drug_codes,MATCH(loaded!AU590,drug,0)),""))</f>
        <v>#N/A</v>
      </c>
      <c r="V590" t="e">
        <f>IF(K590=2,"",_xlfn.IFNA(INDEX(drug_codes,MATCH(loaded!AW590,drug,0)),""))</f>
        <v>#N/A</v>
      </c>
      <c r="W590" t="e">
        <f>IF(K590=2,"",_xlfn.IFNA(INDEX(drug_codes,MATCH(loaded!AY590,drug,0)),""))</f>
        <v>#N/A</v>
      </c>
      <c r="X590" t="e">
        <f>IF(K590=2,"",_xlfn.IFNA(INDEX(drug_codes,MATCH(loaded!BA590,drug,0)),""))</f>
        <v>#N/A</v>
      </c>
      <c r="Y590" t="e">
        <f>INDEX(MTT_codes,MATCH(loaded!BC590,MTT,0))</f>
        <v>#N/A</v>
      </c>
      <c r="Z590" t="str">
        <f>_xlfn.IFNA(INDEX(MTT_codes,MATCH(loaded!BE590,MTT,0)),"")</f>
        <v/>
      </c>
      <c r="AA590" t="str">
        <f>_xlfn.IFNA(INDEX(MTT_codes,MATCH(loaded!BG590,MTT,0)),"")</f>
        <v/>
      </c>
      <c r="AB590" t="str">
        <f>_xlfn.IFNA(INDEX(MTT_codes,MATCH(loaded!BI590,MTT,0)),"")</f>
        <v/>
      </c>
      <c r="AC590" t="str">
        <f>_xlfn.IFNA(INDEX(MTT_codes,MATCH(loaded!BK590,MTT,0)),"")</f>
        <v/>
      </c>
      <c r="AD590" t="str">
        <f>_xlfn.IFNA(INDEX(MTT_codes,MATCH(loaded!BM590,MTT,0)),"")</f>
        <v/>
      </c>
      <c r="AE590" t="e">
        <f>INDEX(liv_ar_codes,MATCH(loaded!BO590,liv_ar,0))</f>
        <v>#N/A</v>
      </c>
      <c r="AF590" t="str">
        <f>_xlfn.IFNA(INDEX(MTT_codes,MATCH(loaded!BQ590,MTT,0)),"")</f>
        <v/>
      </c>
      <c r="AG590">
        <f>_xlfn.IFNA(INDEX(mental_codes,MATCH(loaded!BS590,mental,0)),9)</f>
        <v>9</v>
      </c>
    </row>
    <row r="591" spans="1:33" x14ac:dyDescent="0.25">
      <c r="A591">
        <f>loaded!C591</f>
        <v>0</v>
      </c>
      <c r="B591">
        <f>loaded!I591</f>
        <v>0</v>
      </c>
      <c r="C591">
        <f>IF(loaded!K591="Male",1,IF(loaded!K591="Female",2,9))</f>
        <v>9</v>
      </c>
      <c r="D591" s="8">
        <f>loaded!M591</f>
        <v>0</v>
      </c>
      <c r="E591" t="str">
        <f>LEFT(loaded!O591,3)</f>
        <v/>
      </c>
      <c r="F591" t="e">
        <f>INDEX(cntry_codes,MATCH(loaded!Q591,countries,0))</f>
        <v>#N/A</v>
      </c>
      <c r="G591" t="e">
        <f>INDEX(atsi_codes,MATCH(loaded!S591,atsi,0))</f>
        <v>#N/A</v>
      </c>
      <c r="H591" t="e">
        <f>INDEX(lang_codes,MATCH(loaded!U591,lang,0))</f>
        <v>#N/A</v>
      </c>
      <c r="I591" s="8">
        <f>loaded!W591</f>
        <v>0</v>
      </c>
      <c r="J591" t="e">
        <f>INDEX(us_acc_codes,MATCH(loaded!Y591,us_acc,0))</f>
        <v>#N/A</v>
      </c>
      <c r="K591" t="e">
        <f>INDEX(client_codes,MATCH(loaded!AA591,client,0))</f>
        <v>#N/A</v>
      </c>
      <c r="L591" t="e">
        <f>INDEX(src_ref_codes,MATCH(loaded!AC591,src_ref,0))</f>
        <v>#N/A</v>
      </c>
      <c r="M591" s="8">
        <f>loaded!AE591</f>
        <v>0</v>
      </c>
      <c r="N591" s="8">
        <f>loaded!AG591</f>
        <v>0</v>
      </c>
      <c r="O591" t="e">
        <f>INDEX(reces_codes,MATCH(loaded!AI591,reason,0))</f>
        <v>#N/A</v>
      </c>
      <c r="P591" t="e">
        <f>INDEX(TDS_codes,MATCH(loaded!AK591,TDS,0))</f>
        <v>#N/A</v>
      </c>
      <c r="Q591" t="e">
        <f>IF(K591=2,"",INDEX(method_codes,MATCH(loaded!AM591,method,0)))</f>
        <v>#N/A</v>
      </c>
      <c r="R591" t="e">
        <f>IF(K591=2,"",INDEX(inj_codes,MATCH(loaded!AO591,inj,0)))</f>
        <v>#N/A</v>
      </c>
      <c r="S591" t="e">
        <f>IF(K591=2,"",INDEX(drug_codes,MATCH(loaded!AQ591,drug,0)))</f>
        <v>#N/A</v>
      </c>
      <c r="T591" t="e">
        <f>IF(K591=2,"",_xlfn.IFNA(INDEX(drug_codes,MATCH(loaded!AS591,drug,0)),""))</f>
        <v>#N/A</v>
      </c>
      <c r="U591" t="e">
        <f>IF(K591=2,"",_xlfn.IFNA(INDEX(drug_codes,MATCH(loaded!AU591,drug,0)),""))</f>
        <v>#N/A</v>
      </c>
      <c r="V591" t="e">
        <f>IF(K591=2,"",_xlfn.IFNA(INDEX(drug_codes,MATCH(loaded!AW591,drug,0)),""))</f>
        <v>#N/A</v>
      </c>
      <c r="W591" t="e">
        <f>IF(K591=2,"",_xlfn.IFNA(INDEX(drug_codes,MATCH(loaded!AY591,drug,0)),""))</f>
        <v>#N/A</v>
      </c>
      <c r="X591" t="e">
        <f>IF(K591=2,"",_xlfn.IFNA(INDEX(drug_codes,MATCH(loaded!BA591,drug,0)),""))</f>
        <v>#N/A</v>
      </c>
      <c r="Y591" t="e">
        <f>INDEX(MTT_codes,MATCH(loaded!BC591,MTT,0))</f>
        <v>#N/A</v>
      </c>
      <c r="Z591" t="str">
        <f>_xlfn.IFNA(INDEX(MTT_codes,MATCH(loaded!BE591,MTT,0)),"")</f>
        <v/>
      </c>
      <c r="AA591" t="str">
        <f>_xlfn.IFNA(INDEX(MTT_codes,MATCH(loaded!BG591,MTT,0)),"")</f>
        <v/>
      </c>
      <c r="AB591" t="str">
        <f>_xlfn.IFNA(INDEX(MTT_codes,MATCH(loaded!BI591,MTT,0)),"")</f>
        <v/>
      </c>
      <c r="AC591" t="str">
        <f>_xlfn.IFNA(INDEX(MTT_codes,MATCH(loaded!BK591,MTT,0)),"")</f>
        <v/>
      </c>
      <c r="AD591" t="str">
        <f>_xlfn.IFNA(INDEX(MTT_codes,MATCH(loaded!BM591,MTT,0)),"")</f>
        <v/>
      </c>
      <c r="AE591" t="e">
        <f>INDEX(liv_ar_codes,MATCH(loaded!BO591,liv_ar,0))</f>
        <v>#N/A</v>
      </c>
      <c r="AF591" t="str">
        <f>_xlfn.IFNA(INDEX(MTT_codes,MATCH(loaded!BQ591,MTT,0)),"")</f>
        <v/>
      </c>
      <c r="AG591">
        <f>_xlfn.IFNA(INDEX(mental_codes,MATCH(loaded!BS591,mental,0)),9)</f>
        <v>9</v>
      </c>
    </row>
    <row r="592" spans="1:33" x14ac:dyDescent="0.25">
      <c r="A592">
        <f>loaded!C592</f>
        <v>0</v>
      </c>
      <c r="B592">
        <f>loaded!I592</f>
        <v>0</v>
      </c>
      <c r="C592">
        <f>IF(loaded!K592="Male",1,IF(loaded!K592="Female",2,9))</f>
        <v>9</v>
      </c>
      <c r="D592" s="8">
        <f>loaded!M592</f>
        <v>0</v>
      </c>
      <c r="E592" t="str">
        <f>LEFT(loaded!O592,3)</f>
        <v/>
      </c>
      <c r="F592" t="e">
        <f>INDEX(cntry_codes,MATCH(loaded!Q592,countries,0))</f>
        <v>#N/A</v>
      </c>
      <c r="G592" t="e">
        <f>INDEX(atsi_codes,MATCH(loaded!S592,atsi,0))</f>
        <v>#N/A</v>
      </c>
      <c r="H592" t="e">
        <f>INDEX(lang_codes,MATCH(loaded!U592,lang,0))</f>
        <v>#N/A</v>
      </c>
      <c r="I592" s="8">
        <f>loaded!W592</f>
        <v>0</v>
      </c>
      <c r="J592" t="e">
        <f>INDEX(us_acc_codes,MATCH(loaded!Y592,us_acc,0))</f>
        <v>#N/A</v>
      </c>
      <c r="K592" t="e">
        <f>INDEX(client_codes,MATCH(loaded!AA592,client,0))</f>
        <v>#N/A</v>
      </c>
      <c r="L592" t="e">
        <f>INDEX(src_ref_codes,MATCH(loaded!AC592,src_ref,0))</f>
        <v>#N/A</v>
      </c>
      <c r="M592" s="8">
        <f>loaded!AE592</f>
        <v>0</v>
      </c>
      <c r="N592" s="8">
        <f>loaded!AG592</f>
        <v>0</v>
      </c>
      <c r="O592" t="e">
        <f>INDEX(reces_codes,MATCH(loaded!AI592,reason,0))</f>
        <v>#N/A</v>
      </c>
      <c r="P592" t="e">
        <f>INDEX(TDS_codes,MATCH(loaded!AK592,TDS,0))</f>
        <v>#N/A</v>
      </c>
      <c r="Q592" t="e">
        <f>IF(K592=2,"",INDEX(method_codes,MATCH(loaded!AM592,method,0)))</f>
        <v>#N/A</v>
      </c>
      <c r="R592" t="e">
        <f>IF(K592=2,"",INDEX(inj_codes,MATCH(loaded!AO592,inj,0)))</f>
        <v>#N/A</v>
      </c>
      <c r="S592" t="e">
        <f>IF(K592=2,"",INDEX(drug_codes,MATCH(loaded!AQ592,drug,0)))</f>
        <v>#N/A</v>
      </c>
      <c r="T592" t="e">
        <f>IF(K592=2,"",_xlfn.IFNA(INDEX(drug_codes,MATCH(loaded!AS592,drug,0)),""))</f>
        <v>#N/A</v>
      </c>
      <c r="U592" t="e">
        <f>IF(K592=2,"",_xlfn.IFNA(INDEX(drug_codes,MATCH(loaded!AU592,drug,0)),""))</f>
        <v>#N/A</v>
      </c>
      <c r="V592" t="e">
        <f>IF(K592=2,"",_xlfn.IFNA(INDEX(drug_codes,MATCH(loaded!AW592,drug,0)),""))</f>
        <v>#N/A</v>
      </c>
      <c r="W592" t="e">
        <f>IF(K592=2,"",_xlfn.IFNA(INDEX(drug_codes,MATCH(loaded!AY592,drug,0)),""))</f>
        <v>#N/A</v>
      </c>
      <c r="X592" t="e">
        <f>IF(K592=2,"",_xlfn.IFNA(INDEX(drug_codes,MATCH(loaded!BA592,drug,0)),""))</f>
        <v>#N/A</v>
      </c>
      <c r="Y592" t="e">
        <f>INDEX(MTT_codes,MATCH(loaded!BC592,MTT,0))</f>
        <v>#N/A</v>
      </c>
      <c r="Z592" t="str">
        <f>_xlfn.IFNA(INDEX(MTT_codes,MATCH(loaded!BE592,MTT,0)),"")</f>
        <v/>
      </c>
      <c r="AA592" t="str">
        <f>_xlfn.IFNA(INDEX(MTT_codes,MATCH(loaded!BG592,MTT,0)),"")</f>
        <v/>
      </c>
      <c r="AB592" t="str">
        <f>_xlfn.IFNA(INDEX(MTT_codes,MATCH(loaded!BI592,MTT,0)),"")</f>
        <v/>
      </c>
      <c r="AC592" t="str">
        <f>_xlfn.IFNA(INDEX(MTT_codes,MATCH(loaded!BK592,MTT,0)),"")</f>
        <v/>
      </c>
      <c r="AD592" t="str">
        <f>_xlfn.IFNA(INDEX(MTT_codes,MATCH(loaded!BM592,MTT,0)),"")</f>
        <v/>
      </c>
      <c r="AE592" t="e">
        <f>INDEX(liv_ar_codes,MATCH(loaded!BO592,liv_ar,0))</f>
        <v>#N/A</v>
      </c>
      <c r="AF592" t="str">
        <f>_xlfn.IFNA(INDEX(MTT_codes,MATCH(loaded!BQ592,MTT,0)),"")</f>
        <v/>
      </c>
      <c r="AG592">
        <f>_xlfn.IFNA(INDEX(mental_codes,MATCH(loaded!BS592,mental,0)),9)</f>
        <v>9</v>
      </c>
    </row>
    <row r="593" spans="1:33" x14ac:dyDescent="0.25">
      <c r="A593">
        <f>loaded!C593</f>
        <v>0</v>
      </c>
      <c r="B593">
        <f>loaded!I593</f>
        <v>0</v>
      </c>
      <c r="C593">
        <f>IF(loaded!K593="Male",1,IF(loaded!K593="Female",2,9))</f>
        <v>9</v>
      </c>
      <c r="D593" s="8">
        <f>loaded!M593</f>
        <v>0</v>
      </c>
      <c r="E593" t="str">
        <f>LEFT(loaded!O593,3)</f>
        <v/>
      </c>
      <c r="F593" t="e">
        <f>INDEX(cntry_codes,MATCH(loaded!Q593,countries,0))</f>
        <v>#N/A</v>
      </c>
      <c r="G593" t="e">
        <f>INDEX(atsi_codes,MATCH(loaded!S593,atsi,0))</f>
        <v>#N/A</v>
      </c>
      <c r="H593" t="e">
        <f>INDEX(lang_codes,MATCH(loaded!U593,lang,0))</f>
        <v>#N/A</v>
      </c>
      <c r="I593" s="8">
        <f>loaded!W593</f>
        <v>0</v>
      </c>
      <c r="J593" t="e">
        <f>INDEX(us_acc_codes,MATCH(loaded!Y593,us_acc,0))</f>
        <v>#N/A</v>
      </c>
      <c r="K593" t="e">
        <f>INDEX(client_codes,MATCH(loaded!AA593,client,0))</f>
        <v>#N/A</v>
      </c>
      <c r="L593" t="e">
        <f>INDEX(src_ref_codes,MATCH(loaded!AC593,src_ref,0))</f>
        <v>#N/A</v>
      </c>
      <c r="M593" s="8">
        <f>loaded!AE593</f>
        <v>0</v>
      </c>
      <c r="N593" s="8">
        <f>loaded!AG593</f>
        <v>0</v>
      </c>
      <c r="O593" t="e">
        <f>INDEX(reces_codes,MATCH(loaded!AI593,reason,0))</f>
        <v>#N/A</v>
      </c>
      <c r="P593" t="e">
        <f>INDEX(TDS_codes,MATCH(loaded!AK593,TDS,0))</f>
        <v>#N/A</v>
      </c>
      <c r="Q593" t="e">
        <f>IF(K593=2,"",INDEX(method_codes,MATCH(loaded!AM593,method,0)))</f>
        <v>#N/A</v>
      </c>
      <c r="R593" t="e">
        <f>IF(K593=2,"",INDEX(inj_codes,MATCH(loaded!AO593,inj,0)))</f>
        <v>#N/A</v>
      </c>
      <c r="S593" t="e">
        <f>IF(K593=2,"",INDEX(drug_codes,MATCH(loaded!AQ593,drug,0)))</f>
        <v>#N/A</v>
      </c>
      <c r="T593" t="e">
        <f>IF(K593=2,"",_xlfn.IFNA(INDEX(drug_codes,MATCH(loaded!AS593,drug,0)),""))</f>
        <v>#N/A</v>
      </c>
      <c r="U593" t="e">
        <f>IF(K593=2,"",_xlfn.IFNA(INDEX(drug_codes,MATCH(loaded!AU593,drug,0)),""))</f>
        <v>#N/A</v>
      </c>
      <c r="V593" t="e">
        <f>IF(K593=2,"",_xlfn.IFNA(INDEX(drug_codes,MATCH(loaded!AW593,drug,0)),""))</f>
        <v>#N/A</v>
      </c>
      <c r="W593" t="e">
        <f>IF(K593=2,"",_xlfn.IFNA(INDEX(drug_codes,MATCH(loaded!AY593,drug,0)),""))</f>
        <v>#N/A</v>
      </c>
      <c r="X593" t="e">
        <f>IF(K593=2,"",_xlfn.IFNA(INDEX(drug_codes,MATCH(loaded!BA593,drug,0)),""))</f>
        <v>#N/A</v>
      </c>
      <c r="Y593" t="e">
        <f>INDEX(MTT_codes,MATCH(loaded!BC593,MTT,0))</f>
        <v>#N/A</v>
      </c>
      <c r="Z593" t="str">
        <f>_xlfn.IFNA(INDEX(MTT_codes,MATCH(loaded!BE593,MTT,0)),"")</f>
        <v/>
      </c>
      <c r="AA593" t="str">
        <f>_xlfn.IFNA(INDEX(MTT_codes,MATCH(loaded!BG593,MTT,0)),"")</f>
        <v/>
      </c>
      <c r="AB593" t="str">
        <f>_xlfn.IFNA(INDEX(MTT_codes,MATCH(loaded!BI593,MTT,0)),"")</f>
        <v/>
      </c>
      <c r="AC593" t="str">
        <f>_xlfn.IFNA(INDEX(MTT_codes,MATCH(loaded!BK593,MTT,0)),"")</f>
        <v/>
      </c>
      <c r="AD593" t="str">
        <f>_xlfn.IFNA(INDEX(MTT_codes,MATCH(loaded!BM593,MTT,0)),"")</f>
        <v/>
      </c>
      <c r="AE593" t="e">
        <f>INDEX(liv_ar_codes,MATCH(loaded!BO593,liv_ar,0))</f>
        <v>#N/A</v>
      </c>
      <c r="AF593" t="str">
        <f>_xlfn.IFNA(INDEX(MTT_codes,MATCH(loaded!BQ593,MTT,0)),"")</f>
        <v/>
      </c>
      <c r="AG593">
        <f>_xlfn.IFNA(INDEX(mental_codes,MATCH(loaded!BS593,mental,0)),9)</f>
        <v>9</v>
      </c>
    </row>
    <row r="594" spans="1:33" x14ac:dyDescent="0.25">
      <c r="A594">
        <f>loaded!C594</f>
        <v>0</v>
      </c>
      <c r="B594">
        <f>loaded!I594</f>
        <v>0</v>
      </c>
      <c r="C594">
        <f>IF(loaded!K594="Male",1,IF(loaded!K594="Female",2,9))</f>
        <v>9</v>
      </c>
      <c r="D594" s="8">
        <f>loaded!M594</f>
        <v>0</v>
      </c>
      <c r="E594" t="str">
        <f>LEFT(loaded!O594,3)</f>
        <v/>
      </c>
      <c r="F594" t="e">
        <f>INDEX(cntry_codes,MATCH(loaded!Q594,countries,0))</f>
        <v>#N/A</v>
      </c>
      <c r="G594" t="e">
        <f>INDEX(atsi_codes,MATCH(loaded!S594,atsi,0))</f>
        <v>#N/A</v>
      </c>
      <c r="H594" t="e">
        <f>INDEX(lang_codes,MATCH(loaded!U594,lang,0))</f>
        <v>#N/A</v>
      </c>
      <c r="I594" s="8">
        <f>loaded!W594</f>
        <v>0</v>
      </c>
      <c r="J594" t="e">
        <f>INDEX(us_acc_codes,MATCH(loaded!Y594,us_acc,0))</f>
        <v>#N/A</v>
      </c>
      <c r="K594" t="e">
        <f>INDEX(client_codes,MATCH(loaded!AA594,client,0))</f>
        <v>#N/A</v>
      </c>
      <c r="L594" t="e">
        <f>INDEX(src_ref_codes,MATCH(loaded!AC594,src_ref,0))</f>
        <v>#N/A</v>
      </c>
      <c r="M594" s="8">
        <f>loaded!AE594</f>
        <v>0</v>
      </c>
      <c r="N594" s="8">
        <f>loaded!AG594</f>
        <v>0</v>
      </c>
      <c r="O594" t="e">
        <f>INDEX(reces_codes,MATCH(loaded!AI594,reason,0))</f>
        <v>#N/A</v>
      </c>
      <c r="P594" t="e">
        <f>INDEX(TDS_codes,MATCH(loaded!AK594,TDS,0))</f>
        <v>#N/A</v>
      </c>
      <c r="Q594" t="e">
        <f>IF(K594=2,"",INDEX(method_codes,MATCH(loaded!AM594,method,0)))</f>
        <v>#N/A</v>
      </c>
      <c r="R594" t="e">
        <f>IF(K594=2,"",INDEX(inj_codes,MATCH(loaded!AO594,inj,0)))</f>
        <v>#N/A</v>
      </c>
      <c r="S594" t="e">
        <f>IF(K594=2,"",INDEX(drug_codes,MATCH(loaded!AQ594,drug,0)))</f>
        <v>#N/A</v>
      </c>
      <c r="T594" t="e">
        <f>IF(K594=2,"",_xlfn.IFNA(INDEX(drug_codes,MATCH(loaded!AS594,drug,0)),""))</f>
        <v>#N/A</v>
      </c>
      <c r="U594" t="e">
        <f>IF(K594=2,"",_xlfn.IFNA(INDEX(drug_codes,MATCH(loaded!AU594,drug,0)),""))</f>
        <v>#N/A</v>
      </c>
      <c r="V594" t="e">
        <f>IF(K594=2,"",_xlfn.IFNA(INDEX(drug_codes,MATCH(loaded!AW594,drug,0)),""))</f>
        <v>#N/A</v>
      </c>
      <c r="W594" t="e">
        <f>IF(K594=2,"",_xlfn.IFNA(INDEX(drug_codes,MATCH(loaded!AY594,drug,0)),""))</f>
        <v>#N/A</v>
      </c>
      <c r="X594" t="e">
        <f>IF(K594=2,"",_xlfn.IFNA(INDEX(drug_codes,MATCH(loaded!BA594,drug,0)),""))</f>
        <v>#N/A</v>
      </c>
      <c r="Y594" t="e">
        <f>INDEX(MTT_codes,MATCH(loaded!BC594,MTT,0))</f>
        <v>#N/A</v>
      </c>
      <c r="Z594" t="str">
        <f>_xlfn.IFNA(INDEX(MTT_codes,MATCH(loaded!BE594,MTT,0)),"")</f>
        <v/>
      </c>
      <c r="AA594" t="str">
        <f>_xlfn.IFNA(INDEX(MTT_codes,MATCH(loaded!BG594,MTT,0)),"")</f>
        <v/>
      </c>
      <c r="AB594" t="str">
        <f>_xlfn.IFNA(INDEX(MTT_codes,MATCH(loaded!BI594,MTT,0)),"")</f>
        <v/>
      </c>
      <c r="AC594" t="str">
        <f>_xlfn.IFNA(INDEX(MTT_codes,MATCH(loaded!BK594,MTT,0)),"")</f>
        <v/>
      </c>
      <c r="AD594" t="str">
        <f>_xlfn.IFNA(INDEX(MTT_codes,MATCH(loaded!BM594,MTT,0)),"")</f>
        <v/>
      </c>
      <c r="AE594" t="e">
        <f>INDEX(liv_ar_codes,MATCH(loaded!BO594,liv_ar,0))</f>
        <v>#N/A</v>
      </c>
      <c r="AF594" t="str">
        <f>_xlfn.IFNA(INDEX(MTT_codes,MATCH(loaded!BQ594,MTT,0)),"")</f>
        <v/>
      </c>
      <c r="AG594">
        <f>_xlfn.IFNA(INDEX(mental_codes,MATCH(loaded!BS594,mental,0)),9)</f>
        <v>9</v>
      </c>
    </row>
    <row r="595" spans="1:33" x14ac:dyDescent="0.25">
      <c r="A595">
        <f>loaded!C595</f>
        <v>0</v>
      </c>
      <c r="B595">
        <f>loaded!I595</f>
        <v>0</v>
      </c>
      <c r="C595">
        <f>IF(loaded!K595="Male",1,IF(loaded!K595="Female",2,9))</f>
        <v>9</v>
      </c>
      <c r="D595" s="8">
        <f>loaded!M595</f>
        <v>0</v>
      </c>
      <c r="E595" t="str">
        <f>LEFT(loaded!O595,3)</f>
        <v/>
      </c>
      <c r="F595" t="e">
        <f>INDEX(cntry_codes,MATCH(loaded!Q595,countries,0))</f>
        <v>#N/A</v>
      </c>
      <c r="G595" t="e">
        <f>INDEX(atsi_codes,MATCH(loaded!S595,atsi,0))</f>
        <v>#N/A</v>
      </c>
      <c r="H595" t="e">
        <f>INDEX(lang_codes,MATCH(loaded!U595,lang,0))</f>
        <v>#N/A</v>
      </c>
      <c r="I595" s="8">
        <f>loaded!W595</f>
        <v>0</v>
      </c>
      <c r="J595" t="e">
        <f>INDEX(us_acc_codes,MATCH(loaded!Y595,us_acc,0))</f>
        <v>#N/A</v>
      </c>
      <c r="K595" t="e">
        <f>INDEX(client_codes,MATCH(loaded!AA595,client,0))</f>
        <v>#N/A</v>
      </c>
      <c r="L595" t="e">
        <f>INDEX(src_ref_codes,MATCH(loaded!AC595,src_ref,0))</f>
        <v>#N/A</v>
      </c>
      <c r="M595" s="8">
        <f>loaded!AE595</f>
        <v>0</v>
      </c>
      <c r="N595" s="8">
        <f>loaded!AG595</f>
        <v>0</v>
      </c>
      <c r="O595" t="e">
        <f>INDEX(reces_codes,MATCH(loaded!AI595,reason,0))</f>
        <v>#N/A</v>
      </c>
      <c r="P595" t="e">
        <f>INDEX(TDS_codes,MATCH(loaded!AK595,TDS,0))</f>
        <v>#N/A</v>
      </c>
      <c r="Q595" t="e">
        <f>IF(K595=2,"",INDEX(method_codes,MATCH(loaded!AM595,method,0)))</f>
        <v>#N/A</v>
      </c>
      <c r="R595" t="e">
        <f>IF(K595=2,"",INDEX(inj_codes,MATCH(loaded!AO595,inj,0)))</f>
        <v>#N/A</v>
      </c>
      <c r="S595" t="e">
        <f>IF(K595=2,"",INDEX(drug_codes,MATCH(loaded!AQ595,drug,0)))</f>
        <v>#N/A</v>
      </c>
      <c r="T595" t="e">
        <f>IF(K595=2,"",_xlfn.IFNA(INDEX(drug_codes,MATCH(loaded!AS595,drug,0)),""))</f>
        <v>#N/A</v>
      </c>
      <c r="U595" t="e">
        <f>IF(K595=2,"",_xlfn.IFNA(INDEX(drug_codes,MATCH(loaded!AU595,drug,0)),""))</f>
        <v>#N/A</v>
      </c>
      <c r="V595" t="e">
        <f>IF(K595=2,"",_xlfn.IFNA(INDEX(drug_codes,MATCH(loaded!AW595,drug,0)),""))</f>
        <v>#N/A</v>
      </c>
      <c r="W595" t="e">
        <f>IF(K595=2,"",_xlfn.IFNA(INDEX(drug_codes,MATCH(loaded!AY595,drug,0)),""))</f>
        <v>#N/A</v>
      </c>
      <c r="X595" t="e">
        <f>IF(K595=2,"",_xlfn.IFNA(INDEX(drug_codes,MATCH(loaded!BA595,drug,0)),""))</f>
        <v>#N/A</v>
      </c>
      <c r="Y595" t="e">
        <f>INDEX(MTT_codes,MATCH(loaded!BC595,MTT,0))</f>
        <v>#N/A</v>
      </c>
      <c r="Z595" t="str">
        <f>_xlfn.IFNA(INDEX(MTT_codes,MATCH(loaded!BE595,MTT,0)),"")</f>
        <v/>
      </c>
      <c r="AA595" t="str">
        <f>_xlfn.IFNA(INDEX(MTT_codes,MATCH(loaded!BG595,MTT,0)),"")</f>
        <v/>
      </c>
      <c r="AB595" t="str">
        <f>_xlfn.IFNA(INDEX(MTT_codes,MATCH(loaded!BI595,MTT,0)),"")</f>
        <v/>
      </c>
      <c r="AC595" t="str">
        <f>_xlfn.IFNA(INDEX(MTT_codes,MATCH(loaded!BK595,MTT,0)),"")</f>
        <v/>
      </c>
      <c r="AD595" t="str">
        <f>_xlfn.IFNA(INDEX(MTT_codes,MATCH(loaded!BM595,MTT,0)),"")</f>
        <v/>
      </c>
      <c r="AE595" t="e">
        <f>INDEX(liv_ar_codes,MATCH(loaded!BO595,liv_ar,0))</f>
        <v>#N/A</v>
      </c>
      <c r="AF595" t="str">
        <f>_xlfn.IFNA(INDEX(MTT_codes,MATCH(loaded!BQ595,MTT,0)),"")</f>
        <v/>
      </c>
      <c r="AG595">
        <f>_xlfn.IFNA(INDEX(mental_codes,MATCH(loaded!BS595,mental,0)),9)</f>
        <v>9</v>
      </c>
    </row>
    <row r="596" spans="1:33" x14ac:dyDescent="0.25">
      <c r="A596">
        <f>loaded!C596</f>
        <v>0</v>
      </c>
      <c r="B596">
        <f>loaded!I596</f>
        <v>0</v>
      </c>
      <c r="C596">
        <f>IF(loaded!K596="Male",1,IF(loaded!K596="Female",2,9))</f>
        <v>9</v>
      </c>
      <c r="D596" s="8">
        <f>loaded!M596</f>
        <v>0</v>
      </c>
      <c r="E596" t="str">
        <f>LEFT(loaded!O596,3)</f>
        <v/>
      </c>
      <c r="F596" t="e">
        <f>INDEX(cntry_codes,MATCH(loaded!Q596,countries,0))</f>
        <v>#N/A</v>
      </c>
      <c r="G596" t="e">
        <f>INDEX(atsi_codes,MATCH(loaded!S596,atsi,0))</f>
        <v>#N/A</v>
      </c>
      <c r="H596" t="e">
        <f>INDEX(lang_codes,MATCH(loaded!U596,lang,0))</f>
        <v>#N/A</v>
      </c>
      <c r="I596" s="8">
        <f>loaded!W596</f>
        <v>0</v>
      </c>
      <c r="J596" t="e">
        <f>INDEX(us_acc_codes,MATCH(loaded!Y596,us_acc,0))</f>
        <v>#N/A</v>
      </c>
      <c r="K596" t="e">
        <f>INDEX(client_codes,MATCH(loaded!AA596,client,0))</f>
        <v>#N/A</v>
      </c>
      <c r="L596" t="e">
        <f>INDEX(src_ref_codes,MATCH(loaded!AC596,src_ref,0))</f>
        <v>#N/A</v>
      </c>
      <c r="M596" s="8">
        <f>loaded!AE596</f>
        <v>0</v>
      </c>
      <c r="N596" s="8">
        <f>loaded!AG596</f>
        <v>0</v>
      </c>
      <c r="O596" t="e">
        <f>INDEX(reces_codes,MATCH(loaded!AI596,reason,0))</f>
        <v>#N/A</v>
      </c>
      <c r="P596" t="e">
        <f>INDEX(TDS_codes,MATCH(loaded!AK596,TDS,0))</f>
        <v>#N/A</v>
      </c>
      <c r="Q596" t="e">
        <f>IF(K596=2,"",INDEX(method_codes,MATCH(loaded!AM596,method,0)))</f>
        <v>#N/A</v>
      </c>
      <c r="R596" t="e">
        <f>IF(K596=2,"",INDEX(inj_codes,MATCH(loaded!AO596,inj,0)))</f>
        <v>#N/A</v>
      </c>
      <c r="S596" t="e">
        <f>IF(K596=2,"",INDEX(drug_codes,MATCH(loaded!AQ596,drug,0)))</f>
        <v>#N/A</v>
      </c>
      <c r="T596" t="e">
        <f>IF(K596=2,"",_xlfn.IFNA(INDEX(drug_codes,MATCH(loaded!AS596,drug,0)),""))</f>
        <v>#N/A</v>
      </c>
      <c r="U596" t="e">
        <f>IF(K596=2,"",_xlfn.IFNA(INDEX(drug_codes,MATCH(loaded!AU596,drug,0)),""))</f>
        <v>#N/A</v>
      </c>
      <c r="V596" t="e">
        <f>IF(K596=2,"",_xlfn.IFNA(INDEX(drug_codes,MATCH(loaded!AW596,drug,0)),""))</f>
        <v>#N/A</v>
      </c>
      <c r="W596" t="e">
        <f>IF(K596=2,"",_xlfn.IFNA(INDEX(drug_codes,MATCH(loaded!AY596,drug,0)),""))</f>
        <v>#N/A</v>
      </c>
      <c r="X596" t="e">
        <f>IF(K596=2,"",_xlfn.IFNA(INDEX(drug_codes,MATCH(loaded!BA596,drug,0)),""))</f>
        <v>#N/A</v>
      </c>
      <c r="Y596" t="e">
        <f>INDEX(MTT_codes,MATCH(loaded!BC596,MTT,0))</f>
        <v>#N/A</v>
      </c>
      <c r="Z596" t="str">
        <f>_xlfn.IFNA(INDEX(MTT_codes,MATCH(loaded!BE596,MTT,0)),"")</f>
        <v/>
      </c>
      <c r="AA596" t="str">
        <f>_xlfn.IFNA(INDEX(MTT_codes,MATCH(loaded!BG596,MTT,0)),"")</f>
        <v/>
      </c>
      <c r="AB596" t="str">
        <f>_xlfn.IFNA(INDEX(MTT_codes,MATCH(loaded!BI596,MTT,0)),"")</f>
        <v/>
      </c>
      <c r="AC596" t="str">
        <f>_xlfn.IFNA(INDEX(MTT_codes,MATCH(loaded!BK596,MTT,0)),"")</f>
        <v/>
      </c>
      <c r="AD596" t="str">
        <f>_xlfn.IFNA(INDEX(MTT_codes,MATCH(loaded!BM596,MTT,0)),"")</f>
        <v/>
      </c>
      <c r="AE596" t="e">
        <f>INDEX(liv_ar_codes,MATCH(loaded!BO596,liv_ar,0))</f>
        <v>#N/A</v>
      </c>
      <c r="AF596" t="str">
        <f>_xlfn.IFNA(INDEX(MTT_codes,MATCH(loaded!BQ596,MTT,0)),"")</f>
        <v/>
      </c>
      <c r="AG596">
        <f>_xlfn.IFNA(INDEX(mental_codes,MATCH(loaded!BS596,mental,0)),9)</f>
        <v>9</v>
      </c>
    </row>
    <row r="597" spans="1:33" x14ac:dyDescent="0.25">
      <c r="A597">
        <f>loaded!C597</f>
        <v>0</v>
      </c>
      <c r="B597">
        <f>loaded!I597</f>
        <v>0</v>
      </c>
      <c r="C597">
        <f>IF(loaded!K597="Male",1,IF(loaded!K597="Female",2,9))</f>
        <v>9</v>
      </c>
      <c r="D597" s="8">
        <f>loaded!M597</f>
        <v>0</v>
      </c>
      <c r="E597" t="str">
        <f>LEFT(loaded!O597,3)</f>
        <v/>
      </c>
      <c r="F597" t="e">
        <f>INDEX(cntry_codes,MATCH(loaded!Q597,countries,0))</f>
        <v>#N/A</v>
      </c>
      <c r="G597" t="e">
        <f>INDEX(atsi_codes,MATCH(loaded!S597,atsi,0))</f>
        <v>#N/A</v>
      </c>
      <c r="H597" t="e">
        <f>INDEX(lang_codes,MATCH(loaded!U597,lang,0))</f>
        <v>#N/A</v>
      </c>
      <c r="I597" s="8">
        <f>loaded!W597</f>
        <v>0</v>
      </c>
      <c r="J597" t="e">
        <f>INDEX(us_acc_codes,MATCH(loaded!Y597,us_acc,0))</f>
        <v>#N/A</v>
      </c>
      <c r="K597" t="e">
        <f>INDEX(client_codes,MATCH(loaded!AA597,client,0))</f>
        <v>#N/A</v>
      </c>
      <c r="L597" t="e">
        <f>INDEX(src_ref_codes,MATCH(loaded!AC597,src_ref,0))</f>
        <v>#N/A</v>
      </c>
      <c r="M597" s="8">
        <f>loaded!AE597</f>
        <v>0</v>
      </c>
      <c r="N597" s="8">
        <f>loaded!AG597</f>
        <v>0</v>
      </c>
      <c r="O597" t="e">
        <f>INDEX(reces_codes,MATCH(loaded!AI597,reason,0))</f>
        <v>#N/A</v>
      </c>
      <c r="P597" t="e">
        <f>INDEX(TDS_codes,MATCH(loaded!AK597,TDS,0))</f>
        <v>#N/A</v>
      </c>
      <c r="Q597" t="e">
        <f>IF(K597=2,"",INDEX(method_codes,MATCH(loaded!AM597,method,0)))</f>
        <v>#N/A</v>
      </c>
      <c r="R597" t="e">
        <f>IF(K597=2,"",INDEX(inj_codes,MATCH(loaded!AO597,inj,0)))</f>
        <v>#N/A</v>
      </c>
      <c r="S597" t="e">
        <f>IF(K597=2,"",INDEX(drug_codes,MATCH(loaded!AQ597,drug,0)))</f>
        <v>#N/A</v>
      </c>
      <c r="T597" t="e">
        <f>IF(K597=2,"",_xlfn.IFNA(INDEX(drug_codes,MATCH(loaded!AS597,drug,0)),""))</f>
        <v>#N/A</v>
      </c>
      <c r="U597" t="e">
        <f>IF(K597=2,"",_xlfn.IFNA(INDEX(drug_codes,MATCH(loaded!AU597,drug,0)),""))</f>
        <v>#N/A</v>
      </c>
      <c r="V597" t="e">
        <f>IF(K597=2,"",_xlfn.IFNA(INDEX(drug_codes,MATCH(loaded!AW597,drug,0)),""))</f>
        <v>#N/A</v>
      </c>
      <c r="W597" t="e">
        <f>IF(K597=2,"",_xlfn.IFNA(INDEX(drug_codes,MATCH(loaded!AY597,drug,0)),""))</f>
        <v>#N/A</v>
      </c>
      <c r="X597" t="e">
        <f>IF(K597=2,"",_xlfn.IFNA(INDEX(drug_codes,MATCH(loaded!BA597,drug,0)),""))</f>
        <v>#N/A</v>
      </c>
      <c r="Y597" t="e">
        <f>INDEX(MTT_codes,MATCH(loaded!BC597,MTT,0))</f>
        <v>#N/A</v>
      </c>
      <c r="Z597" t="str">
        <f>_xlfn.IFNA(INDEX(MTT_codes,MATCH(loaded!BE597,MTT,0)),"")</f>
        <v/>
      </c>
      <c r="AA597" t="str">
        <f>_xlfn.IFNA(INDEX(MTT_codes,MATCH(loaded!BG597,MTT,0)),"")</f>
        <v/>
      </c>
      <c r="AB597" t="str">
        <f>_xlfn.IFNA(INDEX(MTT_codes,MATCH(loaded!BI597,MTT,0)),"")</f>
        <v/>
      </c>
      <c r="AC597" t="str">
        <f>_xlfn.IFNA(INDEX(MTT_codes,MATCH(loaded!BK597,MTT,0)),"")</f>
        <v/>
      </c>
      <c r="AD597" t="str">
        <f>_xlfn.IFNA(INDEX(MTT_codes,MATCH(loaded!BM597,MTT,0)),"")</f>
        <v/>
      </c>
      <c r="AE597" t="e">
        <f>INDEX(liv_ar_codes,MATCH(loaded!BO597,liv_ar,0))</f>
        <v>#N/A</v>
      </c>
      <c r="AF597" t="str">
        <f>_xlfn.IFNA(INDEX(MTT_codes,MATCH(loaded!BQ597,MTT,0)),"")</f>
        <v/>
      </c>
      <c r="AG597">
        <f>_xlfn.IFNA(INDEX(mental_codes,MATCH(loaded!BS597,mental,0)),9)</f>
        <v>9</v>
      </c>
    </row>
    <row r="598" spans="1:33" x14ac:dyDescent="0.25">
      <c r="A598">
        <f>loaded!C598</f>
        <v>0</v>
      </c>
      <c r="B598">
        <f>loaded!I598</f>
        <v>0</v>
      </c>
      <c r="C598">
        <f>IF(loaded!K598="Male",1,IF(loaded!K598="Female",2,9))</f>
        <v>9</v>
      </c>
      <c r="D598" s="8">
        <f>loaded!M598</f>
        <v>0</v>
      </c>
      <c r="E598" t="str">
        <f>LEFT(loaded!O598,3)</f>
        <v/>
      </c>
      <c r="F598" t="e">
        <f>INDEX(cntry_codes,MATCH(loaded!Q598,countries,0))</f>
        <v>#N/A</v>
      </c>
      <c r="G598" t="e">
        <f>INDEX(atsi_codes,MATCH(loaded!S598,atsi,0))</f>
        <v>#N/A</v>
      </c>
      <c r="H598" t="e">
        <f>INDEX(lang_codes,MATCH(loaded!U598,lang,0))</f>
        <v>#N/A</v>
      </c>
      <c r="I598" s="8">
        <f>loaded!W598</f>
        <v>0</v>
      </c>
      <c r="J598" t="e">
        <f>INDEX(us_acc_codes,MATCH(loaded!Y598,us_acc,0))</f>
        <v>#N/A</v>
      </c>
      <c r="K598" t="e">
        <f>INDEX(client_codes,MATCH(loaded!AA598,client,0))</f>
        <v>#N/A</v>
      </c>
      <c r="L598" t="e">
        <f>INDEX(src_ref_codes,MATCH(loaded!AC598,src_ref,0))</f>
        <v>#N/A</v>
      </c>
      <c r="M598" s="8">
        <f>loaded!AE598</f>
        <v>0</v>
      </c>
      <c r="N598" s="8">
        <f>loaded!AG598</f>
        <v>0</v>
      </c>
      <c r="O598" t="e">
        <f>INDEX(reces_codes,MATCH(loaded!AI598,reason,0))</f>
        <v>#N/A</v>
      </c>
      <c r="P598" t="e">
        <f>INDEX(TDS_codes,MATCH(loaded!AK598,TDS,0))</f>
        <v>#N/A</v>
      </c>
      <c r="Q598" t="e">
        <f>IF(K598=2,"",INDEX(method_codes,MATCH(loaded!AM598,method,0)))</f>
        <v>#N/A</v>
      </c>
      <c r="R598" t="e">
        <f>IF(K598=2,"",INDEX(inj_codes,MATCH(loaded!AO598,inj,0)))</f>
        <v>#N/A</v>
      </c>
      <c r="S598" t="e">
        <f>IF(K598=2,"",INDEX(drug_codes,MATCH(loaded!AQ598,drug,0)))</f>
        <v>#N/A</v>
      </c>
      <c r="T598" t="e">
        <f>IF(K598=2,"",_xlfn.IFNA(INDEX(drug_codes,MATCH(loaded!AS598,drug,0)),""))</f>
        <v>#N/A</v>
      </c>
      <c r="U598" t="e">
        <f>IF(K598=2,"",_xlfn.IFNA(INDEX(drug_codes,MATCH(loaded!AU598,drug,0)),""))</f>
        <v>#N/A</v>
      </c>
      <c r="V598" t="e">
        <f>IF(K598=2,"",_xlfn.IFNA(INDEX(drug_codes,MATCH(loaded!AW598,drug,0)),""))</f>
        <v>#N/A</v>
      </c>
      <c r="W598" t="e">
        <f>IF(K598=2,"",_xlfn.IFNA(INDEX(drug_codes,MATCH(loaded!AY598,drug,0)),""))</f>
        <v>#N/A</v>
      </c>
      <c r="X598" t="e">
        <f>IF(K598=2,"",_xlfn.IFNA(INDEX(drug_codes,MATCH(loaded!BA598,drug,0)),""))</f>
        <v>#N/A</v>
      </c>
      <c r="Y598" t="e">
        <f>INDEX(MTT_codes,MATCH(loaded!BC598,MTT,0))</f>
        <v>#N/A</v>
      </c>
      <c r="Z598" t="str">
        <f>_xlfn.IFNA(INDEX(MTT_codes,MATCH(loaded!BE598,MTT,0)),"")</f>
        <v/>
      </c>
      <c r="AA598" t="str">
        <f>_xlfn.IFNA(INDEX(MTT_codes,MATCH(loaded!BG598,MTT,0)),"")</f>
        <v/>
      </c>
      <c r="AB598" t="str">
        <f>_xlfn.IFNA(INDEX(MTT_codes,MATCH(loaded!BI598,MTT,0)),"")</f>
        <v/>
      </c>
      <c r="AC598" t="str">
        <f>_xlfn.IFNA(INDEX(MTT_codes,MATCH(loaded!BK598,MTT,0)),"")</f>
        <v/>
      </c>
      <c r="AD598" t="str">
        <f>_xlfn.IFNA(INDEX(MTT_codes,MATCH(loaded!BM598,MTT,0)),"")</f>
        <v/>
      </c>
      <c r="AE598" t="e">
        <f>INDEX(liv_ar_codes,MATCH(loaded!BO598,liv_ar,0))</f>
        <v>#N/A</v>
      </c>
      <c r="AF598" t="str">
        <f>_xlfn.IFNA(INDEX(MTT_codes,MATCH(loaded!BQ598,MTT,0)),"")</f>
        <v/>
      </c>
      <c r="AG598">
        <f>_xlfn.IFNA(INDEX(mental_codes,MATCH(loaded!BS598,mental,0)),9)</f>
        <v>9</v>
      </c>
    </row>
    <row r="599" spans="1:33" x14ac:dyDescent="0.25">
      <c r="A599">
        <f>loaded!C599</f>
        <v>0</v>
      </c>
      <c r="B599">
        <f>loaded!I599</f>
        <v>0</v>
      </c>
      <c r="C599">
        <f>IF(loaded!K599="Male",1,IF(loaded!K599="Female",2,9))</f>
        <v>9</v>
      </c>
      <c r="D599" s="8">
        <f>loaded!M599</f>
        <v>0</v>
      </c>
      <c r="E599" t="str">
        <f>LEFT(loaded!O599,3)</f>
        <v/>
      </c>
      <c r="F599" t="e">
        <f>INDEX(cntry_codes,MATCH(loaded!Q599,countries,0))</f>
        <v>#N/A</v>
      </c>
      <c r="G599" t="e">
        <f>INDEX(atsi_codes,MATCH(loaded!S599,atsi,0))</f>
        <v>#N/A</v>
      </c>
      <c r="H599" t="e">
        <f>INDEX(lang_codes,MATCH(loaded!U599,lang,0))</f>
        <v>#N/A</v>
      </c>
      <c r="I599" s="8">
        <f>loaded!W599</f>
        <v>0</v>
      </c>
      <c r="J599" t="e">
        <f>INDEX(us_acc_codes,MATCH(loaded!Y599,us_acc,0))</f>
        <v>#N/A</v>
      </c>
      <c r="K599" t="e">
        <f>INDEX(client_codes,MATCH(loaded!AA599,client,0))</f>
        <v>#N/A</v>
      </c>
      <c r="L599" t="e">
        <f>INDEX(src_ref_codes,MATCH(loaded!AC599,src_ref,0))</f>
        <v>#N/A</v>
      </c>
      <c r="M599" s="8">
        <f>loaded!AE599</f>
        <v>0</v>
      </c>
      <c r="N599" s="8">
        <f>loaded!AG599</f>
        <v>0</v>
      </c>
      <c r="O599" t="e">
        <f>INDEX(reces_codes,MATCH(loaded!AI599,reason,0))</f>
        <v>#N/A</v>
      </c>
      <c r="P599" t="e">
        <f>INDEX(TDS_codes,MATCH(loaded!AK599,TDS,0))</f>
        <v>#N/A</v>
      </c>
      <c r="Q599" t="e">
        <f>IF(K599=2,"",INDEX(method_codes,MATCH(loaded!AM599,method,0)))</f>
        <v>#N/A</v>
      </c>
      <c r="R599" t="e">
        <f>IF(K599=2,"",INDEX(inj_codes,MATCH(loaded!AO599,inj,0)))</f>
        <v>#N/A</v>
      </c>
      <c r="S599" t="e">
        <f>IF(K599=2,"",INDEX(drug_codes,MATCH(loaded!AQ599,drug,0)))</f>
        <v>#N/A</v>
      </c>
      <c r="T599" t="e">
        <f>IF(K599=2,"",_xlfn.IFNA(INDEX(drug_codes,MATCH(loaded!AS599,drug,0)),""))</f>
        <v>#N/A</v>
      </c>
      <c r="U599" t="e">
        <f>IF(K599=2,"",_xlfn.IFNA(INDEX(drug_codes,MATCH(loaded!AU599,drug,0)),""))</f>
        <v>#N/A</v>
      </c>
      <c r="V599" t="e">
        <f>IF(K599=2,"",_xlfn.IFNA(INDEX(drug_codes,MATCH(loaded!AW599,drug,0)),""))</f>
        <v>#N/A</v>
      </c>
      <c r="W599" t="e">
        <f>IF(K599=2,"",_xlfn.IFNA(INDEX(drug_codes,MATCH(loaded!AY599,drug,0)),""))</f>
        <v>#N/A</v>
      </c>
      <c r="X599" t="e">
        <f>IF(K599=2,"",_xlfn.IFNA(INDEX(drug_codes,MATCH(loaded!BA599,drug,0)),""))</f>
        <v>#N/A</v>
      </c>
      <c r="Y599" t="e">
        <f>INDEX(MTT_codes,MATCH(loaded!BC599,MTT,0))</f>
        <v>#N/A</v>
      </c>
      <c r="Z599" t="str">
        <f>_xlfn.IFNA(INDEX(MTT_codes,MATCH(loaded!BE599,MTT,0)),"")</f>
        <v/>
      </c>
      <c r="AA599" t="str">
        <f>_xlfn.IFNA(INDEX(MTT_codes,MATCH(loaded!BG599,MTT,0)),"")</f>
        <v/>
      </c>
      <c r="AB599" t="str">
        <f>_xlfn.IFNA(INDEX(MTT_codes,MATCH(loaded!BI599,MTT,0)),"")</f>
        <v/>
      </c>
      <c r="AC599" t="str">
        <f>_xlfn.IFNA(INDEX(MTT_codes,MATCH(loaded!BK599,MTT,0)),"")</f>
        <v/>
      </c>
      <c r="AD599" t="str">
        <f>_xlfn.IFNA(INDEX(MTT_codes,MATCH(loaded!BM599,MTT,0)),"")</f>
        <v/>
      </c>
      <c r="AE599" t="e">
        <f>INDEX(liv_ar_codes,MATCH(loaded!BO599,liv_ar,0))</f>
        <v>#N/A</v>
      </c>
      <c r="AF599" t="str">
        <f>_xlfn.IFNA(INDEX(MTT_codes,MATCH(loaded!BQ599,MTT,0)),"")</f>
        <v/>
      </c>
      <c r="AG599">
        <f>_xlfn.IFNA(INDEX(mental_codes,MATCH(loaded!BS599,mental,0)),9)</f>
        <v>9</v>
      </c>
    </row>
    <row r="600" spans="1:33" x14ac:dyDescent="0.25">
      <c r="A600">
        <f>loaded!C600</f>
        <v>0</v>
      </c>
      <c r="B600">
        <f>loaded!I600</f>
        <v>0</v>
      </c>
      <c r="C600">
        <f>IF(loaded!K600="Male",1,IF(loaded!K600="Female",2,9))</f>
        <v>9</v>
      </c>
      <c r="D600" s="8">
        <f>loaded!M600</f>
        <v>0</v>
      </c>
      <c r="E600" t="str">
        <f>LEFT(loaded!O600,3)</f>
        <v/>
      </c>
      <c r="F600" t="e">
        <f>INDEX(cntry_codes,MATCH(loaded!Q600,countries,0))</f>
        <v>#N/A</v>
      </c>
      <c r="G600" t="e">
        <f>INDEX(atsi_codes,MATCH(loaded!S600,atsi,0))</f>
        <v>#N/A</v>
      </c>
      <c r="H600" t="e">
        <f>INDEX(lang_codes,MATCH(loaded!U600,lang,0))</f>
        <v>#N/A</v>
      </c>
      <c r="I600" s="8">
        <f>loaded!W600</f>
        <v>0</v>
      </c>
      <c r="J600" t="e">
        <f>INDEX(us_acc_codes,MATCH(loaded!Y600,us_acc,0))</f>
        <v>#N/A</v>
      </c>
      <c r="K600" t="e">
        <f>INDEX(client_codes,MATCH(loaded!AA600,client,0))</f>
        <v>#N/A</v>
      </c>
      <c r="L600" t="e">
        <f>INDEX(src_ref_codes,MATCH(loaded!AC600,src_ref,0))</f>
        <v>#N/A</v>
      </c>
      <c r="M600" s="8">
        <f>loaded!AE600</f>
        <v>0</v>
      </c>
      <c r="N600" s="8">
        <f>loaded!AG600</f>
        <v>0</v>
      </c>
      <c r="O600" t="e">
        <f>INDEX(reces_codes,MATCH(loaded!AI600,reason,0))</f>
        <v>#N/A</v>
      </c>
      <c r="P600" t="e">
        <f>INDEX(TDS_codes,MATCH(loaded!AK600,TDS,0))</f>
        <v>#N/A</v>
      </c>
      <c r="Q600" t="e">
        <f>IF(K600=2,"",INDEX(method_codes,MATCH(loaded!AM600,method,0)))</f>
        <v>#N/A</v>
      </c>
      <c r="R600" t="e">
        <f>IF(K600=2,"",INDEX(inj_codes,MATCH(loaded!AO600,inj,0)))</f>
        <v>#N/A</v>
      </c>
      <c r="S600" t="e">
        <f>IF(K600=2,"",INDEX(drug_codes,MATCH(loaded!AQ600,drug,0)))</f>
        <v>#N/A</v>
      </c>
      <c r="T600" t="e">
        <f>IF(K600=2,"",_xlfn.IFNA(INDEX(drug_codes,MATCH(loaded!AS600,drug,0)),""))</f>
        <v>#N/A</v>
      </c>
      <c r="U600" t="e">
        <f>IF(K600=2,"",_xlfn.IFNA(INDEX(drug_codes,MATCH(loaded!AU600,drug,0)),""))</f>
        <v>#N/A</v>
      </c>
      <c r="V600" t="e">
        <f>IF(K600=2,"",_xlfn.IFNA(INDEX(drug_codes,MATCH(loaded!AW600,drug,0)),""))</f>
        <v>#N/A</v>
      </c>
      <c r="W600" t="e">
        <f>IF(K600=2,"",_xlfn.IFNA(INDEX(drug_codes,MATCH(loaded!AY600,drug,0)),""))</f>
        <v>#N/A</v>
      </c>
      <c r="X600" t="e">
        <f>IF(K600=2,"",_xlfn.IFNA(INDEX(drug_codes,MATCH(loaded!BA600,drug,0)),""))</f>
        <v>#N/A</v>
      </c>
      <c r="Y600" t="e">
        <f>INDEX(MTT_codes,MATCH(loaded!BC600,MTT,0))</f>
        <v>#N/A</v>
      </c>
      <c r="Z600" t="str">
        <f>_xlfn.IFNA(INDEX(MTT_codes,MATCH(loaded!BE600,MTT,0)),"")</f>
        <v/>
      </c>
      <c r="AA600" t="str">
        <f>_xlfn.IFNA(INDEX(MTT_codes,MATCH(loaded!BG600,MTT,0)),"")</f>
        <v/>
      </c>
      <c r="AB600" t="str">
        <f>_xlfn.IFNA(INDEX(MTT_codes,MATCH(loaded!BI600,MTT,0)),"")</f>
        <v/>
      </c>
      <c r="AC600" t="str">
        <f>_xlfn.IFNA(INDEX(MTT_codes,MATCH(loaded!BK600,MTT,0)),"")</f>
        <v/>
      </c>
      <c r="AD600" t="str">
        <f>_xlfn.IFNA(INDEX(MTT_codes,MATCH(loaded!BM600,MTT,0)),"")</f>
        <v/>
      </c>
      <c r="AE600" t="e">
        <f>INDEX(liv_ar_codes,MATCH(loaded!BO600,liv_ar,0))</f>
        <v>#N/A</v>
      </c>
      <c r="AF600" t="str">
        <f>_xlfn.IFNA(INDEX(MTT_codes,MATCH(loaded!BQ600,MTT,0)),"")</f>
        <v/>
      </c>
      <c r="AG600">
        <f>_xlfn.IFNA(INDEX(mental_codes,MATCH(loaded!BS600,mental,0)),9)</f>
        <v>9</v>
      </c>
    </row>
    <row r="601" spans="1:33" x14ac:dyDescent="0.25">
      <c r="A601">
        <f>loaded!C601</f>
        <v>0</v>
      </c>
      <c r="B601">
        <f>loaded!I601</f>
        <v>0</v>
      </c>
      <c r="C601">
        <f>IF(loaded!K601="Male",1,IF(loaded!K601="Female",2,9))</f>
        <v>9</v>
      </c>
      <c r="D601" s="8">
        <f>loaded!M601</f>
        <v>0</v>
      </c>
      <c r="E601" t="str">
        <f>LEFT(loaded!O601,3)</f>
        <v/>
      </c>
      <c r="F601" t="e">
        <f>INDEX(cntry_codes,MATCH(loaded!Q601,countries,0))</f>
        <v>#N/A</v>
      </c>
      <c r="G601" t="e">
        <f>INDEX(atsi_codes,MATCH(loaded!S601,atsi,0))</f>
        <v>#N/A</v>
      </c>
      <c r="H601" t="e">
        <f>INDEX(lang_codes,MATCH(loaded!U601,lang,0))</f>
        <v>#N/A</v>
      </c>
      <c r="I601" s="8">
        <f>loaded!W601</f>
        <v>0</v>
      </c>
      <c r="J601" t="e">
        <f>INDEX(us_acc_codes,MATCH(loaded!Y601,us_acc,0))</f>
        <v>#N/A</v>
      </c>
      <c r="K601" t="e">
        <f>INDEX(client_codes,MATCH(loaded!AA601,client,0))</f>
        <v>#N/A</v>
      </c>
      <c r="L601" t="e">
        <f>INDEX(src_ref_codes,MATCH(loaded!AC601,src_ref,0))</f>
        <v>#N/A</v>
      </c>
      <c r="M601" s="8">
        <f>loaded!AE601</f>
        <v>0</v>
      </c>
      <c r="N601" s="8">
        <f>loaded!AG601</f>
        <v>0</v>
      </c>
      <c r="O601" t="e">
        <f>INDEX(reces_codes,MATCH(loaded!AI601,reason,0))</f>
        <v>#N/A</v>
      </c>
      <c r="P601" t="e">
        <f>INDEX(TDS_codes,MATCH(loaded!AK601,TDS,0))</f>
        <v>#N/A</v>
      </c>
      <c r="Q601" t="e">
        <f>IF(K601=2,"",INDEX(method_codes,MATCH(loaded!AM601,method,0)))</f>
        <v>#N/A</v>
      </c>
      <c r="R601" t="e">
        <f>IF(K601=2,"",INDEX(inj_codes,MATCH(loaded!AO601,inj,0)))</f>
        <v>#N/A</v>
      </c>
      <c r="S601" t="e">
        <f>IF(K601=2,"",INDEX(drug_codes,MATCH(loaded!AQ601,drug,0)))</f>
        <v>#N/A</v>
      </c>
      <c r="T601" t="e">
        <f>IF(K601=2,"",_xlfn.IFNA(INDEX(drug_codes,MATCH(loaded!AS601,drug,0)),""))</f>
        <v>#N/A</v>
      </c>
      <c r="U601" t="e">
        <f>IF(K601=2,"",_xlfn.IFNA(INDEX(drug_codes,MATCH(loaded!AU601,drug,0)),""))</f>
        <v>#N/A</v>
      </c>
      <c r="V601" t="e">
        <f>IF(K601=2,"",_xlfn.IFNA(INDEX(drug_codes,MATCH(loaded!AW601,drug,0)),""))</f>
        <v>#N/A</v>
      </c>
      <c r="W601" t="e">
        <f>IF(K601=2,"",_xlfn.IFNA(INDEX(drug_codes,MATCH(loaded!AY601,drug,0)),""))</f>
        <v>#N/A</v>
      </c>
      <c r="X601" t="e">
        <f>IF(K601=2,"",_xlfn.IFNA(INDEX(drug_codes,MATCH(loaded!BA601,drug,0)),""))</f>
        <v>#N/A</v>
      </c>
      <c r="Y601" t="e">
        <f>INDEX(MTT_codes,MATCH(loaded!BC601,MTT,0))</f>
        <v>#N/A</v>
      </c>
      <c r="Z601" t="str">
        <f>_xlfn.IFNA(INDEX(MTT_codes,MATCH(loaded!BE601,MTT,0)),"")</f>
        <v/>
      </c>
      <c r="AA601" t="str">
        <f>_xlfn.IFNA(INDEX(MTT_codes,MATCH(loaded!BG601,MTT,0)),"")</f>
        <v/>
      </c>
      <c r="AB601" t="str">
        <f>_xlfn.IFNA(INDEX(MTT_codes,MATCH(loaded!BI601,MTT,0)),"")</f>
        <v/>
      </c>
      <c r="AC601" t="str">
        <f>_xlfn.IFNA(INDEX(MTT_codes,MATCH(loaded!BK601,MTT,0)),"")</f>
        <v/>
      </c>
      <c r="AD601" t="str">
        <f>_xlfn.IFNA(INDEX(MTT_codes,MATCH(loaded!BM601,MTT,0)),"")</f>
        <v/>
      </c>
      <c r="AE601" t="e">
        <f>INDEX(liv_ar_codes,MATCH(loaded!BO601,liv_ar,0))</f>
        <v>#N/A</v>
      </c>
      <c r="AF601" t="str">
        <f>_xlfn.IFNA(INDEX(MTT_codes,MATCH(loaded!BQ601,MTT,0)),"")</f>
        <v/>
      </c>
      <c r="AG601">
        <f>_xlfn.IFNA(INDEX(mental_codes,MATCH(loaded!BS601,mental,0)),9)</f>
        <v>9</v>
      </c>
    </row>
    <row r="602" spans="1:33" x14ac:dyDescent="0.25">
      <c r="A602">
        <f>loaded!C602</f>
        <v>0</v>
      </c>
      <c r="B602">
        <f>loaded!I602</f>
        <v>0</v>
      </c>
      <c r="C602">
        <f>IF(loaded!K602="Male",1,IF(loaded!K602="Female",2,9))</f>
        <v>9</v>
      </c>
      <c r="D602" s="8">
        <f>loaded!M602</f>
        <v>0</v>
      </c>
      <c r="E602" t="str">
        <f>LEFT(loaded!O602,3)</f>
        <v/>
      </c>
      <c r="F602" t="e">
        <f>INDEX(cntry_codes,MATCH(loaded!Q602,countries,0))</f>
        <v>#N/A</v>
      </c>
      <c r="G602" t="e">
        <f>INDEX(atsi_codes,MATCH(loaded!S602,atsi,0))</f>
        <v>#N/A</v>
      </c>
      <c r="H602" t="e">
        <f>INDEX(lang_codes,MATCH(loaded!U602,lang,0))</f>
        <v>#N/A</v>
      </c>
      <c r="I602" s="8">
        <f>loaded!W602</f>
        <v>0</v>
      </c>
      <c r="J602" t="e">
        <f>INDEX(us_acc_codes,MATCH(loaded!Y602,us_acc,0))</f>
        <v>#N/A</v>
      </c>
      <c r="K602" t="e">
        <f>INDEX(client_codes,MATCH(loaded!AA602,client,0))</f>
        <v>#N/A</v>
      </c>
      <c r="L602" t="e">
        <f>INDEX(src_ref_codes,MATCH(loaded!AC602,src_ref,0))</f>
        <v>#N/A</v>
      </c>
      <c r="M602" s="8">
        <f>loaded!AE602</f>
        <v>0</v>
      </c>
      <c r="N602" s="8">
        <f>loaded!AG602</f>
        <v>0</v>
      </c>
      <c r="O602" t="e">
        <f>INDEX(reces_codes,MATCH(loaded!AI602,reason,0))</f>
        <v>#N/A</v>
      </c>
      <c r="P602" t="e">
        <f>INDEX(TDS_codes,MATCH(loaded!AK602,TDS,0))</f>
        <v>#N/A</v>
      </c>
      <c r="Q602" t="e">
        <f>IF(K602=2,"",INDEX(method_codes,MATCH(loaded!AM602,method,0)))</f>
        <v>#N/A</v>
      </c>
      <c r="R602" t="e">
        <f>IF(K602=2,"",INDEX(inj_codes,MATCH(loaded!AO602,inj,0)))</f>
        <v>#N/A</v>
      </c>
      <c r="S602" t="e">
        <f>IF(K602=2,"",INDEX(drug_codes,MATCH(loaded!AQ602,drug,0)))</f>
        <v>#N/A</v>
      </c>
      <c r="T602" t="e">
        <f>IF(K602=2,"",_xlfn.IFNA(INDEX(drug_codes,MATCH(loaded!AS602,drug,0)),""))</f>
        <v>#N/A</v>
      </c>
      <c r="U602" t="e">
        <f>IF(K602=2,"",_xlfn.IFNA(INDEX(drug_codes,MATCH(loaded!AU602,drug,0)),""))</f>
        <v>#N/A</v>
      </c>
      <c r="V602" t="e">
        <f>IF(K602=2,"",_xlfn.IFNA(INDEX(drug_codes,MATCH(loaded!AW602,drug,0)),""))</f>
        <v>#N/A</v>
      </c>
      <c r="W602" t="e">
        <f>IF(K602=2,"",_xlfn.IFNA(INDEX(drug_codes,MATCH(loaded!AY602,drug,0)),""))</f>
        <v>#N/A</v>
      </c>
      <c r="X602" t="e">
        <f>IF(K602=2,"",_xlfn.IFNA(INDEX(drug_codes,MATCH(loaded!BA602,drug,0)),""))</f>
        <v>#N/A</v>
      </c>
      <c r="Y602" t="e">
        <f>INDEX(MTT_codes,MATCH(loaded!BC602,MTT,0))</f>
        <v>#N/A</v>
      </c>
      <c r="Z602" t="str">
        <f>_xlfn.IFNA(INDEX(MTT_codes,MATCH(loaded!BE602,MTT,0)),"")</f>
        <v/>
      </c>
      <c r="AA602" t="str">
        <f>_xlfn.IFNA(INDEX(MTT_codes,MATCH(loaded!BG602,MTT,0)),"")</f>
        <v/>
      </c>
      <c r="AB602" t="str">
        <f>_xlfn.IFNA(INDEX(MTT_codes,MATCH(loaded!BI602,MTT,0)),"")</f>
        <v/>
      </c>
      <c r="AC602" t="str">
        <f>_xlfn.IFNA(INDEX(MTT_codes,MATCH(loaded!BK602,MTT,0)),"")</f>
        <v/>
      </c>
      <c r="AD602" t="str">
        <f>_xlfn.IFNA(INDEX(MTT_codes,MATCH(loaded!BM602,MTT,0)),"")</f>
        <v/>
      </c>
      <c r="AE602" t="e">
        <f>INDEX(liv_ar_codes,MATCH(loaded!BO602,liv_ar,0))</f>
        <v>#N/A</v>
      </c>
      <c r="AF602" t="str">
        <f>_xlfn.IFNA(INDEX(MTT_codes,MATCH(loaded!BQ602,MTT,0)),"")</f>
        <v/>
      </c>
      <c r="AG602">
        <f>_xlfn.IFNA(INDEX(mental_codes,MATCH(loaded!BS602,mental,0)),9)</f>
        <v>9</v>
      </c>
    </row>
    <row r="603" spans="1:33" x14ac:dyDescent="0.25">
      <c r="A603">
        <f>loaded!C603</f>
        <v>0</v>
      </c>
      <c r="B603">
        <f>loaded!I603</f>
        <v>0</v>
      </c>
      <c r="C603">
        <f>IF(loaded!K603="Male",1,IF(loaded!K603="Female",2,9))</f>
        <v>9</v>
      </c>
      <c r="D603" s="8">
        <f>loaded!M603</f>
        <v>0</v>
      </c>
      <c r="E603" t="str">
        <f>LEFT(loaded!O603,3)</f>
        <v/>
      </c>
      <c r="F603" t="e">
        <f>INDEX(cntry_codes,MATCH(loaded!Q603,countries,0))</f>
        <v>#N/A</v>
      </c>
      <c r="G603" t="e">
        <f>INDEX(atsi_codes,MATCH(loaded!S603,atsi,0))</f>
        <v>#N/A</v>
      </c>
      <c r="H603" t="e">
        <f>INDEX(lang_codes,MATCH(loaded!U603,lang,0))</f>
        <v>#N/A</v>
      </c>
      <c r="I603" s="8">
        <f>loaded!W603</f>
        <v>0</v>
      </c>
      <c r="J603" t="e">
        <f>INDEX(us_acc_codes,MATCH(loaded!Y603,us_acc,0))</f>
        <v>#N/A</v>
      </c>
      <c r="K603" t="e">
        <f>INDEX(client_codes,MATCH(loaded!AA603,client,0))</f>
        <v>#N/A</v>
      </c>
      <c r="L603" t="e">
        <f>INDEX(src_ref_codes,MATCH(loaded!AC603,src_ref,0))</f>
        <v>#N/A</v>
      </c>
      <c r="M603" s="8">
        <f>loaded!AE603</f>
        <v>0</v>
      </c>
      <c r="N603" s="8">
        <f>loaded!AG603</f>
        <v>0</v>
      </c>
      <c r="O603" t="e">
        <f>INDEX(reces_codes,MATCH(loaded!AI603,reason,0))</f>
        <v>#N/A</v>
      </c>
      <c r="P603" t="e">
        <f>INDEX(TDS_codes,MATCH(loaded!AK603,TDS,0))</f>
        <v>#N/A</v>
      </c>
      <c r="Q603" t="e">
        <f>IF(K603=2,"",INDEX(method_codes,MATCH(loaded!AM603,method,0)))</f>
        <v>#N/A</v>
      </c>
      <c r="R603" t="e">
        <f>IF(K603=2,"",INDEX(inj_codes,MATCH(loaded!AO603,inj,0)))</f>
        <v>#N/A</v>
      </c>
      <c r="S603" t="e">
        <f>IF(K603=2,"",INDEX(drug_codes,MATCH(loaded!AQ603,drug,0)))</f>
        <v>#N/A</v>
      </c>
      <c r="T603" t="e">
        <f>IF(K603=2,"",_xlfn.IFNA(INDEX(drug_codes,MATCH(loaded!AS603,drug,0)),""))</f>
        <v>#N/A</v>
      </c>
      <c r="U603" t="e">
        <f>IF(K603=2,"",_xlfn.IFNA(INDEX(drug_codes,MATCH(loaded!AU603,drug,0)),""))</f>
        <v>#N/A</v>
      </c>
      <c r="V603" t="e">
        <f>IF(K603=2,"",_xlfn.IFNA(INDEX(drug_codes,MATCH(loaded!AW603,drug,0)),""))</f>
        <v>#N/A</v>
      </c>
      <c r="W603" t="e">
        <f>IF(K603=2,"",_xlfn.IFNA(INDEX(drug_codes,MATCH(loaded!AY603,drug,0)),""))</f>
        <v>#N/A</v>
      </c>
      <c r="X603" t="e">
        <f>IF(K603=2,"",_xlfn.IFNA(INDEX(drug_codes,MATCH(loaded!BA603,drug,0)),""))</f>
        <v>#N/A</v>
      </c>
      <c r="Y603" t="e">
        <f>INDEX(MTT_codes,MATCH(loaded!BC603,MTT,0))</f>
        <v>#N/A</v>
      </c>
      <c r="Z603" t="str">
        <f>_xlfn.IFNA(INDEX(MTT_codes,MATCH(loaded!BE603,MTT,0)),"")</f>
        <v/>
      </c>
      <c r="AA603" t="str">
        <f>_xlfn.IFNA(INDEX(MTT_codes,MATCH(loaded!BG603,MTT,0)),"")</f>
        <v/>
      </c>
      <c r="AB603" t="str">
        <f>_xlfn.IFNA(INDEX(MTT_codes,MATCH(loaded!BI603,MTT,0)),"")</f>
        <v/>
      </c>
      <c r="AC603" t="str">
        <f>_xlfn.IFNA(INDEX(MTT_codes,MATCH(loaded!BK603,MTT,0)),"")</f>
        <v/>
      </c>
      <c r="AD603" t="str">
        <f>_xlfn.IFNA(INDEX(MTT_codes,MATCH(loaded!BM603,MTT,0)),"")</f>
        <v/>
      </c>
      <c r="AE603" t="e">
        <f>INDEX(liv_ar_codes,MATCH(loaded!BO603,liv_ar,0))</f>
        <v>#N/A</v>
      </c>
      <c r="AF603" t="str">
        <f>_xlfn.IFNA(INDEX(MTT_codes,MATCH(loaded!BQ603,MTT,0)),"")</f>
        <v/>
      </c>
      <c r="AG603">
        <f>_xlfn.IFNA(INDEX(mental_codes,MATCH(loaded!BS603,mental,0)),9)</f>
        <v>9</v>
      </c>
    </row>
    <row r="604" spans="1:33" x14ac:dyDescent="0.25">
      <c r="A604">
        <f>loaded!C604</f>
        <v>0</v>
      </c>
      <c r="B604">
        <f>loaded!I604</f>
        <v>0</v>
      </c>
      <c r="C604">
        <f>IF(loaded!K604="Male",1,IF(loaded!K604="Female",2,9))</f>
        <v>9</v>
      </c>
      <c r="D604" s="8">
        <f>loaded!M604</f>
        <v>0</v>
      </c>
      <c r="E604" t="str">
        <f>LEFT(loaded!O604,3)</f>
        <v/>
      </c>
      <c r="F604" t="e">
        <f>INDEX(cntry_codes,MATCH(loaded!Q604,countries,0))</f>
        <v>#N/A</v>
      </c>
      <c r="G604" t="e">
        <f>INDEX(atsi_codes,MATCH(loaded!S604,atsi,0))</f>
        <v>#N/A</v>
      </c>
      <c r="H604" t="e">
        <f>INDEX(lang_codes,MATCH(loaded!U604,lang,0))</f>
        <v>#N/A</v>
      </c>
      <c r="I604" s="8">
        <f>loaded!W604</f>
        <v>0</v>
      </c>
      <c r="J604" t="e">
        <f>INDEX(us_acc_codes,MATCH(loaded!Y604,us_acc,0))</f>
        <v>#N/A</v>
      </c>
      <c r="K604" t="e">
        <f>INDEX(client_codes,MATCH(loaded!AA604,client,0))</f>
        <v>#N/A</v>
      </c>
      <c r="L604" t="e">
        <f>INDEX(src_ref_codes,MATCH(loaded!AC604,src_ref,0))</f>
        <v>#N/A</v>
      </c>
      <c r="M604" s="8">
        <f>loaded!AE604</f>
        <v>0</v>
      </c>
      <c r="N604" s="8">
        <f>loaded!AG604</f>
        <v>0</v>
      </c>
      <c r="O604" t="e">
        <f>INDEX(reces_codes,MATCH(loaded!AI604,reason,0))</f>
        <v>#N/A</v>
      </c>
      <c r="P604" t="e">
        <f>INDEX(TDS_codes,MATCH(loaded!AK604,TDS,0))</f>
        <v>#N/A</v>
      </c>
      <c r="Q604" t="e">
        <f>IF(K604=2,"",INDEX(method_codes,MATCH(loaded!AM604,method,0)))</f>
        <v>#N/A</v>
      </c>
      <c r="R604" t="e">
        <f>IF(K604=2,"",INDEX(inj_codes,MATCH(loaded!AO604,inj,0)))</f>
        <v>#N/A</v>
      </c>
      <c r="S604" t="e">
        <f>IF(K604=2,"",INDEX(drug_codes,MATCH(loaded!AQ604,drug,0)))</f>
        <v>#N/A</v>
      </c>
      <c r="T604" t="e">
        <f>IF(K604=2,"",_xlfn.IFNA(INDEX(drug_codes,MATCH(loaded!AS604,drug,0)),""))</f>
        <v>#N/A</v>
      </c>
      <c r="U604" t="e">
        <f>IF(K604=2,"",_xlfn.IFNA(INDEX(drug_codes,MATCH(loaded!AU604,drug,0)),""))</f>
        <v>#N/A</v>
      </c>
      <c r="V604" t="e">
        <f>IF(K604=2,"",_xlfn.IFNA(INDEX(drug_codes,MATCH(loaded!AW604,drug,0)),""))</f>
        <v>#N/A</v>
      </c>
      <c r="W604" t="e">
        <f>IF(K604=2,"",_xlfn.IFNA(INDEX(drug_codes,MATCH(loaded!AY604,drug,0)),""))</f>
        <v>#N/A</v>
      </c>
      <c r="X604" t="e">
        <f>IF(K604=2,"",_xlfn.IFNA(INDEX(drug_codes,MATCH(loaded!BA604,drug,0)),""))</f>
        <v>#N/A</v>
      </c>
      <c r="Y604" t="e">
        <f>INDEX(MTT_codes,MATCH(loaded!BC604,MTT,0))</f>
        <v>#N/A</v>
      </c>
      <c r="Z604" t="str">
        <f>_xlfn.IFNA(INDEX(MTT_codes,MATCH(loaded!BE604,MTT,0)),"")</f>
        <v/>
      </c>
      <c r="AA604" t="str">
        <f>_xlfn.IFNA(INDEX(MTT_codes,MATCH(loaded!BG604,MTT,0)),"")</f>
        <v/>
      </c>
      <c r="AB604" t="str">
        <f>_xlfn.IFNA(INDEX(MTT_codes,MATCH(loaded!BI604,MTT,0)),"")</f>
        <v/>
      </c>
      <c r="AC604" t="str">
        <f>_xlfn.IFNA(INDEX(MTT_codes,MATCH(loaded!BK604,MTT,0)),"")</f>
        <v/>
      </c>
      <c r="AD604" t="str">
        <f>_xlfn.IFNA(INDEX(MTT_codes,MATCH(loaded!BM604,MTT,0)),"")</f>
        <v/>
      </c>
      <c r="AE604" t="e">
        <f>INDEX(liv_ar_codes,MATCH(loaded!BO604,liv_ar,0))</f>
        <v>#N/A</v>
      </c>
      <c r="AF604" t="str">
        <f>_xlfn.IFNA(INDEX(MTT_codes,MATCH(loaded!BQ604,MTT,0)),"")</f>
        <v/>
      </c>
      <c r="AG604">
        <f>_xlfn.IFNA(INDEX(mental_codes,MATCH(loaded!BS604,mental,0)),9)</f>
        <v>9</v>
      </c>
    </row>
    <row r="605" spans="1:33" x14ac:dyDescent="0.25">
      <c r="A605">
        <f>loaded!C605</f>
        <v>0</v>
      </c>
      <c r="B605">
        <f>loaded!I605</f>
        <v>0</v>
      </c>
      <c r="C605">
        <f>IF(loaded!K605="Male",1,IF(loaded!K605="Female",2,9))</f>
        <v>9</v>
      </c>
      <c r="D605" s="8">
        <f>loaded!M605</f>
        <v>0</v>
      </c>
      <c r="E605" t="str">
        <f>LEFT(loaded!O605,3)</f>
        <v/>
      </c>
      <c r="F605" t="e">
        <f>INDEX(cntry_codes,MATCH(loaded!Q605,countries,0))</f>
        <v>#N/A</v>
      </c>
      <c r="G605" t="e">
        <f>INDEX(atsi_codes,MATCH(loaded!S605,atsi,0))</f>
        <v>#N/A</v>
      </c>
      <c r="H605" t="e">
        <f>INDEX(lang_codes,MATCH(loaded!U605,lang,0))</f>
        <v>#N/A</v>
      </c>
      <c r="I605" s="8">
        <f>loaded!W605</f>
        <v>0</v>
      </c>
      <c r="J605" t="e">
        <f>INDEX(us_acc_codes,MATCH(loaded!Y605,us_acc,0))</f>
        <v>#N/A</v>
      </c>
      <c r="K605" t="e">
        <f>INDEX(client_codes,MATCH(loaded!AA605,client,0))</f>
        <v>#N/A</v>
      </c>
      <c r="L605" t="e">
        <f>INDEX(src_ref_codes,MATCH(loaded!AC605,src_ref,0))</f>
        <v>#N/A</v>
      </c>
      <c r="M605" s="8">
        <f>loaded!AE605</f>
        <v>0</v>
      </c>
      <c r="N605" s="8">
        <f>loaded!AG605</f>
        <v>0</v>
      </c>
      <c r="O605" t="e">
        <f>INDEX(reces_codes,MATCH(loaded!AI605,reason,0))</f>
        <v>#N/A</v>
      </c>
      <c r="P605" t="e">
        <f>INDEX(TDS_codes,MATCH(loaded!AK605,TDS,0))</f>
        <v>#N/A</v>
      </c>
      <c r="Q605" t="e">
        <f>IF(K605=2,"",INDEX(method_codes,MATCH(loaded!AM605,method,0)))</f>
        <v>#N/A</v>
      </c>
      <c r="R605" t="e">
        <f>IF(K605=2,"",INDEX(inj_codes,MATCH(loaded!AO605,inj,0)))</f>
        <v>#N/A</v>
      </c>
      <c r="S605" t="e">
        <f>IF(K605=2,"",INDEX(drug_codes,MATCH(loaded!AQ605,drug,0)))</f>
        <v>#N/A</v>
      </c>
      <c r="T605" t="e">
        <f>IF(K605=2,"",_xlfn.IFNA(INDEX(drug_codes,MATCH(loaded!AS605,drug,0)),""))</f>
        <v>#N/A</v>
      </c>
      <c r="U605" t="e">
        <f>IF(K605=2,"",_xlfn.IFNA(INDEX(drug_codes,MATCH(loaded!AU605,drug,0)),""))</f>
        <v>#N/A</v>
      </c>
      <c r="V605" t="e">
        <f>IF(K605=2,"",_xlfn.IFNA(INDEX(drug_codes,MATCH(loaded!AW605,drug,0)),""))</f>
        <v>#N/A</v>
      </c>
      <c r="W605" t="e">
        <f>IF(K605=2,"",_xlfn.IFNA(INDEX(drug_codes,MATCH(loaded!AY605,drug,0)),""))</f>
        <v>#N/A</v>
      </c>
      <c r="X605" t="e">
        <f>IF(K605=2,"",_xlfn.IFNA(INDEX(drug_codes,MATCH(loaded!BA605,drug,0)),""))</f>
        <v>#N/A</v>
      </c>
      <c r="Y605" t="e">
        <f>INDEX(MTT_codes,MATCH(loaded!BC605,MTT,0))</f>
        <v>#N/A</v>
      </c>
      <c r="Z605" t="str">
        <f>_xlfn.IFNA(INDEX(MTT_codes,MATCH(loaded!BE605,MTT,0)),"")</f>
        <v/>
      </c>
      <c r="AA605" t="str">
        <f>_xlfn.IFNA(INDEX(MTT_codes,MATCH(loaded!BG605,MTT,0)),"")</f>
        <v/>
      </c>
      <c r="AB605" t="str">
        <f>_xlfn.IFNA(INDEX(MTT_codes,MATCH(loaded!BI605,MTT,0)),"")</f>
        <v/>
      </c>
      <c r="AC605" t="str">
        <f>_xlfn.IFNA(INDEX(MTT_codes,MATCH(loaded!BK605,MTT,0)),"")</f>
        <v/>
      </c>
      <c r="AD605" t="str">
        <f>_xlfn.IFNA(INDEX(MTT_codes,MATCH(loaded!BM605,MTT,0)),"")</f>
        <v/>
      </c>
      <c r="AE605" t="e">
        <f>INDEX(liv_ar_codes,MATCH(loaded!BO605,liv_ar,0))</f>
        <v>#N/A</v>
      </c>
      <c r="AF605" t="str">
        <f>_xlfn.IFNA(INDEX(MTT_codes,MATCH(loaded!BQ605,MTT,0)),"")</f>
        <v/>
      </c>
      <c r="AG605">
        <f>_xlfn.IFNA(INDEX(mental_codes,MATCH(loaded!BS605,mental,0)),9)</f>
        <v>9</v>
      </c>
    </row>
    <row r="606" spans="1:33" x14ac:dyDescent="0.25">
      <c r="A606">
        <f>loaded!C606</f>
        <v>0</v>
      </c>
      <c r="B606">
        <f>loaded!I606</f>
        <v>0</v>
      </c>
      <c r="C606">
        <f>IF(loaded!K606="Male",1,IF(loaded!K606="Female",2,9))</f>
        <v>9</v>
      </c>
      <c r="D606" s="8">
        <f>loaded!M606</f>
        <v>0</v>
      </c>
      <c r="E606" t="str">
        <f>LEFT(loaded!O606,3)</f>
        <v/>
      </c>
      <c r="F606" t="e">
        <f>INDEX(cntry_codes,MATCH(loaded!Q606,countries,0))</f>
        <v>#N/A</v>
      </c>
      <c r="G606" t="e">
        <f>INDEX(atsi_codes,MATCH(loaded!S606,atsi,0))</f>
        <v>#N/A</v>
      </c>
      <c r="H606" t="e">
        <f>INDEX(lang_codes,MATCH(loaded!U606,lang,0))</f>
        <v>#N/A</v>
      </c>
      <c r="I606" s="8">
        <f>loaded!W606</f>
        <v>0</v>
      </c>
      <c r="J606" t="e">
        <f>INDEX(us_acc_codes,MATCH(loaded!Y606,us_acc,0))</f>
        <v>#N/A</v>
      </c>
      <c r="K606" t="e">
        <f>INDEX(client_codes,MATCH(loaded!AA606,client,0))</f>
        <v>#N/A</v>
      </c>
      <c r="L606" t="e">
        <f>INDEX(src_ref_codes,MATCH(loaded!AC606,src_ref,0))</f>
        <v>#N/A</v>
      </c>
      <c r="M606" s="8">
        <f>loaded!AE606</f>
        <v>0</v>
      </c>
      <c r="N606" s="8">
        <f>loaded!AG606</f>
        <v>0</v>
      </c>
      <c r="O606" t="e">
        <f>INDEX(reces_codes,MATCH(loaded!AI606,reason,0))</f>
        <v>#N/A</v>
      </c>
      <c r="P606" t="e">
        <f>INDEX(TDS_codes,MATCH(loaded!AK606,TDS,0))</f>
        <v>#N/A</v>
      </c>
      <c r="Q606" t="e">
        <f>IF(K606=2,"",INDEX(method_codes,MATCH(loaded!AM606,method,0)))</f>
        <v>#N/A</v>
      </c>
      <c r="R606" t="e">
        <f>IF(K606=2,"",INDEX(inj_codes,MATCH(loaded!AO606,inj,0)))</f>
        <v>#N/A</v>
      </c>
      <c r="S606" t="e">
        <f>IF(K606=2,"",INDEX(drug_codes,MATCH(loaded!AQ606,drug,0)))</f>
        <v>#N/A</v>
      </c>
      <c r="T606" t="e">
        <f>IF(K606=2,"",_xlfn.IFNA(INDEX(drug_codes,MATCH(loaded!AS606,drug,0)),""))</f>
        <v>#N/A</v>
      </c>
      <c r="U606" t="e">
        <f>IF(K606=2,"",_xlfn.IFNA(INDEX(drug_codes,MATCH(loaded!AU606,drug,0)),""))</f>
        <v>#N/A</v>
      </c>
      <c r="V606" t="e">
        <f>IF(K606=2,"",_xlfn.IFNA(INDEX(drug_codes,MATCH(loaded!AW606,drug,0)),""))</f>
        <v>#N/A</v>
      </c>
      <c r="W606" t="e">
        <f>IF(K606=2,"",_xlfn.IFNA(INDEX(drug_codes,MATCH(loaded!AY606,drug,0)),""))</f>
        <v>#N/A</v>
      </c>
      <c r="X606" t="e">
        <f>IF(K606=2,"",_xlfn.IFNA(INDEX(drug_codes,MATCH(loaded!BA606,drug,0)),""))</f>
        <v>#N/A</v>
      </c>
      <c r="Y606" t="e">
        <f>INDEX(MTT_codes,MATCH(loaded!BC606,MTT,0))</f>
        <v>#N/A</v>
      </c>
      <c r="Z606" t="str">
        <f>_xlfn.IFNA(INDEX(MTT_codes,MATCH(loaded!BE606,MTT,0)),"")</f>
        <v/>
      </c>
      <c r="AA606" t="str">
        <f>_xlfn.IFNA(INDEX(MTT_codes,MATCH(loaded!BG606,MTT,0)),"")</f>
        <v/>
      </c>
      <c r="AB606" t="str">
        <f>_xlfn.IFNA(INDEX(MTT_codes,MATCH(loaded!BI606,MTT,0)),"")</f>
        <v/>
      </c>
      <c r="AC606" t="str">
        <f>_xlfn.IFNA(INDEX(MTT_codes,MATCH(loaded!BK606,MTT,0)),"")</f>
        <v/>
      </c>
      <c r="AD606" t="str">
        <f>_xlfn.IFNA(INDEX(MTT_codes,MATCH(loaded!BM606,MTT,0)),"")</f>
        <v/>
      </c>
      <c r="AE606" t="e">
        <f>INDEX(liv_ar_codes,MATCH(loaded!BO606,liv_ar,0))</f>
        <v>#N/A</v>
      </c>
      <c r="AF606" t="str">
        <f>_xlfn.IFNA(INDEX(MTT_codes,MATCH(loaded!BQ606,MTT,0)),"")</f>
        <v/>
      </c>
      <c r="AG606">
        <f>_xlfn.IFNA(INDEX(mental_codes,MATCH(loaded!BS606,mental,0)),9)</f>
        <v>9</v>
      </c>
    </row>
    <row r="607" spans="1:33" x14ac:dyDescent="0.25">
      <c r="A607">
        <f>loaded!C607</f>
        <v>0</v>
      </c>
      <c r="B607">
        <f>loaded!I607</f>
        <v>0</v>
      </c>
      <c r="C607">
        <f>IF(loaded!K607="Male",1,IF(loaded!K607="Female",2,9))</f>
        <v>9</v>
      </c>
      <c r="D607" s="8">
        <f>loaded!M607</f>
        <v>0</v>
      </c>
      <c r="E607" t="str">
        <f>LEFT(loaded!O607,3)</f>
        <v/>
      </c>
      <c r="F607" t="e">
        <f>INDEX(cntry_codes,MATCH(loaded!Q607,countries,0))</f>
        <v>#N/A</v>
      </c>
      <c r="G607" t="e">
        <f>INDEX(atsi_codes,MATCH(loaded!S607,atsi,0))</f>
        <v>#N/A</v>
      </c>
      <c r="H607" t="e">
        <f>INDEX(lang_codes,MATCH(loaded!U607,lang,0))</f>
        <v>#N/A</v>
      </c>
      <c r="I607" s="8">
        <f>loaded!W607</f>
        <v>0</v>
      </c>
      <c r="J607" t="e">
        <f>INDEX(us_acc_codes,MATCH(loaded!Y607,us_acc,0))</f>
        <v>#N/A</v>
      </c>
      <c r="K607" t="e">
        <f>INDEX(client_codes,MATCH(loaded!AA607,client,0))</f>
        <v>#N/A</v>
      </c>
      <c r="L607" t="e">
        <f>INDEX(src_ref_codes,MATCH(loaded!AC607,src_ref,0))</f>
        <v>#N/A</v>
      </c>
      <c r="M607" s="8">
        <f>loaded!AE607</f>
        <v>0</v>
      </c>
      <c r="N607" s="8">
        <f>loaded!AG607</f>
        <v>0</v>
      </c>
      <c r="O607" t="e">
        <f>INDEX(reces_codes,MATCH(loaded!AI607,reason,0))</f>
        <v>#N/A</v>
      </c>
      <c r="P607" t="e">
        <f>INDEX(TDS_codes,MATCH(loaded!AK607,TDS,0))</f>
        <v>#N/A</v>
      </c>
      <c r="Q607" t="e">
        <f>IF(K607=2,"",INDEX(method_codes,MATCH(loaded!AM607,method,0)))</f>
        <v>#N/A</v>
      </c>
      <c r="R607" t="e">
        <f>IF(K607=2,"",INDEX(inj_codes,MATCH(loaded!AO607,inj,0)))</f>
        <v>#N/A</v>
      </c>
      <c r="S607" t="e">
        <f>IF(K607=2,"",INDEX(drug_codes,MATCH(loaded!AQ607,drug,0)))</f>
        <v>#N/A</v>
      </c>
      <c r="T607" t="e">
        <f>IF(K607=2,"",_xlfn.IFNA(INDEX(drug_codes,MATCH(loaded!AS607,drug,0)),""))</f>
        <v>#N/A</v>
      </c>
      <c r="U607" t="e">
        <f>IF(K607=2,"",_xlfn.IFNA(INDEX(drug_codes,MATCH(loaded!AU607,drug,0)),""))</f>
        <v>#N/A</v>
      </c>
      <c r="V607" t="e">
        <f>IF(K607=2,"",_xlfn.IFNA(INDEX(drug_codes,MATCH(loaded!AW607,drug,0)),""))</f>
        <v>#N/A</v>
      </c>
      <c r="W607" t="e">
        <f>IF(K607=2,"",_xlfn.IFNA(INDEX(drug_codes,MATCH(loaded!AY607,drug,0)),""))</f>
        <v>#N/A</v>
      </c>
      <c r="X607" t="e">
        <f>IF(K607=2,"",_xlfn.IFNA(INDEX(drug_codes,MATCH(loaded!BA607,drug,0)),""))</f>
        <v>#N/A</v>
      </c>
      <c r="Y607" t="e">
        <f>INDEX(MTT_codes,MATCH(loaded!BC607,MTT,0))</f>
        <v>#N/A</v>
      </c>
      <c r="Z607" t="str">
        <f>_xlfn.IFNA(INDEX(MTT_codes,MATCH(loaded!BE607,MTT,0)),"")</f>
        <v/>
      </c>
      <c r="AA607" t="str">
        <f>_xlfn.IFNA(INDEX(MTT_codes,MATCH(loaded!BG607,MTT,0)),"")</f>
        <v/>
      </c>
      <c r="AB607" t="str">
        <f>_xlfn.IFNA(INDEX(MTT_codes,MATCH(loaded!BI607,MTT,0)),"")</f>
        <v/>
      </c>
      <c r="AC607" t="str">
        <f>_xlfn.IFNA(INDEX(MTT_codes,MATCH(loaded!BK607,MTT,0)),"")</f>
        <v/>
      </c>
      <c r="AD607" t="str">
        <f>_xlfn.IFNA(INDEX(MTT_codes,MATCH(loaded!BM607,MTT,0)),"")</f>
        <v/>
      </c>
      <c r="AE607" t="e">
        <f>INDEX(liv_ar_codes,MATCH(loaded!BO607,liv_ar,0))</f>
        <v>#N/A</v>
      </c>
      <c r="AF607" t="str">
        <f>_xlfn.IFNA(INDEX(MTT_codes,MATCH(loaded!BQ607,MTT,0)),"")</f>
        <v/>
      </c>
      <c r="AG607">
        <f>_xlfn.IFNA(INDEX(mental_codes,MATCH(loaded!BS607,mental,0)),9)</f>
        <v>9</v>
      </c>
    </row>
    <row r="608" spans="1:33" x14ac:dyDescent="0.25">
      <c r="A608">
        <f>loaded!C608</f>
        <v>0</v>
      </c>
      <c r="B608">
        <f>loaded!I608</f>
        <v>0</v>
      </c>
      <c r="C608">
        <f>IF(loaded!K608="Male",1,IF(loaded!K608="Female",2,9))</f>
        <v>9</v>
      </c>
      <c r="D608" s="8">
        <f>loaded!M608</f>
        <v>0</v>
      </c>
      <c r="E608" t="str">
        <f>LEFT(loaded!O608,3)</f>
        <v/>
      </c>
      <c r="F608" t="e">
        <f>INDEX(cntry_codes,MATCH(loaded!Q608,countries,0))</f>
        <v>#N/A</v>
      </c>
      <c r="G608" t="e">
        <f>INDEX(atsi_codes,MATCH(loaded!S608,atsi,0))</f>
        <v>#N/A</v>
      </c>
      <c r="H608" t="e">
        <f>INDEX(lang_codes,MATCH(loaded!U608,lang,0))</f>
        <v>#N/A</v>
      </c>
      <c r="I608" s="8">
        <f>loaded!W608</f>
        <v>0</v>
      </c>
      <c r="J608" t="e">
        <f>INDEX(us_acc_codes,MATCH(loaded!Y608,us_acc,0))</f>
        <v>#N/A</v>
      </c>
      <c r="K608" t="e">
        <f>INDEX(client_codes,MATCH(loaded!AA608,client,0))</f>
        <v>#N/A</v>
      </c>
      <c r="L608" t="e">
        <f>INDEX(src_ref_codes,MATCH(loaded!AC608,src_ref,0))</f>
        <v>#N/A</v>
      </c>
      <c r="M608" s="8">
        <f>loaded!AE608</f>
        <v>0</v>
      </c>
      <c r="N608" s="8">
        <f>loaded!AG608</f>
        <v>0</v>
      </c>
      <c r="O608" t="e">
        <f>INDEX(reces_codes,MATCH(loaded!AI608,reason,0))</f>
        <v>#N/A</v>
      </c>
      <c r="P608" t="e">
        <f>INDEX(TDS_codes,MATCH(loaded!AK608,TDS,0))</f>
        <v>#N/A</v>
      </c>
      <c r="Q608" t="e">
        <f>IF(K608=2,"",INDEX(method_codes,MATCH(loaded!AM608,method,0)))</f>
        <v>#N/A</v>
      </c>
      <c r="R608" t="e">
        <f>IF(K608=2,"",INDEX(inj_codes,MATCH(loaded!AO608,inj,0)))</f>
        <v>#N/A</v>
      </c>
      <c r="S608" t="e">
        <f>IF(K608=2,"",INDEX(drug_codes,MATCH(loaded!AQ608,drug,0)))</f>
        <v>#N/A</v>
      </c>
      <c r="T608" t="e">
        <f>IF(K608=2,"",_xlfn.IFNA(INDEX(drug_codes,MATCH(loaded!AS608,drug,0)),""))</f>
        <v>#N/A</v>
      </c>
      <c r="U608" t="e">
        <f>IF(K608=2,"",_xlfn.IFNA(INDEX(drug_codes,MATCH(loaded!AU608,drug,0)),""))</f>
        <v>#N/A</v>
      </c>
      <c r="V608" t="e">
        <f>IF(K608=2,"",_xlfn.IFNA(INDEX(drug_codes,MATCH(loaded!AW608,drug,0)),""))</f>
        <v>#N/A</v>
      </c>
      <c r="W608" t="e">
        <f>IF(K608=2,"",_xlfn.IFNA(INDEX(drug_codes,MATCH(loaded!AY608,drug,0)),""))</f>
        <v>#N/A</v>
      </c>
      <c r="X608" t="e">
        <f>IF(K608=2,"",_xlfn.IFNA(INDEX(drug_codes,MATCH(loaded!BA608,drug,0)),""))</f>
        <v>#N/A</v>
      </c>
      <c r="Y608" t="e">
        <f>INDEX(MTT_codes,MATCH(loaded!BC608,MTT,0))</f>
        <v>#N/A</v>
      </c>
      <c r="Z608" t="str">
        <f>_xlfn.IFNA(INDEX(MTT_codes,MATCH(loaded!BE608,MTT,0)),"")</f>
        <v/>
      </c>
      <c r="AA608" t="str">
        <f>_xlfn.IFNA(INDEX(MTT_codes,MATCH(loaded!BG608,MTT,0)),"")</f>
        <v/>
      </c>
      <c r="AB608" t="str">
        <f>_xlfn.IFNA(INDEX(MTT_codes,MATCH(loaded!BI608,MTT,0)),"")</f>
        <v/>
      </c>
      <c r="AC608" t="str">
        <f>_xlfn.IFNA(INDEX(MTT_codes,MATCH(loaded!BK608,MTT,0)),"")</f>
        <v/>
      </c>
      <c r="AD608" t="str">
        <f>_xlfn.IFNA(INDEX(MTT_codes,MATCH(loaded!BM608,MTT,0)),"")</f>
        <v/>
      </c>
      <c r="AE608" t="e">
        <f>INDEX(liv_ar_codes,MATCH(loaded!BO608,liv_ar,0))</f>
        <v>#N/A</v>
      </c>
      <c r="AF608" t="str">
        <f>_xlfn.IFNA(INDEX(MTT_codes,MATCH(loaded!BQ608,MTT,0)),"")</f>
        <v/>
      </c>
      <c r="AG608">
        <f>_xlfn.IFNA(INDEX(mental_codes,MATCH(loaded!BS608,mental,0)),9)</f>
        <v>9</v>
      </c>
    </row>
    <row r="609" spans="1:33" x14ac:dyDescent="0.25">
      <c r="A609">
        <f>loaded!C609</f>
        <v>0</v>
      </c>
      <c r="B609">
        <f>loaded!I609</f>
        <v>0</v>
      </c>
      <c r="C609">
        <f>IF(loaded!K609="Male",1,IF(loaded!K609="Female",2,9))</f>
        <v>9</v>
      </c>
      <c r="D609" s="8">
        <f>loaded!M609</f>
        <v>0</v>
      </c>
      <c r="E609" t="str">
        <f>LEFT(loaded!O609,3)</f>
        <v/>
      </c>
      <c r="F609" t="e">
        <f>INDEX(cntry_codes,MATCH(loaded!Q609,countries,0))</f>
        <v>#N/A</v>
      </c>
      <c r="G609" t="e">
        <f>INDEX(atsi_codes,MATCH(loaded!S609,atsi,0))</f>
        <v>#N/A</v>
      </c>
      <c r="H609" t="e">
        <f>INDEX(lang_codes,MATCH(loaded!U609,lang,0))</f>
        <v>#N/A</v>
      </c>
      <c r="I609" s="8">
        <f>loaded!W609</f>
        <v>0</v>
      </c>
      <c r="J609" t="e">
        <f>INDEX(us_acc_codes,MATCH(loaded!Y609,us_acc,0))</f>
        <v>#N/A</v>
      </c>
      <c r="K609" t="e">
        <f>INDEX(client_codes,MATCH(loaded!AA609,client,0))</f>
        <v>#N/A</v>
      </c>
      <c r="L609" t="e">
        <f>INDEX(src_ref_codes,MATCH(loaded!AC609,src_ref,0))</f>
        <v>#N/A</v>
      </c>
      <c r="M609" s="8">
        <f>loaded!AE609</f>
        <v>0</v>
      </c>
      <c r="N609" s="8">
        <f>loaded!AG609</f>
        <v>0</v>
      </c>
      <c r="O609" t="e">
        <f>INDEX(reces_codes,MATCH(loaded!AI609,reason,0))</f>
        <v>#N/A</v>
      </c>
      <c r="P609" t="e">
        <f>INDEX(TDS_codes,MATCH(loaded!AK609,TDS,0))</f>
        <v>#N/A</v>
      </c>
      <c r="Q609" t="e">
        <f>IF(K609=2,"",INDEX(method_codes,MATCH(loaded!AM609,method,0)))</f>
        <v>#N/A</v>
      </c>
      <c r="R609" t="e">
        <f>IF(K609=2,"",INDEX(inj_codes,MATCH(loaded!AO609,inj,0)))</f>
        <v>#N/A</v>
      </c>
      <c r="S609" t="e">
        <f>IF(K609=2,"",INDEX(drug_codes,MATCH(loaded!AQ609,drug,0)))</f>
        <v>#N/A</v>
      </c>
      <c r="T609" t="e">
        <f>IF(K609=2,"",_xlfn.IFNA(INDEX(drug_codes,MATCH(loaded!AS609,drug,0)),""))</f>
        <v>#N/A</v>
      </c>
      <c r="U609" t="e">
        <f>IF(K609=2,"",_xlfn.IFNA(INDEX(drug_codes,MATCH(loaded!AU609,drug,0)),""))</f>
        <v>#N/A</v>
      </c>
      <c r="V609" t="e">
        <f>IF(K609=2,"",_xlfn.IFNA(INDEX(drug_codes,MATCH(loaded!AW609,drug,0)),""))</f>
        <v>#N/A</v>
      </c>
      <c r="W609" t="e">
        <f>IF(K609=2,"",_xlfn.IFNA(INDEX(drug_codes,MATCH(loaded!AY609,drug,0)),""))</f>
        <v>#N/A</v>
      </c>
      <c r="X609" t="e">
        <f>IF(K609=2,"",_xlfn.IFNA(INDEX(drug_codes,MATCH(loaded!BA609,drug,0)),""))</f>
        <v>#N/A</v>
      </c>
      <c r="Y609" t="e">
        <f>INDEX(MTT_codes,MATCH(loaded!BC609,MTT,0))</f>
        <v>#N/A</v>
      </c>
      <c r="Z609" t="str">
        <f>_xlfn.IFNA(INDEX(MTT_codes,MATCH(loaded!BE609,MTT,0)),"")</f>
        <v/>
      </c>
      <c r="AA609" t="str">
        <f>_xlfn.IFNA(INDEX(MTT_codes,MATCH(loaded!BG609,MTT,0)),"")</f>
        <v/>
      </c>
      <c r="AB609" t="str">
        <f>_xlfn.IFNA(INDEX(MTT_codes,MATCH(loaded!BI609,MTT,0)),"")</f>
        <v/>
      </c>
      <c r="AC609" t="str">
        <f>_xlfn.IFNA(INDEX(MTT_codes,MATCH(loaded!BK609,MTT,0)),"")</f>
        <v/>
      </c>
      <c r="AD609" t="str">
        <f>_xlfn.IFNA(INDEX(MTT_codes,MATCH(loaded!BM609,MTT,0)),"")</f>
        <v/>
      </c>
      <c r="AE609" t="e">
        <f>INDEX(liv_ar_codes,MATCH(loaded!BO609,liv_ar,0))</f>
        <v>#N/A</v>
      </c>
      <c r="AF609" t="str">
        <f>_xlfn.IFNA(INDEX(MTT_codes,MATCH(loaded!BQ609,MTT,0)),"")</f>
        <v/>
      </c>
      <c r="AG609">
        <f>_xlfn.IFNA(INDEX(mental_codes,MATCH(loaded!BS609,mental,0)),9)</f>
        <v>9</v>
      </c>
    </row>
    <row r="610" spans="1:33" x14ac:dyDescent="0.25">
      <c r="A610">
        <f>loaded!C610</f>
        <v>0</v>
      </c>
      <c r="B610">
        <f>loaded!I610</f>
        <v>0</v>
      </c>
      <c r="C610">
        <f>IF(loaded!K610="Male",1,IF(loaded!K610="Female",2,9))</f>
        <v>9</v>
      </c>
      <c r="D610" s="8">
        <f>loaded!M610</f>
        <v>0</v>
      </c>
      <c r="E610" t="str">
        <f>LEFT(loaded!O610,3)</f>
        <v/>
      </c>
      <c r="F610" t="e">
        <f>INDEX(cntry_codes,MATCH(loaded!Q610,countries,0))</f>
        <v>#N/A</v>
      </c>
      <c r="G610" t="e">
        <f>INDEX(atsi_codes,MATCH(loaded!S610,atsi,0))</f>
        <v>#N/A</v>
      </c>
      <c r="H610" t="e">
        <f>INDEX(lang_codes,MATCH(loaded!U610,lang,0))</f>
        <v>#N/A</v>
      </c>
      <c r="I610" s="8">
        <f>loaded!W610</f>
        <v>0</v>
      </c>
      <c r="J610" t="e">
        <f>INDEX(us_acc_codes,MATCH(loaded!Y610,us_acc,0))</f>
        <v>#N/A</v>
      </c>
      <c r="K610" t="e">
        <f>INDEX(client_codes,MATCH(loaded!AA610,client,0))</f>
        <v>#N/A</v>
      </c>
      <c r="L610" t="e">
        <f>INDEX(src_ref_codes,MATCH(loaded!AC610,src_ref,0))</f>
        <v>#N/A</v>
      </c>
      <c r="M610" s="8">
        <f>loaded!AE610</f>
        <v>0</v>
      </c>
      <c r="N610" s="8">
        <f>loaded!AG610</f>
        <v>0</v>
      </c>
      <c r="O610" t="e">
        <f>INDEX(reces_codes,MATCH(loaded!AI610,reason,0))</f>
        <v>#N/A</v>
      </c>
      <c r="P610" t="e">
        <f>INDEX(TDS_codes,MATCH(loaded!AK610,TDS,0))</f>
        <v>#N/A</v>
      </c>
      <c r="Q610" t="e">
        <f>IF(K610=2,"",INDEX(method_codes,MATCH(loaded!AM610,method,0)))</f>
        <v>#N/A</v>
      </c>
      <c r="R610" t="e">
        <f>IF(K610=2,"",INDEX(inj_codes,MATCH(loaded!AO610,inj,0)))</f>
        <v>#N/A</v>
      </c>
      <c r="S610" t="e">
        <f>IF(K610=2,"",INDEX(drug_codes,MATCH(loaded!AQ610,drug,0)))</f>
        <v>#N/A</v>
      </c>
      <c r="T610" t="e">
        <f>IF(K610=2,"",_xlfn.IFNA(INDEX(drug_codes,MATCH(loaded!AS610,drug,0)),""))</f>
        <v>#N/A</v>
      </c>
      <c r="U610" t="e">
        <f>IF(K610=2,"",_xlfn.IFNA(INDEX(drug_codes,MATCH(loaded!AU610,drug,0)),""))</f>
        <v>#N/A</v>
      </c>
      <c r="V610" t="e">
        <f>IF(K610=2,"",_xlfn.IFNA(INDEX(drug_codes,MATCH(loaded!AW610,drug,0)),""))</f>
        <v>#N/A</v>
      </c>
      <c r="W610" t="e">
        <f>IF(K610=2,"",_xlfn.IFNA(INDEX(drug_codes,MATCH(loaded!AY610,drug,0)),""))</f>
        <v>#N/A</v>
      </c>
      <c r="X610" t="e">
        <f>IF(K610=2,"",_xlfn.IFNA(INDEX(drug_codes,MATCH(loaded!BA610,drug,0)),""))</f>
        <v>#N/A</v>
      </c>
      <c r="Y610" t="e">
        <f>INDEX(MTT_codes,MATCH(loaded!BC610,MTT,0))</f>
        <v>#N/A</v>
      </c>
      <c r="Z610" t="str">
        <f>_xlfn.IFNA(INDEX(MTT_codes,MATCH(loaded!BE610,MTT,0)),"")</f>
        <v/>
      </c>
      <c r="AA610" t="str">
        <f>_xlfn.IFNA(INDEX(MTT_codes,MATCH(loaded!BG610,MTT,0)),"")</f>
        <v/>
      </c>
      <c r="AB610" t="str">
        <f>_xlfn.IFNA(INDEX(MTT_codes,MATCH(loaded!BI610,MTT,0)),"")</f>
        <v/>
      </c>
      <c r="AC610" t="str">
        <f>_xlfn.IFNA(INDEX(MTT_codes,MATCH(loaded!BK610,MTT,0)),"")</f>
        <v/>
      </c>
      <c r="AD610" t="str">
        <f>_xlfn.IFNA(INDEX(MTT_codes,MATCH(loaded!BM610,MTT,0)),"")</f>
        <v/>
      </c>
      <c r="AE610" t="e">
        <f>INDEX(liv_ar_codes,MATCH(loaded!BO610,liv_ar,0))</f>
        <v>#N/A</v>
      </c>
      <c r="AF610" t="str">
        <f>_xlfn.IFNA(INDEX(MTT_codes,MATCH(loaded!BQ610,MTT,0)),"")</f>
        <v/>
      </c>
      <c r="AG610">
        <f>_xlfn.IFNA(INDEX(mental_codes,MATCH(loaded!BS610,mental,0)),9)</f>
        <v>9</v>
      </c>
    </row>
    <row r="611" spans="1:33" x14ac:dyDescent="0.25">
      <c r="A611">
        <f>loaded!C611</f>
        <v>0</v>
      </c>
      <c r="B611">
        <f>loaded!I611</f>
        <v>0</v>
      </c>
      <c r="C611">
        <f>IF(loaded!K611="Male",1,IF(loaded!K611="Female",2,9))</f>
        <v>9</v>
      </c>
      <c r="D611" s="8">
        <f>loaded!M611</f>
        <v>0</v>
      </c>
      <c r="E611" t="str">
        <f>LEFT(loaded!O611,3)</f>
        <v/>
      </c>
      <c r="F611" t="e">
        <f>INDEX(cntry_codes,MATCH(loaded!Q611,countries,0))</f>
        <v>#N/A</v>
      </c>
      <c r="G611" t="e">
        <f>INDEX(atsi_codes,MATCH(loaded!S611,atsi,0))</f>
        <v>#N/A</v>
      </c>
      <c r="H611" t="e">
        <f>INDEX(lang_codes,MATCH(loaded!U611,lang,0))</f>
        <v>#N/A</v>
      </c>
      <c r="I611" s="8">
        <f>loaded!W611</f>
        <v>0</v>
      </c>
      <c r="J611" t="e">
        <f>INDEX(us_acc_codes,MATCH(loaded!Y611,us_acc,0))</f>
        <v>#N/A</v>
      </c>
      <c r="K611" t="e">
        <f>INDEX(client_codes,MATCH(loaded!AA611,client,0))</f>
        <v>#N/A</v>
      </c>
      <c r="L611" t="e">
        <f>INDEX(src_ref_codes,MATCH(loaded!AC611,src_ref,0))</f>
        <v>#N/A</v>
      </c>
      <c r="M611" s="8">
        <f>loaded!AE611</f>
        <v>0</v>
      </c>
      <c r="N611" s="8">
        <f>loaded!AG611</f>
        <v>0</v>
      </c>
      <c r="O611" t="e">
        <f>INDEX(reces_codes,MATCH(loaded!AI611,reason,0))</f>
        <v>#N/A</v>
      </c>
      <c r="P611" t="e">
        <f>INDEX(TDS_codes,MATCH(loaded!AK611,TDS,0))</f>
        <v>#N/A</v>
      </c>
      <c r="Q611" t="e">
        <f>IF(K611=2,"",INDEX(method_codes,MATCH(loaded!AM611,method,0)))</f>
        <v>#N/A</v>
      </c>
      <c r="R611" t="e">
        <f>IF(K611=2,"",INDEX(inj_codes,MATCH(loaded!AO611,inj,0)))</f>
        <v>#N/A</v>
      </c>
      <c r="S611" t="e">
        <f>IF(K611=2,"",INDEX(drug_codes,MATCH(loaded!AQ611,drug,0)))</f>
        <v>#N/A</v>
      </c>
      <c r="T611" t="e">
        <f>IF(K611=2,"",_xlfn.IFNA(INDEX(drug_codes,MATCH(loaded!AS611,drug,0)),""))</f>
        <v>#N/A</v>
      </c>
      <c r="U611" t="e">
        <f>IF(K611=2,"",_xlfn.IFNA(INDEX(drug_codes,MATCH(loaded!AU611,drug,0)),""))</f>
        <v>#N/A</v>
      </c>
      <c r="V611" t="e">
        <f>IF(K611=2,"",_xlfn.IFNA(INDEX(drug_codes,MATCH(loaded!AW611,drug,0)),""))</f>
        <v>#N/A</v>
      </c>
      <c r="W611" t="e">
        <f>IF(K611=2,"",_xlfn.IFNA(INDEX(drug_codes,MATCH(loaded!AY611,drug,0)),""))</f>
        <v>#N/A</v>
      </c>
      <c r="X611" t="e">
        <f>IF(K611=2,"",_xlfn.IFNA(INDEX(drug_codes,MATCH(loaded!BA611,drug,0)),""))</f>
        <v>#N/A</v>
      </c>
      <c r="Y611" t="e">
        <f>INDEX(MTT_codes,MATCH(loaded!BC611,MTT,0))</f>
        <v>#N/A</v>
      </c>
      <c r="Z611" t="str">
        <f>_xlfn.IFNA(INDEX(MTT_codes,MATCH(loaded!BE611,MTT,0)),"")</f>
        <v/>
      </c>
      <c r="AA611" t="str">
        <f>_xlfn.IFNA(INDEX(MTT_codes,MATCH(loaded!BG611,MTT,0)),"")</f>
        <v/>
      </c>
      <c r="AB611" t="str">
        <f>_xlfn.IFNA(INDEX(MTT_codes,MATCH(loaded!BI611,MTT,0)),"")</f>
        <v/>
      </c>
      <c r="AC611" t="str">
        <f>_xlfn.IFNA(INDEX(MTT_codes,MATCH(loaded!BK611,MTT,0)),"")</f>
        <v/>
      </c>
      <c r="AD611" t="str">
        <f>_xlfn.IFNA(INDEX(MTT_codes,MATCH(loaded!BM611,MTT,0)),"")</f>
        <v/>
      </c>
      <c r="AE611" t="e">
        <f>INDEX(liv_ar_codes,MATCH(loaded!BO611,liv_ar,0))</f>
        <v>#N/A</v>
      </c>
      <c r="AF611" t="str">
        <f>_xlfn.IFNA(INDEX(MTT_codes,MATCH(loaded!BQ611,MTT,0)),"")</f>
        <v/>
      </c>
      <c r="AG611">
        <f>_xlfn.IFNA(INDEX(mental_codes,MATCH(loaded!BS611,mental,0)),9)</f>
        <v>9</v>
      </c>
    </row>
    <row r="612" spans="1:33" x14ac:dyDescent="0.25">
      <c r="A612">
        <f>loaded!C612</f>
        <v>0</v>
      </c>
      <c r="B612">
        <f>loaded!I612</f>
        <v>0</v>
      </c>
      <c r="C612">
        <f>IF(loaded!K612="Male",1,IF(loaded!K612="Female",2,9))</f>
        <v>9</v>
      </c>
      <c r="D612" s="8">
        <f>loaded!M612</f>
        <v>0</v>
      </c>
      <c r="E612" t="str">
        <f>LEFT(loaded!O612,3)</f>
        <v/>
      </c>
      <c r="F612" t="e">
        <f>INDEX(cntry_codes,MATCH(loaded!Q612,countries,0))</f>
        <v>#N/A</v>
      </c>
      <c r="G612" t="e">
        <f>INDEX(atsi_codes,MATCH(loaded!S612,atsi,0))</f>
        <v>#N/A</v>
      </c>
      <c r="H612" t="e">
        <f>INDEX(lang_codes,MATCH(loaded!U612,lang,0))</f>
        <v>#N/A</v>
      </c>
      <c r="I612" s="8">
        <f>loaded!W612</f>
        <v>0</v>
      </c>
      <c r="J612" t="e">
        <f>INDEX(us_acc_codes,MATCH(loaded!Y612,us_acc,0))</f>
        <v>#N/A</v>
      </c>
      <c r="K612" t="e">
        <f>INDEX(client_codes,MATCH(loaded!AA612,client,0))</f>
        <v>#N/A</v>
      </c>
      <c r="L612" t="e">
        <f>INDEX(src_ref_codes,MATCH(loaded!AC612,src_ref,0))</f>
        <v>#N/A</v>
      </c>
      <c r="M612" s="8">
        <f>loaded!AE612</f>
        <v>0</v>
      </c>
      <c r="N612" s="8">
        <f>loaded!AG612</f>
        <v>0</v>
      </c>
      <c r="O612" t="e">
        <f>INDEX(reces_codes,MATCH(loaded!AI612,reason,0))</f>
        <v>#N/A</v>
      </c>
      <c r="P612" t="e">
        <f>INDEX(TDS_codes,MATCH(loaded!AK612,TDS,0))</f>
        <v>#N/A</v>
      </c>
      <c r="Q612" t="e">
        <f>IF(K612=2,"",INDEX(method_codes,MATCH(loaded!AM612,method,0)))</f>
        <v>#N/A</v>
      </c>
      <c r="R612" t="e">
        <f>IF(K612=2,"",INDEX(inj_codes,MATCH(loaded!AO612,inj,0)))</f>
        <v>#N/A</v>
      </c>
      <c r="S612" t="e">
        <f>IF(K612=2,"",INDEX(drug_codes,MATCH(loaded!AQ612,drug,0)))</f>
        <v>#N/A</v>
      </c>
      <c r="T612" t="e">
        <f>IF(K612=2,"",_xlfn.IFNA(INDEX(drug_codes,MATCH(loaded!AS612,drug,0)),""))</f>
        <v>#N/A</v>
      </c>
      <c r="U612" t="e">
        <f>IF(K612=2,"",_xlfn.IFNA(INDEX(drug_codes,MATCH(loaded!AU612,drug,0)),""))</f>
        <v>#N/A</v>
      </c>
      <c r="V612" t="e">
        <f>IF(K612=2,"",_xlfn.IFNA(INDEX(drug_codes,MATCH(loaded!AW612,drug,0)),""))</f>
        <v>#N/A</v>
      </c>
      <c r="W612" t="e">
        <f>IF(K612=2,"",_xlfn.IFNA(INDEX(drug_codes,MATCH(loaded!AY612,drug,0)),""))</f>
        <v>#N/A</v>
      </c>
      <c r="X612" t="e">
        <f>IF(K612=2,"",_xlfn.IFNA(INDEX(drug_codes,MATCH(loaded!BA612,drug,0)),""))</f>
        <v>#N/A</v>
      </c>
      <c r="Y612" t="e">
        <f>INDEX(MTT_codes,MATCH(loaded!BC612,MTT,0))</f>
        <v>#N/A</v>
      </c>
      <c r="Z612" t="str">
        <f>_xlfn.IFNA(INDEX(MTT_codes,MATCH(loaded!BE612,MTT,0)),"")</f>
        <v/>
      </c>
      <c r="AA612" t="str">
        <f>_xlfn.IFNA(INDEX(MTT_codes,MATCH(loaded!BG612,MTT,0)),"")</f>
        <v/>
      </c>
      <c r="AB612" t="str">
        <f>_xlfn.IFNA(INDEX(MTT_codes,MATCH(loaded!BI612,MTT,0)),"")</f>
        <v/>
      </c>
      <c r="AC612" t="str">
        <f>_xlfn.IFNA(INDEX(MTT_codes,MATCH(loaded!BK612,MTT,0)),"")</f>
        <v/>
      </c>
      <c r="AD612" t="str">
        <f>_xlfn.IFNA(INDEX(MTT_codes,MATCH(loaded!BM612,MTT,0)),"")</f>
        <v/>
      </c>
      <c r="AE612" t="e">
        <f>INDEX(liv_ar_codes,MATCH(loaded!BO612,liv_ar,0))</f>
        <v>#N/A</v>
      </c>
      <c r="AF612" t="str">
        <f>_xlfn.IFNA(INDEX(MTT_codes,MATCH(loaded!BQ612,MTT,0)),"")</f>
        <v/>
      </c>
      <c r="AG612">
        <f>_xlfn.IFNA(INDEX(mental_codes,MATCH(loaded!BS612,mental,0)),9)</f>
        <v>9</v>
      </c>
    </row>
    <row r="613" spans="1:33" x14ac:dyDescent="0.25">
      <c r="A613">
        <f>loaded!C613</f>
        <v>0</v>
      </c>
      <c r="B613">
        <f>loaded!I613</f>
        <v>0</v>
      </c>
      <c r="C613">
        <f>IF(loaded!K613="Male",1,IF(loaded!K613="Female",2,9))</f>
        <v>9</v>
      </c>
      <c r="D613" s="8">
        <f>loaded!M613</f>
        <v>0</v>
      </c>
      <c r="E613" t="str">
        <f>LEFT(loaded!O613,3)</f>
        <v/>
      </c>
      <c r="F613" t="e">
        <f>INDEX(cntry_codes,MATCH(loaded!Q613,countries,0))</f>
        <v>#N/A</v>
      </c>
      <c r="G613" t="e">
        <f>INDEX(atsi_codes,MATCH(loaded!S613,atsi,0))</f>
        <v>#N/A</v>
      </c>
      <c r="H613" t="e">
        <f>INDEX(lang_codes,MATCH(loaded!U613,lang,0))</f>
        <v>#N/A</v>
      </c>
      <c r="I613" s="8">
        <f>loaded!W613</f>
        <v>0</v>
      </c>
      <c r="J613" t="e">
        <f>INDEX(us_acc_codes,MATCH(loaded!Y613,us_acc,0))</f>
        <v>#N/A</v>
      </c>
      <c r="K613" t="e">
        <f>INDEX(client_codes,MATCH(loaded!AA613,client,0))</f>
        <v>#N/A</v>
      </c>
      <c r="L613" t="e">
        <f>INDEX(src_ref_codes,MATCH(loaded!AC613,src_ref,0))</f>
        <v>#N/A</v>
      </c>
      <c r="M613" s="8">
        <f>loaded!AE613</f>
        <v>0</v>
      </c>
      <c r="N613" s="8">
        <f>loaded!AG613</f>
        <v>0</v>
      </c>
      <c r="O613" t="e">
        <f>INDEX(reces_codes,MATCH(loaded!AI613,reason,0))</f>
        <v>#N/A</v>
      </c>
      <c r="P613" t="e">
        <f>INDEX(TDS_codes,MATCH(loaded!AK613,TDS,0))</f>
        <v>#N/A</v>
      </c>
      <c r="Q613" t="e">
        <f>IF(K613=2,"",INDEX(method_codes,MATCH(loaded!AM613,method,0)))</f>
        <v>#N/A</v>
      </c>
      <c r="R613" t="e">
        <f>IF(K613=2,"",INDEX(inj_codes,MATCH(loaded!AO613,inj,0)))</f>
        <v>#N/A</v>
      </c>
      <c r="S613" t="e">
        <f>IF(K613=2,"",INDEX(drug_codes,MATCH(loaded!AQ613,drug,0)))</f>
        <v>#N/A</v>
      </c>
      <c r="T613" t="e">
        <f>IF(K613=2,"",_xlfn.IFNA(INDEX(drug_codes,MATCH(loaded!AS613,drug,0)),""))</f>
        <v>#N/A</v>
      </c>
      <c r="U613" t="e">
        <f>IF(K613=2,"",_xlfn.IFNA(INDEX(drug_codes,MATCH(loaded!AU613,drug,0)),""))</f>
        <v>#N/A</v>
      </c>
      <c r="V613" t="e">
        <f>IF(K613=2,"",_xlfn.IFNA(INDEX(drug_codes,MATCH(loaded!AW613,drug,0)),""))</f>
        <v>#N/A</v>
      </c>
      <c r="W613" t="e">
        <f>IF(K613=2,"",_xlfn.IFNA(INDEX(drug_codes,MATCH(loaded!AY613,drug,0)),""))</f>
        <v>#N/A</v>
      </c>
      <c r="X613" t="e">
        <f>IF(K613=2,"",_xlfn.IFNA(INDEX(drug_codes,MATCH(loaded!BA613,drug,0)),""))</f>
        <v>#N/A</v>
      </c>
      <c r="Y613" t="e">
        <f>INDEX(MTT_codes,MATCH(loaded!BC613,MTT,0))</f>
        <v>#N/A</v>
      </c>
      <c r="Z613" t="str">
        <f>_xlfn.IFNA(INDEX(MTT_codes,MATCH(loaded!BE613,MTT,0)),"")</f>
        <v/>
      </c>
      <c r="AA613" t="str">
        <f>_xlfn.IFNA(INDEX(MTT_codes,MATCH(loaded!BG613,MTT,0)),"")</f>
        <v/>
      </c>
      <c r="AB613" t="str">
        <f>_xlfn.IFNA(INDEX(MTT_codes,MATCH(loaded!BI613,MTT,0)),"")</f>
        <v/>
      </c>
      <c r="AC613" t="str">
        <f>_xlfn.IFNA(INDEX(MTT_codes,MATCH(loaded!BK613,MTT,0)),"")</f>
        <v/>
      </c>
      <c r="AD613" t="str">
        <f>_xlfn.IFNA(INDEX(MTT_codes,MATCH(loaded!BM613,MTT,0)),"")</f>
        <v/>
      </c>
      <c r="AE613" t="e">
        <f>INDEX(liv_ar_codes,MATCH(loaded!BO613,liv_ar,0))</f>
        <v>#N/A</v>
      </c>
      <c r="AF613" t="str">
        <f>_xlfn.IFNA(INDEX(MTT_codes,MATCH(loaded!BQ613,MTT,0)),"")</f>
        <v/>
      </c>
      <c r="AG613">
        <f>_xlfn.IFNA(INDEX(mental_codes,MATCH(loaded!BS613,mental,0)),9)</f>
        <v>9</v>
      </c>
    </row>
    <row r="614" spans="1:33" x14ac:dyDescent="0.25">
      <c r="A614">
        <f>loaded!C614</f>
        <v>0</v>
      </c>
      <c r="B614">
        <f>loaded!I614</f>
        <v>0</v>
      </c>
      <c r="C614">
        <f>IF(loaded!K614="Male",1,IF(loaded!K614="Female",2,9))</f>
        <v>9</v>
      </c>
      <c r="D614" s="8">
        <f>loaded!M614</f>
        <v>0</v>
      </c>
      <c r="E614" t="str">
        <f>LEFT(loaded!O614,3)</f>
        <v/>
      </c>
      <c r="F614" t="e">
        <f>INDEX(cntry_codes,MATCH(loaded!Q614,countries,0))</f>
        <v>#N/A</v>
      </c>
      <c r="G614" t="e">
        <f>INDEX(atsi_codes,MATCH(loaded!S614,atsi,0))</f>
        <v>#N/A</v>
      </c>
      <c r="H614" t="e">
        <f>INDEX(lang_codes,MATCH(loaded!U614,lang,0))</f>
        <v>#N/A</v>
      </c>
      <c r="I614" s="8">
        <f>loaded!W614</f>
        <v>0</v>
      </c>
      <c r="J614" t="e">
        <f>INDEX(us_acc_codes,MATCH(loaded!Y614,us_acc,0))</f>
        <v>#N/A</v>
      </c>
      <c r="K614" t="e">
        <f>INDEX(client_codes,MATCH(loaded!AA614,client,0))</f>
        <v>#N/A</v>
      </c>
      <c r="L614" t="e">
        <f>INDEX(src_ref_codes,MATCH(loaded!AC614,src_ref,0))</f>
        <v>#N/A</v>
      </c>
      <c r="M614" s="8">
        <f>loaded!AE614</f>
        <v>0</v>
      </c>
      <c r="N614" s="8">
        <f>loaded!AG614</f>
        <v>0</v>
      </c>
      <c r="O614" t="e">
        <f>INDEX(reces_codes,MATCH(loaded!AI614,reason,0))</f>
        <v>#N/A</v>
      </c>
      <c r="P614" t="e">
        <f>INDEX(TDS_codes,MATCH(loaded!AK614,TDS,0))</f>
        <v>#N/A</v>
      </c>
      <c r="Q614" t="e">
        <f>IF(K614=2,"",INDEX(method_codes,MATCH(loaded!AM614,method,0)))</f>
        <v>#N/A</v>
      </c>
      <c r="R614" t="e">
        <f>IF(K614=2,"",INDEX(inj_codes,MATCH(loaded!AO614,inj,0)))</f>
        <v>#N/A</v>
      </c>
      <c r="S614" t="e">
        <f>IF(K614=2,"",INDEX(drug_codes,MATCH(loaded!AQ614,drug,0)))</f>
        <v>#N/A</v>
      </c>
      <c r="T614" t="e">
        <f>IF(K614=2,"",_xlfn.IFNA(INDEX(drug_codes,MATCH(loaded!AS614,drug,0)),""))</f>
        <v>#N/A</v>
      </c>
      <c r="U614" t="e">
        <f>IF(K614=2,"",_xlfn.IFNA(INDEX(drug_codes,MATCH(loaded!AU614,drug,0)),""))</f>
        <v>#N/A</v>
      </c>
      <c r="V614" t="e">
        <f>IF(K614=2,"",_xlfn.IFNA(INDEX(drug_codes,MATCH(loaded!AW614,drug,0)),""))</f>
        <v>#N/A</v>
      </c>
      <c r="W614" t="e">
        <f>IF(K614=2,"",_xlfn.IFNA(INDEX(drug_codes,MATCH(loaded!AY614,drug,0)),""))</f>
        <v>#N/A</v>
      </c>
      <c r="X614" t="e">
        <f>IF(K614=2,"",_xlfn.IFNA(INDEX(drug_codes,MATCH(loaded!BA614,drug,0)),""))</f>
        <v>#N/A</v>
      </c>
      <c r="Y614" t="e">
        <f>INDEX(MTT_codes,MATCH(loaded!BC614,MTT,0))</f>
        <v>#N/A</v>
      </c>
      <c r="Z614" t="str">
        <f>_xlfn.IFNA(INDEX(MTT_codes,MATCH(loaded!BE614,MTT,0)),"")</f>
        <v/>
      </c>
      <c r="AA614" t="str">
        <f>_xlfn.IFNA(INDEX(MTT_codes,MATCH(loaded!BG614,MTT,0)),"")</f>
        <v/>
      </c>
      <c r="AB614" t="str">
        <f>_xlfn.IFNA(INDEX(MTT_codes,MATCH(loaded!BI614,MTT,0)),"")</f>
        <v/>
      </c>
      <c r="AC614" t="str">
        <f>_xlfn.IFNA(INDEX(MTT_codes,MATCH(loaded!BK614,MTT,0)),"")</f>
        <v/>
      </c>
      <c r="AD614" t="str">
        <f>_xlfn.IFNA(INDEX(MTT_codes,MATCH(loaded!BM614,MTT,0)),"")</f>
        <v/>
      </c>
      <c r="AE614" t="e">
        <f>INDEX(liv_ar_codes,MATCH(loaded!BO614,liv_ar,0))</f>
        <v>#N/A</v>
      </c>
      <c r="AF614" t="str">
        <f>_xlfn.IFNA(INDEX(MTT_codes,MATCH(loaded!BQ614,MTT,0)),"")</f>
        <v/>
      </c>
      <c r="AG614">
        <f>_xlfn.IFNA(INDEX(mental_codes,MATCH(loaded!BS614,mental,0)),9)</f>
        <v>9</v>
      </c>
    </row>
    <row r="615" spans="1:33" x14ac:dyDescent="0.25">
      <c r="A615">
        <f>loaded!C615</f>
        <v>0</v>
      </c>
      <c r="B615">
        <f>loaded!I615</f>
        <v>0</v>
      </c>
      <c r="C615">
        <f>IF(loaded!K615="Male",1,IF(loaded!K615="Female",2,9))</f>
        <v>9</v>
      </c>
      <c r="D615" s="8">
        <f>loaded!M615</f>
        <v>0</v>
      </c>
      <c r="E615" t="str">
        <f>LEFT(loaded!O615,3)</f>
        <v/>
      </c>
      <c r="F615" t="e">
        <f>INDEX(cntry_codes,MATCH(loaded!Q615,countries,0))</f>
        <v>#N/A</v>
      </c>
      <c r="G615" t="e">
        <f>INDEX(atsi_codes,MATCH(loaded!S615,atsi,0))</f>
        <v>#N/A</v>
      </c>
      <c r="H615" t="e">
        <f>INDEX(lang_codes,MATCH(loaded!U615,lang,0))</f>
        <v>#N/A</v>
      </c>
      <c r="I615" s="8">
        <f>loaded!W615</f>
        <v>0</v>
      </c>
      <c r="J615" t="e">
        <f>INDEX(us_acc_codes,MATCH(loaded!Y615,us_acc,0))</f>
        <v>#N/A</v>
      </c>
      <c r="K615" t="e">
        <f>INDEX(client_codes,MATCH(loaded!AA615,client,0))</f>
        <v>#N/A</v>
      </c>
      <c r="L615" t="e">
        <f>INDEX(src_ref_codes,MATCH(loaded!AC615,src_ref,0))</f>
        <v>#N/A</v>
      </c>
      <c r="M615" s="8">
        <f>loaded!AE615</f>
        <v>0</v>
      </c>
      <c r="N615" s="8">
        <f>loaded!AG615</f>
        <v>0</v>
      </c>
      <c r="O615" t="e">
        <f>INDEX(reces_codes,MATCH(loaded!AI615,reason,0))</f>
        <v>#N/A</v>
      </c>
      <c r="P615" t="e">
        <f>INDEX(TDS_codes,MATCH(loaded!AK615,TDS,0))</f>
        <v>#N/A</v>
      </c>
      <c r="Q615" t="e">
        <f>IF(K615=2,"",INDEX(method_codes,MATCH(loaded!AM615,method,0)))</f>
        <v>#N/A</v>
      </c>
      <c r="R615" t="e">
        <f>IF(K615=2,"",INDEX(inj_codes,MATCH(loaded!AO615,inj,0)))</f>
        <v>#N/A</v>
      </c>
      <c r="S615" t="e">
        <f>IF(K615=2,"",INDEX(drug_codes,MATCH(loaded!AQ615,drug,0)))</f>
        <v>#N/A</v>
      </c>
      <c r="T615" t="e">
        <f>IF(K615=2,"",_xlfn.IFNA(INDEX(drug_codes,MATCH(loaded!AS615,drug,0)),""))</f>
        <v>#N/A</v>
      </c>
      <c r="U615" t="e">
        <f>IF(K615=2,"",_xlfn.IFNA(INDEX(drug_codes,MATCH(loaded!AU615,drug,0)),""))</f>
        <v>#N/A</v>
      </c>
      <c r="V615" t="e">
        <f>IF(K615=2,"",_xlfn.IFNA(INDEX(drug_codes,MATCH(loaded!AW615,drug,0)),""))</f>
        <v>#N/A</v>
      </c>
      <c r="W615" t="e">
        <f>IF(K615=2,"",_xlfn.IFNA(INDEX(drug_codes,MATCH(loaded!AY615,drug,0)),""))</f>
        <v>#N/A</v>
      </c>
      <c r="X615" t="e">
        <f>IF(K615=2,"",_xlfn.IFNA(INDEX(drug_codes,MATCH(loaded!BA615,drug,0)),""))</f>
        <v>#N/A</v>
      </c>
      <c r="Y615" t="e">
        <f>INDEX(MTT_codes,MATCH(loaded!BC615,MTT,0))</f>
        <v>#N/A</v>
      </c>
      <c r="Z615" t="str">
        <f>_xlfn.IFNA(INDEX(MTT_codes,MATCH(loaded!BE615,MTT,0)),"")</f>
        <v/>
      </c>
      <c r="AA615" t="str">
        <f>_xlfn.IFNA(INDEX(MTT_codes,MATCH(loaded!BG615,MTT,0)),"")</f>
        <v/>
      </c>
      <c r="AB615" t="str">
        <f>_xlfn.IFNA(INDEX(MTT_codes,MATCH(loaded!BI615,MTT,0)),"")</f>
        <v/>
      </c>
      <c r="AC615" t="str">
        <f>_xlfn.IFNA(INDEX(MTT_codes,MATCH(loaded!BK615,MTT,0)),"")</f>
        <v/>
      </c>
      <c r="AD615" t="str">
        <f>_xlfn.IFNA(INDEX(MTT_codes,MATCH(loaded!BM615,MTT,0)),"")</f>
        <v/>
      </c>
      <c r="AE615" t="e">
        <f>INDEX(liv_ar_codes,MATCH(loaded!BO615,liv_ar,0))</f>
        <v>#N/A</v>
      </c>
      <c r="AF615" t="str">
        <f>_xlfn.IFNA(INDEX(MTT_codes,MATCH(loaded!BQ615,MTT,0)),"")</f>
        <v/>
      </c>
      <c r="AG615">
        <f>_xlfn.IFNA(INDEX(mental_codes,MATCH(loaded!BS615,mental,0)),9)</f>
        <v>9</v>
      </c>
    </row>
    <row r="616" spans="1:33" x14ac:dyDescent="0.25">
      <c r="A616">
        <f>loaded!C616</f>
        <v>0</v>
      </c>
      <c r="B616">
        <f>loaded!I616</f>
        <v>0</v>
      </c>
      <c r="C616">
        <f>IF(loaded!K616="Male",1,IF(loaded!K616="Female",2,9))</f>
        <v>9</v>
      </c>
      <c r="D616" s="8">
        <f>loaded!M616</f>
        <v>0</v>
      </c>
      <c r="E616" t="str">
        <f>LEFT(loaded!O616,3)</f>
        <v/>
      </c>
      <c r="F616" t="e">
        <f>INDEX(cntry_codes,MATCH(loaded!Q616,countries,0))</f>
        <v>#N/A</v>
      </c>
      <c r="G616" t="e">
        <f>INDEX(atsi_codes,MATCH(loaded!S616,atsi,0))</f>
        <v>#N/A</v>
      </c>
      <c r="H616" t="e">
        <f>INDEX(lang_codes,MATCH(loaded!U616,lang,0))</f>
        <v>#N/A</v>
      </c>
      <c r="I616" s="8">
        <f>loaded!W616</f>
        <v>0</v>
      </c>
      <c r="J616" t="e">
        <f>INDEX(us_acc_codes,MATCH(loaded!Y616,us_acc,0))</f>
        <v>#N/A</v>
      </c>
      <c r="K616" t="e">
        <f>INDEX(client_codes,MATCH(loaded!AA616,client,0))</f>
        <v>#N/A</v>
      </c>
      <c r="L616" t="e">
        <f>INDEX(src_ref_codes,MATCH(loaded!AC616,src_ref,0))</f>
        <v>#N/A</v>
      </c>
      <c r="M616" s="8">
        <f>loaded!AE616</f>
        <v>0</v>
      </c>
      <c r="N616" s="8">
        <f>loaded!AG616</f>
        <v>0</v>
      </c>
      <c r="O616" t="e">
        <f>INDEX(reces_codes,MATCH(loaded!AI616,reason,0))</f>
        <v>#N/A</v>
      </c>
      <c r="P616" t="e">
        <f>INDEX(TDS_codes,MATCH(loaded!AK616,TDS,0))</f>
        <v>#N/A</v>
      </c>
      <c r="Q616" t="e">
        <f>IF(K616=2,"",INDEX(method_codes,MATCH(loaded!AM616,method,0)))</f>
        <v>#N/A</v>
      </c>
      <c r="R616" t="e">
        <f>IF(K616=2,"",INDEX(inj_codes,MATCH(loaded!AO616,inj,0)))</f>
        <v>#N/A</v>
      </c>
      <c r="S616" t="e">
        <f>IF(K616=2,"",INDEX(drug_codes,MATCH(loaded!AQ616,drug,0)))</f>
        <v>#N/A</v>
      </c>
      <c r="T616" t="e">
        <f>IF(K616=2,"",_xlfn.IFNA(INDEX(drug_codes,MATCH(loaded!AS616,drug,0)),""))</f>
        <v>#N/A</v>
      </c>
      <c r="U616" t="e">
        <f>IF(K616=2,"",_xlfn.IFNA(INDEX(drug_codes,MATCH(loaded!AU616,drug,0)),""))</f>
        <v>#N/A</v>
      </c>
      <c r="V616" t="e">
        <f>IF(K616=2,"",_xlfn.IFNA(INDEX(drug_codes,MATCH(loaded!AW616,drug,0)),""))</f>
        <v>#N/A</v>
      </c>
      <c r="W616" t="e">
        <f>IF(K616=2,"",_xlfn.IFNA(INDEX(drug_codes,MATCH(loaded!AY616,drug,0)),""))</f>
        <v>#N/A</v>
      </c>
      <c r="X616" t="e">
        <f>IF(K616=2,"",_xlfn.IFNA(INDEX(drug_codes,MATCH(loaded!BA616,drug,0)),""))</f>
        <v>#N/A</v>
      </c>
      <c r="Y616" t="e">
        <f>INDEX(MTT_codes,MATCH(loaded!BC616,MTT,0))</f>
        <v>#N/A</v>
      </c>
      <c r="Z616" t="str">
        <f>_xlfn.IFNA(INDEX(MTT_codes,MATCH(loaded!BE616,MTT,0)),"")</f>
        <v/>
      </c>
      <c r="AA616" t="str">
        <f>_xlfn.IFNA(INDEX(MTT_codes,MATCH(loaded!BG616,MTT,0)),"")</f>
        <v/>
      </c>
      <c r="AB616" t="str">
        <f>_xlfn.IFNA(INDEX(MTT_codes,MATCH(loaded!BI616,MTT,0)),"")</f>
        <v/>
      </c>
      <c r="AC616" t="str">
        <f>_xlfn.IFNA(INDEX(MTT_codes,MATCH(loaded!BK616,MTT,0)),"")</f>
        <v/>
      </c>
      <c r="AD616" t="str">
        <f>_xlfn.IFNA(INDEX(MTT_codes,MATCH(loaded!BM616,MTT,0)),"")</f>
        <v/>
      </c>
      <c r="AE616" t="e">
        <f>INDEX(liv_ar_codes,MATCH(loaded!BO616,liv_ar,0))</f>
        <v>#N/A</v>
      </c>
      <c r="AF616" t="str">
        <f>_xlfn.IFNA(INDEX(MTT_codes,MATCH(loaded!BQ616,MTT,0)),"")</f>
        <v/>
      </c>
      <c r="AG616">
        <f>_xlfn.IFNA(INDEX(mental_codes,MATCH(loaded!BS616,mental,0)),9)</f>
        <v>9</v>
      </c>
    </row>
    <row r="617" spans="1:33" x14ac:dyDescent="0.25">
      <c r="A617">
        <f>loaded!C617</f>
        <v>0</v>
      </c>
      <c r="B617">
        <f>loaded!I617</f>
        <v>0</v>
      </c>
      <c r="C617">
        <f>IF(loaded!K617="Male",1,IF(loaded!K617="Female",2,9))</f>
        <v>9</v>
      </c>
      <c r="D617" s="8">
        <f>loaded!M617</f>
        <v>0</v>
      </c>
      <c r="E617" t="str">
        <f>LEFT(loaded!O617,3)</f>
        <v/>
      </c>
      <c r="F617" t="e">
        <f>INDEX(cntry_codes,MATCH(loaded!Q617,countries,0))</f>
        <v>#N/A</v>
      </c>
      <c r="G617" t="e">
        <f>INDEX(atsi_codes,MATCH(loaded!S617,atsi,0))</f>
        <v>#N/A</v>
      </c>
      <c r="H617" t="e">
        <f>INDEX(lang_codes,MATCH(loaded!U617,lang,0))</f>
        <v>#N/A</v>
      </c>
      <c r="I617" s="8">
        <f>loaded!W617</f>
        <v>0</v>
      </c>
      <c r="J617" t="e">
        <f>INDEX(us_acc_codes,MATCH(loaded!Y617,us_acc,0))</f>
        <v>#N/A</v>
      </c>
      <c r="K617" t="e">
        <f>INDEX(client_codes,MATCH(loaded!AA617,client,0))</f>
        <v>#N/A</v>
      </c>
      <c r="L617" t="e">
        <f>INDEX(src_ref_codes,MATCH(loaded!AC617,src_ref,0))</f>
        <v>#N/A</v>
      </c>
      <c r="M617" s="8">
        <f>loaded!AE617</f>
        <v>0</v>
      </c>
      <c r="N617" s="8">
        <f>loaded!AG617</f>
        <v>0</v>
      </c>
      <c r="O617" t="e">
        <f>INDEX(reces_codes,MATCH(loaded!AI617,reason,0))</f>
        <v>#N/A</v>
      </c>
      <c r="P617" t="e">
        <f>INDEX(TDS_codes,MATCH(loaded!AK617,TDS,0))</f>
        <v>#N/A</v>
      </c>
      <c r="Q617" t="e">
        <f>IF(K617=2,"",INDEX(method_codes,MATCH(loaded!AM617,method,0)))</f>
        <v>#N/A</v>
      </c>
      <c r="R617" t="e">
        <f>IF(K617=2,"",INDEX(inj_codes,MATCH(loaded!AO617,inj,0)))</f>
        <v>#N/A</v>
      </c>
      <c r="S617" t="e">
        <f>IF(K617=2,"",INDEX(drug_codes,MATCH(loaded!AQ617,drug,0)))</f>
        <v>#N/A</v>
      </c>
      <c r="T617" t="e">
        <f>IF(K617=2,"",_xlfn.IFNA(INDEX(drug_codes,MATCH(loaded!AS617,drug,0)),""))</f>
        <v>#N/A</v>
      </c>
      <c r="U617" t="e">
        <f>IF(K617=2,"",_xlfn.IFNA(INDEX(drug_codes,MATCH(loaded!AU617,drug,0)),""))</f>
        <v>#N/A</v>
      </c>
      <c r="V617" t="e">
        <f>IF(K617=2,"",_xlfn.IFNA(INDEX(drug_codes,MATCH(loaded!AW617,drug,0)),""))</f>
        <v>#N/A</v>
      </c>
      <c r="W617" t="e">
        <f>IF(K617=2,"",_xlfn.IFNA(INDEX(drug_codes,MATCH(loaded!AY617,drug,0)),""))</f>
        <v>#N/A</v>
      </c>
      <c r="X617" t="e">
        <f>IF(K617=2,"",_xlfn.IFNA(INDEX(drug_codes,MATCH(loaded!BA617,drug,0)),""))</f>
        <v>#N/A</v>
      </c>
      <c r="Y617" t="e">
        <f>INDEX(MTT_codes,MATCH(loaded!BC617,MTT,0))</f>
        <v>#N/A</v>
      </c>
      <c r="Z617" t="str">
        <f>_xlfn.IFNA(INDEX(MTT_codes,MATCH(loaded!BE617,MTT,0)),"")</f>
        <v/>
      </c>
      <c r="AA617" t="str">
        <f>_xlfn.IFNA(INDEX(MTT_codes,MATCH(loaded!BG617,MTT,0)),"")</f>
        <v/>
      </c>
      <c r="AB617" t="str">
        <f>_xlfn.IFNA(INDEX(MTT_codes,MATCH(loaded!BI617,MTT,0)),"")</f>
        <v/>
      </c>
      <c r="AC617" t="str">
        <f>_xlfn.IFNA(INDEX(MTT_codes,MATCH(loaded!BK617,MTT,0)),"")</f>
        <v/>
      </c>
      <c r="AD617" t="str">
        <f>_xlfn.IFNA(INDEX(MTT_codes,MATCH(loaded!BM617,MTT,0)),"")</f>
        <v/>
      </c>
      <c r="AE617" t="e">
        <f>INDEX(liv_ar_codes,MATCH(loaded!BO617,liv_ar,0))</f>
        <v>#N/A</v>
      </c>
      <c r="AF617" t="str">
        <f>_xlfn.IFNA(INDEX(MTT_codes,MATCH(loaded!BQ617,MTT,0)),"")</f>
        <v/>
      </c>
      <c r="AG617">
        <f>_xlfn.IFNA(INDEX(mental_codes,MATCH(loaded!BS617,mental,0)),9)</f>
        <v>9</v>
      </c>
    </row>
    <row r="618" spans="1:33" x14ac:dyDescent="0.25">
      <c r="A618">
        <f>loaded!C618</f>
        <v>0</v>
      </c>
      <c r="B618">
        <f>loaded!I618</f>
        <v>0</v>
      </c>
      <c r="C618">
        <f>IF(loaded!K618="Male",1,IF(loaded!K618="Female",2,9))</f>
        <v>9</v>
      </c>
      <c r="D618" s="8">
        <f>loaded!M618</f>
        <v>0</v>
      </c>
      <c r="E618" t="str">
        <f>LEFT(loaded!O618,3)</f>
        <v/>
      </c>
      <c r="F618" t="e">
        <f>INDEX(cntry_codes,MATCH(loaded!Q618,countries,0))</f>
        <v>#N/A</v>
      </c>
      <c r="G618" t="e">
        <f>INDEX(atsi_codes,MATCH(loaded!S618,atsi,0))</f>
        <v>#N/A</v>
      </c>
      <c r="H618" t="e">
        <f>INDEX(lang_codes,MATCH(loaded!U618,lang,0))</f>
        <v>#N/A</v>
      </c>
      <c r="I618" s="8">
        <f>loaded!W618</f>
        <v>0</v>
      </c>
      <c r="J618" t="e">
        <f>INDEX(us_acc_codes,MATCH(loaded!Y618,us_acc,0))</f>
        <v>#N/A</v>
      </c>
      <c r="K618" t="e">
        <f>INDEX(client_codes,MATCH(loaded!AA618,client,0))</f>
        <v>#N/A</v>
      </c>
      <c r="L618" t="e">
        <f>INDEX(src_ref_codes,MATCH(loaded!AC618,src_ref,0))</f>
        <v>#N/A</v>
      </c>
      <c r="M618" s="8">
        <f>loaded!AE618</f>
        <v>0</v>
      </c>
      <c r="N618" s="8">
        <f>loaded!AG618</f>
        <v>0</v>
      </c>
      <c r="O618" t="e">
        <f>INDEX(reces_codes,MATCH(loaded!AI618,reason,0))</f>
        <v>#N/A</v>
      </c>
      <c r="P618" t="e">
        <f>INDEX(TDS_codes,MATCH(loaded!AK618,TDS,0))</f>
        <v>#N/A</v>
      </c>
      <c r="Q618" t="e">
        <f>IF(K618=2,"",INDEX(method_codes,MATCH(loaded!AM618,method,0)))</f>
        <v>#N/A</v>
      </c>
      <c r="R618" t="e">
        <f>IF(K618=2,"",INDEX(inj_codes,MATCH(loaded!AO618,inj,0)))</f>
        <v>#N/A</v>
      </c>
      <c r="S618" t="e">
        <f>IF(K618=2,"",INDEX(drug_codes,MATCH(loaded!AQ618,drug,0)))</f>
        <v>#N/A</v>
      </c>
      <c r="T618" t="e">
        <f>IF(K618=2,"",_xlfn.IFNA(INDEX(drug_codes,MATCH(loaded!AS618,drug,0)),""))</f>
        <v>#N/A</v>
      </c>
      <c r="U618" t="e">
        <f>IF(K618=2,"",_xlfn.IFNA(INDEX(drug_codes,MATCH(loaded!AU618,drug,0)),""))</f>
        <v>#N/A</v>
      </c>
      <c r="V618" t="e">
        <f>IF(K618=2,"",_xlfn.IFNA(INDEX(drug_codes,MATCH(loaded!AW618,drug,0)),""))</f>
        <v>#N/A</v>
      </c>
      <c r="W618" t="e">
        <f>IF(K618=2,"",_xlfn.IFNA(INDEX(drug_codes,MATCH(loaded!AY618,drug,0)),""))</f>
        <v>#N/A</v>
      </c>
      <c r="X618" t="e">
        <f>IF(K618=2,"",_xlfn.IFNA(INDEX(drug_codes,MATCH(loaded!BA618,drug,0)),""))</f>
        <v>#N/A</v>
      </c>
      <c r="Y618" t="e">
        <f>INDEX(MTT_codes,MATCH(loaded!BC618,MTT,0))</f>
        <v>#N/A</v>
      </c>
      <c r="Z618" t="str">
        <f>_xlfn.IFNA(INDEX(MTT_codes,MATCH(loaded!BE618,MTT,0)),"")</f>
        <v/>
      </c>
      <c r="AA618" t="str">
        <f>_xlfn.IFNA(INDEX(MTT_codes,MATCH(loaded!BG618,MTT,0)),"")</f>
        <v/>
      </c>
      <c r="AB618" t="str">
        <f>_xlfn.IFNA(INDEX(MTT_codes,MATCH(loaded!BI618,MTT,0)),"")</f>
        <v/>
      </c>
      <c r="AC618" t="str">
        <f>_xlfn.IFNA(INDEX(MTT_codes,MATCH(loaded!BK618,MTT,0)),"")</f>
        <v/>
      </c>
      <c r="AD618" t="str">
        <f>_xlfn.IFNA(INDEX(MTT_codes,MATCH(loaded!BM618,MTT,0)),"")</f>
        <v/>
      </c>
      <c r="AE618" t="e">
        <f>INDEX(liv_ar_codes,MATCH(loaded!BO618,liv_ar,0))</f>
        <v>#N/A</v>
      </c>
      <c r="AF618" t="str">
        <f>_xlfn.IFNA(INDEX(MTT_codes,MATCH(loaded!BQ618,MTT,0)),"")</f>
        <v/>
      </c>
      <c r="AG618">
        <f>_xlfn.IFNA(INDEX(mental_codes,MATCH(loaded!BS618,mental,0)),9)</f>
        <v>9</v>
      </c>
    </row>
    <row r="619" spans="1:33" x14ac:dyDescent="0.25">
      <c r="A619">
        <f>loaded!C619</f>
        <v>0</v>
      </c>
      <c r="B619">
        <f>loaded!I619</f>
        <v>0</v>
      </c>
      <c r="C619">
        <f>IF(loaded!K619="Male",1,IF(loaded!K619="Female",2,9))</f>
        <v>9</v>
      </c>
      <c r="D619" s="8">
        <f>loaded!M619</f>
        <v>0</v>
      </c>
      <c r="E619" t="str">
        <f>LEFT(loaded!O619,3)</f>
        <v/>
      </c>
      <c r="F619" t="e">
        <f>INDEX(cntry_codes,MATCH(loaded!Q619,countries,0))</f>
        <v>#N/A</v>
      </c>
      <c r="G619" t="e">
        <f>INDEX(atsi_codes,MATCH(loaded!S619,atsi,0))</f>
        <v>#N/A</v>
      </c>
      <c r="H619" t="e">
        <f>INDEX(lang_codes,MATCH(loaded!U619,lang,0))</f>
        <v>#N/A</v>
      </c>
      <c r="I619" s="8">
        <f>loaded!W619</f>
        <v>0</v>
      </c>
      <c r="J619" t="e">
        <f>INDEX(us_acc_codes,MATCH(loaded!Y619,us_acc,0))</f>
        <v>#N/A</v>
      </c>
      <c r="K619" t="e">
        <f>INDEX(client_codes,MATCH(loaded!AA619,client,0))</f>
        <v>#N/A</v>
      </c>
      <c r="L619" t="e">
        <f>INDEX(src_ref_codes,MATCH(loaded!AC619,src_ref,0))</f>
        <v>#N/A</v>
      </c>
      <c r="M619" s="8">
        <f>loaded!AE619</f>
        <v>0</v>
      </c>
      <c r="N619" s="8">
        <f>loaded!AG619</f>
        <v>0</v>
      </c>
      <c r="O619" t="e">
        <f>INDEX(reces_codes,MATCH(loaded!AI619,reason,0))</f>
        <v>#N/A</v>
      </c>
      <c r="P619" t="e">
        <f>INDEX(TDS_codes,MATCH(loaded!AK619,TDS,0))</f>
        <v>#N/A</v>
      </c>
      <c r="Q619" t="e">
        <f>IF(K619=2,"",INDEX(method_codes,MATCH(loaded!AM619,method,0)))</f>
        <v>#N/A</v>
      </c>
      <c r="R619" t="e">
        <f>IF(K619=2,"",INDEX(inj_codes,MATCH(loaded!AO619,inj,0)))</f>
        <v>#N/A</v>
      </c>
      <c r="S619" t="e">
        <f>IF(K619=2,"",INDEX(drug_codes,MATCH(loaded!AQ619,drug,0)))</f>
        <v>#N/A</v>
      </c>
      <c r="T619" t="e">
        <f>IF(K619=2,"",_xlfn.IFNA(INDEX(drug_codes,MATCH(loaded!AS619,drug,0)),""))</f>
        <v>#N/A</v>
      </c>
      <c r="U619" t="e">
        <f>IF(K619=2,"",_xlfn.IFNA(INDEX(drug_codes,MATCH(loaded!AU619,drug,0)),""))</f>
        <v>#N/A</v>
      </c>
      <c r="V619" t="e">
        <f>IF(K619=2,"",_xlfn.IFNA(INDEX(drug_codes,MATCH(loaded!AW619,drug,0)),""))</f>
        <v>#N/A</v>
      </c>
      <c r="W619" t="e">
        <f>IF(K619=2,"",_xlfn.IFNA(INDEX(drug_codes,MATCH(loaded!AY619,drug,0)),""))</f>
        <v>#N/A</v>
      </c>
      <c r="X619" t="e">
        <f>IF(K619=2,"",_xlfn.IFNA(INDEX(drug_codes,MATCH(loaded!BA619,drug,0)),""))</f>
        <v>#N/A</v>
      </c>
      <c r="Y619" t="e">
        <f>INDEX(MTT_codes,MATCH(loaded!BC619,MTT,0))</f>
        <v>#N/A</v>
      </c>
      <c r="Z619" t="str">
        <f>_xlfn.IFNA(INDEX(MTT_codes,MATCH(loaded!BE619,MTT,0)),"")</f>
        <v/>
      </c>
      <c r="AA619" t="str">
        <f>_xlfn.IFNA(INDEX(MTT_codes,MATCH(loaded!BG619,MTT,0)),"")</f>
        <v/>
      </c>
      <c r="AB619" t="str">
        <f>_xlfn.IFNA(INDEX(MTT_codes,MATCH(loaded!BI619,MTT,0)),"")</f>
        <v/>
      </c>
      <c r="AC619" t="str">
        <f>_xlfn.IFNA(INDEX(MTT_codes,MATCH(loaded!BK619,MTT,0)),"")</f>
        <v/>
      </c>
      <c r="AD619" t="str">
        <f>_xlfn.IFNA(INDEX(MTT_codes,MATCH(loaded!BM619,MTT,0)),"")</f>
        <v/>
      </c>
      <c r="AE619" t="e">
        <f>INDEX(liv_ar_codes,MATCH(loaded!BO619,liv_ar,0))</f>
        <v>#N/A</v>
      </c>
      <c r="AF619" t="str">
        <f>_xlfn.IFNA(INDEX(MTT_codes,MATCH(loaded!BQ619,MTT,0)),"")</f>
        <v/>
      </c>
      <c r="AG619">
        <f>_xlfn.IFNA(INDEX(mental_codes,MATCH(loaded!BS619,mental,0)),9)</f>
        <v>9</v>
      </c>
    </row>
    <row r="620" spans="1:33" x14ac:dyDescent="0.25">
      <c r="A620">
        <f>loaded!C620</f>
        <v>0</v>
      </c>
      <c r="B620">
        <f>loaded!I620</f>
        <v>0</v>
      </c>
      <c r="C620">
        <f>IF(loaded!K620="Male",1,IF(loaded!K620="Female",2,9))</f>
        <v>9</v>
      </c>
      <c r="D620" s="8">
        <f>loaded!M620</f>
        <v>0</v>
      </c>
      <c r="E620" t="str">
        <f>LEFT(loaded!O620,3)</f>
        <v/>
      </c>
      <c r="F620" t="e">
        <f>INDEX(cntry_codes,MATCH(loaded!Q620,countries,0))</f>
        <v>#N/A</v>
      </c>
      <c r="G620" t="e">
        <f>INDEX(atsi_codes,MATCH(loaded!S620,atsi,0))</f>
        <v>#N/A</v>
      </c>
      <c r="H620" t="e">
        <f>INDEX(lang_codes,MATCH(loaded!U620,lang,0))</f>
        <v>#N/A</v>
      </c>
      <c r="I620" s="8">
        <f>loaded!W620</f>
        <v>0</v>
      </c>
      <c r="J620" t="e">
        <f>INDEX(us_acc_codes,MATCH(loaded!Y620,us_acc,0))</f>
        <v>#N/A</v>
      </c>
      <c r="K620" t="e">
        <f>INDEX(client_codes,MATCH(loaded!AA620,client,0))</f>
        <v>#N/A</v>
      </c>
      <c r="L620" t="e">
        <f>INDEX(src_ref_codes,MATCH(loaded!AC620,src_ref,0))</f>
        <v>#N/A</v>
      </c>
      <c r="M620" s="8">
        <f>loaded!AE620</f>
        <v>0</v>
      </c>
      <c r="N620" s="8">
        <f>loaded!AG620</f>
        <v>0</v>
      </c>
      <c r="O620" t="e">
        <f>INDEX(reces_codes,MATCH(loaded!AI620,reason,0))</f>
        <v>#N/A</v>
      </c>
      <c r="P620" t="e">
        <f>INDEX(TDS_codes,MATCH(loaded!AK620,TDS,0))</f>
        <v>#N/A</v>
      </c>
      <c r="Q620" t="e">
        <f>IF(K620=2,"",INDEX(method_codes,MATCH(loaded!AM620,method,0)))</f>
        <v>#N/A</v>
      </c>
      <c r="R620" t="e">
        <f>IF(K620=2,"",INDEX(inj_codes,MATCH(loaded!AO620,inj,0)))</f>
        <v>#N/A</v>
      </c>
      <c r="S620" t="e">
        <f>IF(K620=2,"",INDEX(drug_codes,MATCH(loaded!AQ620,drug,0)))</f>
        <v>#N/A</v>
      </c>
      <c r="T620" t="e">
        <f>IF(K620=2,"",_xlfn.IFNA(INDEX(drug_codes,MATCH(loaded!AS620,drug,0)),""))</f>
        <v>#N/A</v>
      </c>
      <c r="U620" t="e">
        <f>IF(K620=2,"",_xlfn.IFNA(INDEX(drug_codes,MATCH(loaded!AU620,drug,0)),""))</f>
        <v>#N/A</v>
      </c>
      <c r="V620" t="e">
        <f>IF(K620=2,"",_xlfn.IFNA(INDEX(drug_codes,MATCH(loaded!AW620,drug,0)),""))</f>
        <v>#N/A</v>
      </c>
      <c r="W620" t="e">
        <f>IF(K620=2,"",_xlfn.IFNA(INDEX(drug_codes,MATCH(loaded!AY620,drug,0)),""))</f>
        <v>#N/A</v>
      </c>
      <c r="X620" t="e">
        <f>IF(K620=2,"",_xlfn.IFNA(INDEX(drug_codes,MATCH(loaded!BA620,drug,0)),""))</f>
        <v>#N/A</v>
      </c>
      <c r="Y620" t="e">
        <f>INDEX(MTT_codes,MATCH(loaded!BC620,MTT,0))</f>
        <v>#N/A</v>
      </c>
      <c r="Z620" t="str">
        <f>_xlfn.IFNA(INDEX(MTT_codes,MATCH(loaded!BE620,MTT,0)),"")</f>
        <v/>
      </c>
      <c r="AA620" t="str">
        <f>_xlfn.IFNA(INDEX(MTT_codes,MATCH(loaded!BG620,MTT,0)),"")</f>
        <v/>
      </c>
      <c r="AB620" t="str">
        <f>_xlfn.IFNA(INDEX(MTT_codes,MATCH(loaded!BI620,MTT,0)),"")</f>
        <v/>
      </c>
      <c r="AC620" t="str">
        <f>_xlfn.IFNA(INDEX(MTT_codes,MATCH(loaded!BK620,MTT,0)),"")</f>
        <v/>
      </c>
      <c r="AD620" t="str">
        <f>_xlfn.IFNA(INDEX(MTT_codes,MATCH(loaded!BM620,MTT,0)),"")</f>
        <v/>
      </c>
      <c r="AE620" t="e">
        <f>INDEX(liv_ar_codes,MATCH(loaded!BO620,liv_ar,0))</f>
        <v>#N/A</v>
      </c>
      <c r="AF620" t="str">
        <f>_xlfn.IFNA(INDEX(MTT_codes,MATCH(loaded!BQ620,MTT,0)),"")</f>
        <v/>
      </c>
      <c r="AG620">
        <f>_xlfn.IFNA(INDEX(mental_codes,MATCH(loaded!BS620,mental,0)),9)</f>
        <v>9</v>
      </c>
    </row>
    <row r="621" spans="1:33" x14ac:dyDescent="0.25">
      <c r="A621">
        <f>loaded!C621</f>
        <v>0</v>
      </c>
      <c r="B621">
        <f>loaded!I621</f>
        <v>0</v>
      </c>
      <c r="C621">
        <f>IF(loaded!K621="Male",1,IF(loaded!K621="Female",2,9))</f>
        <v>9</v>
      </c>
      <c r="D621" s="8">
        <f>loaded!M621</f>
        <v>0</v>
      </c>
      <c r="E621" t="str">
        <f>LEFT(loaded!O621,3)</f>
        <v/>
      </c>
      <c r="F621" t="e">
        <f>INDEX(cntry_codes,MATCH(loaded!Q621,countries,0))</f>
        <v>#N/A</v>
      </c>
      <c r="G621" t="e">
        <f>INDEX(atsi_codes,MATCH(loaded!S621,atsi,0))</f>
        <v>#N/A</v>
      </c>
      <c r="H621" t="e">
        <f>INDEX(lang_codes,MATCH(loaded!U621,lang,0))</f>
        <v>#N/A</v>
      </c>
      <c r="I621" s="8">
        <f>loaded!W621</f>
        <v>0</v>
      </c>
      <c r="J621" t="e">
        <f>INDEX(us_acc_codes,MATCH(loaded!Y621,us_acc,0))</f>
        <v>#N/A</v>
      </c>
      <c r="K621" t="e">
        <f>INDEX(client_codes,MATCH(loaded!AA621,client,0))</f>
        <v>#N/A</v>
      </c>
      <c r="L621" t="e">
        <f>INDEX(src_ref_codes,MATCH(loaded!AC621,src_ref,0))</f>
        <v>#N/A</v>
      </c>
      <c r="M621" s="8">
        <f>loaded!AE621</f>
        <v>0</v>
      </c>
      <c r="N621" s="8">
        <f>loaded!AG621</f>
        <v>0</v>
      </c>
      <c r="O621" t="e">
        <f>INDEX(reces_codes,MATCH(loaded!AI621,reason,0))</f>
        <v>#N/A</v>
      </c>
      <c r="P621" t="e">
        <f>INDEX(TDS_codes,MATCH(loaded!AK621,TDS,0))</f>
        <v>#N/A</v>
      </c>
      <c r="Q621" t="e">
        <f>IF(K621=2,"",INDEX(method_codes,MATCH(loaded!AM621,method,0)))</f>
        <v>#N/A</v>
      </c>
      <c r="R621" t="e">
        <f>IF(K621=2,"",INDEX(inj_codes,MATCH(loaded!AO621,inj,0)))</f>
        <v>#N/A</v>
      </c>
      <c r="S621" t="e">
        <f>IF(K621=2,"",INDEX(drug_codes,MATCH(loaded!AQ621,drug,0)))</f>
        <v>#N/A</v>
      </c>
      <c r="T621" t="e">
        <f>IF(K621=2,"",_xlfn.IFNA(INDEX(drug_codes,MATCH(loaded!AS621,drug,0)),""))</f>
        <v>#N/A</v>
      </c>
      <c r="U621" t="e">
        <f>IF(K621=2,"",_xlfn.IFNA(INDEX(drug_codes,MATCH(loaded!AU621,drug,0)),""))</f>
        <v>#N/A</v>
      </c>
      <c r="V621" t="e">
        <f>IF(K621=2,"",_xlfn.IFNA(INDEX(drug_codes,MATCH(loaded!AW621,drug,0)),""))</f>
        <v>#N/A</v>
      </c>
      <c r="W621" t="e">
        <f>IF(K621=2,"",_xlfn.IFNA(INDEX(drug_codes,MATCH(loaded!AY621,drug,0)),""))</f>
        <v>#N/A</v>
      </c>
      <c r="X621" t="e">
        <f>IF(K621=2,"",_xlfn.IFNA(INDEX(drug_codes,MATCH(loaded!BA621,drug,0)),""))</f>
        <v>#N/A</v>
      </c>
      <c r="Y621" t="e">
        <f>INDEX(MTT_codes,MATCH(loaded!BC621,MTT,0))</f>
        <v>#N/A</v>
      </c>
      <c r="Z621" t="str">
        <f>_xlfn.IFNA(INDEX(MTT_codes,MATCH(loaded!BE621,MTT,0)),"")</f>
        <v/>
      </c>
      <c r="AA621" t="str">
        <f>_xlfn.IFNA(INDEX(MTT_codes,MATCH(loaded!BG621,MTT,0)),"")</f>
        <v/>
      </c>
      <c r="AB621" t="str">
        <f>_xlfn.IFNA(INDEX(MTT_codes,MATCH(loaded!BI621,MTT,0)),"")</f>
        <v/>
      </c>
      <c r="AC621" t="str">
        <f>_xlfn.IFNA(INDEX(MTT_codes,MATCH(loaded!BK621,MTT,0)),"")</f>
        <v/>
      </c>
      <c r="AD621" t="str">
        <f>_xlfn.IFNA(INDEX(MTT_codes,MATCH(loaded!BM621,MTT,0)),"")</f>
        <v/>
      </c>
      <c r="AE621" t="e">
        <f>INDEX(liv_ar_codes,MATCH(loaded!BO621,liv_ar,0))</f>
        <v>#N/A</v>
      </c>
      <c r="AF621" t="str">
        <f>_xlfn.IFNA(INDEX(MTT_codes,MATCH(loaded!BQ621,MTT,0)),"")</f>
        <v/>
      </c>
      <c r="AG621">
        <f>_xlfn.IFNA(INDEX(mental_codes,MATCH(loaded!BS621,mental,0)),9)</f>
        <v>9</v>
      </c>
    </row>
    <row r="622" spans="1:33" x14ac:dyDescent="0.25">
      <c r="A622">
        <f>loaded!C622</f>
        <v>0</v>
      </c>
      <c r="B622">
        <f>loaded!I622</f>
        <v>0</v>
      </c>
      <c r="C622">
        <f>IF(loaded!K622="Male",1,IF(loaded!K622="Female",2,9))</f>
        <v>9</v>
      </c>
      <c r="D622" s="8">
        <f>loaded!M622</f>
        <v>0</v>
      </c>
      <c r="E622" t="str">
        <f>LEFT(loaded!O622,3)</f>
        <v/>
      </c>
      <c r="F622" t="e">
        <f>INDEX(cntry_codes,MATCH(loaded!Q622,countries,0))</f>
        <v>#N/A</v>
      </c>
      <c r="G622" t="e">
        <f>INDEX(atsi_codes,MATCH(loaded!S622,atsi,0))</f>
        <v>#N/A</v>
      </c>
      <c r="H622" t="e">
        <f>INDEX(lang_codes,MATCH(loaded!U622,lang,0))</f>
        <v>#N/A</v>
      </c>
      <c r="I622" s="8">
        <f>loaded!W622</f>
        <v>0</v>
      </c>
      <c r="J622" t="e">
        <f>INDEX(us_acc_codes,MATCH(loaded!Y622,us_acc,0))</f>
        <v>#N/A</v>
      </c>
      <c r="K622" t="e">
        <f>INDEX(client_codes,MATCH(loaded!AA622,client,0))</f>
        <v>#N/A</v>
      </c>
      <c r="L622" t="e">
        <f>INDEX(src_ref_codes,MATCH(loaded!AC622,src_ref,0))</f>
        <v>#N/A</v>
      </c>
      <c r="M622" s="8">
        <f>loaded!AE622</f>
        <v>0</v>
      </c>
      <c r="N622" s="8">
        <f>loaded!AG622</f>
        <v>0</v>
      </c>
      <c r="O622" t="e">
        <f>INDEX(reces_codes,MATCH(loaded!AI622,reason,0))</f>
        <v>#N/A</v>
      </c>
      <c r="P622" t="e">
        <f>INDEX(TDS_codes,MATCH(loaded!AK622,TDS,0))</f>
        <v>#N/A</v>
      </c>
      <c r="Q622" t="e">
        <f>IF(K622=2,"",INDEX(method_codes,MATCH(loaded!AM622,method,0)))</f>
        <v>#N/A</v>
      </c>
      <c r="R622" t="e">
        <f>IF(K622=2,"",INDEX(inj_codes,MATCH(loaded!AO622,inj,0)))</f>
        <v>#N/A</v>
      </c>
      <c r="S622" t="e">
        <f>IF(K622=2,"",INDEX(drug_codes,MATCH(loaded!AQ622,drug,0)))</f>
        <v>#N/A</v>
      </c>
      <c r="T622" t="e">
        <f>IF(K622=2,"",_xlfn.IFNA(INDEX(drug_codes,MATCH(loaded!AS622,drug,0)),""))</f>
        <v>#N/A</v>
      </c>
      <c r="U622" t="e">
        <f>IF(K622=2,"",_xlfn.IFNA(INDEX(drug_codes,MATCH(loaded!AU622,drug,0)),""))</f>
        <v>#N/A</v>
      </c>
      <c r="V622" t="e">
        <f>IF(K622=2,"",_xlfn.IFNA(INDEX(drug_codes,MATCH(loaded!AW622,drug,0)),""))</f>
        <v>#N/A</v>
      </c>
      <c r="W622" t="e">
        <f>IF(K622=2,"",_xlfn.IFNA(INDEX(drug_codes,MATCH(loaded!AY622,drug,0)),""))</f>
        <v>#N/A</v>
      </c>
      <c r="X622" t="e">
        <f>IF(K622=2,"",_xlfn.IFNA(INDEX(drug_codes,MATCH(loaded!BA622,drug,0)),""))</f>
        <v>#N/A</v>
      </c>
      <c r="Y622" t="e">
        <f>INDEX(MTT_codes,MATCH(loaded!BC622,MTT,0))</f>
        <v>#N/A</v>
      </c>
      <c r="Z622" t="str">
        <f>_xlfn.IFNA(INDEX(MTT_codes,MATCH(loaded!BE622,MTT,0)),"")</f>
        <v/>
      </c>
      <c r="AA622" t="str">
        <f>_xlfn.IFNA(INDEX(MTT_codes,MATCH(loaded!BG622,MTT,0)),"")</f>
        <v/>
      </c>
      <c r="AB622" t="str">
        <f>_xlfn.IFNA(INDEX(MTT_codes,MATCH(loaded!BI622,MTT,0)),"")</f>
        <v/>
      </c>
      <c r="AC622" t="str">
        <f>_xlfn.IFNA(INDEX(MTT_codes,MATCH(loaded!BK622,MTT,0)),"")</f>
        <v/>
      </c>
      <c r="AD622" t="str">
        <f>_xlfn.IFNA(INDEX(MTT_codes,MATCH(loaded!BM622,MTT,0)),"")</f>
        <v/>
      </c>
      <c r="AE622" t="e">
        <f>INDEX(liv_ar_codes,MATCH(loaded!BO622,liv_ar,0))</f>
        <v>#N/A</v>
      </c>
      <c r="AF622" t="str">
        <f>_xlfn.IFNA(INDEX(MTT_codes,MATCH(loaded!BQ622,MTT,0)),"")</f>
        <v/>
      </c>
      <c r="AG622">
        <f>_xlfn.IFNA(INDEX(mental_codes,MATCH(loaded!BS622,mental,0)),9)</f>
        <v>9</v>
      </c>
    </row>
    <row r="623" spans="1:33" x14ac:dyDescent="0.25">
      <c r="A623">
        <f>loaded!C623</f>
        <v>0</v>
      </c>
      <c r="B623">
        <f>loaded!I623</f>
        <v>0</v>
      </c>
      <c r="C623">
        <f>IF(loaded!K623="Male",1,IF(loaded!K623="Female",2,9))</f>
        <v>9</v>
      </c>
      <c r="D623" s="8">
        <f>loaded!M623</f>
        <v>0</v>
      </c>
      <c r="E623" t="str">
        <f>LEFT(loaded!O623,3)</f>
        <v/>
      </c>
      <c r="F623" t="e">
        <f>INDEX(cntry_codes,MATCH(loaded!Q623,countries,0))</f>
        <v>#N/A</v>
      </c>
      <c r="G623" t="e">
        <f>INDEX(atsi_codes,MATCH(loaded!S623,atsi,0))</f>
        <v>#N/A</v>
      </c>
      <c r="H623" t="e">
        <f>INDEX(lang_codes,MATCH(loaded!U623,lang,0))</f>
        <v>#N/A</v>
      </c>
      <c r="I623" s="8">
        <f>loaded!W623</f>
        <v>0</v>
      </c>
      <c r="J623" t="e">
        <f>INDEX(us_acc_codes,MATCH(loaded!Y623,us_acc,0))</f>
        <v>#N/A</v>
      </c>
      <c r="K623" t="e">
        <f>INDEX(client_codes,MATCH(loaded!AA623,client,0))</f>
        <v>#N/A</v>
      </c>
      <c r="L623" t="e">
        <f>INDEX(src_ref_codes,MATCH(loaded!AC623,src_ref,0))</f>
        <v>#N/A</v>
      </c>
      <c r="M623" s="8">
        <f>loaded!AE623</f>
        <v>0</v>
      </c>
      <c r="N623" s="8">
        <f>loaded!AG623</f>
        <v>0</v>
      </c>
      <c r="O623" t="e">
        <f>INDEX(reces_codes,MATCH(loaded!AI623,reason,0))</f>
        <v>#N/A</v>
      </c>
      <c r="P623" t="e">
        <f>INDEX(TDS_codes,MATCH(loaded!AK623,TDS,0))</f>
        <v>#N/A</v>
      </c>
      <c r="Q623" t="e">
        <f>IF(K623=2,"",INDEX(method_codes,MATCH(loaded!AM623,method,0)))</f>
        <v>#N/A</v>
      </c>
      <c r="R623" t="e">
        <f>IF(K623=2,"",INDEX(inj_codes,MATCH(loaded!AO623,inj,0)))</f>
        <v>#N/A</v>
      </c>
      <c r="S623" t="e">
        <f>IF(K623=2,"",INDEX(drug_codes,MATCH(loaded!AQ623,drug,0)))</f>
        <v>#N/A</v>
      </c>
      <c r="T623" t="e">
        <f>IF(K623=2,"",_xlfn.IFNA(INDEX(drug_codes,MATCH(loaded!AS623,drug,0)),""))</f>
        <v>#N/A</v>
      </c>
      <c r="U623" t="e">
        <f>IF(K623=2,"",_xlfn.IFNA(INDEX(drug_codes,MATCH(loaded!AU623,drug,0)),""))</f>
        <v>#N/A</v>
      </c>
      <c r="V623" t="e">
        <f>IF(K623=2,"",_xlfn.IFNA(INDEX(drug_codes,MATCH(loaded!AW623,drug,0)),""))</f>
        <v>#N/A</v>
      </c>
      <c r="W623" t="e">
        <f>IF(K623=2,"",_xlfn.IFNA(INDEX(drug_codes,MATCH(loaded!AY623,drug,0)),""))</f>
        <v>#N/A</v>
      </c>
      <c r="X623" t="e">
        <f>IF(K623=2,"",_xlfn.IFNA(INDEX(drug_codes,MATCH(loaded!BA623,drug,0)),""))</f>
        <v>#N/A</v>
      </c>
      <c r="Y623" t="e">
        <f>INDEX(MTT_codes,MATCH(loaded!BC623,MTT,0))</f>
        <v>#N/A</v>
      </c>
      <c r="Z623" t="str">
        <f>_xlfn.IFNA(INDEX(MTT_codes,MATCH(loaded!BE623,MTT,0)),"")</f>
        <v/>
      </c>
      <c r="AA623" t="str">
        <f>_xlfn.IFNA(INDEX(MTT_codes,MATCH(loaded!BG623,MTT,0)),"")</f>
        <v/>
      </c>
      <c r="AB623" t="str">
        <f>_xlfn.IFNA(INDEX(MTT_codes,MATCH(loaded!BI623,MTT,0)),"")</f>
        <v/>
      </c>
      <c r="AC623" t="str">
        <f>_xlfn.IFNA(INDEX(MTT_codes,MATCH(loaded!BK623,MTT,0)),"")</f>
        <v/>
      </c>
      <c r="AD623" t="str">
        <f>_xlfn.IFNA(INDEX(MTT_codes,MATCH(loaded!BM623,MTT,0)),"")</f>
        <v/>
      </c>
      <c r="AE623" t="e">
        <f>INDEX(liv_ar_codes,MATCH(loaded!BO623,liv_ar,0))</f>
        <v>#N/A</v>
      </c>
      <c r="AF623" t="str">
        <f>_xlfn.IFNA(INDEX(MTT_codes,MATCH(loaded!BQ623,MTT,0)),"")</f>
        <v/>
      </c>
      <c r="AG623">
        <f>_xlfn.IFNA(INDEX(mental_codes,MATCH(loaded!BS623,mental,0)),9)</f>
        <v>9</v>
      </c>
    </row>
    <row r="624" spans="1:33" x14ac:dyDescent="0.25">
      <c r="A624">
        <f>loaded!C624</f>
        <v>0</v>
      </c>
      <c r="B624">
        <f>loaded!I624</f>
        <v>0</v>
      </c>
      <c r="C624">
        <f>IF(loaded!K624="Male",1,IF(loaded!K624="Female",2,9))</f>
        <v>9</v>
      </c>
      <c r="D624" s="8">
        <f>loaded!M624</f>
        <v>0</v>
      </c>
      <c r="E624" t="str">
        <f>LEFT(loaded!O624,3)</f>
        <v/>
      </c>
      <c r="F624" t="e">
        <f>INDEX(cntry_codes,MATCH(loaded!Q624,countries,0))</f>
        <v>#N/A</v>
      </c>
      <c r="G624" t="e">
        <f>INDEX(atsi_codes,MATCH(loaded!S624,atsi,0))</f>
        <v>#N/A</v>
      </c>
      <c r="H624" t="e">
        <f>INDEX(lang_codes,MATCH(loaded!U624,lang,0))</f>
        <v>#N/A</v>
      </c>
      <c r="I624" s="8">
        <f>loaded!W624</f>
        <v>0</v>
      </c>
      <c r="J624" t="e">
        <f>INDEX(us_acc_codes,MATCH(loaded!Y624,us_acc,0))</f>
        <v>#N/A</v>
      </c>
      <c r="K624" t="e">
        <f>INDEX(client_codes,MATCH(loaded!AA624,client,0))</f>
        <v>#N/A</v>
      </c>
      <c r="L624" t="e">
        <f>INDEX(src_ref_codes,MATCH(loaded!AC624,src_ref,0))</f>
        <v>#N/A</v>
      </c>
      <c r="M624" s="8">
        <f>loaded!AE624</f>
        <v>0</v>
      </c>
      <c r="N624" s="8">
        <f>loaded!AG624</f>
        <v>0</v>
      </c>
      <c r="O624" t="e">
        <f>INDEX(reces_codes,MATCH(loaded!AI624,reason,0))</f>
        <v>#N/A</v>
      </c>
      <c r="P624" t="e">
        <f>INDEX(TDS_codes,MATCH(loaded!AK624,TDS,0))</f>
        <v>#N/A</v>
      </c>
      <c r="Q624" t="e">
        <f>IF(K624=2,"",INDEX(method_codes,MATCH(loaded!AM624,method,0)))</f>
        <v>#N/A</v>
      </c>
      <c r="R624" t="e">
        <f>IF(K624=2,"",INDEX(inj_codes,MATCH(loaded!AO624,inj,0)))</f>
        <v>#N/A</v>
      </c>
      <c r="S624" t="e">
        <f>IF(K624=2,"",INDEX(drug_codes,MATCH(loaded!AQ624,drug,0)))</f>
        <v>#N/A</v>
      </c>
      <c r="T624" t="e">
        <f>IF(K624=2,"",_xlfn.IFNA(INDEX(drug_codes,MATCH(loaded!AS624,drug,0)),""))</f>
        <v>#N/A</v>
      </c>
      <c r="U624" t="e">
        <f>IF(K624=2,"",_xlfn.IFNA(INDEX(drug_codes,MATCH(loaded!AU624,drug,0)),""))</f>
        <v>#N/A</v>
      </c>
      <c r="V624" t="e">
        <f>IF(K624=2,"",_xlfn.IFNA(INDEX(drug_codes,MATCH(loaded!AW624,drug,0)),""))</f>
        <v>#N/A</v>
      </c>
      <c r="W624" t="e">
        <f>IF(K624=2,"",_xlfn.IFNA(INDEX(drug_codes,MATCH(loaded!AY624,drug,0)),""))</f>
        <v>#N/A</v>
      </c>
      <c r="X624" t="e">
        <f>IF(K624=2,"",_xlfn.IFNA(INDEX(drug_codes,MATCH(loaded!BA624,drug,0)),""))</f>
        <v>#N/A</v>
      </c>
      <c r="Y624" t="e">
        <f>INDEX(MTT_codes,MATCH(loaded!BC624,MTT,0))</f>
        <v>#N/A</v>
      </c>
      <c r="Z624" t="str">
        <f>_xlfn.IFNA(INDEX(MTT_codes,MATCH(loaded!BE624,MTT,0)),"")</f>
        <v/>
      </c>
      <c r="AA624" t="str">
        <f>_xlfn.IFNA(INDEX(MTT_codes,MATCH(loaded!BG624,MTT,0)),"")</f>
        <v/>
      </c>
      <c r="AB624" t="str">
        <f>_xlfn.IFNA(INDEX(MTT_codes,MATCH(loaded!BI624,MTT,0)),"")</f>
        <v/>
      </c>
      <c r="AC624" t="str">
        <f>_xlfn.IFNA(INDEX(MTT_codes,MATCH(loaded!BK624,MTT,0)),"")</f>
        <v/>
      </c>
      <c r="AD624" t="str">
        <f>_xlfn.IFNA(INDEX(MTT_codes,MATCH(loaded!BM624,MTT,0)),"")</f>
        <v/>
      </c>
      <c r="AE624" t="e">
        <f>INDEX(liv_ar_codes,MATCH(loaded!BO624,liv_ar,0))</f>
        <v>#N/A</v>
      </c>
      <c r="AF624" t="str">
        <f>_xlfn.IFNA(INDEX(MTT_codes,MATCH(loaded!BQ624,MTT,0)),"")</f>
        <v/>
      </c>
      <c r="AG624">
        <f>_xlfn.IFNA(INDEX(mental_codes,MATCH(loaded!BS624,mental,0)),9)</f>
        <v>9</v>
      </c>
    </row>
    <row r="625" spans="1:33" x14ac:dyDescent="0.25">
      <c r="A625">
        <f>loaded!C625</f>
        <v>0</v>
      </c>
      <c r="B625">
        <f>loaded!I625</f>
        <v>0</v>
      </c>
      <c r="C625">
        <f>IF(loaded!K625="Male",1,IF(loaded!K625="Female",2,9))</f>
        <v>9</v>
      </c>
      <c r="D625" s="8">
        <f>loaded!M625</f>
        <v>0</v>
      </c>
      <c r="E625" t="str">
        <f>LEFT(loaded!O625,3)</f>
        <v/>
      </c>
      <c r="F625" t="e">
        <f>INDEX(cntry_codes,MATCH(loaded!Q625,countries,0))</f>
        <v>#N/A</v>
      </c>
      <c r="G625" t="e">
        <f>INDEX(atsi_codes,MATCH(loaded!S625,atsi,0))</f>
        <v>#N/A</v>
      </c>
      <c r="H625" t="e">
        <f>INDEX(lang_codes,MATCH(loaded!U625,lang,0))</f>
        <v>#N/A</v>
      </c>
      <c r="I625" s="8">
        <f>loaded!W625</f>
        <v>0</v>
      </c>
      <c r="J625" t="e">
        <f>INDEX(us_acc_codes,MATCH(loaded!Y625,us_acc,0))</f>
        <v>#N/A</v>
      </c>
      <c r="K625" t="e">
        <f>INDEX(client_codes,MATCH(loaded!AA625,client,0))</f>
        <v>#N/A</v>
      </c>
      <c r="L625" t="e">
        <f>INDEX(src_ref_codes,MATCH(loaded!AC625,src_ref,0))</f>
        <v>#N/A</v>
      </c>
      <c r="M625" s="8">
        <f>loaded!AE625</f>
        <v>0</v>
      </c>
      <c r="N625" s="8">
        <f>loaded!AG625</f>
        <v>0</v>
      </c>
      <c r="O625" t="e">
        <f>INDEX(reces_codes,MATCH(loaded!AI625,reason,0))</f>
        <v>#N/A</v>
      </c>
      <c r="P625" t="e">
        <f>INDEX(TDS_codes,MATCH(loaded!AK625,TDS,0))</f>
        <v>#N/A</v>
      </c>
      <c r="Q625" t="e">
        <f>IF(K625=2,"",INDEX(method_codes,MATCH(loaded!AM625,method,0)))</f>
        <v>#N/A</v>
      </c>
      <c r="R625" t="e">
        <f>IF(K625=2,"",INDEX(inj_codes,MATCH(loaded!AO625,inj,0)))</f>
        <v>#N/A</v>
      </c>
      <c r="S625" t="e">
        <f>IF(K625=2,"",INDEX(drug_codes,MATCH(loaded!AQ625,drug,0)))</f>
        <v>#N/A</v>
      </c>
      <c r="T625" t="e">
        <f>IF(K625=2,"",_xlfn.IFNA(INDEX(drug_codes,MATCH(loaded!AS625,drug,0)),""))</f>
        <v>#N/A</v>
      </c>
      <c r="U625" t="e">
        <f>IF(K625=2,"",_xlfn.IFNA(INDEX(drug_codes,MATCH(loaded!AU625,drug,0)),""))</f>
        <v>#N/A</v>
      </c>
      <c r="V625" t="e">
        <f>IF(K625=2,"",_xlfn.IFNA(INDEX(drug_codes,MATCH(loaded!AW625,drug,0)),""))</f>
        <v>#N/A</v>
      </c>
      <c r="W625" t="e">
        <f>IF(K625=2,"",_xlfn.IFNA(INDEX(drug_codes,MATCH(loaded!AY625,drug,0)),""))</f>
        <v>#N/A</v>
      </c>
      <c r="X625" t="e">
        <f>IF(K625=2,"",_xlfn.IFNA(INDEX(drug_codes,MATCH(loaded!BA625,drug,0)),""))</f>
        <v>#N/A</v>
      </c>
      <c r="Y625" t="e">
        <f>INDEX(MTT_codes,MATCH(loaded!BC625,MTT,0))</f>
        <v>#N/A</v>
      </c>
      <c r="Z625" t="str">
        <f>_xlfn.IFNA(INDEX(MTT_codes,MATCH(loaded!BE625,MTT,0)),"")</f>
        <v/>
      </c>
      <c r="AA625" t="str">
        <f>_xlfn.IFNA(INDEX(MTT_codes,MATCH(loaded!BG625,MTT,0)),"")</f>
        <v/>
      </c>
      <c r="AB625" t="str">
        <f>_xlfn.IFNA(INDEX(MTT_codes,MATCH(loaded!BI625,MTT,0)),"")</f>
        <v/>
      </c>
      <c r="AC625" t="str">
        <f>_xlfn.IFNA(INDEX(MTT_codes,MATCH(loaded!BK625,MTT,0)),"")</f>
        <v/>
      </c>
      <c r="AD625" t="str">
        <f>_xlfn.IFNA(INDEX(MTT_codes,MATCH(loaded!BM625,MTT,0)),"")</f>
        <v/>
      </c>
      <c r="AE625" t="e">
        <f>INDEX(liv_ar_codes,MATCH(loaded!BO625,liv_ar,0))</f>
        <v>#N/A</v>
      </c>
      <c r="AF625" t="str">
        <f>_xlfn.IFNA(INDEX(MTT_codes,MATCH(loaded!BQ625,MTT,0)),"")</f>
        <v/>
      </c>
      <c r="AG625">
        <f>_xlfn.IFNA(INDEX(mental_codes,MATCH(loaded!BS625,mental,0)),9)</f>
        <v>9</v>
      </c>
    </row>
    <row r="626" spans="1:33" x14ac:dyDescent="0.25">
      <c r="A626">
        <f>loaded!C626</f>
        <v>0</v>
      </c>
      <c r="B626">
        <f>loaded!I626</f>
        <v>0</v>
      </c>
      <c r="C626">
        <f>IF(loaded!K626="Male",1,IF(loaded!K626="Female",2,9))</f>
        <v>9</v>
      </c>
      <c r="D626" s="8">
        <f>loaded!M626</f>
        <v>0</v>
      </c>
      <c r="E626" t="str">
        <f>LEFT(loaded!O626,3)</f>
        <v/>
      </c>
      <c r="F626" t="e">
        <f>INDEX(cntry_codes,MATCH(loaded!Q626,countries,0))</f>
        <v>#N/A</v>
      </c>
      <c r="G626" t="e">
        <f>INDEX(atsi_codes,MATCH(loaded!S626,atsi,0))</f>
        <v>#N/A</v>
      </c>
      <c r="H626" t="e">
        <f>INDEX(lang_codes,MATCH(loaded!U626,lang,0))</f>
        <v>#N/A</v>
      </c>
      <c r="I626" s="8">
        <f>loaded!W626</f>
        <v>0</v>
      </c>
      <c r="J626" t="e">
        <f>INDEX(us_acc_codes,MATCH(loaded!Y626,us_acc,0))</f>
        <v>#N/A</v>
      </c>
      <c r="K626" t="e">
        <f>INDEX(client_codes,MATCH(loaded!AA626,client,0))</f>
        <v>#N/A</v>
      </c>
      <c r="L626" t="e">
        <f>INDEX(src_ref_codes,MATCH(loaded!AC626,src_ref,0))</f>
        <v>#N/A</v>
      </c>
      <c r="M626" s="8">
        <f>loaded!AE626</f>
        <v>0</v>
      </c>
      <c r="N626" s="8">
        <f>loaded!AG626</f>
        <v>0</v>
      </c>
      <c r="O626" t="e">
        <f>INDEX(reces_codes,MATCH(loaded!AI626,reason,0))</f>
        <v>#N/A</v>
      </c>
      <c r="P626" t="e">
        <f>INDEX(TDS_codes,MATCH(loaded!AK626,TDS,0))</f>
        <v>#N/A</v>
      </c>
      <c r="Q626" t="e">
        <f>IF(K626=2,"",INDEX(method_codes,MATCH(loaded!AM626,method,0)))</f>
        <v>#N/A</v>
      </c>
      <c r="R626" t="e">
        <f>IF(K626=2,"",INDEX(inj_codes,MATCH(loaded!AO626,inj,0)))</f>
        <v>#N/A</v>
      </c>
      <c r="S626" t="e">
        <f>IF(K626=2,"",INDEX(drug_codes,MATCH(loaded!AQ626,drug,0)))</f>
        <v>#N/A</v>
      </c>
      <c r="T626" t="e">
        <f>IF(K626=2,"",_xlfn.IFNA(INDEX(drug_codes,MATCH(loaded!AS626,drug,0)),""))</f>
        <v>#N/A</v>
      </c>
      <c r="U626" t="e">
        <f>IF(K626=2,"",_xlfn.IFNA(INDEX(drug_codes,MATCH(loaded!AU626,drug,0)),""))</f>
        <v>#N/A</v>
      </c>
      <c r="V626" t="e">
        <f>IF(K626=2,"",_xlfn.IFNA(INDEX(drug_codes,MATCH(loaded!AW626,drug,0)),""))</f>
        <v>#N/A</v>
      </c>
      <c r="W626" t="e">
        <f>IF(K626=2,"",_xlfn.IFNA(INDEX(drug_codes,MATCH(loaded!AY626,drug,0)),""))</f>
        <v>#N/A</v>
      </c>
      <c r="X626" t="e">
        <f>IF(K626=2,"",_xlfn.IFNA(INDEX(drug_codes,MATCH(loaded!BA626,drug,0)),""))</f>
        <v>#N/A</v>
      </c>
      <c r="Y626" t="e">
        <f>INDEX(MTT_codes,MATCH(loaded!BC626,MTT,0))</f>
        <v>#N/A</v>
      </c>
      <c r="Z626" t="str">
        <f>_xlfn.IFNA(INDEX(MTT_codes,MATCH(loaded!BE626,MTT,0)),"")</f>
        <v/>
      </c>
      <c r="AA626" t="str">
        <f>_xlfn.IFNA(INDEX(MTT_codes,MATCH(loaded!BG626,MTT,0)),"")</f>
        <v/>
      </c>
      <c r="AB626" t="str">
        <f>_xlfn.IFNA(INDEX(MTT_codes,MATCH(loaded!BI626,MTT,0)),"")</f>
        <v/>
      </c>
      <c r="AC626" t="str">
        <f>_xlfn.IFNA(INDEX(MTT_codes,MATCH(loaded!BK626,MTT,0)),"")</f>
        <v/>
      </c>
      <c r="AD626" t="str">
        <f>_xlfn.IFNA(INDEX(MTT_codes,MATCH(loaded!BM626,MTT,0)),"")</f>
        <v/>
      </c>
      <c r="AE626" t="e">
        <f>INDEX(liv_ar_codes,MATCH(loaded!BO626,liv_ar,0))</f>
        <v>#N/A</v>
      </c>
      <c r="AF626" t="str">
        <f>_xlfn.IFNA(INDEX(MTT_codes,MATCH(loaded!BQ626,MTT,0)),"")</f>
        <v/>
      </c>
      <c r="AG626">
        <f>_xlfn.IFNA(INDEX(mental_codes,MATCH(loaded!BS626,mental,0)),9)</f>
        <v>9</v>
      </c>
    </row>
    <row r="627" spans="1:33" x14ac:dyDescent="0.25">
      <c r="A627">
        <f>loaded!C627</f>
        <v>0</v>
      </c>
      <c r="B627">
        <f>loaded!I627</f>
        <v>0</v>
      </c>
      <c r="C627">
        <f>IF(loaded!K627="Male",1,IF(loaded!K627="Female",2,9))</f>
        <v>9</v>
      </c>
      <c r="D627" s="8">
        <f>loaded!M627</f>
        <v>0</v>
      </c>
      <c r="E627" t="str">
        <f>LEFT(loaded!O627,3)</f>
        <v/>
      </c>
      <c r="F627" t="e">
        <f>INDEX(cntry_codes,MATCH(loaded!Q627,countries,0))</f>
        <v>#N/A</v>
      </c>
      <c r="G627" t="e">
        <f>INDEX(atsi_codes,MATCH(loaded!S627,atsi,0))</f>
        <v>#N/A</v>
      </c>
      <c r="H627" t="e">
        <f>INDEX(lang_codes,MATCH(loaded!U627,lang,0))</f>
        <v>#N/A</v>
      </c>
      <c r="I627" s="8">
        <f>loaded!W627</f>
        <v>0</v>
      </c>
      <c r="J627" t="e">
        <f>INDEX(us_acc_codes,MATCH(loaded!Y627,us_acc,0))</f>
        <v>#N/A</v>
      </c>
      <c r="K627" t="e">
        <f>INDEX(client_codes,MATCH(loaded!AA627,client,0))</f>
        <v>#N/A</v>
      </c>
      <c r="L627" t="e">
        <f>INDEX(src_ref_codes,MATCH(loaded!AC627,src_ref,0))</f>
        <v>#N/A</v>
      </c>
      <c r="M627" s="8">
        <f>loaded!AE627</f>
        <v>0</v>
      </c>
      <c r="N627" s="8">
        <f>loaded!AG627</f>
        <v>0</v>
      </c>
      <c r="O627" t="e">
        <f>INDEX(reces_codes,MATCH(loaded!AI627,reason,0))</f>
        <v>#N/A</v>
      </c>
      <c r="P627" t="e">
        <f>INDEX(TDS_codes,MATCH(loaded!AK627,TDS,0))</f>
        <v>#N/A</v>
      </c>
      <c r="Q627" t="e">
        <f>IF(K627=2,"",INDEX(method_codes,MATCH(loaded!AM627,method,0)))</f>
        <v>#N/A</v>
      </c>
      <c r="R627" t="e">
        <f>IF(K627=2,"",INDEX(inj_codes,MATCH(loaded!AO627,inj,0)))</f>
        <v>#N/A</v>
      </c>
      <c r="S627" t="e">
        <f>IF(K627=2,"",INDEX(drug_codes,MATCH(loaded!AQ627,drug,0)))</f>
        <v>#N/A</v>
      </c>
      <c r="T627" t="e">
        <f>IF(K627=2,"",_xlfn.IFNA(INDEX(drug_codes,MATCH(loaded!AS627,drug,0)),""))</f>
        <v>#N/A</v>
      </c>
      <c r="U627" t="e">
        <f>IF(K627=2,"",_xlfn.IFNA(INDEX(drug_codes,MATCH(loaded!AU627,drug,0)),""))</f>
        <v>#N/A</v>
      </c>
      <c r="V627" t="e">
        <f>IF(K627=2,"",_xlfn.IFNA(INDEX(drug_codes,MATCH(loaded!AW627,drug,0)),""))</f>
        <v>#N/A</v>
      </c>
      <c r="W627" t="e">
        <f>IF(K627=2,"",_xlfn.IFNA(INDEX(drug_codes,MATCH(loaded!AY627,drug,0)),""))</f>
        <v>#N/A</v>
      </c>
      <c r="X627" t="e">
        <f>IF(K627=2,"",_xlfn.IFNA(INDEX(drug_codes,MATCH(loaded!BA627,drug,0)),""))</f>
        <v>#N/A</v>
      </c>
      <c r="Y627" t="e">
        <f>INDEX(MTT_codes,MATCH(loaded!BC627,MTT,0))</f>
        <v>#N/A</v>
      </c>
      <c r="Z627" t="str">
        <f>_xlfn.IFNA(INDEX(MTT_codes,MATCH(loaded!BE627,MTT,0)),"")</f>
        <v/>
      </c>
      <c r="AA627" t="str">
        <f>_xlfn.IFNA(INDEX(MTT_codes,MATCH(loaded!BG627,MTT,0)),"")</f>
        <v/>
      </c>
      <c r="AB627" t="str">
        <f>_xlfn.IFNA(INDEX(MTT_codes,MATCH(loaded!BI627,MTT,0)),"")</f>
        <v/>
      </c>
      <c r="AC627" t="str">
        <f>_xlfn.IFNA(INDEX(MTT_codes,MATCH(loaded!BK627,MTT,0)),"")</f>
        <v/>
      </c>
      <c r="AD627" t="str">
        <f>_xlfn.IFNA(INDEX(MTT_codes,MATCH(loaded!BM627,MTT,0)),"")</f>
        <v/>
      </c>
      <c r="AE627" t="e">
        <f>INDEX(liv_ar_codes,MATCH(loaded!BO627,liv_ar,0))</f>
        <v>#N/A</v>
      </c>
      <c r="AF627" t="str">
        <f>_xlfn.IFNA(INDEX(MTT_codes,MATCH(loaded!BQ627,MTT,0)),"")</f>
        <v/>
      </c>
      <c r="AG627">
        <f>_xlfn.IFNA(INDEX(mental_codes,MATCH(loaded!BS627,mental,0)),9)</f>
        <v>9</v>
      </c>
    </row>
    <row r="628" spans="1:33" x14ac:dyDescent="0.25">
      <c r="A628">
        <f>loaded!C628</f>
        <v>0</v>
      </c>
      <c r="B628">
        <f>loaded!I628</f>
        <v>0</v>
      </c>
      <c r="C628">
        <f>IF(loaded!K628="Male",1,IF(loaded!K628="Female",2,9))</f>
        <v>9</v>
      </c>
      <c r="D628" s="8">
        <f>loaded!M628</f>
        <v>0</v>
      </c>
      <c r="E628" t="str">
        <f>LEFT(loaded!O628,3)</f>
        <v/>
      </c>
      <c r="F628" t="e">
        <f>INDEX(cntry_codes,MATCH(loaded!Q628,countries,0))</f>
        <v>#N/A</v>
      </c>
      <c r="G628" t="e">
        <f>INDEX(atsi_codes,MATCH(loaded!S628,atsi,0))</f>
        <v>#N/A</v>
      </c>
      <c r="H628" t="e">
        <f>INDEX(lang_codes,MATCH(loaded!U628,lang,0))</f>
        <v>#N/A</v>
      </c>
      <c r="I628" s="8">
        <f>loaded!W628</f>
        <v>0</v>
      </c>
      <c r="J628" t="e">
        <f>INDEX(us_acc_codes,MATCH(loaded!Y628,us_acc,0))</f>
        <v>#N/A</v>
      </c>
      <c r="K628" t="e">
        <f>INDEX(client_codes,MATCH(loaded!AA628,client,0))</f>
        <v>#N/A</v>
      </c>
      <c r="L628" t="e">
        <f>INDEX(src_ref_codes,MATCH(loaded!AC628,src_ref,0))</f>
        <v>#N/A</v>
      </c>
      <c r="M628" s="8">
        <f>loaded!AE628</f>
        <v>0</v>
      </c>
      <c r="N628" s="8">
        <f>loaded!AG628</f>
        <v>0</v>
      </c>
      <c r="O628" t="e">
        <f>INDEX(reces_codes,MATCH(loaded!AI628,reason,0))</f>
        <v>#N/A</v>
      </c>
      <c r="P628" t="e">
        <f>INDEX(TDS_codes,MATCH(loaded!AK628,TDS,0))</f>
        <v>#N/A</v>
      </c>
      <c r="Q628" t="e">
        <f>IF(K628=2,"",INDEX(method_codes,MATCH(loaded!AM628,method,0)))</f>
        <v>#N/A</v>
      </c>
      <c r="R628" t="e">
        <f>IF(K628=2,"",INDEX(inj_codes,MATCH(loaded!AO628,inj,0)))</f>
        <v>#N/A</v>
      </c>
      <c r="S628" t="e">
        <f>IF(K628=2,"",INDEX(drug_codes,MATCH(loaded!AQ628,drug,0)))</f>
        <v>#N/A</v>
      </c>
      <c r="T628" t="e">
        <f>IF(K628=2,"",_xlfn.IFNA(INDEX(drug_codes,MATCH(loaded!AS628,drug,0)),""))</f>
        <v>#N/A</v>
      </c>
      <c r="U628" t="e">
        <f>IF(K628=2,"",_xlfn.IFNA(INDEX(drug_codes,MATCH(loaded!AU628,drug,0)),""))</f>
        <v>#N/A</v>
      </c>
      <c r="V628" t="e">
        <f>IF(K628=2,"",_xlfn.IFNA(INDEX(drug_codes,MATCH(loaded!AW628,drug,0)),""))</f>
        <v>#N/A</v>
      </c>
      <c r="W628" t="e">
        <f>IF(K628=2,"",_xlfn.IFNA(INDEX(drug_codes,MATCH(loaded!AY628,drug,0)),""))</f>
        <v>#N/A</v>
      </c>
      <c r="X628" t="e">
        <f>IF(K628=2,"",_xlfn.IFNA(INDEX(drug_codes,MATCH(loaded!BA628,drug,0)),""))</f>
        <v>#N/A</v>
      </c>
      <c r="Y628" t="e">
        <f>INDEX(MTT_codes,MATCH(loaded!BC628,MTT,0))</f>
        <v>#N/A</v>
      </c>
      <c r="Z628" t="str">
        <f>_xlfn.IFNA(INDEX(MTT_codes,MATCH(loaded!BE628,MTT,0)),"")</f>
        <v/>
      </c>
      <c r="AA628" t="str">
        <f>_xlfn.IFNA(INDEX(MTT_codes,MATCH(loaded!BG628,MTT,0)),"")</f>
        <v/>
      </c>
      <c r="AB628" t="str">
        <f>_xlfn.IFNA(INDEX(MTT_codes,MATCH(loaded!BI628,MTT,0)),"")</f>
        <v/>
      </c>
      <c r="AC628" t="str">
        <f>_xlfn.IFNA(INDEX(MTT_codes,MATCH(loaded!BK628,MTT,0)),"")</f>
        <v/>
      </c>
      <c r="AD628" t="str">
        <f>_xlfn.IFNA(INDEX(MTT_codes,MATCH(loaded!BM628,MTT,0)),"")</f>
        <v/>
      </c>
      <c r="AE628" t="e">
        <f>INDEX(liv_ar_codes,MATCH(loaded!BO628,liv_ar,0))</f>
        <v>#N/A</v>
      </c>
      <c r="AF628" t="str">
        <f>_xlfn.IFNA(INDEX(MTT_codes,MATCH(loaded!BQ628,MTT,0)),"")</f>
        <v/>
      </c>
      <c r="AG628">
        <f>_xlfn.IFNA(INDEX(mental_codes,MATCH(loaded!BS628,mental,0)),9)</f>
        <v>9</v>
      </c>
    </row>
    <row r="629" spans="1:33" x14ac:dyDescent="0.25">
      <c r="A629">
        <f>loaded!C629</f>
        <v>0</v>
      </c>
      <c r="B629">
        <f>loaded!I629</f>
        <v>0</v>
      </c>
      <c r="C629">
        <f>IF(loaded!K629="Male",1,IF(loaded!K629="Female",2,9))</f>
        <v>9</v>
      </c>
      <c r="D629" s="8">
        <f>loaded!M629</f>
        <v>0</v>
      </c>
      <c r="E629" t="str">
        <f>LEFT(loaded!O629,3)</f>
        <v/>
      </c>
      <c r="F629" t="e">
        <f>INDEX(cntry_codes,MATCH(loaded!Q629,countries,0))</f>
        <v>#N/A</v>
      </c>
      <c r="G629" t="e">
        <f>INDEX(atsi_codes,MATCH(loaded!S629,atsi,0))</f>
        <v>#N/A</v>
      </c>
      <c r="H629" t="e">
        <f>INDEX(lang_codes,MATCH(loaded!U629,lang,0))</f>
        <v>#N/A</v>
      </c>
      <c r="I629" s="8">
        <f>loaded!W629</f>
        <v>0</v>
      </c>
      <c r="J629" t="e">
        <f>INDEX(us_acc_codes,MATCH(loaded!Y629,us_acc,0))</f>
        <v>#N/A</v>
      </c>
      <c r="K629" t="e">
        <f>INDEX(client_codes,MATCH(loaded!AA629,client,0))</f>
        <v>#N/A</v>
      </c>
      <c r="L629" t="e">
        <f>INDEX(src_ref_codes,MATCH(loaded!AC629,src_ref,0))</f>
        <v>#N/A</v>
      </c>
      <c r="M629" s="8">
        <f>loaded!AE629</f>
        <v>0</v>
      </c>
      <c r="N629" s="8">
        <f>loaded!AG629</f>
        <v>0</v>
      </c>
      <c r="O629" t="e">
        <f>INDEX(reces_codes,MATCH(loaded!AI629,reason,0))</f>
        <v>#N/A</v>
      </c>
      <c r="P629" t="e">
        <f>INDEX(TDS_codes,MATCH(loaded!AK629,TDS,0))</f>
        <v>#N/A</v>
      </c>
      <c r="Q629" t="e">
        <f>IF(K629=2,"",INDEX(method_codes,MATCH(loaded!AM629,method,0)))</f>
        <v>#N/A</v>
      </c>
      <c r="R629" t="e">
        <f>IF(K629=2,"",INDEX(inj_codes,MATCH(loaded!AO629,inj,0)))</f>
        <v>#N/A</v>
      </c>
      <c r="S629" t="e">
        <f>IF(K629=2,"",INDEX(drug_codes,MATCH(loaded!AQ629,drug,0)))</f>
        <v>#N/A</v>
      </c>
      <c r="T629" t="e">
        <f>IF(K629=2,"",_xlfn.IFNA(INDEX(drug_codes,MATCH(loaded!AS629,drug,0)),""))</f>
        <v>#N/A</v>
      </c>
      <c r="U629" t="e">
        <f>IF(K629=2,"",_xlfn.IFNA(INDEX(drug_codes,MATCH(loaded!AU629,drug,0)),""))</f>
        <v>#N/A</v>
      </c>
      <c r="V629" t="e">
        <f>IF(K629=2,"",_xlfn.IFNA(INDEX(drug_codes,MATCH(loaded!AW629,drug,0)),""))</f>
        <v>#N/A</v>
      </c>
      <c r="W629" t="e">
        <f>IF(K629=2,"",_xlfn.IFNA(INDEX(drug_codes,MATCH(loaded!AY629,drug,0)),""))</f>
        <v>#N/A</v>
      </c>
      <c r="X629" t="e">
        <f>IF(K629=2,"",_xlfn.IFNA(INDEX(drug_codes,MATCH(loaded!BA629,drug,0)),""))</f>
        <v>#N/A</v>
      </c>
      <c r="Y629" t="e">
        <f>INDEX(MTT_codes,MATCH(loaded!BC629,MTT,0))</f>
        <v>#N/A</v>
      </c>
      <c r="Z629" t="str">
        <f>_xlfn.IFNA(INDEX(MTT_codes,MATCH(loaded!BE629,MTT,0)),"")</f>
        <v/>
      </c>
      <c r="AA629" t="str">
        <f>_xlfn.IFNA(INDEX(MTT_codes,MATCH(loaded!BG629,MTT,0)),"")</f>
        <v/>
      </c>
      <c r="AB629" t="str">
        <f>_xlfn.IFNA(INDEX(MTT_codes,MATCH(loaded!BI629,MTT,0)),"")</f>
        <v/>
      </c>
      <c r="AC629" t="str">
        <f>_xlfn.IFNA(INDEX(MTT_codes,MATCH(loaded!BK629,MTT,0)),"")</f>
        <v/>
      </c>
      <c r="AD629" t="str">
        <f>_xlfn.IFNA(INDEX(MTT_codes,MATCH(loaded!BM629,MTT,0)),"")</f>
        <v/>
      </c>
      <c r="AE629" t="e">
        <f>INDEX(liv_ar_codes,MATCH(loaded!BO629,liv_ar,0))</f>
        <v>#N/A</v>
      </c>
      <c r="AF629" t="str">
        <f>_xlfn.IFNA(INDEX(MTT_codes,MATCH(loaded!BQ629,MTT,0)),"")</f>
        <v/>
      </c>
      <c r="AG629">
        <f>_xlfn.IFNA(INDEX(mental_codes,MATCH(loaded!BS629,mental,0)),9)</f>
        <v>9</v>
      </c>
    </row>
    <row r="630" spans="1:33" x14ac:dyDescent="0.25">
      <c r="A630">
        <f>loaded!C630</f>
        <v>0</v>
      </c>
      <c r="B630">
        <f>loaded!I630</f>
        <v>0</v>
      </c>
      <c r="C630">
        <f>IF(loaded!K630="Male",1,IF(loaded!K630="Female",2,9))</f>
        <v>9</v>
      </c>
      <c r="D630" s="8">
        <f>loaded!M630</f>
        <v>0</v>
      </c>
      <c r="E630" t="str">
        <f>LEFT(loaded!O630,3)</f>
        <v/>
      </c>
      <c r="F630" t="e">
        <f>INDEX(cntry_codes,MATCH(loaded!Q630,countries,0))</f>
        <v>#N/A</v>
      </c>
      <c r="G630" t="e">
        <f>INDEX(atsi_codes,MATCH(loaded!S630,atsi,0))</f>
        <v>#N/A</v>
      </c>
      <c r="H630" t="e">
        <f>INDEX(lang_codes,MATCH(loaded!U630,lang,0))</f>
        <v>#N/A</v>
      </c>
      <c r="I630" s="8">
        <f>loaded!W630</f>
        <v>0</v>
      </c>
      <c r="J630" t="e">
        <f>INDEX(us_acc_codes,MATCH(loaded!Y630,us_acc,0))</f>
        <v>#N/A</v>
      </c>
      <c r="K630" t="e">
        <f>INDEX(client_codes,MATCH(loaded!AA630,client,0))</f>
        <v>#N/A</v>
      </c>
      <c r="L630" t="e">
        <f>INDEX(src_ref_codes,MATCH(loaded!AC630,src_ref,0))</f>
        <v>#N/A</v>
      </c>
      <c r="M630" s="8">
        <f>loaded!AE630</f>
        <v>0</v>
      </c>
      <c r="N630" s="8">
        <f>loaded!AG630</f>
        <v>0</v>
      </c>
      <c r="O630" t="e">
        <f>INDEX(reces_codes,MATCH(loaded!AI630,reason,0))</f>
        <v>#N/A</v>
      </c>
      <c r="P630" t="e">
        <f>INDEX(TDS_codes,MATCH(loaded!AK630,TDS,0))</f>
        <v>#N/A</v>
      </c>
      <c r="Q630" t="e">
        <f>IF(K630=2,"",INDEX(method_codes,MATCH(loaded!AM630,method,0)))</f>
        <v>#N/A</v>
      </c>
      <c r="R630" t="e">
        <f>IF(K630=2,"",INDEX(inj_codes,MATCH(loaded!AO630,inj,0)))</f>
        <v>#N/A</v>
      </c>
      <c r="S630" t="e">
        <f>IF(K630=2,"",INDEX(drug_codes,MATCH(loaded!AQ630,drug,0)))</f>
        <v>#N/A</v>
      </c>
      <c r="T630" t="e">
        <f>IF(K630=2,"",_xlfn.IFNA(INDEX(drug_codes,MATCH(loaded!AS630,drug,0)),""))</f>
        <v>#N/A</v>
      </c>
      <c r="U630" t="e">
        <f>IF(K630=2,"",_xlfn.IFNA(INDEX(drug_codes,MATCH(loaded!AU630,drug,0)),""))</f>
        <v>#N/A</v>
      </c>
      <c r="V630" t="e">
        <f>IF(K630=2,"",_xlfn.IFNA(INDEX(drug_codes,MATCH(loaded!AW630,drug,0)),""))</f>
        <v>#N/A</v>
      </c>
      <c r="W630" t="e">
        <f>IF(K630=2,"",_xlfn.IFNA(INDEX(drug_codes,MATCH(loaded!AY630,drug,0)),""))</f>
        <v>#N/A</v>
      </c>
      <c r="X630" t="e">
        <f>IF(K630=2,"",_xlfn.IFNA(INDEX(drug_codes,MATCH(loaded!BA630,drug,0)),""))</f>
        <v>#N/A</v>
      </c>
      <c r="Y630" t="e">
        <f>INDEX(MTT_codes,MATCH(loaded!BC630,MTT,0))</f>
        <v>#N/A</v>
      </c>
      <c r="Z630" t="str">
        <f>_xlfn.IFNA(INDEX(MTT_codes,MATCH(loaded!BE630,MTT,0)),"")</f>
        <v/>
      </c>
      <c r="AA630" t="str">
        <f>_xlfn.IFNA(INDEX(MTT_codes,MATCH(loaded!BG630,MTT,0)),"")</f>
        <v/>
      </c>
      <c r="AB630" t="str">
        <f>_xlfn.IFNA(INDEX(MTT_codes,MATCH(loaded!BI630,MTT,0)),"")</f>
        <v/>
      </c>
      <c r="AC630" t="str">
        <f>_xlfn.IFNA(INDEX(MTT_codes,MATCH(loaded!BK630,MTT,0)),"")</f>
        <v/>
      </c>
      <c r="AD630" t="str">
        <f>_xlfn.IFNA(INDEX(MTT_codes,MATCH(loaded!BM630,MTT,0)),"")</f>
        <v/>
      </c>
      <c r="AE630" t="e">
        <f>INDEX(liv_ar_codes,MATCH(loaded!BO630,liv_ar,0))</f>
        <v>#N/A</v>
      </c>
      <c r="AF630" t="str">
        <f>_xlfn.IFNA(INDEX(MTT_codes,MATCH(loaded!BQ630,MTT,0)),"")</f>
        <v/>
      </c>
      <c r="AG630">
        <f>_xlfn.IFNA(INDEX(mental_codes,MATCH(loaded!BS630,mental,0)),9)</f>
        <v>9</v>
      </c>
    </row>
    <row r="631" spans="1:33" x14ac:dyDescent="0.25">
      <c r="A631">
        <f>loaded!C631</f>
        <v>0</v>
      </c>
      <c r="B631">
        <f>loaded!I631</f>
        <v>0</v>
      </c>
      <c r="C631">
        <f>IF(loaded!K631="Male",1,IF(loaded!K631="Female",2,9))</f>
        <v>9</v>
      </c>
      <c r="D631" s="8">
        <f>loaded!M631</f>
        <v>0</v>
      </c>
      <c r="E631" t="str">
        <f>LEFT(loaded!O631,3)</f>
        <v/>
      </c>
      <c r="F631" t="e">
        <f>INDEX(cntry_codes,MATCH(loaded!Q631,countries,0))</f>
        <v>#N/A</v>
      </c>
      <c r="G631" t="e">
        <f>INDEX(atsi_codes,MATCH(loaded!S631,atsi,0))</f>
        <v>#N/A</v>
      </c>
      <c r="H631" t="e">
        <f>INDEX(lang_codes,MATCH(loaded!U631,lang,0))</f>
        <v>#N/A</v>
      </c>
      <c r="I631" s="8">
        <f>loaded!W631</f>
        <v>0</v>
      </c>
      <c r="J631" t="e">
        <f>INDEX(us_acc_codes,MATCH(loaded!Y631,us_acc,0))</f>
        <v>#N/A</v>
      </c>
      <c r="K631" t="e">
        <f>INDEX(client_codes,MATCH(loaded!AA631,client,0))</f>
        <v>#N/A</v>
      </c>
      <c r="L631" t="e">
        <f>INDEX(src_ref_codes,MATCH(loaded!AC631,src_ref,0))</f>
        <v>#N/A</v>
      </c>
      <c r="M631" s="8">
        <f>loaded!AE631</f>
        <v>0</v>
      </c>
      <c r="N631" s="8">
        <f>loaded!AG631</f>
        <v>0</v>
      </c>
      <c r="O631" t="e">
        <f>INDEX(reces_codes,MATCH(loaded!AI631,reason,0))</f>
        <v>#N/A</v>
      </c>
      <c r="P631" t="e">
        <f>INDEX(TDS_codes,MATCH(loaded!AK631,TDS,0))</f>
        <v>#N/A</v>
      </c>
      <c r="Q631" t="e">
        <f>IF(K631=2,"",INDEX(method_codes,MATCH(loaded!AM631,method,0)))</f>
        <v>#N/A</v>
      </c>
      <c r="R631" t="e">
        <f>IF(K631=2,"",INDEX(inj_codes,MATCH(loaded!AO631,inj,0)))</f>
        <v>#N/A</v>
      </c>
      <c r="S631" t="e">
        <f>IF(K631=2,"",INDEX(drug_codes,MATCH(loaded!AQ631,drug,0)))</f>
        <v>#N/A</v>
      </c>
      <c r="T631" t="e">
        <f>IF(K631=2,"",_xlfn.IFNA(INDEX(drug_codes,MATCH(loaded!AS631,drug,0)),""))</f>
        <v>#N/A</v>
      </c>
      <c r="U631" t="e">
        <f>IF(K631=2,"",_xlfn.IFNA(INDEX(drug_codes,MATCH(loaded!AU631,drug,0)),""))</f>
        <v>#N/A</v>
      </c>
      <c r="V631" t="e">
        <f>IF(K631=2,"",_xlfn.IFNA(INDEX(drug_codes,MATCH(loaded!AW631,drug,0)),""))</f>
        <v>#N/A</v>
      </c>
      <c r="W631" t="e">
        <f>IF(K631=2,"",_xlfn.IFNA(INDEX(drug_codes,MATCH(loaded!AY631,drug,0)),""))</f>
        <v>#N/A</v>
      </c>
      <c r="X631" t="e">
        <f>IF(K631=2,"",_xlfn.IFNA(INDEX(drug_codes,MATCH(loaded!BA631,drug,0)),""))</f>
        <v>#N/A</v>
      </c>
      <c r="Y631" t="e">
        <f>INDEX(MTT_codes,MATCH(loaded!BC631,MTT,0))</f>
        <v>#N/A</v>
      </c>
      <c r="Z631" t="str">
        <f>_xlfn.IFNA(INDEX(MTT_codes,MATCH(loaded!BE631,MTT,0)),"")</f>
        <v/>
      </c>
      <c r="AA631" t="str">
        <f>_xlfn.IFNA(INDEX(MTT_codes,MATCH(loaded!BG631,MTT,0)),"")</f>
        <v/>
      </c>
      <c r="AB631" t="str">
        <f>_xlfn.IFNA(INDEX(MTT_codes,MATCH(loaded!BI631,MTT,0)),"")</f>
        <v/>
      </c>
      <c r="AC631" t="str">
        <f>_xlfn.IFNA(INDEX(MTT_codes,MATCH(loaded!BK631,MTT,0)),"")</f>
        <v/>
      </c>
      <c r="AD631" t="str">
        <f>_xlfn.IFNA(INDEX(MTT_codes,MATCH(loaded!BM631,MTT,0)),"")</f>
        <v/>
      </c>
      <c r="AE631" t="e">
        <f>INDEX(liv_ar_codes,MATCH(loaded!BO631,liv_ar,0))</f>
        <v>#N/A</v>
      </c>
      <c r="AF631" t="str">
        <f>_xlfn.IFNA(INDEX(MTT_codes,MATCH(loaded!BQ631,MTT,0)),"")</f>
        <v/>
      </c>
      <c r="AG631">
        <f>_xlfn.IFNA(INDEX(mental_codes,MATCH(loaded!BS631,mental,0)),9)</f>
        <v>9</v>
      </c>
    </row>
    <row r="632" spans="1:33" x14ac:dyDescent="0.25">
      <c r="A632">
        <f>loaded!C632</f>
        <v>0</v>
      </c>
      <c r="B632">
        <f>loaded!I632</f>
        <v>0</v>
      </c>
      <c r="C632">
        <f>IF(loaded!K632="Male",1,IF(loaded!K632="Female",2,9))</f>
        <v>9</v>
      </c>
      <c r="D632" s="8">
        <f>loaded!M632</f>
        <v>0</v>
      </c>
      <c r="E632" t="str">
        <f>LEFT(loaded!O632,3)</f>
        <v/>
      </c>
      <c r="F632" t="e">
        <f>INDEX(cntry_codes,MATCH(loaded!Q632,countries,0))</f>
        <v>#N/A</v>
      </c>
      <c r="G632" t="e">
        <f>INDEX(atsi_codes,MATCH(loaded!S632,atsi,0))</f>
        <v>#N/A</v>
      </c>
      <c r="H632" t="e">
        <f>INDEX(lang_codes,MATCH(loaded!U632,lang,0))</f>
        <v>#N/A</v>
      </c>
      <c r="I632" s="8">
        <f>loaded!W632</f>
        <v>0</v>
      </c>
      <c r="J632" t="e">
        <f>INDEX(us_acc_codes,MATCH(loaded!Y632,us_acc,0))</f>
        <v>#N/A</v>
      </c>
      <c r="K632" t="e">
        <f>INDEX(client_codes,MATCH(loaded!AA632,client,0))</f>
        <v>#N/A</v>
      </c>
      <c r="L632" t="e">
        <f>INDEX(src_ref_codes,MATCH(loaded!AC632,src_ref,0))</f>
        <v>#N/A</v>
      </c>
      <c r="M632" s="8">
        <f>loaded!AE632</f>
        <v>0</v>
      </c>
      <c r="N632" s="8">
        <f>loaded!AG632</f>
        <v>0</v>
      </c>
      <c r="O632" t="e">
        <f>INDEX(reces_codes,MATCH(loaded!AI632,reason,0))</f>
        <v>#N/A</v>
      </c>
      <c r="P632" t="e">
        <f>INDEX(TDS_codes,MATCH(loaded!AK632,TDS,0))</f>
        <v>#N/A</v>
      </c>
      <c r="Q632" t="e">
        <f>IF(K632=2,"",INDEX(method_codes,MATCH(loaded!AM632,method,0)))</f>
        <v>#N/A</v>
      </c>
      <c r="R632" t="e">
        <f>IF(K632=2,"",INDEX(inj_codes,MATCH(loaded!AO632,inj,0)))</f>
        <v>#N/A</v>
      </c>
      <c r="S632" t="e">
        <f>IF(K632=2,"",INDEX(drug_codes,MATCH(loaded!AQ632,drug,0)))</f>
        <v>#N/A</v>
      </c>
      <c r="T632" t="e">
        <f>IF(K632=2,"",_xlfn.IFNA(INDEX(drug_codes,MATCH(loaded!AS632,drug,0)),""))</f>
        <v>#N/A</v>
      </c>
      <c r="U632" t="e">
        <f>IF(K632=2,"",_xlfn.IFNA(INDEX(drug_codes,MATCH(loaded!AU632,drug,0)),""))</f>
        <v>#N/A</v>
      </c>
      <c r="V632" t="e">
        <f>IF(K632=2,"",_xlfn.IFNA(INDEX(drug_codes,MATCH(loaded!AW632,drug,0)),""))</f>
        <v>#N/A</v>
      </c>
      <c r="W632" t="e">
        <f>IF(K632=2,"",_xlfn.IFNA(INDEX(drug_codes,MATCH(loaded!AY632,drug,0)),""))</f>
        <v>#N/A</v>
      </c>
      <c r="X632" t="e">
        <f>IF(K632=2,"",_xlfn.IFNA(INDEX(drug_codes,MATCH(loaded!BA632,drug,0)),""))</f>
        <v>#N/A</v>
      </c>
      <c r="Y632" t="e">
        <f>INDEX(MTT_codes,MATCH(loaded!BC632,MTT,0))</f>
        <v>#N/A</v>
      </c>
      <c r="Z632" t="str">
        <f>_xlfn.IFNA(INDEX(MTT_codes,MATCH(loaded!BE632,MTT,0)),"")</f>
        <v/>
      </c>
      <c r="AA632" t="str">
        <f>_xlfn.IFNA(INDEX(MTT_codes,MATCH(loaded!BG632,MTT,0)),"")</f>
        <v/>
      </c>
      <c r="AB632" t="str">
        <f>_xlfn.IFNA(INDEX(MTT_codes,MATCH(loaded!BI632,MTT,0)),"")</f>
        <v/>
      </c>
      <c r="AC632" t="str">
        <f>_xlfn.IFNA(INDEX(MTT_codes,MATCH(loaded!BK632,MTT,0)),"")</f>
        <v/>
      </c>
      <c r="AD632" t="str">
        <f>_xlfn.IFNA(INDEX(MTT_codes,MATCH(loaded!BM632,MTT,0)),"")</f>
        <v/>
      </c>
      <c r="AE632" t="e">
        <f>INDEX(liv_ar_codes,MATCH(loaded!BO632,liv_ar,0))</f>
        <v>#N/A</v>
      </c>
      <c r="AF632" t="str">
        <f>_xlfn.IFNA(INDEX(MTT_codes,MATCH(loaded!BQ632,MTT,0)),"")</f>
        <v/>
      </c>
      <c r="AG632">
        <f>_xlfn.IFNA(INDEX(mental_codes,MATCH(loaded!BS632,mental,0)),9)</f>
        <v>9</v>
      </c>
    </row>
    <row r="633" spans="1:33" x14ac:dyDescent="0.25">
      <c r="A633">
        <f>loaded!C633</f>
        <v>0</v>
      </c>
      <c r="B633">
        <f>loaded!I633</f>
        <v>0</v>
      </c>
      <c r="C633">
        <f>IF(loaded!K633="Male",1,IF(loaded!K633="Female",2,9))</f>
        <v>9</v>
      </c>
      <c r="D633" s="8">
        <f>loaded!M633</f>
        <v>0</v>
      </c>
      <c r="E633" t="str">
        <f>LEFT(loaded!O633,3)</f>
        <v/>
      </c>
      <c r="F633" t="e">
        <f>INDEX(cntry_codes,MATCH(loaded!Q633,countries,0))</f>
        <v>#N/A</v>
      </c>
      <c r="G633" t="e">
        <f>INDEX(atsi_codes,MATCH(loaded!S633,atsi,0))</f>
        <v>#N/A</v>
      </c>
      <c r="H633" t="e">
        <f>INDEX(lang_codes,MATCH(loaded!U633,lang,0))</f>
        <v>#N/A</v>
      </c>
      <c r="I633" s="8">
        <f>loaded!W633</f>
        <v>0</v>
      </c>
      <c r="J633" t="e">
        <f>INDEX(us_acc_codes,MATCH(loaded!Y633,us_acc,0))</f>
        <v>#N/A</v>
      </c>
      <c r="K633" t="e">
        <f>INDEX(client_codes,MATCH(loaded!AA633,client,0))</f>
        <v>#N/A</v>
      </c>
      <c r="L633" t="e">
        <f>INDEX(src_ref_codes,MATCH(loaded!AC633,src_ref,0))</f>
        <v>#N/A</v>
      </c>
      <c r="M633" s="8">
        <f>loaded!AE633</f>
        <v>0</v>
      </c>
      <c r="N633" s="8">
        <f>loaded!AG633</f>
        <v>0</v>
      </c>
      <c r="O633" t="e">
        <f>INDEX(reces_codes,MATCH(loaded!AI633,reason,0))</f>
        <v>#N/A</v>
      </c>
      <c r="P633" t="e">
        <f>INDEX(TDS_codes,MATCH(loaded!AK633,TDS,0))</f>
        <v>#N/A</v>
      </c>
      <c r="Q633" t="e">
        <f>IF(K633=2,"",INDEX(method_codes,MATCH(loaded!AM633,method,0)))</f>
        <v>#N/A</v>
      </c>
      <c r="R633" t="e">
        <f>IF(K633=2,"",INDEX(inj_codes,MATCH(loaded!AO633,inj,0)))</f>
        <v>#N/A</v>
      </c>
      <c r="S633" t="e">
        <f>IF(K633=2,"",INDEX(drug_codes,MATCH(loaded!AQ633,drug,0)))</f>
        <v>#N/A</v>
      </c>
      <c r="T633" t="e">
        <f>IF(K633=2,"",_xlfn.IFNA(INDEX(drug_codes,MATCH(loaded!AS633,drug,0)),""))</f>
        <v>#N/A</v>
      </c>
      <c r="U633" t="e">
        <f>IF(K633=2,"",_xlfn.IFNA(INDEX(drug_codes,MATCH(loaded!AU633,drug,0)),""))</f>
        <v>#N/A</v>
      </c>
      <c r="V633" t="e">
        <f>IF(K633=2,"",_xlfn.IFNA(INDEX(drug_codes,MATCH(loaded!AW633,drug,0)),""))</f>
        <v>#N/A</v>
      </c>
      <c r="W633" t="e">
        <f>IF(K633=2,"",_xlfn.IFNA(INDEX(drug_codes,MATCH(loaded!AY633,drug,0)),""))</f>
        <v>#N/A</v>
      </c>
      <c r="X633" t="e">
        <f>IF(K633=2,"",_xlfn.IFNA(INDEX(drug_codes,MATCH(loaded!BA633,drug,0)),""))</f>
        <v>#N/A</v>
      </c>
      <c r="Y633" t="e">
        <f>INDEX(MTT_codes,MATCH(loaded!BC633,MTT,0))</f>
        <v>#N/A</v>
      </c>
      <c r="Z633" t="str">
        <f>_xlfn.IFNA(INDEX(MTT_codes,MATCH(loaded!BE633,MTT,0)),"")</f>
        <v/>
      </c>
      <c r="AA633" t="str">
        <f>_xlfn.IFNA(INDEX(MTT_codes,MATCH(loaded!BG633,MTT,0)),"")</f>
        <v/>
      </c>
      <c r="AB633" t="str">
        <f>_xlfn.IFNA(INDEX(MTT_codes,MATCH(loaded!BI633,MTT,0)),"")</f>
        <v/>
      </c>
      <c r="AC633" t="str">
        <f>_xlfn.IFNA(INDEX(MTT_codes,MATCH(loaded!BK633,MTT,0)),"")</f>
        <v/>
      </c>
      <c r="AD633" t="str">
        <f>_xlfn.IFNA(INDEX(MTT_codes,MATCH(loaded!BM633,MTT,0)),"")</f>
        <v/>
      </c>
      <c r="AE633" t="e">
        <f>INDEX(liv_ar_codes,MATCH(loaded!BO633,liv_ar,0))</f>
        <v>#N/A</v>
      </c>
      <c r="AF633" t="str">
        <f>_xlfn.IFNA(INDEX(MTT_codes,MATCH(loaded!BQ633,MTT,0)),"")</f>
        <v/>
      </c>
      <c r="AG633">
        <f>_xlfn.IFNA(INDEX(mental_codes,MATCH(loaded!BS633,mental,0)),9)</f>
        <v>9</v>
      </c>
    </row>
    <row r="634" spans="1:33" x14ac:dyDescent="0.25">
      <c r="A634">
        <f>loaded!C634</f>
        <v>0</v>
      </c>
      <c r="B634">
        <f>loaded!I634</f>
        <v>0</v>
      </c>
      <c r="C634">
        <f>IF(loaded!K634="Male",1,IF(loaded!K634="Female",2,9))</f>
        <v>9</v>
      </c>
      <c r="D634" s="8">
        <f>loaded!M634</f>
        <v>0</v>
      </c>
      <c r="E634" t="str">
        <f>LEFT(loaded!O634,3)</f>
        <v/>
      </c>
      <c r="F634" t="e">
        <f>INDEX(cntry_codes,MATCH(loaded!Q634,countries,0))</f>
        <v>#N/A</v>
      </c>
      <c r="G634" t="e">
        <f>INDEX(atsi_codes,MATCH(loaded!S634,atsi,0))</f>
        <v>#N/A</v>
      </c>
      <c r="H634" t="e">
        <f>INDEX(lang_codes,MATCH(loaded!U634,lang,0))</f>
        <v>#N/A</v>
      </c>
      <c r="I634" s="8">
        <f>loaded!W634</f>
        <v>0</v>
      </c>
      <c r="J634" t="e">
        <f>INDEX(us_acc_codes,MATCH(loaded!Y634,us_acc,0))</f>
        <v>#N/A</v>
      </c>
      <c r="K634" t="e">
        <f>INDEX(client_codes,MATCH(loaded!AA634,client,0))</f>
        <v>#N/A</v>
      </c>
      <c r="L634" t="e">
        <f>INDEX(src_ref_codes,MATCH(loaded!AC634,src_ref,0))</f>
        <v>#N/A</v>
      </c>
      <c r="M634" s="8">
        <f>loaded!AE634</f>
        <v>0</v>
      </c>
      <c r="N634" s="8">
        <f>loaded!AG634</f>
        <v>0</v>
      </c>
      <c r="O634" t="e">
        <f>INDEX(reces_codes,MATCH(loaded!AI634,reason,0))</f>
        <v>#N/A</v>
      </c>
      <c r="P634" t="e">
        <f>INDEX(TDS_codes,MATCH(loaded!AK634,TDS,0))</f>
        <v>#N/A</v>
      </c>
      <c r="Q634" t="e">
        <f>IF(K634=2,"",INDEX(method_codes,MATCH(loaded!AM634,method,0)))</f>
        <v>#N/A</v>
      </c>
      <c r="R634" t="e">
        <f>IF(K634=2,"",INDEX(inj_codes,MATCH(loaded!AO634,inj,0)))</f>
        <v>#N/A</v>
      </c>
      <c r="S634" t="e">
        <f>IF(K634=2,"",INDEX(drug_codes,MATCH(loaded!AQ634,drug,0)))</f>
        <v>#N/A</v>
      </c>
      <c r="T634" t="e">
        <f>IF(K634=2,"",_xlfn.IFNA(INDEX(drug_codes,MATCH(loaded!AS634,drug,0)),""))</f>
        <v>#N/A</v>
      </c>
      <c r="U634" t="e">
        <f>IF(K634=2,"",_xlfn.IFNA(INDEX(drug_codes,MATCH(loaded!AU634,drug,0)),""))</f>
        <v>#N/A</v>
      </c>
      <c r="V634" t="e">
        <f>IF(K634=2,"",_xlfn.IFNA(INDEX(drug_codes,MATCH(loaded!AW634,drug,0)),""))</f>
        <v>#N/A</v>
      </c>
      <c r="W634" t="e">
        <f>IF(K634=2,"",_xlfn.IFNA(INDEX(drug_codes,MATCH(loaded!AY634,drug,0)),""))</f>
        <v>#N/A</v>
      </c>
      <c r="X634" t="e">
        <f>IF(K634=2,"",_xlfn.IFNA(INDEX(drug_codes,MATCH(loaded!BA634,drug,0)),""))</f>
        <v>#N/A</v>
      </c>
      <c r="Y634" t="e">
        <f>INDEX(MTT_codes,MATCH(loaded!BC634,MTT,0))</f>
        <v>#N/A</v>
      </c>
      <c r="Z634" t="str">
        <f>_xlfn.IFNA(INDEX(MTT_codes,MATCH(loaded!BE634,MTT,0)),"")</f>
        <v/>
      </c>
      <c r="AA634" t="str">
        <f>_xlfn.IFNA(INDEX(MTT_codes,MATCH(loaded!BG634,MTT,0)),"")</f>
        <v/>
      </c>
      <c r="AB634" t="str">
        <f>_xlfn.IFNA(INDEX(MTT_codes,MATCH(loaded!BI634,MTT,0)),"")</f>
        <v/>
      </c>
      <c r="AC634" t="str">
        <f>_xlfn.IFNA(INDEX(MTT_codes,MATCH(loaded!BK634,MTT,0)),"")</f>
        <v/>
      </c>
      <c r="AD634" t="str">
        <f>_xlfn.IFNA(INDEX(MTT_codes,MATCH(loaded!BM634,MTT,0)),"")</f>
        <v/>
      </c>
      <c r="AE634" t="e">
        <f>INDEX(liv_ar_codes,MATCH(loaded!BO634,liv_ar,0))</f>
        <v>#N/A</v>
      </c>
      <c r="AF634" t="str">
        <f>_xlfn.IFNA(INDEX(MTT_codes,MATCH(loaded!BQ634,MTT,0)),"")</f>
        <v/>
      </c>
      <c r="AG634">
        <f>_xlfn.IFNA(INDEX(mental_codes,MATCH(loaded!BS634,mental,0)),9)</f>
        <v>9</v>
      </c>
    </row>
    <row r="635" spans="1:33" x14ac:dyDescent="0.25">
      <c r="A635">
        <f>loaded!C635</f>
        <v>0</v>
      </c>
      <c r="B635">
        <f>loaded!I635</f>
        <v>0</v>
      </c>
      <c r="C635">
        <f>IF(loaded!K635="Male",1,IF(loaded!K635="Female",2,9))</f>
        <v>9</v>
      </c>
      <c r="D635" s="8">
        <f>loaded!M635</f>
        <v>0</v>
      </c>
      <c r="E635" t="str">
        <f>LEFT(loaded!O635,3)</f>
        <v/>
      </c>
      <c r="F635" t="e">
        <f>INDEX(cntry_codes,MATCH(loaded!Q635,countries,0))</f>
        <v>#N/A</v>
      </c>
      <c r="G635" t="e">
        <f>INDEX(atsi_codes,MATCH(loaded!S635,atsi,0))</f>
        <v>#N/A</v>
      </c>
      <c r="H635" t="e">
        <f>INDEX(lang_codes,MATCH(loaded!U635,lang,0))</f>
        <v>#N/A</v>
      </c>
      <c r="I635" s="8">
        <f>loaded!W635</f>
        <v>0</v>
      </c>
      <c r="J635" t="e">
        <f>INDEX(us_acc_codes,MATCH(loaded!Y635,us_acc,0))</f>
        <v>#N/A</v>
      </c>
      <c r="K635" t="e">
        <f>INDEX(client_codes,MATCH(loaded!AA635,client,0))</f>
        <v>#N/A</v>
      </c>
      <c r="L635" t="e">
        <f>INDEX(src_ref_codes,MATCH(loaded!AC635,src_ref,0))</f>
        <v>#N/A</v>
      </c>
      <c r="M635" s="8">
        <f>loaded!AE635</f>
        <v>0</v>
      </c>
      <c r="N635" s="8">
        <f>loaded!AG635</f>
        <v>0</v>
      </c>
      <c r="O635" t="e">
        <f>INDEX(reces_codes,MATCH(loaded!AI635,reason,0))</f>
        <v>#N/A</v>
      </c>
      <c r="P635" t="e">
        <f>INDEX(TDS_codes,MATCH(loaded!AK635,TDS,0))</f>
        <v>#N/A</v>
      </c>
      <c r="Q635" t="e">
        <f>IF(K635=2,"",INDEX(method_codes,MATCH(loaded!AM635,method,0)))</f>
        <v>#N/A</v>
      </c>
      <c r="R635" t="e">
        <f>IF(K635=2,"",INDEX(inj_codes,MATCH(loaded!AO635,inj,0)))</f>
        <v>#N/A</v>
      </c>
      <c r="S635" t="e">
        <f>IF(K635=2,"",INDEX(drug_codes,MATCH(loaded!AQ635,drug,0)))</f>
        <v>#N/A</v>
      </c>
      <c r="T635" t="e">
        <f>IF(K635=2,"",_xlfn.IFNA(INDEX(drug_codes,MATCH(loaded!AS635,drug,0)),""))</f>
        <v>#N/A</v>
      </c>
      <c r="U635" t="e">
        <f>IF(K635=2,"",_xlfn.IFNA(INDEX(drug_codes,MATCH(loaded!AU635,drug,0)),""))</f>
        <v>#N/A</v>
      </c>
      <c r="V635" t="e">
        <f>IF(K635=2,"",_xlfn.IFNA(INDEX(drug_codes,MATCH(loaded!AW635,drug,0)),""))</f>
        <v>#N/A</v>
      </c>
      <c r="W635" t="e">
        <f>IF(K635=2,"",_xlfn.IFNA(INDEX(drug_codes,MATCH(loaded!AY635,drug,0)),""))</f>
        <v>#N/A</v>
      </c>
      <c r="X635" t="e">
        <f>IF(K635=2,"",_xlfn.IFNA(INDEX(drug_codes,MATCH(loaded!BA635,drug,0)),""))</f>
        <v>#N/A</v>
      </c>
      <c r="Y635" t="e">
        <f>INDEX(MTT_codes,MATCH(loaded!BC635,MTT,0))</f>
        <v>#N/A</v>
      </c>
      <c r="Z635" t="str">
        <f>_xlfn.IFNA(INDEX(MTT_codes,MATCH(loaded!BE635,MTT,0)),"")</f>
        <v/>
      </c>
      <c r="AA635" t="str">
        <f>_xlfn.IFNA(INDEX(MTT_codes,MATCH(loaded!BG635,MTT,0)),"")</f>
        <v/>
      </c>
      <c r="AB635" t="str">
        <f>_xlfn.IFNA(INDEX(MTT_codes,MATCH(loaded!BI635,MTT,0)),"")</f>
        <v/>
      </c>
      <c r="AC635" t="str">
        <f>_xlfn.IFNA(INDEX(MTT_codes,MATCH(loaded!BK635,MTT,0)),"")</f>
        <v/>
      </c>
      <c r="AD635" t="str">
        <f>_xlfn.IFNA(INDEX(MTT_codes,MATCH(loaded!BM635,MTT,0)),"")</f>
        <v/>
      </c>
      <c r="AE635" t="e">
        <f>INDEX(liv_ar_codes,MATCH(loaded!BO635,liv_ar,0))</f>
        <v>#N/A</v>
      </c>
      <c r="AF635" t="str">
        <f>_xlfn.IFNA(INDEX(MTT_codes,MATCH(loaded!BQ635,MTT,0)),"")</f>
        <v/>
      </c>
      <c r="AG635">
        <f>_xlfn.IFNA(INDEX(mental_codes,MATCH(loaded!BS635,mental,0)),9)</f>
        <v>9</v>
      </c>
    </row>
    <row r="636" spans="1:33" x14ac:dyDescent="0.25">
      <c r="A636">
        <f>loaded!C636</f>
        <v>0</v>
      </c>
      <c r="B636">
        <f>loaded!I636</f>
        <v>0</v>
      </c>
      <c r="C636">
        <f>IF(loaded!K636="Male",1,IF(loaded!K636="Female",2,9))</f>
        <v>9</v>
      </c>
      <c r="D636" s="8">
        <f>loaded!M636</f>
        <v>0</v>
      </c>
      <c r="E636" t="str">
        <f>LEFT(loaded!O636,3)</f>
        <v/>
      </c>
      <c r="F636" t="e">
        <f>INDEX(cntry_codes,MATCH(loaded!Q636,countries,0))</f>
        <v>#N/A</v>
      </c>
      <c r="G636" t="e">
        <f>INDEX(atsi_codes,MATCH(loaded!S636,atsi,0))</f>
        <v>#N/A</v>
      </c>
      <c r="H636" t="e">
        <f>INDEX(lang_codes,MATCH(loaded!U636,lang,0))</f>
        <v>#N/A</v>
      </c>
      <c r="I636" s="8">
        <f>loaded!W636</f>
        <v>0</v>
      </c>
      <c r="J636" t="e">
        <f>INDEX(us_acc_codes,MATCH(loaded!Y636,us_acc,0))</f>
        <v>#N/A</v>
      </c>
      <c r="K636" t="e">
        <f>INDEX(client_codes,MATCH(loaded!AA636,client,0))</f>
        <v>#N/A</v>
      </c>
      <c r="L636" t="e">
        <f>INDEX(src_ref_codes,MATCH(loaded!AC636,src_ref,0))</f>
        <v>#N/A</v>
      </c>
      <c r="M636" s="8">
        <f>loaded!AE636</f>
        <v>0</v>
      </c>
      <c r="N636" s="8">
        <f>loaded!AG636</f>
        <v>0</v>
      </c>
      <c r="O636" t="e">
        <f>INDEX(reces_codes,MATCH(loaded!AI636,reason,0))</f>
        <v>#N/A</v>
      </c>
      <c r="P636" t="e">
        <f>INDEX(TDS_codes,MATCH(loaded!AK636,TDS,0))</f>
        <v>#N/A</v>
      </c>
      <c r="Q636" t="e">
        <f>IF(K636=2,"",INDEX(method_codes,MATCH(loaded!AM636,method,0)))</f>
        <v>#N/A</v>
      </c>
      <c r="R636" t="e">
        <f>IF(K636=2,"",INDEX(inj_codes,MATCH(loaded!AO636,inj,0)))</f>
        <v>#N/A</v>
      </c>
      <c r="S636" t="e">
        <f>IF(K636=2,"",INDEX(drug_codes,MATCH(loaded!AQ636,drug,0)))</f>
        <v>#N/A</v>
      </c>
      <c r="T636" t="e">
        <f>IF(K636=2,"",_xlfn.IFNA(INDEX(drug_codes,MATCH(loaded!AS636,drug,0)),""))</f>
        <v>#N/A</v>
      </c>
      <c r="U636" t="e">
        <f>IF(K636=2,"",_xlfn.IFNA(INDEX(drug_codes,MATCH(loaded!AU636,drug,0)),""))</f>
        <v>#N/A</v>
      </c>
      <c r="V636" t="e">
        <f>IF(K636=2,"",_xlfn.IFNA(INDEX(drug_codes,MATCH(loaded!AW636,drug,0)),""))</f>
        <v>#N/A</v>
      </c>
      <c r="W636" t="e">
        <f>IF(K636=2,"",_xlfn.IFNA(INDEX(drug_codes,MATCH(loaded!AY636,drug,0)),""))</f>
        <v>#N/A</v>
      </c>
      <c r="X636" t="e">
        <f>IF(K636=2,"",_xlfn.IFNA(INDEX(drug_codes,MATCH(loaded!BA636,drug,0)),""))</f>
        <v>#N/A</v>
      </c>
      <c r="Y636" t="e">
        <f>INDEX(MTT_codes,MATCH(loaded!BC636,MTT,0))</f>
        <v>#N/A</v>
      </c>
      <c r="Z636" t="str">
        <f>_xlfn.IFNA(INDEX(MTT_codes,MATCH(loaded!BE636,MTT,0)),"")</f>
        <v/>
      </c>
      <c r="AA636" t="str">
        <f>_xlfn.IFNA(INDEX(MTT_codes,MATCH(loaded!BG636,MTT,0)),"")</f>
        <v/>
      </c>
      <c r="AB636" t="str">
        <f>_xlfn.IFNA(INDEX(MTT_codes,MATCH(loaded!BI636,MTT,0)),"")</f>
        <v/>
      </c>
      <c r="AC636" t="str">
        <f>_xlfn.IFNA(INDEX(MTT_codes,MATCH(loaded!BK636,MTT,0)),"")</f>
        <v/>
      </c>
      <c r="AD636" t="str">
        <f>_xlfn.IFNA(INDEX(MTT_codes,MATCH(loaded!BM636,MTT,0)),"")</f>
        <v/>
      </c>
      <c r="AE636" t="e">
        <f>INDEX(liv_ar_codes,MATCH(loaded!BO636,liv_ar,0))</f>
        <v>#N/A</v>
      </c>
      <c r="AF636" t="str">
        <f>_xlfn.IFNA(INDEX(MTT_codes,MATCH(loaded!BQ636,MTT,0)),"")</f>
        <v/>
      </c>
      <c r="AG636">
        <f>_xlfn.IFNA(INDEX(mental_codes,MATCH(loaded!BS636,mental,0)),9)</f>
        <v>9</v>
      </c>
    </row>
    <row r="637" spans="1:33" x14ac:dyDescent="0.25">
      <c r="A637">
        <f>loaded!C637</f>
        <v>0</v>
      </c>
      <c r="B637">
        <f>loaded!I637</f>
        <v>0</v>
      </c>
      <c r="C637">
        <f>IF(loaded!K637="Male",1,IF(loaded!K637="Female",2,9))</f>
        <v>9</v>
      </c>
      <c r="D637" s="8">
        <f>loaded!M637</f>
        <v>0</v>
      </c>
      <c r="E637" t="str">
        <f>LEFT(loaded!O637,3)</f>
        <v/>
      </c>
      <c r="F637" t="e">
        <f>INDEX(cntry_codes,MATCH(loaded!Q637,countries,0))</f>
        <v>#N/A</v>
      </c>
      <c r="G637" t="e">
        <f>INDEX(atsi_codes,MATCH(loaded!S637,atsi,0))</f>
        <v>#N/A</v>
      </c>
      <c r="H637" t="e">
        <f>INDEX(lang_codes,MATCH(loaded!U637,lang,0))</f>
        <v>#N/A</v>
      </c>
      <c r="I637" s="8">
        <f>loaded!W637</f>
        <v>0</v>
      </c>
      <c r="J637" t="e">
        <f>INDEX(us_acc_codes,MATCH(loaded!Y637,us_acc,0))</f>
        <v>#N/A</v>
      </c>
      <c r="K637" t="e">
        <f>INDEX(client_codes,MATCH(loaded!AA637,client,0))</f>
        <v>#N/A</v>
      </c>
      <c r="L637" t="e">
        <f>INDEX(src_ref_codes,MATCH(loaded!AC637,src_ref,0))</f>
        <v>#N/A</v>
      </c>
      <c r="M637" s="8">
        <f>loaded!AE637</f>
        <v>0</v>
      </c>
      <c r="N637" s="8">
        <f>loaded!AG637</f>
        <v>0</v>
      </c>
      <c r="O637" t="e">
        <f>INDEX(reces_codes,MATCH(loaded!AI637,reason,0))</f>
        <v>#N/A</v>
      </c>
      <c r="P637" t="e">
        <f>INDEX(TDS_codes,MATCH(loaded!AK637,TDS,0))</f>
        <v>#N/A</v>
      </c>
      <c r="Q637" t="e">
        <f>IF(K637=2,"",INDEX(method_codes,MATCH(loaded!AM637,method,0)))</f>
        <v>#N/A</v>
      </c>
      <c r="R637" t="e">
        <f>IF(K637=2,"",INDEX(inj_codes,MATCH(loaded!AO637,inj,0)))</f>
        <v>#N/A</v>
      </c>
      <c r="S637" t="e">
        <f>IF(K637=2,"",INDEX(drug_codes,MATCH(loaded!AQ637,drug,0)))</f>
        <v>#N/A</v>
      </c>
      <c r="T637" t="e">
        <f>IF(K637=2,"",_xlfn.IFNA(INDEX(drug_codes,MATCH(loaded!AS637,drug,0)),""))</f>
        <v>#N/A</v>
      </c>
      <c r="U637" t="e">
        <f>IF(K637=2,"",_xlfn.IFNA(INDEX(drug_codes,MATCH(loaded!AU637,drug,0)),""))</f>
        <v>#N/A</v>
      </c>
      <c r="V637" t="e">
        <f>IF(K637=2,"",_xlfn.IFNA(INDEX(drug_codes,MATCH(loaded!AW637,drug,0)),""))</f>
        <v>#N/A</v>
      </c>
      <c r="W637" t="e">
        <f>IF(K637=2,"",_xlfn.IFNA(INDEX(drug_codes,MATCH(loaded!AY637,drug,0)),""))</f>
        <v>#N/A</v>
      </c>
      <c r="X637" t="e">
        <f>IF(K637=2,"",_xlfn.IFNA(INDEX(drug_codes,MATCH(loaded!BA637,drug,0)),""))</f>
        <v>#N/A</v>
      </c>
      <c r="Y637" t="e">
        <f>INDEX(MTT_codes,MATCH(loaded!BC637,MTT,0))</f>
        <v>#N/A</v>
      </c>
      <c r="Z637" t="str">
        <f>_xlfn.IFNA(INDEX(MTT_codes,MATCH(loaded!BE637,MTT,0)),"")</f>
        <v/>
      </c>
      <c r="AA637" t="str">
        <f>_xlfn.IFNA(INDEX(MTT_codes,MATCH(loaded!BG637,MTT,0)),"")</f>
        <v/>
      </c>
      <c r="AB637" t="str">
        <f>_xlfn.IFNA(INDEX(MTT_codes,MATCH(loaded!BI637,MTT,0)),"")</f>
        <v/>
      </c>
      <c r="AC637" t="str">
        <f>_xlfn.IFNA(INDEX(MTT_codes,MATCH(loaded!BK637,MTT,0)),"")</f>
        <v/>
      </c>
      <c r="AD637" t="str">
        <f>_xlfn.IFNA(INDEX(MTT_codes,MATCH(loaded!BM637,MTT,0)),"")</f>
        <v/>
      </c>
      <c r="AE637" t="e">
        <f>INDEX(liv_ar_codes,MATCH(loaded!BO637,liv_ar,0))</f>
        <v>#N/A</v>
      </c>
      <c r="AF637" t="str">
        <f>_xlfn.IFNA(INDEX(MTT_codes,MATCH(loaded!BQ637,MTT,0)),"")</f>
        <v/>
      </c>
      <c r="AG637">
        <f>_xlfn.IFNA(INDEX(mental_codes,MATCH(loaded!BS637,mental,0)),9)</f>
        <v>9</v>
      </c>
    </row>
    <row r="638" spans="1:33" x14ac:dyDescent="0.25">
      <c r="A638">
        <f>loaded!C638</f>
        <v>0</v>
      </c>
      <c r="B638">
        <f>loaded!I638</f>
        <v>0</v>
      </c>
      <c r="C638">
        <f>IF(loaded!K638="Male",1,IF(loaded!K638="Female",2,9))</f>
        <v>9</v>
      </c>
      <c r="D638" s="8">
        <f>loaded!M638</f>
        <v>0</v>
      </c>
      <c r="E638" t="str">
        <f>LEFT(loaded!O638,3)</f>
        <v/>
      </c>
      <c r="F638" t="e">
        <f>INDEX(cntry_codes,MATCH(loaded!Q638,countries,0))</f>
        <v>#N/A</v>
      </c>
      <c r="G638" t="e">
        <f>INDEX(atsi_codes,MATCH(loaded!S638,atsi,0))</f>
        <v>#N/A</v>
      </c>
      <c r="H638" t="e">
        <f>INDEX(lang_codes,MATCH(loaded!U638,lang,0))</f>
        <v>#N/A</v>
      </c>
      <c r="I638" s="8">
        <f>loaded!W638</f>
        <v>0</v>
      </c>
      <c r="J638" t="e">
        <f>INDEX(us_acc_codes,MATCH(loaded!Y638,us_acc,0))</f>
        <v>#N/A</v>
      </c>
      <c r="K638" t="e">
        <f>INDEX(client_codes,MATCH(loaded!AA638,client,0))</f>
        <v>#N/A</v>
      </c>
      <c r="L638" t="e">
        <f>INDEX(src_ref_codes,MATCH(loaded!AC638,src_ref,0))</f>
        <v>#N/A</v>
      </c>
      <c r="M638" s="8">
        <f>loaded!AE638</f>
        <v>0</v>
      </c>
      <c r="N638" s="8">
        <f>loaded!AG638</f>
        <v>0</v>
      </c>
      <c r="O638" t="e">
        <f>INDEX(reces_codes,MATCH(loaded!AI638,reason,0))</f>
        <v>#N/A</v>
      </c>
      <c r="P638" t="e">
        <f>INDEX(TDS_codes,MATCH(loaded!AK638,TDS,0))</f>
        <v>#N/A</v>
      </c>
      <c r="Q638" t="e">
        <f>IF(K638=2,"",INDEX(method_codes,MATCH(loaded!AM638,method,0)))</f>
        <v>#N/A</v>
      </c>
      <c r="R638" t="e">
        <f>IF(K638=2,"",INDEX(inj_codes,MATCH(loaded!AO638,inj,0)))</f>
        <v>#N/A</v>
      </c>
      <c r="S638" t="e">
        <f>IF(K638=2,"",INDEX(drug_codes,MATCH(loaded!AQ638,drug,0)))</f>
        <v>#N/A</v>
      </c>
      <c r="T638" t="e">
        <f>IF(K638=2,"",_xlfn.IFNA(INDEX(drug_codes,MATCH(loaded!AS638,drug,0)),""))</f>
        <v>#N/A</v>
      </c>
      <c r="U638" t="e">
        <f>IF(K638=2,"",_xlfn.IFNA(INDEX(drug_codes,MATCH(loaded!AU638,drug,0)),""))</f>
        <v>#N/A</v>
      </c>
      <c r="V638" t="e">
        <f>IF(K638=2,"",_xlfn.IFNA(INDEX(drug_codes,MATCH(loaded!AW638,drug,0)),""))</f>
        <v>#N/A</v>
      </c>
      <c r="W638" t="e">
        <f>IF(K638=2,"",_xlfn.IFNA(INDEX(drug_codes,MATCH(loaded!AY638,drug,0)),""))</f>
        <v>#N/A</v>
      </c>
      <c r="X638" t="e">
        <f>IF(K638=2,"",_xlfn.IFNA(INDEX(drug_codes,MATCH(loaded!BA638,drug,0)),""))</f>
        <v>#N/A</v>
      </c>
      <c r="Y638" t="e">
        <f>INDEX(MTT_codes,MATCH(loaded!BC638,MTT,0))</f>
        <v>#N/A</v>
      </c>
      <c r="Z638" t="str">
        <f>_xlfn.IFNA(INDEX(MTT_codes,MATCH(loaded!BE638,MTT,0)),"")</f>
        <v/>
      </c>
      <c r="AA638" t="str">
        <f>_xlfn.IFNA(INDEX(MTT_codes,MATCH(loaded!BG638,MTT,0)),"")</f>
        <v/>
      </c>
      <c r="AB638" t="str">
        <f>_xlfn.IFNA(INDEX(MTT_codes,MATCH(loaded!BI638,MTT,0)),"")</f>
        <v/>
      </c>
      <c r="AC638" t="str">
        <f>_xlfn.IFNA(INDEX(MTT_codes,MATCH(loaded!BK638,MTT,0)),"")</f>
        <v/>
      </c>
      <c r="AD638" t="str">
        <f>_xlfn.IFNA(INDEX(MTT_codes,MATCH(loaded!BM638,MTT,0)),"")</f>
        <v/>
      </c>
      <c r="AE638" t="e">
        <f>INDEX(liv_ar_codes,MATCH(loaded!BO638,liv_ar,0))</f>
        <v>#N/A</v>
      </c>
      <c r="AF638" t="str">
        <f>_xlfn.IFNA(INDEX(MTT_codes,MATCH(loaded!BQ638,MTT,0)),"")</f>
        <v/>
      </c>
      <c r="AG638">
        <f>_xlfn.IFNA(INDEX(mental_codes,MATCH(loaded!BS638,mental,0)),9)</f>
        <v>9</v>
      </c>
    </row>
    <row r="639" spans="1:33" x14ac:dyDescent="0.25">
      <c r="A639">
        <f>loaded!C639</f>
        <v>0</v>
      </c>
      <c r="B639">
        <f>loaded!I639</f>
        <v>0</v>
      </c>
      <c r="C639">
        <f>IF(loaded!K639="Male",1,IF(loaded!K639="Female",2,9))</f>
        <v>9</v>
      </c>
      <c r="D639" s="8">
        <f>loaded!M639</f>
        <v>0</v>
      </c>
      <c r="E639" t="str">
        <f>LEFT(loaded!O639,3)</f>
        <v/>
      </c>
      <c r="F639" t="e">
        <f>INDEX(cntry_codes,MATCH(loaded!Q639,countries,0))</f>
        <v>#N/A</v>
      </c>
      <c r="G639" t="e">
        <f>INDEX(atsi_codes,MATCH(loaded!S639,atsi,0))</f>
        <v>#N/A</v>
      </c>
      <c r="H639" t="e">
        <f>INDEX(lang_codes,MATCH(loaded!U639,lang,0))</f>
        <v>#N/A</v>
      </c>
      <c r="I639" s="8">
        <f>loaded!W639</f>
        <v>0</v>
      </c>
      <c r="J639" t="e">
        <f>INDEX(us_acc_codes,MATCH(loaded!Y639,us_acc,0))</f>
        <v>#N/A</v>
      </c>
      <c r="K639" t="e">
        <f>INDEX(client_codes,MATCH(loaded!AA639,client,0))</f>
        <v>#N/A</v>
      </c>
      <c r="L639" t="e">
        <f>INDEX(src_ref_codes,MATCH(loaded!AC639,src_ref,0))</f>
        <v>#N/A</v>
      </c>
      <c r="M639" s="8">
        <f>loaded!AE639</f>
        <v>0</v>
      </c>
      <c r="N639" s="8">
        <f>loaded!AG639</f>
        <v>0</v>
      </c>
      <c r="O639" t="e">
        <f>INDEX(reces_codes,MATCH(loaded!AI639,reason,0))</f>
        <v>#N/A</v>
      </c>
      <c r="P639" t="e">
        <f>INDEX(TDS_codes,MATCH(loaded!AK639,TDS,0))</f>
        <v>#N/A</v>
      </c>
      <c r="Q639" t="e">
        <f>IF(K639=2,"",INDEX(method_codes,MATCH(loaded!AM639,method,0)))</f>
        <v>#N/A</v>
      </c>
      <c r="R639" t="e">
        <f>IF(K639=2,"",INDEX(inj_codes,MATCH(loaded!AO639,inj,0)))</f>
        <v>#N/A</v>
      </c>
      <c r="S639" t="e">
        <f>IF(K639=2,"",INDEX(drug_codes,MATCH(loaded!AQ639,drug,0)))</f>
        <v>#N/A</v>
      </c>
      <c r="T639" t="e">
        <f>IF(K639=2,"",_xlfn.IFNA(INDEX(drug_codes,MATCH(loaded!AS639,drug,0)),""))</f>
        <v>#N/A</v>
      </c>
      <c r="U639" t="e">
        <f>IF(K639=2,"",_xlfn.IFNA(INDEX(drug_codes,MATCH(loaded!AU639,drug,0)),""))</f>
        <v>#N/A</v>
      </c>
      <c r="V639" t="e">
        <f>IF(K639=2,"",_xlfn.IFNA(INDEX(drug_codes,MATCH(loaded!AW639,drug,0)),""))</f>
        <v>#N/A</v>
      </c>
      <c r="W639" t="e">
        <f>IF(K639=2,"",_xlfn.IFNA(INDEX(drug_codes,MATCH(loaded!AY639,drug,0)),""))</f>
        <v>#N/A</v>
      </c>
      <c r="X639" t="e">
        <f>IF(K639=2,"",_xlfn.IFNA(INDEX(drug_codes,MATCH(loaded!BA639,drug,0)),""))</f>
        <v>#N/A</v>
      </c>
      <c r="Y639" t="e">
        <f>INDEX(MTT_codes,MATCH(loaded!BC639,MTT,0))</f>
        <v>#N/A</v>
      </c>
      <c r="Z639" t="str">
        <f>_xlfn.IFNA(INDEX(MTT_codes,MATCH(loaded!BE639,MTT,0)),"")</f>
        <v/>
      </c>
      <c r="AA639" t="str">
        <f>_xlfn.IFNA(INDEX(MTT_codes,MATCH(loaded!BG639,MTT,0)),"")</f>
        <v/>
      </c>
      <c r="AB639" t="str">
        <f>_xlfn.IFNA(INDEX(MTT_codes,MATCH(loaded!BI639,MTT,0)),"")</f>
        <v/>
      </c>
      <c r="AC639" t="str">
        <f>_xlfn.IFNA(INDEX(MTT_codes,MATCH(loaded!BK639,MTT,0)),"")</f>
        <v/>
      </c>
      <c r="AD639" t="str">
        <f>_xlfn.IFNA(INDEX(MTT_codes,MATCH(loaded!BM639,MTT,0)),"")</f>
        <v/>
      </c>
      <c r="AE639" t="e">
        <f>INDEX(liv_ar_codes,MATCH(loaded!BO639,liv_ar,0))</f>
        <v>#N/A</v>
      </c>
      <c r="AF639" t="str">
        <f>_xlfn.IFNA(INDEX(MTT_codes,MATCH(loaded!BQ639,MTT,0)),"")</f>
        <v/>
      </c>
      <c r="AG639">
        <f>_xlfn.IFNA(INDEX(mental_codes,MATCH(loaded!BS639,mental,0)),9)</f>
        <v>9</v>
      </c>
    </row>
    <row r="640" spans="1:33" x14ac:dyDescent="0.25">
      <c r="A640">
        <f>loaded!C640</f>
        <v>0</v>
      </c>
      <c r="B640">
        <f>loaded!I640</f>
        <v>0</v>
      </c>
      <c r="C640">
        <f>IF(loaded!K640="Male",1,IF(loaded!K640="Female",2,9))</f>
        <v>9</v>
      </c>
      <c r="D640" s="8">
        <f>loaded!M640</f>
        <v>0</v>
      </c>
      <c r="E640" t="str">
        <f>LEFT(loaded!O640,3)</f>
        <v/>
      </c>
      <c r="F640" t="e">
        <f>INDEX(cntry_codes,MATCH(loaded!Q640,countries,0))</f>
        <v>#N/A</v>
      </c>
      <c r="G640" t="e">
        <f>INDEX(atsi_codes,MATCH(loaded!S640,atsi,0))</f>
        <v>#N/A</v>
      </c>
      <c r="H640" t="e">
        <f>INDEX(lang_codes,MATCH(loaded!U640,lang,0))</f>
        <v>#N/A</v>
      </c>
      <c r="I640" s="8">
        <f>loaded!W640</f>
        <v>0</v>
      </c>
      <c r="J640" t="e">
        <f>INDEX(us_acc_codes,MATCH(loaded!Y640,us_acc,0))</f>
        <v>#N/A</v>
      </c>
      <c r="K640" t="e">
        <f>INDEX(client_codes,MATCH(loaded!AA640,client,0))</f>
        <v>#N/A</v>
      </c>
      <c r="L640" t="e">
        <f>INDEX(src_ref_codes,MATCH(loaded!AC640,src_ref,0))</f>
        <v>#N/A</v>
      </c>
      <c r="M640" s="8">
        <f>loaded!AE640</f>
        <v>0</v>
      </c>
      <c r="N640" s="8">
        <f>loaded!AG640</f>
        <v>0</v>
      </c>
      <c r="O640" t="e">
        <f>INDEX(reces_codes,MATCH(loaded!AI640,reason,0))</f>
        <v>#N/A</v>
      </c>
      <c r="P640" t="e">
        <f>INDEX(TDS_codes,MATCH(loaded!AK640,TDS,0))</f>
        <v>#N/A</v>
      </c>
      <c r="Q640" t="e">
        <f>IF(K640=2,"",INDEX(method_codes,MATCH(loaded!AM640,method,0)))</f>
        <v>#N/A</v>
      </c>
      <c r="R640" t="e">
        <f>IF(K640=2,"",INDEX(inj_codes,MATCH(loaded!AO640,inj,0)))</f>
        <v>#N/A</v>
      </c>
      <c r="S640" t="e">
        <f>IF(K640=2,"",INDEX(drug_codes,MATCH(loaded!AQ640,drug,0)))</f>
        <v>#N/A</v>
      </c>
      <c r="T640" t="e">
        <f>IF(K640=2,"",_xlfn.IFNA(INDEX(drug_codes,MATCH(loaded!AS640,drug,0)),""))</f>
        <v>#N/A</v>
      </c>
      <c r="U640" t="e">
        <f>IF(K640=2,"",_xlfn.IFNA(INDEX(drug_codes,MATCH(loaded!AU640,drug,0)),""))</f>
        <v>#N/A</v>
      </c>
      <c r="V640" t="e">
        <f>IF(K640=2,"",_xlfn.IFNA(INDEX(drug_codes,MATCH(loaded!AW640,drug,0)),""))</f>
        <v>#N/A</v>
      </c>
      <c r="W640" t="e">
        <f>IF(K640=2,"",_xlfn.IFNA(INDEX(drug_codes,MATCH(loaded!AY640,drug,0)),""))</f>
        <v>#N/A</v>
      </c>
      <c r="X640" t="e">
        <f>IF(K640=2,"",_xlfn.IFNA(INDEX(drug_codes,MATCH(loaded!BA640,drug,0)),""))</f>
        <v>#N/A</v>
      </c>
      <c r="Y640" t="e">
        <f>INDEX(MTT_codes,MATCH(loaded!BC640,MTT,0))</f>
        <v>#N/A</v>
      </c>
      <c r="Z640" t="str">
        <f>_xlfn.IFNA(INDEX(MTT_codes,MATCH(loaded!BE640,MTT,0)),"")</f>
        <v/>
      </c>
      <c r="AA640" t="str">
        <f>_xlfn.IFNA(INDEX(MTT_codes,MATCH(loaded!BG640,MTT,0)),"")</f>
        <v/>
      </c>
      <c r="AB640" t="str">
        <f>_xlfn.IFNA(INDEX(MTT_codes,MATCH(loaded!BI640,MTT,0)),"")</f>
        <v/>
      </c>
      <c r="AC640" t="str">
        <f>_xlfn.IFNA(INDEX(MTT_codes,MATCH(loaded!BK640,MTT,0)),"")</f>
        <v/>
      </c>
      <c r="AD640" t="str">
        <f>_xlfn.IFNA(INDEX(MTT_codes,MATCH(loaded!BM640,MTT,0)),"")</f>
        <v/>
      </c>
      <c r="AE640" t="e">
        <f>INDEX(liv_ar_codes,MATCH(loaded!BO640,liv_ar,0))</f>
        <v>#N/A</v>
      </c>
      <c r="AF640" t="str">
        <f>_xlfn.IFNA(INDEX(MTT_codes,MATCH(loaded!BQ640,MTT,0)),"")</f>
        <v/>
      </c>
      <c r="AG640">
        <f>_xlfn.IFNA(INDEX(mental_codes,MATCH(loaded!BS640,mental,0)),9)</f>
        <v>9</v>
      </c>
    </row>
    <row r="641" spans="1:33" x14ac:dyDescent="0.25">
      <c r="A641">
        <f>loaded!C641</f>
        <v>0</v>
      </c>
      <c r="B641">
        <f>loaded!I641</f>
        <v>0</v>
      </c>
      <c r="C641">
        <f>IF(loaded!K641="Male",1,IF(loaded!K641="Female",2,9))</f>
        <v>9</v>
      </c>
      <c r="D641" s="8">
        <f>loaded!M641</f>
        <v>0</v>
      </c>
      <c r="E641" t="str">
        <f>LEFT(loaded!O641,3)</f>
        <v/>
      </c>
      <c r="F641" t="e">
        <f>INDEX(cntry_codes,MATCH(loaded!Q641,countries,0))</f>
        <v>#N/A</v>
      </c>
      <c r="G641" t="e">
        <f>INDEX(atsi_codes,MATCH(loaded!S641,atsi,0))</f>
        <v>#N/A</v>
      </c>
      <c r="H641" t="e">
        <f>INDEX(lang_codes,MATCH(loaded!U641,lang,0))</f>
        <v>#N/A</v>
      </c>
      <c r="I641" s="8">
        <f>loaded!W641</f>
        <v>0</v>
      </c>
      <c r="J641" t="e">
        <f>INDEX(us_acc_codes,MATCH(loaded!Y641,us_acc,0))</f>
        <v>#N/A</v>
      </c>
      <c r="K641" t="e">
        <f>INDEX(client_codes,MATCH(loaded!AA641,client,0))</f>
        <v>#N/A</v>
      </c>
      <c r="L641" t="e">
        <f>INDEX(src_ref_codes,MATCH(loaded!AC641,src_ref,0))</f>
        <v>#N/A</v>
      </c>
      <c r="M641" s="8">
        <f>loaded!AE641</f>
        <v>0</v>
      </c>
      <c r="N641" s="8">
        <f>loaded!AG641</f>
        <v>0</v>
      </c>
      <c r="O641" t="e">
        <f>INDEX(reces_codes,MATCH(loaded!AI641,reason,0))</f>
        <v>#N/A</v>
      </c>
      <c r="P641" t="e">
        <f>INDEX(TDS_codes,MATCH(loaded!AK641,TDS,0))</f>
        <v>#N/A</v>
      </c>
      <c r="Q641" t="e">
        <f>IF(K641=2,"",INDEX(method_codes,MATCH(loaded!AM641,method,0)))</f>
        <v>#N/A</v>
      </c>
      <c r="R641" t="e">
        <f>IF(K641=2,"",INDEX(inj_codes,MATCH(loaded!AO641,inj,0)))</f>
        <v>#N/A</v>
      </c>
      <c r="S641" t="e">
        <f>IF(K641=2,"",INDEX(drug_codes,MATCH(loaded!AQ641,drug,0)))</f>
        <v>#N/A</v>
      </c>
      <c r="T641" t="e">
        <f>IF(K641=2,"",_xlfn.IFNA(INDEX(drug_codes,MATCH(loaded!AS641,drug,0)),""))</f>
        <v>#N/A</v>
      </c>
      <c r="U641" t="e">
        <f>IF(K641=2,"",_xlfn.IFNA(INDEX(drug_codes,MATCH(loaded!AU641,drug,0)),""))</f>
        <v>#N/A</v>
      </c>
      <c r="V641" t="e">
        <f>IF(K641=2,"",_xlfn.IFNA(INDEX(drug_codes,MATCH(loaded!AW641,drug,0)),""))</f>
        <v>#N/A</v>
      </c>
      <c r="W641" t="e">
        <f>IF(K641=2,"",_xlfn.IFNA(INDEX(drug_codes,MATCH(loaded!AY641,drug,0)),""))</f>
        <v>#N/A</v>
      </c>
      <c r="X641" t="e">
        <f>IF(K641=2,"",_xlfn.IFNA(INDEX(drug_codes,MATCH(loaded!BA641,drug,0)),""))</f>
        <v>#N/A</v>
      </c>
      <c r="Y641" t="e">
        <f>INDEX(MTT_codes,MATCH(loaded!BC641,MTT,0))</f>
        <v>#N/A</v>
      </c>
      <c r="Z641" t="str">
        <f>_xlfn.IFNA(INDEX(MTT_codes,MATCH(loaded!BE641,MTT,0)),"")</f>
        <v/>
      </c>
      <c r="AA641" t="str">
        <f>_xlfn.IFNA(INDEX(MTT_codes,MATCH(loaded!BG641,MTT,0)),"")</f>
        <v/>
      </c>
      <c r="AB641" t="str">
        <f>_xlfn.IFNA(INDEX(MTT_codes,MATCH(loaded!BI641,MTT,0)),"")</f>
        <v/>
      </c>
      <c r="AC641" t="str">
        <f>_xlfn.IFNA(INDEX(MTT_codes,MATCH(loaded!BK641,MTT,0)),"")</f>
        <v/>
      </c>
      <c r="AD641" t="str">
        <f>_xlfn.IFNA(INDEX(MTT_codes,MATCH(loaded!BM641,MTT,0)),"")</f>
        <v/>
      </c>
      <c r="AE641" t="e">
        <f>INDEX(liv_ar_codes,MATCH(loaded!BO641,liv_ar,0))</f>
        <v>#N/A</v>
      </c>
      <c r="AF641" t="str">
        <f>_xlfn.IFNA(INDEX(MTT_codes,MATCH(loaded!BQ641,MTT,0)),"")</f>
        <v/>
      </c>
      <c r="AG641">
        <f>_xlfn.IFNA(INDEX(mental_codes,MATCH(loaded!BS641,mental,0)),9)</f>
        <v>9</v>
      </c>
    </row>
    <row r="642" spans="1:33" x14ac:dyDescent="0.25">
      <c r="A642">
        <f>loaded!C642</f>
        <v>0</v>
      </c>
      <c r="B642">
        <f>loaded!I642</f>
        <v>0</v>
      </c>
      <c r="C642">
        <f>IF(loaded!K642="Male",1,IF(loaded!K642="Female",2,9))</f>
        <v>9</v>
      </c>
      <c r="D642" s="8">
        <f>loaded!M642</f>
        <v>0</v>
      </c>
      <c r="E642" t="str">
        <f>LEFT(loaded!O642,3)</f>
        <v/>
      </c>
      <c r="F642" t="e">
        <f>INDEX(cntry_codes,MATCH(loaded!Q642,countries,0))</f>
        <v>#N/A</v>
      </c>
      <c r="G642" t="e">
        <f>INDEX(atsi_codes,MATCH(loaded!S642,atsi,0))</f>
        <v>#N/A</v>
      </c>
      <c r="H642" t="e">
        <f>INDEX(lang_codes,MATCH(loaded!U642,lang,0))</f>
        <v>#N/A</v>
      </c>
      <c r="I642" s="8">
        <f>loaded!W642</f>
        <v>0</v>
      </c>
      <c r="J642" t="e">
        <f>INDEX(us_acc_codes,MATCH(loaded!Y642,us_acc,0))</f>
        <v>#N/A</v>
      </c>
      <c r="K642" t="e">
        <f>INDEX(client_codes,MATCH(loaded!AA642,client,0))</f>
        <v>#N/A</v>
      </c>
      <c r="L642" t="e">
        <f>INDEX(src_ref_codes,MATCH(loaded!AC642,src_ref,0))</f>
        <v>#N/A</v>
      </c>
      <c r="M642" s="8">
        <f>loaded!AE642</f>
        <v>0</v>
      </c>
      <c r="N642" s="8">
        <f>loaded!AG642</f>
        <v>0</v>
      </c>
      <c r="O642" t="e">
        <f>INDEX(reces_codes,MATCH(loaded!AI642,reason,0))</f>
        <v>#N/A</v>
      </c>
      <c r="P642" t="e">
        <f>INDEX(TDS_codes,MATCH(loaded!AK642,TDS,0))</f>
        <v>#N/A</v>
      </c>
      <c r="Q642" t="e">
        <f>IF(K642=2,"",INDEX(method_codes,MATCH(loaded!AM642,method,0)))</f>
        <v>#N/A</v>
      </c>
      <c r="R642" t="e">
        <f>IF(K642=2,"",INDEX(inj_codes,MATCH(loaded!AO642,inj,0)))</f>
        <v>#N/A</v>
      </c>
      <c r="S642" t="e">
        <f>IF(K642=2,"",INDEX(drug_codes,MATCH(loaded!AQ642,drug,0)))</f>
        <v>#N/A</v>
      </c>
      <c r="T642" t="e">
        <f>IF(K642=2,"",_xlfn.IFNA(INDEX(drug_codes,MATCH(loaded!AS642,drug,0)),""))</f>
        <v>#N/A</v>
      </c>
      <c r="U642" t="e">
        <f>IF(K642=2,"",_xlfn.IFNA(INDEX(drug_codes,MATCH(loaded!AU642,drug,0)),""))</f>
        <v>#N/A</v>
      </c>
      <c r="V642" t="e">
        <f>IF(K642=2,"",_xlfn.IFNA(INDEX(drug_codes,MATCH(loaded!AW642,drug,0)),""))</f>
        <v>#N/A</v>
      </c>
      <c r="W642" t="e">
        <f>IF(K642=2,"",_xlfn.IFNA(INDEX(drug_codes,MATCH(loaded!AY642,drug,0)),""))</f>
        <v>#N/A</v>
      </c>
      <c r="X642" t="e">
        <f>IF(K642=2,"",_xlfn.IFNA(INDEX(drug_codes,MATCH(loaded!BA642,drug,0)),""))</f>
        <v>#N/A</v>
      </c>
      <c r="Y642" t="e">
        <f>INDEX(MTT_codes,MATCH(loaded!BC642,MTT,0))</f>
        <v>#N/A</v>
      </c>
      <c r="Z642" t="str">
        <f>_xlfn.IFNA(INDEX(MTT_codes,MATCH(loaded!BE642,MTT,0)),"")</f>
        <v/>
      </c>
      <c r="AA642" t="str">
        <f>_xlfn.IFNA(INDEX(MTT_codes,MATCH(loaded!BG642,MTT,0)),"")</f>
        <v/>
      </c>
      <c r="AB642" t="str">
        <f>_xlfn.IFNA(INDEX(MTT_codes,MATCH(loaded!BI642,MTT,0)),"")</f>
        <v/>
      </c>
      <c r="AC642" t="str">
        <f>_xlfn.IFNA(INDEX(MTT_codes,MATCH(loaded!BK642,MTT,0)),"")</f>
        <v/>
      </c>
      <c r="AD642" t="str">
        <f>_xlfn.IFNA(INDEX(MTT_codes,MATCH(loaded!BM642,MTT,0)),"")</f>
        <v/>
      </c>
      <c r="AE642" t="e">
        <f>INDEX(liv_ar_codes,MATCH(loaded!BO642,liv_ar,0))</f>
        <v>#N/A</v>
      </c>
      <c r="AF642" t="str">
        <f>_xlfn.IFNA(INDEX(MTT_codes,MATCH(loaded!BQ642,MTT,0)),"")</f>
        <v/>
      </c>
      <c r="AG642">
        <f>_xlfn.IFNA(INDEX(mental_codes,MATCH(loaded!BS642,mental,0)),9)</f>
        <v>9</v>
      </c>
    </row>
    <row r="643" spans="1:33" x14ac:dyDescent="0.25">
      <c r="A643">
        <f>loaded!C643</f>
        <v>0</v>
      </c>
      <c r="B643">
        <f>loaded!I643</f>
        <v>0</v>
      </c>
      <c r="C643">
        <f>IF(loaded!K643="Male",1,IF(loaded!K643="Female",2,9))</f>
        <v>9</v>
      </c>
      <c r="D643" s="8">
        <f>loaded!M643</f>
        <v>0</v>
      </c>
      <c r="E643" t="str">
        <f>LEFT(loaded!O643,3)</f>
        <v/>
      </c>
      <c r="F643" t="e">
        <f>INDEX(cntry_codes,MATCH(loaded!Q643,countries,0))</f>
        <v>#N/A</v>
      </c>
      <c r="G643" t="e">
        <f>INDEX(atsi_codes,MATCH(loaded!S643,atsi,0))</f>
        <v>#N/A</v>
      </c>
      <c r="H643" t="e">
        <f>INDEX(lang_codes,MATCH(loaded!U643,lang,0))</f>
        <v>#N/A</v>
      </c>
      <c r="I643" s="8">
        <f>loaded!W643</f>
        <v>0</v>
      </c>
      <c r="J643" t="e">
        <f>INDEX(us_acc_codes,MATCH(loaded!Y643,us_acc,0))</f>
        <v>#N/A</v>
      </c>
      <c r="K643" t="e">
        <f>INDEX(client_codes,MATCH(loaded!AA643,client,0))</f>
        <v>#N/A</v>
      </c>
      <c r="L643" t="e">
        <f>INDEX(src_ref_codes,MATCH(loaded!AC643,src_ref,0))</f>
        <v>#N/A</v>
      </c>
      <c r="M643" s="8">
        <f>loaded!AE643</f>
        <v>0</v>
      </c>
      <c r="N643" s="8">
        <f>loaded!AG643</f>
        <v>0</v>
      </c>
      <c r="O643" t="e">
        <f>INDEX(reces_codes,MATCH(loaded!AI643,reason,0))</f>
        <v>#N/A</v>
      </c>
      <c r="P643" t="e">
        <f>INDEX(TDS_codes,MATCH(loaded!AK643,TDS,0))</f>
        <v>#N/A</v>
      </c>
      <c r="Q643" t="e">
        <f>IF(K643=2,"",INDEX(method_codes,MATCH(loaded!AM643,method,0)))</f>
        <v>#N/A</v>
      </c>
      <c r="R643" t="e">
        <f>IF(K643=2,"",INDEX(inj_codes,MATCH(loaded!AO643,inj,0)))</f>
        <v>#N/A</v>
      </c>
      <c r="S643" t="e">
        <f>IF(K643=2,"",INDEX(drug_codes,MATCH(loaded!AQ643,drug,0)))</f>
        <v>#N/A</v>
      </c>
      <c r="T643" t="e">
        <f>IF(K643=2,"",_xlfn.IFNA(INDEX(drug_codes,MATCH(loaded!AS643,drug,0)),""))</f>
        <v>#N/A</v>
      </c>
      <c r="U643" t="e">
        <f>IF(K643=2,"",_xlfn.IFNA(INDEX(drug_codes,MATCH(loaded!AU643,drug,0)),""))</f>
        <v>#N/A</v>
      </c>
      <c r="V643" t="e">
        <f>IF(K643=2,"",_xlfn.IFNA(INDEX(drug_codes,MATCH(loaded!AW643,drug,0)),""))</f>
        <v>#N/A</v>
      </c>
      <c r="W643" t="e">
        <f>IF(K643=2,"",_xlfn.IFNA(INDEX(drug_codes,MATCH(loaded!AY643,drug,0)),""))</f>
        <v>#N/A</v>
      </c>
      <c r="X643" t="e">
        <f>IF(K643=2,"",_xlfn.IFNA(INDEX(drug_codes,MATCH(loaded!BA643,drug,0)),""))</f>
        <v>#N/A</v>
      </c>
      <c r="Y643" t="e">
        <f>INDEX(MTT_codes,MATCH(loaded!BC643,MTT,0))</f>
        <v>#N/A</v>
      </c>
      <c r="Z643" t="str">
        <f>_xlfn.IFNA(INDEX(MTT_codes,MATCH(loaded!BE643,MTT,0)),"")</f>
        <v/>
      </c>
      <c r="AA643" t="str">
        <f>_xlfn.IFNA(INDEX(MTT_codes,MATCH(loaded!BG643,MTT,0)),"")</f>
        <v/>
      </c>
      <c r="AB643" t="str">
        <f>_xlfn.IFNA(INDEX(MTT_codes,MATCH(loaded!BI643,MTT,0)),"")</f>
        <v/>
      </c>
      <c r="AC643" t="str">
        <f>_xlfn.IFNA(INDEX(MTT_codes,MATCH(loaded!BK643,MTT,0)),"")</f>
        <v/>
      </c>
      <c r="AD643" t="str">
        <f>_xlfn.IFNA(INDEX(MTT_codes,MATCH(loaded!BM643,MTT,0)),"")</f>
        <v/>
      </c>
      <c r="AE643" t="e">
        <f>INDEX(liv_ar_codes,MATCH(loaded!BO643,liv_ar,0))</f>
        <v>#N/A</v>
      </c>
      <c r="AF643" t="str">
        <f>_xlfn.IFNA(INDEX(MTT_codes,MATCH(loaded!BQ643,MTT,0)),"")</f>
        <v/>
      </c>
      <c r="AG643">
        <f>_xlfn.IFNA(INDEX(mental_codes,MATCH(loaded!BS643,mental,0)),9)</f>
        <v>9</v>
      </c>
    </row>
    <row r="644" spans="1:33" x14ac:dyDescent="0.25">
      <c r="A644">
        <f>loaded!C644</f>
        <v>0</v>
      </c>
      <c r="B644">
        <f>loaded!I644</f>
        <v>0</v>
      </c>
      <c r="C644">
        <f>IF(loaded!K644="Male",1,IF(loaded!K644="Female",2,9))</f>
        <v>9</v>
      </c>
      <c r="D644" s="8">
        <f>loaded!M644</f>
        <v>0</v>
      </c>
      <c r="E644" t="str">
        <f>LEFT(loaded!O644,3)</f>
        <v/>
      </c>
      <c r="F644" t="e">
        <f>INDEX(cntry_codes,MATCH(loaded!Q644,countries,0))</f>
        <v>#N/A</v>
      </c>
      <c r="G644" t="e">
        <f>INDEX(atsi_codes,MATCH(loaded!S644,atsi,0))</f>
        <v>#N/A</v>
      </c>
      <c r="H644" t="e">
        <f>INDEX(lang_codes,MATCH(loaded!U644,lang,0))</f>
        <v>#N/A</v>
      </c>
      <c r="I644" s="8">
        <f>loaded!W644</f>
        <v>0</v>
      </c>
      <c r="J644" t="e">
        <f>INDEX(us_acc_codes,MATCH(loaded!Y644,us_acc,0))</f>
        <v>#N/A</v>
      </c>
      <c r="K644" t="e">
        <f>INDEX(client_codes,MATCH(loaded!AA644,client,0))</f>
        <v>#N/A</v>
      </c>
      <c r="L644" t="e">
        <f>INDEX(src_ref_codes,MATCH(loaded!AC644,src_ref,0))</f>
        <v>#N/A</v>
      </c>
      <c r="M644" s="8">
        <f>loaded!AE644</f>
        <v>0</v>
      </c>
      <c r="N644" s="8">
        <f>loaded!AG644</f>
        <v>0</v>
      </c>
      <c r="O644" t="e">
        <f>INDEX(reces_codes,MATCH(loaded!AI644,reason,0))</f>
        <v>#N/A</v>
      </c>
      <c r="P644" t="e">
        <f>INDEX(TDS_codes,MATCH(loaded!AK644,TDS,0))</f>
        <v>#N/A</v>
      </c>
      <c r="Q644" t="e">
        <f>IF(K644=2,"",INDEX(method_codes,MATCH(loaded!AM644,method,0)))</f>
        <v>#N/A</v>
      </c>
      <c r="R644" t="e">
        <f>IF(K644=2,"",INDEX(inj_codes,MATCH(loaded!AO644,inj,0)))</f>
        <v>#N/A</v>
      </c>
      <c r="S644" t="e">
        <f>IF(K644=2,"",INDEX(drug_codes,MATCH(loaded!AQ644,drug,0)))</f>
        <v>#N/A</v>
      </c>
      <c r="T644" t="e">
        <f>IF(K644=2,"",_xlfn.IFNA(INDEX(drug_codes,MATCH(loaded!AS644,drug,0)),""))</f>
        <v>#N/A</v>
      </c>
      <c r="U644" t="e">
        <f>IF(K644=2,"",_xlfn.IFNA(INDEX(drug_codes,MATCH(loaded!AU644,drug,0)),""))</f>
        <v>#N/A</v>
      </c>
      <c r="V644" t="e">
        <f>IF(K644=2,"",_xlfn.IFNA(INDEX(drug_codes,MATCH(loaded!AW644,drug,0)),""))</f>
        <v>#N/A</v>
      </c>
      <c r="W644" t="e">
        <f>IF(K644=2,"",_xlfn.IFNA(INDEX(drug_codes,MATCH(loaded!AY644,drug,0)),""))</f>
        <v>#N/A</v>
      </c>
      <c r="X644" t="e">
        <f>IF(K644=2,"",_xlfn.IFNA(INDEX(drug_codes,MATCH(loaded!BA644,drug,0)),""))</f>
        <v>#N/A</v>
      </c>
      <c r="Y644" t="e">
        <f>INDEX(MTT_codes,MATCH(loaded!BC644,MTT,0))</f>
        <v>#N/A</v>
      </c>
      <c r="Z644" t="str">
        <f>_xlfn.IFNA(INDEX(MTT_codes,MATCH(loaded!BE644,MTT,0)),"")</f>
        <v/>
      </c>
      <c r="AA644" t="str">
        <f>_xlfn.IFNA(INDEX(MTT_codes,MATCH(loaded!BG644,MTT,0)),"")</f>
        <v/>
      </c>
      <c r="AB644" t="str">
        <f>_xlfn.IFNA(INDEX(MTT_codes,MATCH(loaded!BI644,MTT,0)),"")</f>
        <v/>
      </c>
      <c r="AC644" t="str">
        <f>_xlfn.IFNA(INDEX(MTT_codes,MATCH(loaded!BK644,MTT,0)),"")</f>
        <v/>
      </c>
      <c r="AD644" t="str">
        <f>_xlfn.IFNA(INDEX(MTT_codes,MATCH(loaded!BM644,MTT,0)),"")</f>
        <v/>
      </c>
      <c r="AE644" t="e">
        <f>INDEX(liv_ar_codes,MATCH(loaded!BO644,liv_ar,0))</f>
        <v>#N/A</v>
      </c>
      <c r="AF644" t="str">
        <f>_xlfn.IFNA(INDEX(MTT_codes,MATCH(loaded!BQ644,MTT,0)),"")</f>
        <v/>
      </c>
      <c r="AG644">
        <f>_xlfn.IFNA(INDEX(mental_codes,MATCH(loaded!BS644,mental,0)),9)</f>
        <v>9</v>
      </c>
    </row>
    <row r="645" spans="1:33" x14ac:dyDescent="0.25">
      <c r="A645">
        <f>loaded!C645</f>
        <v>0</v>
      </c>
      <c r="B645">
        <f>loaded!I645</f>
        <v>0</v>
      </c>
      <c r="C645">
        <f>IF(loaded!K645="Male",1,IF(loaded!K645="Female",2,9))</f>
        <v>9</v>
      </c>
      <c r="D645" s="8">
        <f>loaded!M645</f>
        <v>0</v>
      </c>
      <c r="E645" t="str">
        <f>LEFT(loaded!O645,3)</f>
        <v/>
      </c>
      <c r="F645" t="e">
        <f>INDEX(cntry_codes,MATCH(loaded!Q645,countries,0))</f>
        <v>#N/A</v>
      </c>
      <c r="G645" t="e">
        <f>INDEX(atsi_codes,MATCH(loaded!S645,atsi,0))</f>
        <v>#N/A</v>
      </c>
      <c r="H645" t="e">
        <f>INDEX(lang_codes,MATCH(loaded!U645,lang,0))</f>
        <v>#N/A</v>
      </c>
      <c r="I645" s="8">
        <f>loaded!W645</f>
        <v>0</v>
      </c>
      <c r="J645" t="e">
        <f>INDEX(us_acc_codes,MATCH(loaded!Y645,us_acc,0))</f>
        <v>#N/A</v>
      </c>
      <c r="K645" t="e">
        <f>INDEX(client_codes,MATCH(loaded!AA645,client,0))</f>
        <v>#N/A</v>
      </c>
      <c r="L645" t="e">
        <f>INDEX(src_ref_codes,MATCH(loaded!AC645,src_ref,0))</f>
        <v>#N/A</v>
      </c>
      <c r="M645" s="8">
        <f>loaded!AE645</f>
        <v>0</v>
      </c>
      <c r="N645" s="8">
        <f>loaded!AG645</f>
        <v>0</v>
      </c>
      <c r="O645" t="e">
        <f>INDEX(reces_codes,MATCH(loaded!AI645,reason,0))</f>
        <v>#N/A</v>
      </c>
      <c r="P645" t="e">
        <f>INDEX(TDS_codes,MATCH(loaded!AK645,TDS,0))</f>
        <v>#N/A</v>
      </c>
      <c r="Q645" t="e">
        <f>IF(K645=2,"",INDEX(method_codes,MATCH(loaded!AM645,method,0)))</f>
        <v>#N/A</v>
      </c>
      <c r="R645" t="e">
        <f>IF(K645=2,"",INDEX(inj_codes,MATCH(loaded!AO645,inj,0)))</f>
        <v>#N/A</v>
      </c>
      <c r="S645" t="e">
        <f>IF(K645=2,"",INDEX(drug_codes,MATCH(loaded!AQ645,drug,0)))</f>
        <v>#N/A</v>
      </c>
      <c r="T645" t="e">
        <f>IF(K645=2,"",_xlfn.IFNA(INDEX(drug_codes,MATCH(loaded!AS645,drug,0)),""))</f>
        <v>#N/A</v>
      </c>
      <c r="U645" t="e">
        <f>IF(K645=2,"",_xlfn.IFNA(INDEX(drug_codes,MATCH(loaded!AU645,drug,0)),""))</f>
        <v>#N/A</v>
      </c>
      <c r="V645" t="e">
        <f>IF(K645=2,"",_xlfn.IFNA(INDEX(drug_codes,MATCH(loaded!AW645,drug,0)),""))</f>
        <v>#N/A</v>
      </c>
      <c r="W645" t="e">
        <f>IF(K645=2,"",_xlfn.IFNA(INDEX(drug_codes,MATCH(loaded!AY645,drug,0)),""))</f>
        <v>#N/A</v>
      </c>
      <c r="X645" t="e">
        <f>IF(K645=2,"",_xlfn.IFNA(INDEX(drug_codes,MATCH(loaded!BA645,drug,0)),""))</f>
        <v>#N/A</v>
      </c>
      <c r="Y645" t="e">
        <f>INDEX(MTT_codes,MATCH(loaded!BC645,MTT,0))</f>
        <v>#N/A</v>
      </c>
      <c r="Z645" t="str">
        <f>_xlfn.IFNA(INDEX(MTT_codes,MATCH(loaded!BE645,MTT,0)),"")</f>
        <v/>
      </c>
      <c r="AA645" t="str">
        <f>_xlfn.IFNA(INDEX(MTT_codes,MATCH(loaded!BG645,MTT,0)),"")</f>
        <v/>
      </c>
      <c r="AB645" t="str">
        <f>_xlfn.IFNA(INDEX(MTT_codes,MATCH(loaded!BI645,MTT,0)),"")</f>
        <v/>
      </c>
      <c r="AC645" t="str">
        <f>_xlfn.IFNA(INDEX(MTT_codes,MATCH(loaded!BK645,MTT,0)),"")</f>
        <v/>
      </c>
      <c r="AD645" t="str">
        <f>_xlfn.IFNA(INDEX(MTT_codes,MATCH(loaded!BM645,MTT,0)),"")</f>
        <v/>
      </c>
      <c r="AE645" t="e">
        <f>INDEX(liv_ar_codes,MATCH(loaded!BO645,liv_ar,0))</f>
        <v>#N/A</v>
      </c>
      <c r="AF645" t="str">
        <f>_xlfn.IFNA(INDEX(MTT_codes,MATCH(loaded!BQ645,MTT,0)),"")</f>
        <v/>
      </c>
      <c r="AG645">
        <f>_xlfn.IFNA(INDEX(mental_codes,MATCH(loaded!BS645,mental,0)),9)</f>
        <v>9</v>
      </c>
    </row>
    <row r="646" spans="1:33" x14ac:dyDescent="0.25">
      <c r="A646">
        <f>loaded!C646</f>
        <v>0</v>
      </c>
      <c r="B646">
        <f>loaded!I646</f>
        <v>0</v>
      </c>
      <c r="C646">
        <f>IF(loaded!K646="Male",1,IF(loaded!K646="Female",2,9))</f>
        <v>9</v>
      </c>
      <c r="D646" s="8">
        <f>loaded!M646</f>
        <v>0</v>
      </c>
      <c r="E646" t="str">
        <f>LEFT(loaded!O646,3)</f>
        <v/>
      </c>
      <c r="F646" t="e">
        <f>INDEX(cntry_codes,MATCH(loaded!Q646,countries,0))</f>
        <v>#N/A</v>
      </c>
      <c r="G646" t="e">
        <f>INDEX(atsi_codes,MATCH(loaded!S646,atsi,0))</f>
        <v>#N/A</v>
      </c>
      <c r="H646" t="e">
        <f>INDEX(lang_codes,MATCH(loaded!U646,lang,0))</f>
        <v>#N/A</v>
      </c>
      <c r="I646" s="8">
        <f>loaded!W646</f>
        <v>0</v>
      </c>
      <c r="J646" t="e">
        <f>INDEX(us_acc_codes,MATCH(loaded!Y646,us_acc,0))</f>
        <v>#N/A</v>
      </c>
      <c r="K646" t="e">
        <f>INDEX(client_codes,MATCH(loaded!AA646,client,0))</f>
        <v>#N/A</v>
      </c>
      <c r="L646" t="e">
        <f>INDEX(src_ref_codes,MATCH(loaded!AC646,src_ref,0))</f>
        <v>#N/A</v>
      </c>
      <c r="M646" s="8">
        <f>loaded!AE646</f>
        <v>0</v>
      </c>
      <c r="N646" s="8">
        <f>loaded!AG646</f>
        <v>0</v>
      </c>
      <c r="O646" t="e">
        <f>INDEX(reces_codes,MATCH(loaded!AI646,reason,0))</f>
        <v>#N/A</v>
      </c>
      <c r="P646" t="e">
        <f>INDEX(TDS_codes,MATCH(loaded!AK646,TDS,0))</f>
        <v>#N/A</v>
      </c>
      <c r="Q646" t="e">
        <f>IF(K646=2,"",INDEX(method_codes,MATCH(loaded!AM646,method,0)))</f>
        <v>#N/A</v>
      </c>
      <c r="R646" t="e">
        <f>IF(K646=2,"",INDEX(inj_codes,MATCH(loaded!AO646,inj,0)))</f>
        <v>#N/A</v>
      </c>
      <c r="S646" t="e">
        <f>IF(K646=2,"",INDEX(drug_codes,MATCH(loaded!AQ646,drug,0)))</f>
        <v>#N/A</v>
      </c>
      <c r="T646" t="e">
        <f>IF(K646=2,"",_xlfn.IFNA(INDEX(drug_codes,MATCH(loaded!AS646,drug,0)),""))</f>
        <v>#N/A</v>
      </c>
      <c r="U646" t="e">
        <f>IF(K646=2,"",_xlfn.IFNA(INDEX(drug_codes,MATCH(loaded!AU646,drug,0)),""))</f>
        <v>#N/A</v>
      </c>
      <c r="V646" t="e">
        <f>IF(K646=2,"",_xlfn.IFNA(INDEX(drug_codes,MATCH(loaded!AW646,drug,0)),""))</f>
        <v>#N/A</v>
      </c>
      <c r="W646" t="e">
        <f>IF(K646=2,"",_xlfn.IFNA(INDEX(drug_codes,MATCH(loaded!AY646,drug,0)),""))</f>
        <v>#N/A</v>
      </c>
      <c r="X646" t="e">
        <f>IF(K646=2,"",_xlfn.IFNA(INDEX(drug_codes,MATCH(loaded!BA646,drug,0)),""))</f>
        <v>#N/A</v>
      </c>
      <c r="Y646" t="e">
        <f>INDEX(MTT_codes,MATCH(loaded!BC646,MTT,0))</f>
        <v>#N/A</v>
      </c>
      <c r="Z646" t="str">
        <f>_xlfn.IFNA(INDEX(MTT_codes,MATCH(loaded!BE646,MTT,0)),"")</f>
        <v/>
      </c>
      <c r="AA646" t="str">
        <f>_xlfn.IFNA(INDEX(MTT_codes,MATCH(loaded!BG646,MTT,0)),"")</f>
        <v/>
      </c>
      <c r="AB646" t="str">
        <f>_xlfn.IFNA(INDEX(MTT_codes,MATCH(loaded!BI646,MTT,0)),"")</f>
        <v/>
      </c>
      <c r="AC646" t="str">
        <f>_xlfn.IFNA(INDEX(MTT_codes,MATCH(loaded!BK646,MTT,0)),"")</f>
        <v/>
      </c>
      <c r="AD646" t="str">
        <f>_xlfn.IFNA(INDEX(MTT_codes,MATCH(loaded!BM646,MTT,0)),"")</f>
        <v/>
      </c>
      <c r="AE646" t="e">
        <f>INDEX(liv_ar_codes,MATCH(loaded!BO646,liv_ar,0))</f>
        <v>#N/A</v>
      </c>
      <c r="AF646" t="str">
        <f>_xlfn.IFNA(INDEX(MTT_codes,MATCH(loaded!BQ646,MTT,0)),"")</f>
        <v/>
      </c>
      <c r="AG646">
        <f>_xlfn.IFNA(INDEX(mental_codes,MATCH(loaded!BS646,mental,0)),9)</f>
        <v>9</v>
      </c>
    </row>
    <row r="647" spans="1:33" x14ac:dyDescent="0.25">
      <c r="A647">
        <f>loaded!C647</f>
        <v>0</v>
      </c>
      <c r="B647">
        <f>loaded!I647</f>
        <v>0</v>
      </c>
      <c r="C647">
        <f>IF(loaded!K647="Male",1,IF(loaded!K647="Female",2,9))</f>
        <v>9</v>
      </c>
      <c r="D647" s="8">
        <f>loaded!M647</f>
        <v>0</v>
      </c>
      <c r="E647" t="str">
        <f>LEFT(loaded!O647,3)</f>
        <v/>
      </c>
      <c r="F647" t="e">
        <f>INDEX(cntry_codes,MATCH(loaded!Q647,countries,0))</f>
        <v>#N/A</v>
      </c>
      <c r="G647" t="e">
        <f>INDEX(atsi_codes,MATCH(loaded!S647,atsi,0))</f>
        <v>#N/A</v>
      </c>
      <c r="H647" t="e">
        <f>INDEX(lang_codes,MATCH(loaded!U647,lang,0))</f>
        <v>#N/A</v>
      </c>
      <c r="I647" s="8">
        <f>loaded!W647</f>
        <v>0</v>
      </c>
      <c r="J647" t="e">
        <f>INDEX(us_acc_codes,MATCH(loaded!Y647,us_acc,0))</f>
        <v>#N/A</v>
      </c>
      <c r="K647" t="e">
        <f>INDEX(client_codes,MATCH(loaded!AA647,client,0))</f>
        <v>#N/A</v>
      </c>
      <c r="L647" t="e">
        <f>INDEX(src_ref_codes,MATCH(loaded!AC647,src_ref,0))</f>
        <v>#N/A</v>
      </c>
      <c r="M647" s="8">
        <f>loaded!AE647</f>
        <v>0</v>
      </c>
      <c r="N647" s="8">
        <f>loaded!AG647</f>
        <v>0</v>
      </c>
      <c r="O647" t="e">
        <f>INDEX(reces_codes,MATCH(loaded!AI647,reason,0))</f>
        <v>#N/A</v>
      </c>
      <c r="P647" t="e">
        <f>INDEX(TDS_codes,MATCH(loaded!AK647,TDS,0))</f>
        <v>#N/A</v>
      </c>
      <c r="Q647" t="e">
        <f>IF(K647=2,"",INDEX(method_codes,MATCH(loaded!AM647,method,0)))</f>
        <v>#N/A</v>
      </c>
      <c r="R647" t="e">
        <f>IF(K647=2,"",INDEX(inj_codes,MATCH(loaded!AO647,inj,0)))</f>
        <v>#N/A</v>
      </c>
      <c r="S647" t="e">
        <f>IF(K647=2,"",INDEX(drug_codes,MATCH(loaded!AQ647,drug,0)))</f>
        <v>#N/A</v>
      </c>
      <c r="T647" t="e">
        <f>IF(K647=2,"",_xlfn.IFNA(INDEX(drug_codes,MATCH(loaded!AS647,drug,0)),""))</f>
        <v>#N/A</v>
      </c>
      <c r="U647" t="e">
        <f>IF(K647=2,"",_xlfn.IFNA(INDEX(drug_codes,MATCH(loaded!AU647,drug,0)),""))</f>
        <v>#N/A</v>
      </c>
      <c r="V647" t="e">
        <f>IF(K647=2,"",_xlfn.IFNA(INDEX(drug_codes,MATCH(loaded!AW647,drug,0)),""))</f>
        <v>#N/A</v>
      </c>
      <c r="W647" t="e">
        <f>IF(K647=2,"",_xlfn.IFNA(INDEX(drug_codes,MATCH(loaded!AY647,drug,0)),""))</f>
        <v>#N/A</v>
      </c>
      <c r="X647" t="e">
        <f>IF(K647=2,"",_xlfn.IFNA(INDEX(drug_codes,MATCH(loaded!BA647,drug,0)),""))</f>
        <v>#N/A</v>
      </c>
      <c r="Y647" t="e">
        <f>INDEX(MTT_codes,MATCH(loaded!BC647,MTT,0))</f>
        <v>#N/A</v>
      </c>
      <c r="Z647" t="str">
        <f>_xlfn.IFNA(INDEX(MTT_codes,MATCH(loaded!BE647,MTT,0)),"")</f>
        <v/>
      </c>
      <c r="AA647" t="str">
        <f>_xlfn.IFNA(INDEX(MTT_codes,MATCH(loaded!BG647,MTT,0)),"")</f>
        <v/>
      </c>
      <c r="AB647" t="str">
        <f>_xlfn.IFNA(INDEX(MTT_codes,MATCH(loaded!BI647,MTT,0)),"")</f>
        <v/>
      </c>
      <c r="AC647" t="str">
        <f>_xlfn.IFNA(INDEX(MTT_codes,MATCH(loaded!BK647,MTT,0)),"")</f>
        <v/>
      </c>
      <c r="AD647" t="str">
        <f>_xlfn.IFNA(INDEX(MTT_codes,MATCH(loaded!BM647,MTT,0)),"")</f>
        <v/>
      </c>
      <c r="AE647" t="e">
        <f>INDEX(liv_ar_codes,MATCH(loaded!BO647,liv_ar,0))</f>
        <v>#N/A</v>
      </c>
      <c r="AF647" t="str">
        <f>_xlfn.IFNA(INDEX(MTT_codes,MATCH(loaded!BQ647,MTT,0)),"")</f>
        <v/>
      </c>
      <c r="AG647">
        <f>_xlfn.IFNA(INDEX(mental_codes,MATCH(loaded!BS647,mental,0)),9)</f>
        <v>9</v>
      </c>
    </row>
    <row r="648" spans="1:33" x14ac:dyDescent="0.25">
      <c r="A648">
        <f>loaded!C648</f>
        <v>0</v>
      </c>
      <c r="B648">
        <f>loaded!I648</f>
        <v>0</v>
      </c>
      <c r="C648">
        <f>IF(loaded!K648="Male",1,IF(loaded!K648="Female",2,9))</f>
        <v>9</v>
      </c>
      <c r="D648" s="8">
        <f>loaded!M648</f>
        <v>0</v>
      </c>
      <c r="E648" t="str">
        <f>LEFT(loaded!O648,3)</f>
        <v/>
      </c>
      <c r="F648" t="e">
        <f>INDEX(cntry_codes,MATCH(loaded!Q648,countries,0))</f>
        <v>#N/A</v>
      </c>
      <c r="G648" t="e">
        <f>INDEX(atsi_codes,MATCH(loaded!S648,atsi,0))</f>
        <v>#N/A</v>
      </c>
      <c r="H648" t="e">
        <f>INDEX(lang_codes,MATCH(loaded!U648,lang,0))</f>
        <v>#N/A</v>
      </c>
      <c r="I648" s="8">
        <f>loaded!W648</f>
        <v>0</v>
      </c>
      <c r="J648" t="e">
        <f>INDEX(us_acc_codes,MATCH(loaded!Y648,us_acc,0))</f>
        <v>#N/A</v>
      </c>
      <c r="K648" t="e">
        <f>INDEX(client_codes,MATCH(loaded!AA648,client,0))</f>
        <v>#N/A</v>
      </c>
      <c r="L648" t="e">
        <f>INDEX(src_ref_codes,MATCH(loaded!AC648,src_ref,0))</f>
        <v>#N/A</v>
      </c>
      <c r="M648" s="8">
        <f>loaded!AE648</f>
        <v>0</v>
      </c>
      <c r="N648" s="8">
        <f>loaded!AG648</f>
        <v>0</v>
      </c>
      <c r="O648" t="e">
        <f>INDEX(reces_codes,MATCH(loaded!AI648,reason,0))</f>
        <v>#N/A</v>
      </c>
      <c r="P648" t="e">
        <f>INDEX(TDS_codes,MATCH(loaded!AK648,TDS,0))</f>
        <v>#N/A</v>
      </c>
      <c r="Q648" t="e">
        <f>IF(K648=2,"",INDEX(method_codes,MATCH(loaded!AM648,method,0)))</f>
        <v>#N/A</v>
      </c>
      <c r="R648" t="e">
        <f>IF(K648=2,"",INDEX(inj_codes,MATCH(loaded!AO648,inj,0)))</f>
        <v>#N/A</v>
      </c>
      <c r="S648" t="e">
        <f>IF(K648=2,"",INDEX(drug_codes,MATCH(loaded!AQ648,drug,0)))</f>
        <v>#N/A</v>
      </c>
      <c r="T648" t="e">
        <f>IF(K648=2,"",_xlfn.IFNA(INDEX(drug_codes,MATCH(loaded!AS648,drug,0)),""))</f>
        <v>#N/A</v>
      </c>
      <c r="U648" t="e">
        <f>IF(K648=2,"",_xlfn.IFNA(INDEX(drug_codes,MATCH(loaded!AU648,drug,0)),""))</f>
        <v>#N/A</v>
      </c>
      <c r="V648" t="e">
        <f>IF(K648=2,"",_xlfn.IFNA(INDEX(drug_codes,MATCH(loaded!AW648,drug,0)),""))</f>
        <v>#N/A</v>
      </c>
      <c r="W648" t="e">
        <f>IF(K648=2,"",_xlfn.IFNA(INDEX(drug_codes,MATCH(loaded!AY648,drug,0)),""))</f>
        <v>#N/A</v>
      </c>
      <c r="X648" t="e">
        <f>IF(K648=2,"",_xlfn.IFNA(INDEX(drug_codes,MATCH(loaded!BA648,drug,0)),""))</f>
        <v>#N/A</v>
      </c>
      <c r="Y648" t="e">
        <f>INDEX(MTT_codes,MATCH(loaded!BC648,MTT,0))</f>
        <v>#N/A</v>
      </c>
      <c r="Z648" t="str">
        <f>_xlfn.IFNA(INDEX(MTT_codes,MATCH(loaded!BE648,MTT,0)),"")</f>
        <v/>
      </c>
      <c r="AA648" t="str">
        <f>_xlfn.IFNA(INDEX(MTT_codes,MATCH(loaded!BG648,MTT,0)),"")</f>
        <v/>
      </c>
      <c r="AB648" t="str">
        <f>_xlfn.IFNA(INDEX(MTT_codes,MATCH(loaded!BI648,MTT,0)),"")</f>
        <v/>
      </c>
      <c r="AC648" t="str">
        <f>_xlfn.IFNA(INDEX(MTT_codes,MATCH(loaded!BK648,MTT,0)),"")</f>
        <v/>
      </c>
      <c r="AD648" t="str">
        <f>_xlfn.IFNA(INDEX(MTT_codes,MATCH(loaded!BM648,MTT,0)),"")</f>
        <v/>
      </c>
      <c r="AE648" t="e">
        <f>INDEX(liv_ar_codes,MATCH(loaded!BO648,liv_ar,0))</f>
        <v>#N/A</v>
      </c>
      <c r="AF648" t="str">
        <f>_xlfn.IFNA(INDEX(MTT_codes,MATCH(loaded!BQ648,MTT,0)),"")</f>
        <v/>
      </c>
      <c r="AG648">
        <f>_xlfn.IFNA(INDEX(mental_codes,MATCH(loaded!BS648,mental,0)),9)</f>
        <v>9</v>
      </c>
    </row>
    <row r="649" spans="1:33" x14ac:dyDescent="0.25">
      <c r="A649">
        <f>loaded!C649</f>
        <v>0</v>
      </c>
      <c r="B649">
        <f>loaded!I649</f>
        <v>0</v>
      </c>
      <c r="C649">
        <f>IF(loaded!K649="Male",1,IF(loaded!K649="Female",2,9))</f>
        <v>9</v>
      </c>
      <c r="D649" s="8">
        <f>loaded!M649</f>
        <v>0</v>
      </c>
      <c r="E649" t="str">
        <f>LEFT(loaded!O649,3)</f>
        <v/>
      </c>
      <c r="F649" t="e">
        <f>INDEX(cntry_codes,MATCH(loaded!Q649,countries,0))</f>
        <v>#N/A</v>
      </c>
      <c r="G649" t="e">
        <f>INDEX(atsi_codes,MATCH(loaded!S649,atsi,0))</f>
        <v>#N/A</v>
      </c>
      <c r="H649" t="e">
        <f>INDEX(lang_codes,MATCH(loaded!U649,lang,0))</f>
        <v>#N/A</v>
      </c>
      <c r="I649" s="8">
        <f>loaded!W649</f>
        <v>0</v>
      </c>
      <c r="J649" t="e">
        <f>INDEX(us_acc_codes,MATCH(loaded!Y649,us_acc,0))</f>
        <v>#N/A</v>
      </c>
      <c r="K649" t="e">
        <f>INDEX(client_codes,MATCH(loaded!AA649,client,0))</f>
        <v>#N/A</v>
      </c>
      <c r="L649" t="e">
        <f>INDEX(src_ref_codes,MATCH(loaded!AC649,src_ref,0))</f>
        <v>#N/A</v>
      </c>
      <c r="M649" s="8">
        <f>loaded!AE649</f>
        <v>0</v>
      </c>
      <c r="N649" s="8">
        <f>loaded!AG649</f>
        <v>0</v>
      </c>
      <c r="O649" t="e">
        <f>INDEX(reces_codes,MATCH(loaded!AI649,reason,0))</f>
        <v>#N/A</v>
      </c>
      <c r="P649" t="e">
        <f>INDEX(TDS_codes,MATCH(loaded!AK649,TDS,0))</f>
        <v>#N/A</v>
      </c>
      <c r="Q649" t="e">
        <f>IF(K649=2,"",INDEX(method_codes,MATCH(loaded!AM649,method,0)))</f>
        <v>#N/A</v>
      </c>
      <c r="R649" t="e">
        <f>IF(K649=2,"",INDEX(inj_codes,MATCH(loaded!AO649,inj,0)))</f>
        <v>#N/A</v>
      </c>
      <c r="S649" t="e">
        <f>IF(K649=2,"",INDEX(drug_codes,MATCH(loaded!AQ649,drug,0)))</f>
        <v>#N/A</v>
      </c>
      <c r="T649" t="e">
        <f>IF(K649=2,"",_xlfn.IFNA(INDEX(drug_codes,MATCH(loaded!AS649,drug,0)),""))</f>
        <v>#N/A</v>
      </c>
      <c r="U649" t="e">
        <f>IF(K649=2,"",_xlfn.IFNA(INDEX(drug_codes,MATCH(loaded!AU649,drug,0)),""))</f>
        <v>#N/A</v>
      </c>
      <c r="V649" t="e">
        <f>IF(K649=2,"",_xlfn.IFNA(INDEX(drug_codes,MATCH(loaded!AW649,drug,0)),""))</f>
        <v>#N/A</v>
      </c>
      <c r="W649" t="e">
        <f>IF(K649=2,"",_xlfn.IFNA(INDEX(drug_codes,MATCH(loaded!AY649,drug,0)),""))</f>
        <v>#N/A</v>
      </c>
      <c r="X649" t="e">
        <f>IF(K649=2,"",_xlfn.IFNA(INDEX(drug_codes,MATCH(loaded!BA649,drug,0)),""))</f>
        <v>#N/A</v>
      </c>
      <c r="Y649" t="e">
        <f>INDEX(MTT_codes,MATCH(loaded!BC649,MTT,0))</f>
        <v>#N/A</v>
      </c>
      <c r="Z649" t="str">
        <f>_xlfn.IFNA(INDEX(MTT_codes,MATCH(loaded!BE649,MTT,0)),"")</f>
        <v/>
      </c>
      <c r="AA649" t="str">
        <f>_xlfn.IFNA(INDEX(MTT_codes,MATCH(loaded!BG649,MTT,0)),"")</f>
        <v/>
      </c>
      <c r="AB649" t="str">
        <f>_xlfn.IFNA(INDEX(MTT_codes,MATCH(loaded!BI649,MTT,0)),"")</f>
        <v/>
      </c>
      <c r="AC649" t="str">
        <f>_xlfn.IFNA(INDEX(MTT_codes,MATCH(loaded!BK649,MTT,0)),"")</f>
        <v/>
      </c>
      <c r="AD649" t="str">
        <f>_xlfn.IFNA(INDEX(MTT_codes,MATCH(loaded!BM649,MTT,0)),"")</f>
        <v/>
      </c>
      <c r="AE649" t="e">
        <f>INDEX(liv_ar_codes,MATCH(loaded!BO649,liv_ar,0))</f>
        <v>#N/A</v>
      </c>
      <c r="AF649" t="str">
        <f>_xlfn.IFNA(INDEX(MTT_codes,MATCH(loaded!BQ649,MTT,0)),"")</f>
        <v/>
      </c>
      <c r="AG649">
        <f>_xlfn.IFNA(INDEX(mental_codes,MATCH(loaded!BS649,mental,0)),9)</f>
        <v>9</v>
      </c>
    </row>
    <row r="650" spans="1:33" x14ac:dyDescent="0.25">
      <c r="A650">
        <f>loaded!C650</f>
        <v>0</v>
      </c>
      <c r="B650">
        <f>loaded!I650</f>
        <v>0</v>
      </c>
      <c r="C650">
        <f>IF(loaded!K650="Male",1,IF(loaded!K650="Female",2,9))</f>
        <v>9</v>
      </c>
      <c r="D650" s="8">
        <f>loaded!M650</f>
        <v>0</v>
      </c>
      <c r="E650" t="str">
        <f>LEFT(loaded!O650,3)</f>
        <v/>
      </c>
      <c r="F650" t="e">
        <f>INDEX(cntry_codes,MATCH(loaded!Q650,countries,0))</f>
        <v>#N/A</v>
      </c>
      <c r="G650" t="e">
        <f>INDEX(atsi_codes,MATCH(loaded!S650,atsi,0))</f>
        <v>#N/A</v>
      </c>
      <c r="H650" t="e">
        <f>INDEX(lang_codes,MATCH(loaded!U650,lang,0))</f>
        <v>#N/A</v>
      </c>
      <c r="I650" s="8">
        <f>loaded!W650</f>
        <v>0</v>
      </c>
      <c r="J650" t="e">
        <f>INDEX(us_acc_codes,MATCH(loaded!Y650,us_acc,0))</f>
        <v>#N/A</v>
      </c>
      <c r="K650" t="e">
        <f>INDEX(client_codes,MATCH(loaded!AA650,client,0))</f>
        <v>#N/A</v>
      </c>
      <c r="L650" t="e">
        <f>INDEX(src_ref_codes,MATCH(loaded!AC650,src_ref,0))</f>
        <v>#N/A</v>
      </c>
      <c r="M650" s="8">
        <f>loaded!AE650</f>
        <v>0</v>
      </c>
      <c r="N650" s="8">
        <f>loaded!AG650</f>
        <v>0</v>
      </c>
      <c r="O650" t="e">
        <f>INDEX(reces_codes,MATCH(loaded!AI650,reason,0))</f>
        <v>#N/A</v>
      </c>
      <c r="P650" t="e">
        <f>INDEX(TDS_codes,MATCH(loaded!AK650,TDS,0))</f>
        <v>#N/A</v>
      </c>
      <c r="Q650" t="e">
        <f>IF(K650=2,"",INDEX(method_codes,MATCH(loaded!AM650,method,0)))</f>
        <v>#N/A</v>
      </c>
      <c r="R650" t="e">
        <f>IF(K650=2,"",INDEX(inj_codes,MATCH(loaded!AO650,inj,0)))</f>
        <v>#N/A</v>
      </c>
      <c r="S650" t="e">
        <f>IF(K650=2,"",INDEX(drug_codes,MATCH(loaded!AQ650,drug,0)))</f>
        <v>#N/A</v>
      </c>
      <c r="T650" t="e">
        <f>IF(K650=2,"",_xlfn.IFNA(INDEX(drug_codes,MATCH(loaded!AS650,drug,0)),""))</f>
        <v>#N/A</v>
      </c>
      <c r="U650" t="e">
        <f>IF(K650=2,"",_xlfn.IFNA(INDEX(drug_codes,MATCH(loaded!AU650,drug,0)),""))</f>
        <v>#N/A</v>
      </c>
      <c r="V650" t="e">
        <f>IF(K650=2,"",_xlfn.IFNA(INDEX(drug_codes,MATCH(loaded!AW650,drug,0)),""))</f>
        <v>#N/A</v>
      </c>
      <c r="W650" t="e">
        <f>IF(K650=2,"",_xlfn.IFNA(INDEX(drug_codes,MATCH(loaded!AY650,drug,0)),""))</f>
        <v>#N/A</v>
      </c>
      <c r="X650" t="e">
        <f>IF(K650=2,"",_xlfn.IFNA(INDEX(drug_codes,MATCH(loaded!BA650,drug,0)),""))</f>
        <v>#N/A</v>
      </c>
      <c r="Y650" t="e">
        <f>INDEX(MTT_codes,MATCH(loaded!BC650,MTT,0))</f>
        <v>#N/A</v>
      </c>
      <c r="Z650" t="str">
        <f>_xlfn.IFNA(INDEX(MTT_codes,MATCH(loaded!BE650,MTT,0)),"")</f>
        <v/>
      </c>
      <c r="AA650" t="str">
        <f>_xlfn.IFNA(INDEX(MTT_codes,MATCH(loaded!BG650,MTT,0)),"")</f>
        <v/>
      </c>
      <c r="AB650" t="str">
        <f>_xlfn.IFNA(INDEX(MTT_codes,MATCH(loaded!BI650,MTT,0)),"")</f>
        <v/>
      </c>
      <c r="AC650" t="str">
        <f>_xlfn.IFNA(INDEX(MTT_codes,MATCH(loaded!BK650,MTT,0)),"")</f>
        <v/>
      </c>
      <c r="AD650" t="str">
        <f>_xlfn.IFNA(INDEX(MTT_codes,MATCH(loaded!BM650,MTT,0)),"")</f>
        <v/>
      </c>
      <c r="AE650" t="e">
        <f>INDEX(liv_ar_codes,MATCH(loaded!BO650,liv_ar,0))</f>
        <v>#N/A</v>
      </c>
      <c r="AF650" t="str">
        <f>_xlfn.IFNA(INDEX(MTT_codes,MATCH(loaded!BQ650,MTT,0)),"")</f>
        <v/>
      </c>
      <c r="AG650">
        <f>_xlfn.IFNA(INDEX(mental_codes,MATCH(loaded!BS650,mental,0)),9)</f>
        <v>9</v>
      </c>
    </row>
    <row r="651" spans="1:33" x14ac:dyDescent="0.25">
      <c r="A651">
        <f>loaded!C651</f>
        <v>0</v>
      </c>
      <c r="B651">
        <f>loaded!I651</f>
        <v>0</v>
      </c>
      <c r="C651">
        <f>IF(loaded!K651="Male",1,IF(loaded!K651="Female",2,9))</f>
        <v>9</v>
      </c>
      <c r="D651" s="8">
        <f>loaded!M651</f>
        <v>0</v>
      </c>
      <c r="E651" t="str">
        <f>LEFT(loaded!O651,3)</f>
        <v/>
      </c>
      <c r="F651" t="e">
        <f>INDEX(cntry_codes,MATCH(loaded!Q651,countries,0))</f>
        <v>#N/A</v>
      </c>
      <c r="G651" t="e">
        <f>INDEX(atsi_codes,MATCH(loaded!S651,atsi,0))</f>
        <v>#N/A</v>
      </c>
      <c r="H651" t="e">
        <f>INDEX(lang_codes,MATCH(loaded!U651,lang,0))</f>
        <v>#N/A</v>
      </c>
      <c r="I651" s="8">
        <f>loaded!W651</f>
        <v>0</v>
      </c>
      <c r="J651" t="e">
        <f>INDEX(us_acc_codes,MATCH(loaded!Y651,us_acc,0))</f>
        <v>#N/A</v>
      </c>
      <c r="K651" t="e">
        <f>INDEX(client_codes,MATCH(loaded!AA651,client,0))</f>
        <v>#N/A</v>
      </c>
      <c r="L651" t="e">
        <f>INDEX(src_ref_codes,MATCH(loaded!AC651,src_ref,0))</f>
        <v>#N/A</v>
      </c>
      <c r="M651" s="8">
        <f>loaded!AE651</f>
        <v>0</v>
      </c>
      <c r="N651" s="8">
        <f>loaded!AG651</f>
        <v>0</v>
      </c>
      <c r="O651" t="e">
        <f>INDEX(reces_codes,MATCH(loaded!AI651,reason,0))</f>
        <v>#N/A</v>
      </c>
      <c r="P651" t="e">
        <f>INDEX(TDS_codes,MATCH(loaded!AK651,TDS,0))</f>
        <v>#N/A</v>
      </c>
      <c r="Q651" t="e">
        <f>IF(K651=2,"",INDEX(method_codes,MATCH(loaded!AM651,method,0)))</f>
        <v>#N/A</v>
      </c>
      <c r="R651" t="e">
        <f>IF(K651=2,"",INDEX(inj_codes,MATCH(loaded!AO651,inj,0)))</f>
        <v>#N/A</v>
      </c>
      <c r="S651" t="e">
        <f>IF(K651=2,"",INDEX(drug_codes,MATCH(loaded!AQ651,drug,0)))</f>
        <v>#N/A</v>
      </c>
      <c r="T651" t="e">
        <f>IF(K651=2,"",_xlfn.IFNA(INDEX(drug_codes,MATCH(loaded!AS651,drug,0)),""))</f>
        <v>#N/A</v>
      </c>
      <c r="U651" t="e">
        <f>IF(K651=2,"",_xlfn.IFNA(INDEX(drug_codes,MATCH(loaded!AU651,drug,0)),""))</f>
        <v>#N/A</v>
      </c>
      <c r="V651" t="e">
        <f>IF(K651=2,"",_xlfn.IFNA(INDEX(drug_codes,MATCH(loaded!AW651,drug,0)),""))</f>
        <v>#N/A</v>
      </c>
      <c r="W651" t="e">
        <f>IF(K651=2,"",_xlfn.IFNA(INDEX(drug_codes,MATCH(loaded!AY651,drug,0)),""))</f>
        <v>#N/A</v>
      </c>
      <c r="X651" t="e">
        <f>IF(K651=2,"",_xlfn.IFNA(INDEX(drug_codes,MATCH(loaded!BA651,drug,0)),""))</f>
        <v>#N/A</v>
      </c>
      <c r="Y651" t="e">
        <f>INDEX(MTT_codes,MATCH(loaded!BC651,MTT,0))</f>
        <v>#N/A</v>
      </c>
      <c r="Z651" t="str">
        <f>_xlfn.IFNA(INDEX(MTT_codes,MATCH(loaded!BE651,MTT,0)),"")</f>
        <v/>
      </c>
      <c r="AA651" t="str">
        <f>_xlfn.IFNA(INDEX(MTT_codes,MATCH(loaded!BG651,MTT,0)),"")</f>
        <v/>
      </c>
      <c r="AB651" t="str">
        <f>_xlfn.IFNA(INDEX(MTT_codes,MATCH(loaded!BI651,MTT,0)),"")</f>
        <v/>
      </c>
      <c r="AC651" t="str">
        <f>_xlfn.IFNA(INDEX(MTT_codes,MATCH(loaded!BK651,MTT,0)),"")</f>
        <v/>
      </c>
      <c r="AD651" t="str">
        <f>_xlfn.IFNA(INDEX(MTT_codes,MATCH(loaded!BM651,MTT,0)),"")</f>
        <v/>
      </c>
      <c r="AE651" t="e">
        <f>INDEX(liv_ar_codes,MATCH(loaded!BO651,liv_ar,0))</f>
        <v>#N/A</v>
      </c>
      <c r="AF651" t="str">
        <f>_xlfn.IFNA(INDEX(MTT_codes,MATCH(loaded!BQ651,MTT,0)),"")</f>
        <v/>
      </c>
      <c r="AG651">
        <f>_xlfn.IFNA(INDEX(mental_codes,MATCH(loaded!BS651,mental,0)),9)</f>
        <v>9</v>
      </c>
    </row>
    <row r="652" spans="1:33" x14ac:dyDescent="0.25">
      <c r="A652">
        <f>loaded!C652</f>
        <v>0</v>
      </c>
      <c r="B652">
        <f>loaded!I652</f>
        <v>0</v>
      </c>
      <c r="C652">
        <f>IF(loaded!K652="Male",1,IF(loaded!K652="Female",2,9))</f>
        <v>9</v>
      </c>
      <c r="D652" s="8">
        <f>loaded!M652</f>
        <v>0</v>
      </c>
      <c r="E652" t="str">
        <f>LEFT(loaded!O652,3)</f>
        <v/>
      </c>
      <c r="F652" t="e">
        <f>INDEX(cntry_codes,MATCH(loaded!Q652,countries,0))</f>
        <v>#N/A</v>
      </c>
      <c r="G652" t="e">
        <f>INDEX(atsi_codes,MATCH(loaded!S652,atsi,0))</f>
        <v>#N/A</v>
      </c>
      <c r="H652" t="e">
        <f>INDEX(lang_codes,MATCH(loaded!U652,lang,0))</f>
        <v>#N/A</v>
      </c>
      <c r="I652" s="8">
        <f>loaded!W652</f>
        <v>0</v>
      </c>
      <c r="J652" t="e">
        <f>INDEX(us_acc_codes,MATCH(loaded!Y652,us_acc,0))</f>
        <v>#N/A</v>
      </c>
      <c r="K652" t="e">
        <f>INDEX(client_codes,MATCH(loaded!AA652,client,0))</f>
        <v>#N/A</v>
      </c>
      <c r="L652" t="e">
        <f>INDEX(src_ref_codes,MATCH(loaded!AC652,src_ref,0))</f>
        <v>#N/A</v>
      </c>
      <c r="M652" s="8">
        <f>loaded!AE652</f>
        <v>0</v>
      </c>
      <c r="N652" s="8">
        <f>loaded!AG652</f>
        <v>0</v>
      </c>
      <c r="O652" t="e">
        <f>INDEX(reces_codes,MATCH(loaded!AI652,reason,0))</f>
        <v>#N/A</v>
      </c>
      <c r="P652" t="e">
        <f>INDEX(TDS_codes,MATCH(loaded!AK652,TDS,0))</f>
        <v>#N/A</v>
      </c>
      <c r="Q652" t="e">
        <f>IF(K652=2,"",INDEX(method_codes,MATCH(loaded!AM652,method,0)))</f>
        <v>#N/A</v>
      </c>
      <c r="R652" t="e">
        <f>IF(K652=2,"",INDEX(inj_codes,MATCH(loaded!AO652,inj,0)))</f>
        <v>#N/A</v>
      </c>
      <c r="S652" t="e">
        <f>IF(K652=2,"",INDEX(drug_codes,MATCH(loaded!AQ652,drug,0)))</f>
        <v>#N/A</v>
      </c>
      <c r="T652" t="e">
        <f>IF(K652=2,"",_xlfn.IFNA(INDEX(drug_codes,MATCH(loaded!AS652,drug,0)),""))</f>
        <v>#N/A</v>
      </c>
      <c r="U652" t="e">
        <f>IF(K652=2,"",_xlfn.IFNA(INDEX(drug_codes,MATCH(loaded!AU652,drug,0)),""))</f>
        <v>#N/A</v>
      </c>
      <c r="V652" t="e">
        <f>IF(K652=2,"",_xlfn.IFNA(INDEX(drug_codes,MATCH(loaded!AW652,drug,0)),""))</f>
        <v>#N/A</v>
      </c>
      <c r="W652" t="e">
        <f>IF(K652=2,"",_xlfn.IFNA(INDEX(drug_codes,MATCH(loaded!AY652,drug,0)),""))</f>
        <v>#N/A</v>
      </c>
      <c r="X652" t="e">
        <f>IF(K652=2,"",_xlfn.IFNA(INDEX(drug_codes,MATCH(loaded!BA652,drug,0)),""))</f>
        <v>#N/A</v>
      </c>
      <c r="Y652" t="e">
        <f>INDEX(MTT_codes,MATCH(loaded!BC652,MTT,0))</f>
        <v>#N/A</v>
      </c>
      <c r="Z652" t="str">
        <f>_xlfn.IFNA(INDEX(MTT_codes,MATCH(loaded!BE652,MTT,0)),"")</f>
        <v/>
      </c>
      <c r="AA652" t="str">
        <f>_xlfn.IFNA(INDEX(MTT_codes,MATCH(loaded!BG652,MTT,0)),"")</f>
        <v/>
      </c>
      <c r="AB652" t="str">
        <f>_xlfn.IFNA(INDEX(MTT_codes,MATCH(loaded!BI652,MTT,0)),"")</f>
        <v/>
      </c>
      <c r="AC652" t="str">
        <f>_xlfn.IFNA(INDEX(MTT_codes,MATCH(loaded!BK652,MTT,0)),"")</f>
        <v/>
      </c>
      <c r="AD652" t="str">
        <f>_xlfn.IFNA(INDEX(MTT_codes,MATCH(loaded!BM652,MTT,0)),"")</f>
        <v/>
      </c>
      <c r="AE652" t="e">
        <f>INDEX(liv_ar_codes,MATCH(loaded!BO652,liv_ar,0))</f>
        <v>#N/A</v>
      </c>
      <c r="AF652" t="str">
        <f>_xlfn.IFNA(INDEX(MTT_codes,MATCH(loaded!BQ652,MTT,0)),"")</f>
        <v/>
      </c>
      <c r="AG652">
        <f>_xlfn.IFNA(INDEX(mental_codes,MATCH(loaded!BS652,mental,0)),9)</f>
        <v>9</v>
      </c>
    </row>
    <row r="653" spans="1:33" x14ac:dyDescent="0.25">
      <c r="A653">
        <f>loaded!C653</f>
        <v>0</v>
      </c>
      <c r="B653">
        <f>loaded!I653</f>
        <v>0</v>
      </c>
      <c r="C653">
        <f>IF(loaded!K653="Male",1,IF(loaded!K653="Female",2,9))</f>
        <v>9</v>
      </c>
      <c r="D653" s="8">
        <f>loaded!M653</f>
        <v>0</v>
      </c>
      <c r="E653" t="str">
        <f>LEFT(loaded!O653,3)</f>
        <v/>
      </c>
      <c r="F653" t="e">
        <f>INDEX(cntry_codes,MATCH(loaded!Q653,countries,0))</f>
        <v>#N/A</v>
      </c>
      <c r="G653" t="e">
        <f>INDEX(atsi_codes,MATCH(loaded!S653,atsi,0))</f>
        <v>#N/A</v>
      </c>
      <c r="H653" t="e">
        <f>INDEX(lang_codes,MATCH(loaded!U653,lang,0))</f>
        <v>#N/A</v>
      </c>
      <c r="I653" s="8">
        <f>loaded!W653</f>
        <v>0</v>
      </c>
      <c r="J653" t="e">
        <f>INDEX(us_acc_codes,MATCH(loaded!Y653,us_acc,0))</f>
        <v>#N/A</v>
      </c>
      <c r="K653" t="e">
        <f>INDEX(client_codes,MATCH(loaded!AA653,client,0))</f>
        <v>#N/A</v>
      </c>
      <c r="L653" t="e">
        <f>INDEX(src_ref_codes,MATCH(loaded!AC653,src_ref,0))</f>
        <v>#N/A</v>
      </c>
      <c r="M653" s="8">
        <f>loaded!AE653</f>
        <v>0</v>
      </c>
      <c r="N653" s="8">
        <f>loaded!AG653</f>
        <v>0</v>
      </c>
      <c r="O653" t="e">
        <f>INDEX(reces_codes,MATCH(loaded!AI653,reason,0))</f>
        <v>#N/A</v>
      </c>
      <c r="P653" t="e">
        <f>INDEX(TDS_codes,MATCH(loaded!AK653,TDS,0))</f>
        <v>#N/A</v>
      </c>
      <c r="Q653" t="e">
        <f>IF(K653=2,"",INDEX(method_codes,MATCH(loaded!AM653,method,0)))</f>
        <v>#N/A</v>
      </c>
      <c r="R653" t="e">
        <f>IF(K653=2,"",INDEX(inj_codes,MATCH(loaded!AO653,inj,0)))</f>
        <v>#N/A</v>
      </c>
      <c r="S653" t="e">
        <f>IF(K653=2,"",INDEX(drug_codes,MATCH(loaded!AQ653,drug,0)))</f>
        <v>#N/A</v>
      </c>
      <c r="T653" t="e">
        <f>IF(K653=2,"",_xlfn.IFNA(INDEX(drug_codes,MATCH(loaded!AS653,drug,0)),""))</f>
        <v>#N/A</v>
      </c>
      <c r="U653" t="e">
        <f>IF(K653=2,"",_xlfn.IFNA(INDEX(drug_codes,MATCH(loaded!AU653,drug,0)),""))</f>
        <v>#N/A</v>
      </c>
      <c r="V653" t="e">
        <f>IF(K653=2,"",_xlfn.IFNA(INDEX(drug_codes,MATCH(loaded!AW653,drug,0)),""))</f>
        <v>#N/A</v>
      </c>
      <c r="W653" t="e">
        <f>IF(K653=2,"",_xlfn.IFNA(INDEX(drug_codes,MATCH(loaded!AY653,drug,0)),""))</f>
        <v>#N/A</v>
      </c>
      <c r="X653" t="e">
        <f>IF(K653=2,"",_xlfn.IFNA(INDEX(drug_codes,MATCH(loaded!BA653,drug,0)),""))</f>
        <v>#N/A</v>
      </c>
      <c r="Y653" t="e">
        <f>INDEX(MTT_codes,MATCH(loaded!BC653,MTT,0))</f>
        <v>#N/A</v>
      </c>
      <c r="Z653" t="str">
        <f>_xlfn.IFNA(INDEX(MTT_codes,MATCH(loaded!BE653,MTT,0)),"")</f>
        <v/>
      </c>
      <c r="AA653" t="str">
        <f>_xlfn.IFNA(INDEX(MTT_codes,MATCH(loaded!BG653,MTT,0)),"")</f>
        <v/>
      </c>
      <c r="AB653" t="str">
        <f>_xlfn.IFNA(INDEX(MTT_codes,MATCH(loaded!BI653,MTT,0)),"")</f>
        <v/>
      </c>
      <c r="AC653" t="str">
        <f>_xlfn.IFNA(INDEX(MTT_codes,MATCH(loaded!BK653,MTT,0)),"")</f>
        <v/>
      </c>
      <c r="AD653" t="str">
        <f>_xlfn.IFNA(INDEX(MTT_codes,MATCH(loaded!BM653,MTT,0)),"")</f>
        <v/>
      </c>
      <c r="AE653" t="e">
        <f>INDEX(liv_ar_codes,MATCH(loaded!BO653,liv_ar,0))</f>
        <v>#N/A</v>
      </c>
      <c r="AF653" t="str">
        <f>_xlfn.IFNA(INDEX(MTT_codes,MATCH(loaded!BQ653,MTT,0)),"")</f>
        <v/>
      </c>
      <c r="AG653">
        <f>_xlfn.IFNA(INDEX(mental_codes,MATCH(loaded!BS653,mental,0)),9)</f>
        <v>9</v>
      </c>
    </row>
    <row r="654" spans="1:33" x14ac:dyDescent="0.25">
      <c r="A654">
        <f>loaded!C654</f>
        <v>0</v>
      </c>
      <c r="B654">
        <f>loaded!I654</f>
        <v>0</v>
      </c>
      <c r="C654">
        <f>IF(loaded!K654="Male",1,IF(loaded!K654="Female",2,9))</f>
        <v>9</v>
      </c>
      <c r="D654" s="8">
        <f>loaded!M654</f>
        <v>0</v>
      </c>
      <c r="E654" t="str">
        <f>LEFT(loaded!O654,3)</f>
        <v/>
      </c>
      <c r="F654" t="e">
        <f>INDEX(cntry_codes,MATCH(loaded!Q654,countries,0))</f>
        <v>#N/A</v>
      </c>
      <c r="G654" t="e">
        <f>INDEX(atsi_codes,MATCH(loaded!S654,atsi,0))</f>
        <v>#N/A</v>
      </c>
      <c r="H654" t="e">
        <f>INDEX(lang_codes,MATCH(loaded!U654,lang,0))</f>
        <v>#N/A</v>
      </c>
      <c r="I654" s="8">
        <f>loaded!W654</f>
        <v>0</v>
      </c>
      <c r="J654" t="e">
        <f>INDEX(us_acc_codes,MATCH(loaded!Y654,us_acc,0))</f>
        <v>#N/A</v>
      </c>
      <c r="K654" t="e">
        <f>INDEX(client_codes,MATCH(loaded!AA654,client,0))</f>
        <v>#N/A</v>
      </c>
      <c r="L654" t="e">
        <f>INDEX(src_ref_codes,MATCH(loaded!AC654,src_ref,0))</f>
        <v>#N/A</v>
      </c>
      <c r="M654" s="8">
        <f>loaded!AE654</f>
        <v>0</v>
      </c>
      <c r="N654" s="8">
        <f>loaded!AG654</f>
        <v>0</v>
      </c>
      <c r="O654" t="e">
        <f>INDEX(reces_codes,MATCH(loaded!AI654,reason,0))</f>
        <v>#N/A</v>
      </c>
      <c r="P654" t="e">
        <f>INDEX(TDS_codes,MATCH(loaded!AK654,TDS,0))</f>
        <v>#N/A</v>
      </c>
      <c r="Q654" t="e">
        <f>IF(K654=2,"",INDEX(method_codes,MATCH(loaded!AM654,method,0)))</f>
        <v>#N/A</v>
      </c>
      <c r="R654" t="e">
        <f>IF(K654=2,"",INDEX(inj_codes,MATCH(loaded!AO654,inj,0)))</f>
        <v>#N/A</v>
      </c>
      <c r="S654" t="e">
        <f>IF(K654=2,"",INDEX(drug_codes,MATCH(loaded!AQ654,drug,0)))</f>
        <v>#N/A</v>
      </c>
      <c r="T654" t="e">
        <f>IF(K654=2,"",_xlfn.IFNA(INDEX(drug_codes,MATCH(loaded!AS654,drug,0)),""))</f>
        <v>#N/A</v>
      </c>
      <c r="U654" t="e">
        <f>IF(K654=2,"",_xlfn.IFNA(INDEX(drug_codes,MATCH(loaded!AU654,drug,0)),""))</f>
        <v>#N/A</v>
      </c>
      <c r="V654" t="e">
        <f>IF(K654=2,"",_xlfn.IFNA(INDEX(drug_codes,MATCH(loaded!AW654,drug,0)),""))</f>
        <v>#N/A</v>
      </c>
      <c r="W654" t="e">
        <f>IF(K654=2,"",_xlfn.IFNA(INDEX(drug_codes,MATCH(loaded!AY654,drug,0)),""))</f>
        <v>#N/A</v>
      </c>
      <c r="X654" t="e">
        <f>IF(K654=2,"",_xlfn.IFNA(INDEX(drug_codes,MATCH(loaded!BA654,drug,0)),""))</f>
        <v>#N/A</v>
      </c>
      <c r="Y654" t="e">
        <f>INDEX(MTT_codes,MATCH(loaded!BC654,MTT,0))</f>
        <v>#N/A</v>
      </c>
      <c r="Z654" t="str">
        <f>_xlfn.IFNA(INDEX(MTT_codes,MATCH(loaded!BE654,MTT,0)),"")</f>
        <v/>
      </c>
      <c r="AA654" t="str">
        <f>_xlfn.IFNA(INDEX(MTT_codes,MATCH(loaded!BG654,MTT,0)),"")</f>
        <v/>
      </c>
      <c r="AB654" t="str">
        <f>_xlfn.IFNA(INDEX(MTT_codes,MATCH(loaded!BI654,MTT,0)),"")</f>
        <v/>
      </c>
      <c r="AC654" t="str">
        <f>_xlfn.IFNA(INDEX(MTT_codes,MATCH(loaded!BK654,MTT,0)),"")</f>
        <v/>
      </c>
      <c r="AD654" t="str">
        <f>_xlfn.IFNA(INDEX(MTT_codes,MATCH(loaded!BM654,MTT,0)),"")</f>
        <v/>
      </c>
      <c r="AE654" t="e">
        <f>INDEX(liv_ar_codes,MATCH(loaded!BO654,liv_ar,0))</f>
        <v>#N/A</v>
      </c>
      <c r="AF654" t="str">
        <f>_xlfn.IFNA(INDEX(MTT_codes,MATCH(loaded!BQ654,MTT,0)),"")</f>
        <v/>
      </c>
      <c r="AG654">
        <f>_xlfn.IFNA(INDEX(mental_codes,MATCH(loaded!BS654,mental,0)),9)</f>
        <v>9</v>
      </c>
    </row>
    <row r="655" spans="1:33" x14ac:dyDescent="0.25">
      <c r="A655">
        <f>loaded!C655</f>
        <v>0</v>
      </c>
      <c r="B655">
        <f>loaded!I655</f>
        <v>0</v>
      </c>
      <c r="C655">
        <f>IF(loaded!K655="Male",1,IF(loaded!K655="Female",2,9))</f>
        <v>9</v>
      </c>
      <c r="D655" s="8">
        <f>loaded!M655</f>
        <v>0</v>
      </c>
      <c r="E655" t="str">
        <f>LEFT(loaded!O655,3)</f>
        <v/>
      </c>
      <c r="F655" t="e">
        <f>INDEX(cntry_codes,MATCH(loaded!Q655,countries,0))</f>
        <v>#N/A</v>
      </c>
      <c r="G655" t="e">
        <f>INDEX(atsi_codes,MATCH(loaded!S655,atsi,0))</f>
        <v>#N/A</v>
      </c>
      <c r="H655" t="e">
        <f>INDEX(lang_codes,MATCH(loaded!U655,lang,0))</f>
        <v>#N/A</v>
      </c>
      <c r="I655" s="8">
        <f>loaded!W655</f>
        <v>0</v>
      </c>
      <c r="J655" t="e">
        <f>INDEX(us_acc_codes,MATCH(loaded!Y655,us_acc,0))</f>
        <v>#N/A</v>
      </c>
      <c r="K655" t="e">
        <f>INDEX(client_codes,MATCH(loaded!AA655,client,0))</f>
        <v>#N/A</v>
      </c>
      <c r="L655" t="e">
        <f>INDEX(src_ref_codes,MATCH(loaded!AC655,src_ref,0))</f>
        <v>#N/A</v>
      </c>
      <c r="M655" s="8">
        <f>loaded!AE655</f>
        <v>0</v>
      </c>
      <c r="N655" s="8">
        <f>loaded!AG655</f>
        <v>0</v>
      </c>
      <c r="O655" t="e">
        <f>INDEX(reces_codes,MATCH(loaded!AI655,reason,0))</f>
        <v>#N/A</v>
      </c>
      <c r="P655" t="e">
        <f>INDEX(TDS_codes,MATCH(loaded!AK655,TDS,0))</f>
        <v>#N/A</v>
      </c>
      <c r="Q655" t="e">
        <f>IF(K655=2,"",INDEX(method_codes,MATCH(loaded!AM655,method,0)))</f>
        <v>#N/A</v>
      </c>
      <c r="R655" t="e">
        <f>IF(K655=2,"",INDEX(inj_codes,MATCH(loaded!AO655,inj,0)))</f>
        <v>#N/A</v>
      </c>
      <c r="S655" t="e">
        <f>IF(K655=2,"",INDEX(drug_codes,MATCH(loaded!AQ655,drug,0)))</f>
        <v>#N/A</v>
      </c>
      <c r="T655" t="e">
        <f>IF(K655=2,"",_xlfn.IFNA(INDEX(drug_codes,MATCH(loaded!AS655,drug,0)),""))</f>
        <v>#N/A</v>
      </c>
      <c r="U655" t="e">
        <f>IF(K655=2,"",_xlfn.IFNA(INDEX(drug_codes,MATCH(loaded!AU655,drug,0)),""))</f>
        <v>#N/A</v>
      </c>
      <c r="V655" t="e">
        <f>IF(K655=2,"",_xlfn.IFNA(INDEX(drug_codes,MATCH(loaded!AW655,drug,0)),""))</f>
        <v>#N/A</v>
      </c>
      <c r="W655" t="e">
        <f>IF(K655=2,"",_xlfn.IFNA(INDEX(drug_codes,MATCH(loaded!AY655,drug,0)),""))</f>
        <v>#N/A</v>
      </c>
      <c r="X655" t="e">
        <f>IF(K655=2,"",_xlfn.IFNA(INDEX(drug_codes,MATCH(loaded!BA655,drug,0)),""))</f>
        <v>#N/A</v>
      </c>
      <c r="Y655" t="e">
        <f>INDEX(MTT_codes,MATCH(loaded!BC655,MTT,0))</f>
        <v>#N/A</v>
      </c>
      <c r="Z655" t="str">
        <f>_xlfn.IFNA(INDEX(MTT_codes,MATCH(loaded!BE655,MTT,0)),"")</f>
        <v/>
      </c>
      <c r="AA655" t="str">
        <f>_xlfn.IFNA(INDEX(MTT_codes,MATCH(loaded!BG655,MTT,0)),"")</f>
        <v/>
      </c>
      <c r="AB655" t="str">
        <f>_xlfn.IFNA(INDEX(MTT_codes,MATCH(loaded!BI655,MTT,0)),"")</f>
        <v/>
      </c>
      <c r="AC655" t="str">
        <f>_xlfn.IFNA(INDEX(MTT_codes,MATCH(loaded!BK655,MTT,0)),"")</f>
        <v/>
      </c>
      <c r="AD655" t="str">
        <f>_xlfn.IFNA(INDEX(MTT_codes,MATCH(loaded!BM655,MTT,0)),"")</f>
        <v/>
      </c>
      <c r="AE655" t="e">
        <f>INDEX(liv_ar_codes,MATCH(loaded!BO655,liv_ar,0))</f>
        <v>#N/A</v>
      </c>
      <c r="AF655" t="str">
        <f>_xlfn.IFNA(INDEX(MTT_codes,MATCH(loaded!BQ655,MTT,0)),"")</f>
        <v/>
      </c>
      <c r="AG655">
        <f>_xlfn.IFNA(INDEX(mental_codes,MATCH(loaded!BS655,mental,0)),9)</f>
        <v>9</v>
      </c>
    </row>
    <row r="656" spans="1:33" x14ac:dyDescent="0.25">
      <c r="A656">
        <f>loaded!C656</f>
        <v>0</v>
      </c>
      <c r="B656">
        <f>loaded!I656</f>
        <v>0</v>
      </c>
      <c r="C656">
        <f>IF(loaded!K656="Male",1,IF(loaded!K656="Female",2,9))</f>
        <v>9</v>
      </c>
      <c r="D656" s="8">
        <f>loaded!M656</f>
        <v>0</v>
      </c>
      <c r="E656" t="str">
        <f>LEFT(loaded!O656,3)</f>
        <v/>
      </c>
      <c r="F656" t="e">
        <f>INDEX(cntry_codes,MATCH(loaded!Q656,countries,0))</f>
        <v>#N/A</v>
      </c>
      <c r="G656" t="e">
        <f>INDEX(atsi_codes,MATCH(loaded!S656,atsi,0))</f>
        <v>#N/A</v>
      </c>
      <c r="H656" t="e">
        <f>INDEX(lang_codes,MATCH(loaded!U656,lang,0))</f>
        <v>#N/A</v>
      </c>
      <c r="I656" s="8">
        <f>loaded!W656</f>
        <v>0</v>
      </c>
      <c r="J656" t="e">
        <f>INDEX(us_acc_codes,MATCH(loaded!Y656,us_acc,0))</f>
        <v>#N/A</v>
      </c>
      <c r="K656" t="e">
        <f>INDEX(client_codes,MATCH(loaded!AA656,client,0))</f>
        <v>#N/A</v>
      </c>
      <c r="L656" t="e">
        <f>INDEX(src_ref_codes,MATCH(loaded!AC656,src_ref,0))</f>
        <v>#N/A</v>
      </c>
      <c r="M656" s="8">
        <f>loaded!AE656</f>
        <v>0</v>
      </c>
      <c r="N656" s="8">
        <f>loaded!AG656</f>
        <v>0</v>
      </c>
      <c r="O656" t="e">
        <f>INDEX(reces_codes,MATCH(loaded!AI656,reason,0))</f>
        <v>#N/A</v>
      </c>
      <c r="P656" t="e">
        <f>INDEX(TDS_codes,MATCH(loaded!AK656,TDS,0))</f>
        <v>#N/A</v>
      </c>
      <c r="Q656" t="e">
        <f>IF(K656=2,"",INDEX(method_codes,MATCH(loaded!AM656,method,0)))</f>
        <v>#N/A</v>
      </c>
      <c r="R656" t="e">
        <f>IF(K656=2,"",INDEX(inj_codes,MATCH(loaded!AO656,inj,0)))</f>
        <v>#N/A</v>
      </c>
      <c r="S656" t="e">
        <f>IF(K656=2,"",INDEX(drug_codes,MATCH(loaded!AQ656,drug,0)))</f>
        <v>#N/A</v>
      </c>
      <c r="T656" t="e">
        <f>IF(K656=2,"",_xlfn.IFNA(INDEX(drug_codes,MATCH(loaded!AS656,drug,0)),""))</f>
        <v>#N/A</v>
      </c>
      <c r="U656" t="e">
        <f>IF(K656=2,"",_xlfn.IFNA(INDEX(drug_codes,MATCH(loaded!AU656,drug,0)),""))</f>
        <v>#N/A</v>
      </c>
      <c r="V656" t="e">
        <f>IF(K656=2,"",_xlfn.IFNA(INDEX(drug_codes,MATCH(loaded!AW656,drug,0)),""))</f>
        <v>#N/A</v>
      </c>
      <c r="W656" t="e">
        <f>IF(K656=2,"",_xlfn.IFNA(INDEX(drug_codes,MATCH(loaded!AY656,drug,0)),""))</f>
        <v>#N/A</v>
      </c>
      <c r="X656" t="e">
        <f>IF(K656=2,"",_xlfn.IFNA(INDEX(drug_codes,MATCH(loaded!BA656,drug,0)),""))</f>
        <v>#N/A</v>
      </c>
      <c r="Y656" t="e">
        <f>INDEX(MTT_codes,MATCH(loaded!BC656,MTT,0))</f>
        <v>#N/A</v>
      </c>
      <c r="Z656" t="str">
        <f>_xlfn.IFNA(INDEX(MTT_codes,MATCH(loaded!BE656,MTT,0)),"")</f>
        <v/>
      </c>
      <c r="AA656" t="str">
        <f>_xlfn.IFNA(INDEX(MTT_codes,MATCH(loaded!BG656,MTT,0)),"")</f>
        <v/>
      </c>
      <c r="AB656" t="str">
        <f>_xlfn.IFNA(INDEX(MTT_codes,MATCH(loaded!BI656,MTT,0)),"")</f>
        <v/>
      </c>
      <c r="AC656" t="str">
        <f>_xlfn.IFNA(INDEX(MTT_codes,MATCH(loaded!BK656,MTT,0)),"")</f>
        <v/>
      </c>
      <c r="AD656" t="str">
        <f>_xlfn.IFNA(INDEX(MTT_codes,MATCH(loaded!BM656,MTT,0)),"")</f>
        <v/>
      </c>
      <c r="AE656" t="e">
        <f>INDEX(liv_ar_codes,MATCH(loaded!BO656,liv_ar,0))</f>
        <v>#N/A</v>
      </c>
      <c r="AF656" t="str">
        <f>_xlfn.IFNA(INDEX(MTT_codes,MATCH(loaded!BQ656,MTT,0)),"")</f>
        <v/>
      </c>
      <c r="AG656">
        <f>_xlfn.IFNA(INDEX(mental_codes,MATCH(loaded!BS656,mental,0)),9)</f>
        <v>9</v>
      </c>
    </row>
    <row r="657" spans="1:33" x14ac:dyDescent="0.25">
      <c r="A657">
        <f>loaded!C657</f>
        <v>0</v>
      </c>
      <c r="B657">
        <f>loaded!I657</f>
        <v>0</v>
      </c>
      <c r="C657">
        <f>IF(loaded!K657="Male",1,IF(loaded!K657="Female",2,9))</f>
        <v>9</v>
      </c>
      <c r="D657" s="8">
        <f>loaded!M657</f>
        <v>0</v>
      </c>
      <c r="E657" t="str">
        <f>LEFT(loaded!O657,3)</f>
        <v/>
      </c>
      <c r="F657" t="e">
        <f>INDEX(cntry_codes,MATCH(loaded!Q657,countries,0))</f>
        <v>#N/A</v>
      </c>
      <c r="G657" t="e">
        <f>INDEX(atsi_codes,MATCH(loaded!S657,atsi,0))</f>
        <v>#N/A</v>
      </c>
      <c r="H657" t="e">
        <f>INDEX(lang_codes,MATCH(loaded!U657,lang,0))</f>
        <v>#N/A</v>
      </c>
      <c r="I657" s="8">
        <f>loaded!W657</f>
        <v>0</v>
      </c>
      <c r="J657" t="e">
        <f>INDEX(us_acc_codes,MATCH(loaded!Y657,us_acc,0))</f>
        <v>#N/A</v>
      </c>
      <c r="K657" t="e">
        <f>INDEX(client_codes,MATCH(loaded!AA657,client,0))</f>
        <v>#N/A</v>
      </c>
      <c r="L657" t="e">
        <f>INDEX(src_ref_codes,MATCH(loaded!AC657,src_ref,0))</f>
        <v>#N/A</v>
      </c>
      <c r="M657" s="8">
        <f>loaded!AE657</f>
        <v>0</v>
      </c>
      <c r="N657" s="8">
        <f>loaded!AG657</f>
        <v>0</v>
      </c>
      <c r="O657" t="e">
        <f>INDEX(reces_codes,MATCH(loaded!AI657,reason,0))</f>
        <v>#N/A</v>
      </c>
      <c r="P657" t="e">
        <f>INDEX(TDS_codes,MATCH(loaded!AK657,TDS,0))</f>
        <v>#N/A</v>
      </c>
      <c r="Q657" t="e">
        <f>IF(K657=2,"",INDEX(method_codes,MATCH(loaded!AM657,method,0)))</f>
        <v>#N/A</v>
      </c>
      <c r="R657" t="e">
        <f>IF(K657=2,"",INDEX(inj_codes,MATCH(loaded!AO657,inj,0)))</f>
        <v>#N/A</v>
      </c>
      <c r="S657" t="e">
        <f>IF(K657=2,"",INDEX(drug_codes,MATCH(loaded!AQ657,drug,0)))</f>
        <v>#N/A</v>
      </c>
      <c r="T657" t="e">
        <f>IF(K657=2,"",_xlfn.IFNA(INDEX(drug_codes,MATCH(loaded!AS657,drug,0)),""))</f>
        <v>#N/A</v>
      </c>
      <c r="U657" t="e">
        <f>IF(K657=2,"",_xlfn.IFNA(INDEX(drug_codes,MATCH(loaded!AU657,drug,0)),""))</f>
        <v>#N/A</v>
      </c>
      <c r="V657" t="e">
        <f>IF(K657=2,"",_xlfn.IFNA(INDEX(drug_codes,MATCH(loaded!AW657,drug,0)),""))</f>
        <v>#N/A</v>
      </c>
      <c r="W657" t="e">
        <f>IF(K657=2,"",_xlfn.IFNA(INDEX(drug_codes,MATCH(loaded!AY657,drug,0)),""))</f>
        <v>#N/A</v>
      </c>
      <c r="X657" t="e">
        <f>IF(K657=2,"",_xlfn.IFNA(INDEX(drug_codes,MATCH(loaded!BA657,drug,0)),""))</f>
        <v>#N/A</v>
      </c>
      <c r="Y657" t="e">
        <f>INDEX(MTT_codes,MATCH(loaded!BC657,MTT,0))</f>
        <v>#N/A</v>
      </c>
      <c r="Z657" t="str">
        <f>_xlfn.IFNA(INDEX(MTT_codes,MATCH(loaded!BE657,MTT,0)),"")</f>
        <v/>
      </c>
      <c r="AA657" t="str">
        <f>_xlfn.IFNA(INDEX(MTT_codes,MATCH(loaded!BG657,MTT,0)),"")</f>
        <v/>
      </c>
      <c r="AB657" t="str">
        <f>_xlfn.IFNA(INDEX(MTT_codes,MATCH(loaded!BI657,MTT,0)),"")</f>
        <v/>
      </c>
      <c r="AC657" t="str">
        <f>_xlfn.IFNA(INDEX(MTT_codes,MATCH(loaded!BK657,MTT,0)),"")</f>
        <v/>
      </c>
      <c r="AD657" t="str">
        <f>_xlfn.IFNA(INDEX(MTT_codes,MATCH(loaded!BM657,MTT,0)),"")</f>
        <v/>
      </c>
      <c r="AE657" t="e">
        <f>INDEX(liv_ar_codes,MATCH(loaded!BO657,liv_ar,0))</f>
        <v>#N/A</v>
      </c>
      <c r="AF657" t="str">
        <f>_xlfn.IFNA(INDEX(MTT_codes,MATCH(loaded!BQ657,MTT,0)),"")</f>
        <v/>
      </c>
      <c r="AG657">
        <f>_xlfn.IFNA(INDEX(mental_codes,MATCH(loaded!BS657,mental,0)),9)</f>
        <v>9</v>
      </c>
    </row>
    <row r="658" spans="1:33" x14ac:dyDescent="0.25">
      <c r="A658">
        <f>loaded!C658</f>
        <v>0</v>
      </c>
      <c r="B658">
        <f>loaded!I658</f>
        <v>0</v>
      </c>
      <c r="C658">
        <f>IF(loaded!K658="Male",1,IF(loaded!K658="Female",2,9))</f>
        <v>9</v>
      </c>
      <c r="D658" s="8">
        <f>loaded!M658</f>
        <v>0</v>
      </c>
      <c r="E658" t="str">
        <f>LEFT(loaded!O658,3)</f>
        <v/>
      </c>
      <c r="F658" t="e">
        <f>INDEX(cntry_codes,MATCH(loaded!Q658,countries,0))</f>
        <v>#N/A</v>
      </c>
      <c r="G658" t="e">
        <f>INDEX(atsi_codes,MATCH(loaded!S658,atsi,0))</f>
        <v>#N/A</v>
      </c>
      <c r="H658" t="e">
        <f>INDEX(lang_codes,MATCH(loaded!U658,lang,0))</f>
        <v>#N/A</v>
      </c>
      <c r="I658" s="8">
        <f>loaded!W658</f>
        <v>0</v>
      </c>
      <c r="J658" t="e">
        <f>INDEX(us_acc_codes,MATCH(loaded!Y658,us_acc,0))</f>
        <v>#N/A</v>
      </c>
      <c r="K658" t="e">
        <f>INDEX(client_codes,MATCH(loaded!AA658,client,0))</f>
        <v>#N/A</v>
      </c>
      <c r="L658" t="e">
        <f>INDEX(src_ref_codes,MATCH(loaded!AC658,src_ref,0))</f>
        <v>#N/A</v>
      </c>
      <c r="M658" s="8">
        <f>loaded!AE658</f>
        <v>0</v>
      </c>
      <c r="N658" s="8">
        <f>loaded!AG658</f>
        <v>0</v>
      </c>
      <c r="O658" t="e">
        <f>INDEX(reces_codes,MATCH(loaded!AI658,reason,0))</f>
        <v>#N/A</v>
      </c>
      <c r="P658" t="e">
        <f>INDEX(TDS_codes,MATCH(loaded!AK658,TDS,0))</f>
        <v>#N/A</v>
      </c>
      <c r="Q658" t="e">
        <f>IF(K658=2,"",INDEX(method_codes,MATCH(loaded!AM658,method,0)))</f>
        <v>#N/A</v>
      </c>
      <c r="R658" t="e">
        <f>IF(K658=2,"",INDEX(inj_codes,MATCH(loaded!AO658,inj,0)))</f>
        <v>#N/A</v>
      </c>
      <c r="S658" t="e">
        <f>IF(K658=2,"",INDEX(drug_codes,MATCH(loaded!AQ658,drug,0)))</f>
        <v>#N/A</v>
      </c>
      <c r="T658" t="e">
        <f>IF(K658=2,"",_xlfn.IFNA(INDEX(drug_codes,MATCH(loaded!AS658,drug,0)),""))</f>
        <v>#N/A</v>
      </c>
      <c r="U658" t="e">
        <f>IF(K658=2,"",_xlfn.IFNA(INDEX(drug_codes,MATCH(loaded!AU658,drug,0)),""))</f>
        <v>#N/A</v>
      </c>
      <c r="V658" t="e">
        <f>IF(K658=2,"",_xlfn.IFNA(INDEX(drug_codes,MATCH(loaded!AW658,drug,0)),""))</f>
        <v>#N/A</v>
      </c>
      <c r="W658" t="e">
        <f>IF(K658=2,"",_xlfn.IFNA(INDEX(drug_codes,MATCH(loaded!AY658,drug,0)),""))</f>
        <v>#N/A</v>
      </c>
      <c r="X658" t="e">
        <f>IF(K658=2,"",_xlfn.IFNA(INDEX(drug_codes,MATCH(loaded!BA658,drug,0)),""))</f>
        <v>#N/A</v>
      </c>
      <c r="Y658" t="e">
        <f>INDEX(MTT_codes,MATCH(loaded!BC658,MTT,0))</f>
        <v>#N/A</v>
      </c>
      <c r="Z658" t="str">
        <f>_xlfn.IFNA(INDEX(MTT_codes,MATCH(loaded!BE658,MTT,0)),"")</f>
        <v/>
      </c>
      <c r="AA658" t="str">
        <f>_xlfn.IFNA(INDEX(MTT_codes,MATCH(loaded!BG658,MTT,0)),"")</f>
        <v/>
      </c>
      <c r="AB658" t="str">
        <f>_xlfn.IFNA(INDEX(MTT_codes,MATCH(loaded!BI658,MTT,0)),"")</f>
        <v/>
      </c>
      <c r="AC658" t="str">
        <f>_xlfn.IFNA(INDEX(MTT_codes,MATCH(loaded!BK658,MTT,0)),"")</f>
        <v/>
      </c>
      <c r="AD658" t="str">
        <f>_xlfn.IFNA(INDEX(MTT_codes,MATCH(loaded!BM658,MTT,0)),"")</f>
        <v/>
      </c>
      <c r="AE658" t="e">
        <f>INDEX(liv_ar_codes,MATCH(loaded!BO658,liv_ar,0))</f>
        <v>#N/A</v>
      </c>
      <c r="AF658" t="str">
        <f>_xlfn.IFNA(INDEX(MTT_codes,MATCH(loaded!BQ658,MTT,0)),"")</f>
        <v/>
      </c>
      <c r="AG658">
        <f>_xlfn.IFNA(INDEX(mental_codes,MATCH(loaded!BS658,mental,0)),9)</f>
        <v>9</v>
      </c>
    </row>
    <row r="659" spans="1:33" x14ac:dyDescent="0.25">
      <c r="A659">
        <f>loaded!C659</f>
        <v>0</v>
      </c>
      <c r="B659">
        <f>loaded!I659</f>
        <v>0</v>
      </c>
      <c r="C659">
        <f>IF(loaded!K659="Male",1,IF(loaded!K659="Female",2,9))</f>
        <v>9</v>
      </c>
      <c r="D659" s="8">
        <f>loaded!M659</f>
        <v>0</v>
      </c>
      <c r="E659" t="str">
        <f>LEFT(loaded!O659,3)</f>
        <v/>
      </c>
      <c r="F659" t="e">
        <f>INDEX(cntry_codes,MATCH(loaded!Q659,countries,0))</f>
        <v>#N/A</v>
      </c>
      <c r="G659" t="e">
        <f>INDEX(atsi_codes,MATCH(loaded!S659,atsi,0))</f>
        <v>#N/A</v>
      </c>
      <c r="H659" t="e">
        <f>INDEX(lang_codes,MATCH(loaded!U659,lang,0))</f>
        <v>#N/A</v>
      </c>
      <c r="I659" s="8">
        <f>loaded!W659</f>
        <v>0</v>
      </c>
      <c r="J659" t="e">
        <f>INDEX(us_acc_codes,MATCH(loaded!Y659,us_acc,0))</f>
        <v>#N/A</v>
      </c>
      <c r="K659" t="e">
        <f>INDEX(client_codes,MATCH(loaded!AA659,client,0))</f>
        <v>#N/A</v>
      </c>
      <c r="L659" t="e">
        <f>INDEX(src_ref_codes,MATCH(loaded!AC659,src_ref,0))</f>
        <v>#N/A</v>
      </c>
      <c r="M659" s="8">
        <f>loaded!AE659</f>
        <v>0</v>
      </c>
      <c r="N659" s="8">
        <f>loaded!AG659</f>
        <v>0</v>
      </c>
      <c r="O659" t="e">
        <f>INDEX(reces_codes,MATCH(loaded!AI659,reason,0))</f>
        <v>#N/A</v>
      </c>
      <c r="P659" t="e">
        <f>INDEX(TDS_codes,MATCH(loaded!AK659,TDS,0))</f>
        <v>#N/A</v>
      </c>
      <c r="Q659" t="e">
        <f>IF(K659=2,"",INDEX(method_codes,MATCH(loaded!AM659,method,0)))</f>
        <v>#N/A</v>
      </c>
      <c r="R659" t="e">
        <f>IF(K659=2,"",INDEX(inj_codes,MATCH(loaded!AO659,inj,0)))</f>
        <v>#N/A</v>
      </c>
      <c r="S659" t="e">
        <f>IF(K659=2,"",INDEX(drug_codes,MATCH(loaded!AQ659,drug,0)))</f>
        <v>#N/A</v>
      </c>
      <c r="T659" t="e">
        <f>IF(K659=2,"",_xlfn.IFNA(INDEX(drug_codes,MATCH(loaded!AS659,drug,0)),""))</f>
        <v>#N/A</v>
      </c>
      <c r="U659" t="e">
        <f>IF(K659=2,"",_xlfn.IFNA(INDEX(drug_codes,MATCH(loaded!AU659,drug,0)),""))</f>
        <v>#N/A</v>
      </c>
      <c r="V659" t="e">
        <f>IF(K659=2,"",_xlfn.IFNA(INDEX(drug_codes,MATCH(loaded!AW659,drug,0)),""))</f>
        <v>#N/A</v>
      </c>
      <c r="W659" t="e">
        <f>IF(K659=2,"",_xlfn.IFNA(INDEX(drug_codes,MATCH(loaded!AY659,drug,0)),""))</f>
        <v>#N/A</v>
      </c>
      <c r="X659" t="e">
        <f>IF(K659=2,"",_xlfn.IFNA(INDEX(drug_codes,MATCH(loaded!BA659,drug,0)),""))</f>
        <v>#N/A</v>
      </c>
      <c r="Y659" t="e">
        <f>INDEX(MTT_codes,MATCH(loaded!BC659,MTT,0))</f>
        <v>#N/A</v>
      </c>
      <c r="Z659" t="str">
        <f>_xlfn.IFNA(INDEX(MTT_codes,MATCH(loaded!BE659,MTT,0)),"")</f>
        <v/>
      </c>
      <c r="AA659" t="str">
        <f>_xlfn.IFNA(INDEX(MTT_codes,MATCH(loaded!BG659,MTT,0)),"")</f>
        <v/>
      </c>
      <c r="AB659" t="str">
        <f>_xlfn.IFNA(INDEX(MTT_codes,MATCH(loaded!BI659,MTT,0)),"")</f>
        <v/>
      </c>
      <c r="AC659" t="str">
        <f>_xlfn.IFNA(INDEX(MTT_codes,MATCH(loaded!BK659,MTT,0)),"")</f>
        <v/>
      </c>
      <c r="AD659" t="str">
        <f>_xlfn.IFNA(INDEX(MTT_codes,MATCH(loaded!BM659,MTT,0)),"")</f>
        <v/>
      </c>
      <c r="AE659" t="e">
        <f>INDEX(liv_ar_codes,MATCH(loaded!BO659,liv_ar,0))</f>
        <v>#N/A</v>
      </c>
      <c r="AF659" t="str">
        <f>_xlfn.IFNA(INDEX(MTT_codes,MATCH(loaded!BQ659,MTT,0)),"")</f>
        <v/>
      </c>
      <c r="AG659">
        <f>_xlfn.IFNA(INDEX(mental_codes,MATCH(loaded!BS659,mental,0)),9)</f>
        <v>9</v>
      </c>
    </row>
    <row r="660" spans="1:33" x14ac:dyDescent="0.25">
      <c r="A660">
        <f>loaded!C660</f>
        <v>0</v>
      </c>
      <c r="B660">
        <f>loaded!I660</f>
        <v>0</v>
      </c>
      <c r="C660">
        <f>IF(loaded!K660="Male",1,IF(loaded!K660="Female",2,9))</f>
        <v>9</v>
      </c>
      <c r="D660" s="8">
        <f>loaded!M660</f>
        <v>0</v>
      </c>
      <c r="E660" t="str">
        <f>LEFT(loaded!O660,3)</f>
        <v/>
      </c>
      <c r="F660" t="e">
        <f>INDEX(cntry_codes,MATCH(loaded!Q660,countries,0))</f>
        <v>#N/A</v>
      </c>
      <c r="G660" t="e">
        <f>INDEX(atsi_codes,MATCH(loaded!S660,atsi,0))</f>
        <v>#N/A</v>
      </c>
      <c r="H660" t="e">
        <f>INDEX(lang_codes,MATCH(loaded!U660,lang,0))</f>
        <v>#N/A</v>
      </c>
      <c r="I660" s="8">
        <f>loaded!W660</f>
        <v>0</v>
      </c>
      <c r="J660" t="e">
        <f>INDEX(us_acc_codes,MATCH(loaded!Y660,us_acc,0))</f>
        <v>#N/A</v>
      </c>
      <c r="K660" t="e">
        <f>INDEX(client_codes,MATCH(loaded!AA660,client,0))</f>
        <v>#N/A</v>
      </c>
      <c r="L660" t="e">
        <f>INDEX(src_ref_codes,MATCH(loaded!AC660,src_ref,0))</f>
        <v>#N/A</v>
      </c>
      <c r="M660" s="8">
        <f>loaded!AE660</f>
        <v>0</v>
      </c>
      <c r="N660" s="8">
        <f>loaded!AG660</f>
        <v>0</v>
      </c>
      <c r="O660" t="e">
        <f>INDEX(reces_codes,MATCH(loaded!AI660,reason,0))</f>
        <v>#N/A</v>
      </c>
      <c r="P660" t="e">
        <f>INDEX(TDS_codes,MATCH(loaded!AK660,TDS,0))</f>
        <v>#N/A</v>
      </c>
      <c r="Q660" t="e">
        <f>IF(K660=2,"",INDEX(method_codes,MATCH(loaded!AM660,method,0)))</f>
        <v>#N/A</v>
      </c>
      <c r="R660" t="e">
        <f>IF(K660=2,"",INDEX(inj_codes,MATCH(loaded!AO660,inj,0)))</f>
        <v>#N/A</v>
      </c>
      <c r="S660" t="e">
        <f>IF(K660=2,"",INDEX(drug_codes,MATCH(loaded!AQ660,drug,0)))</f>
        <v>#N/A</v>
      </c>
      <c r="T660" t="e">
        <f>IF(K660=2,"",_xlfn.IFNA(INDEX(drug_codes,MATCH(loaded!AS660,drug,0)),""))</f>
        <v>#N/A</v>
      </c>
      <c r="U660" t="e">
        <f>IF(K660=2,"",_xlfn.IFNA(INDEX(drug_codes,MATCH(loaded!AU660,drug,0)),""))</f>
        <v>#N/A</v>
      </c>
      <c r="V660" t="e">
        <f>IF(K660=2,"",_xlfn.IFNA(INDEX(drug_codes,MATCH(loaded!AW660,drug,0)),""))</f>
        <v>#N/A</v>
      </c>
      <c r="W660" t="e">
        <f>IF(K660=2,"",_xlfn.IFNA(INDEX(drug_codes,MATCH(loaded!AY660,drug,0)),""))</f>
        <v>#N/A</v>
      </c>
      <c r="X660" t="e">
        <f>IF(K660=2,"",_xlfn.IFNA(INDEX(drug_codes,MATCH(loaded!BA660,drug,0)),""))</f>
        <v>#N/A</v>
      </c>
      <c r="Y660" t="e">
        <f>INDEX(MTT_codes,MATCH(loaded!BC660,MTT,0))</f>
        <v>#N/A</v>
      </c>
      <c r="Z660" t="str">
        <f>_xlfn.IFNA(INDEX(MTT_codes,MATCH(loaded!BE660,MTT,0)),"")</f>
        <v/>
      </c>
      <c r="AA660" t="str">
        <f>_xlfn.IFNA(INDEX(MTT_codes,MATCH(loaded!BG660,MTT,0)),"")</f>
        <v/>
      </c>
      <c r="AB660" t="str">
        <f>_xlfn.IFNA(INDEX(MTT_codes,MATCH(loaded!BI660,MTT,0)),"")</f>
        <v/>
      </c>
      <c r="AC660" t="str">
        <f>_xlfn.IFNA(INDEX(MTT_codes,MATCH(loaded!BK660,MTT,0)),"")</f>
        <v/>
      </c>
      <c r="AD660" t="str">
        <f>_xlfn.IFNA(INDEX(MTT_codes,MATCH(loaded!BM660,MTT,0)),"")</f>
        <v/>
      </c>
      <c r="AE660" t="e">
        <f>INDEX(liv_ar_codes,MATCH(loaded!BO660,liv_ar,0))</f>
        <v>#N/A</v>
      </c>
      <c r="AF660" t="str">
        <f>_xlfn.IFNA(INDEX(MTT_codes,MATCH(loaded!BQ660,MTT,0)),"")</f>
        <v/>
      </c>
      <c r="AG660">
        <f>_xlfn.IFNA(INDEX(mental_codes,MATCH(loaded!BS660,mental,0)),9)</f>
        <v>9</v>
      </c>
    </row>
    <row r="661" spans="1:33" x14ac:dyDescent="0.25">
      <c r="A661">
        <f>loaded!C661</f>
        <v>0</v>
      </c>
      <c r="B661">
        <f>loaded!I661</f>
        <v>0</v>
      </c>
      <c r="C661">
        <f>IF(loaded!K661="Male",1,IF(loaded!K661="Female",2,9))</f>
        <v>9</v>
      </c>
      <c r="D661" s="8">
        <f>loaded!M661</f>
        <v>0</v>
      </c>
      <c r="E661" t="str">
        <f>LEFT(loaded!O661,3)</f>
        <v/>
      </c>
      <c r="F661" t="e">
        <f>INDEX(cntry_codes,MATCH(loaded!Q661,countries,0))</f>
        <v>#N/A</v>
      </c>
      <c r="G661" t="e">
        <f>INDEX(atsi_codes,MATCH(loaded!S661,atsi,0))</f>
        <v>#N/A</v>
      </c>
      <c r="H661" t="e">
        <f>INDEX(lang_codes,MATCH(loaded!U661,lang,0))</f>
        <v>#N/A</v>
      </c>
      <c r="I661" s="8">
        <f>loaded!W661</f>
        <v>0</v>
      </c>
      <c r="J661" t="e">
        <f>INDEX(us_acc_codes,MATCH(loaded!Y661,us_acc,0))</f>
        <v>#N/A</v>
      </c>
      <c r="K661" t="e">
        <f>INDEX(client_codes,MATCH(loaded!AA661,client,0))</f>
        <v>#N/A</v>
      </c>
      <c r="L661" t="e">
        <f>INDEX(src_ref_codes,MATCH(loaded!AC661,src_ref,0))</f>
        <v>#N/A</v>
      </c>
      <c r="M661" s="8">
        <f>loaded!AE661</f>
        <v>0</v>
      </c>
      <c r="N661" s="8">
        <f>loaded!AG661</f>
        <v>0</v>
      </c>
      <c r="O661" t="e">
        <f>INDEX(reces_codes,MATCH(loaded!AI661,reason,0))</f>
        <v>#N/A</v>
      </c>
      <c r="P661" t="e">
        <f>INDEX(TDS_codes,MATCH(loaded!AK661,TDS,0))</f>
        <v>#N/A</v>
      </c>
      <c r="Q661" t="e">
        <f>IF(K661=2,"",INDEX(method_codes,MATCH(loaded!AM661,method,0)))</f>
        <v>#N/A</v>
      </c>
      <c r="R661" t="e">
        <f>IF(K661=2,"",INDEX(inj_codes,MATCH(loaded!AO661,inj,0)))</f>
        <v>#N/A</v>
      </c>
      <c r="S661" t="e">
        <f>IF(K661=2,"",INDEX(drug_codes,MATCH(loaded!AQ661,drug,0)))</f>
        <v>#N/A</v>
      </c>
      <c r="T661" t="e">
        <f>IF(K661=2,"",_xlfn.IFNA(INDEX(drug_codes,MATCH(loaded!AS661,drug,0)),""))</f>
        <v>#N/A</v>
      </c>
      <c r="U661" t="e">
        <f>IF(K661=2,"",_xlfn.IFNA(INDEX(drug_codes,MATCH(loaded!AU661,drug,0)),""))</f>
        <v>#N/A</v>
      </c>
      <c r="V661" t="e">
        <f>IF(K661=2,"",_xlfn.IFNA(INDEX(drug_codes,MATCH(loaded!AW661,drug,0)),""))</f>
        <v>#N/A</v>
      </c>
      <c r="W661" t="e">
        <f>IF(K661=2,"",_xlfn.IFNA(INDEX(drug_codes,MATCH(loaded!AY661,drug,0)),""))</f>
        <v>#N/A</v>
      </c>
      <c r="X661" t="e">
        <f>IF(K661=2,"",_xlfn.IFNA(INDEX(drug_codes,MATCH(loaded!BA661,drug,0)),""))</f>
        <v>#N/A</v>
      </c>
      <c r="Y661" t="e">
        <f>INDEX(MTT_codes,MATCH(loaded!BC661,MTT,0))</f>
        <v>#N/A</v>
      </c>
      <c r="Z661" t="str">
        <f>_xlfn.IFNA(INDEX(MTT_codes,MATCH(loaded!BE661,MTT,0)),"")</f>
        <v/>
      </c>
      <c r="AA661" t="str">
        <f>_xlfn.IFNA(INDEX(MTT_codes,MATCH(loaded!BG661,MTT,0)),"")</f>
        <v/>
      </c>
      <c r="AB661" t="str">
        <f>_xlfn.IFNA(INDEX(MTT_codes,MATCH(loaded!BI661,MTT,0)),"")</f>
        <v/>
      </c>
      <c r="AC661" t="str">
        <f>_xlfn.IFNA(INDEX(MTT_codes,MATCH(loaded!BK661,MTT,0)),"")</f>
        <v/>
      </c>
      <c r="AD661" t="str">
        <f>_xlfn.IFNA(INDEX(MTT_codes,MATCH(loaded!BM661,MTT,0)),"")</f>
        <v/>
      </c>
      <c r="AE661" t="e">
        <f>INDEX(liv_ar_codes,MATCH(loaded!BO661,liv_ar,0))</f>
        <v>#N/A</v>
      </c>
      <c r="AF661" t="str">
        <f>_xlfn.IFNA(INDEX(MTT_codes,MATCH(loaded!BQ661,MTT,0)),"")</f>
        <v/>
      </c>
      <c r="AG661">
        <f>_xlfn.IFNA(INDEX(mental_codes,MATCH(loaded!BS661,mental,0)),9)</f>
        <v>9</v>
      </c>
    </row>
    <row r="662" spans="1:33" x14ac:dyDescent="0.25">
      <c r="A662">
        <f>loaded!C662</f>
        <v>0</v>
      </c>
      <c r="B662">
        <f>loaded!I662</f>
        <v>0</v>
      </c>
      <c r="C662">
        <f>IF(loaded!K662="Male",1,IF(loaded!K662="Female",2,9))</f>
        <v>9</v>
      </c>
      <c r="D662" s="8">
        <f>loaded!M662</f>
        <v>0</v>
      </c>
      <c r="E662" t="str">
        <f>LEFT(loaded!O662,3)</f>
        <v/>
      </c>
      <c r="F662" t="e">
        <f>INDEX(cntry_codes,MATCH(loaded!Q662,countries,0))</f>
        <v>#N/A</v>
      </c>
      <c r="G662" t="e">
        <f>INDEX(atsi_codes,MATCH(loaded!S662,atsi,0))</f>
        <v>#N/A</v>
      </c>
      <c r="H662" t="e">
        <f>INDEX(lang_codes,MATCH(loaded!U662,lang,0))</f>
        <v>#N/A</v>
      </c>
      <c r="I662" s="8">
        <f>loaded!W662</f>
        <v>0</v>
      </c>
      <c r="J662" t="e">
        <f>INDEX(us_acc_codes,MATCH(loaded!Y662,us_acc,0))</f>
        <v>#N/A</v>
      </c>
      <c r="K662" t="e">
        <f>INDEX(client_codes,MATCH(loaded!AA662,client,0))</f>
        <v>#N/A</v>
      </c>
      <c r="L662" t="e">
        <f>INDEX(src_ref_codes,MATCH(loaded!AC662,src_ref,0))</f>
        <v>#N/A</v>
      </c>
      <c r="M662" s="8">
        <f>loaded!AE662</f>
        <v>0</v>
      </c>
      <c r="N662" s="8">
        <f>loaded!AG662</f>
        <v>0</v>
      </c>
      <c r="O662" t="e">
        <f>INDEX(reces_codes,MATCH(loaded!AI662,reason,0))</f>
        <v>#N/A</v>
      </c>
      <c r="P662" t="e">
        <f>INDEX(TDS_codes,MATCH(loaded!AK662,TDS,0))</f>
        <v>#N/A</v>
      </c>
      <c r="Q662" t="e">
        <f>IF(K662=2,"",INDEX(method_codes,MATCH(loaded!AM662,method,0)))</f>
        <v>#N/A</v>
      </c>
      <c r="R662" t="e">
        <f>IF(K662=2,"",INDEX(inj_codes,MATCH(loaded!AO662,inj,0)))</f>
        <v>#N/A</v>
      </c>
      <c r="S662" t="e">
        <f>IF(K662=2,"",INDEX(drug_codes,MATCH(loaded!AQ662,drug,0)))</f>
        <v>#N/A</v>
      </c>
      <c r="T662" t="e">
        <f>IF(K662=2,"",_xlfn.IFNA(INDEX(drug_codes,MATCH(loaded!AS662,drug,0)),""))</f>
        <v>#N/A</v>
      </c>
      <c r="U662" t="e">
        <f>IF(K662=2,"",_xlfn.IFNA(INDEX(drug_codes,MATCH(loaded!AU662,drug,0)),""))</f>
        <v>#N/A</v>
      </c>
      <c r="V662" t="e">
        <f>IF(K662=2,"",_xlfn.IFNA(INDEX(drug_codes,MATCH(loaded!AW662,drug,0)),""))</f>
        <v>#N/A</v>
      </c>
      <c r="W662" t="e">
        <f>IF(K662=2,"",_xlfn.IFNA(INDEX(drug_codes,MATCH(loaded!AY662,drug,0)),""))</f>
        <v>#N/A</v>
      </c>
      <c r="X662" t="e">
        <f>IF(K662=2,"",_xlfn.IFNA(INDEX(drug_codes,MATCH(loaded!BA662,drug,0)),""))</f>
        <v>#N/A</v>
      </c>
      <c r="Y662" t="e">
        <f>INDEX(MTT_codes,MATCH(loaded!BC662,MTT,0))</f>
        <v>#N/A</v>
      </c>
      <c r="Z662" t="str">
        <f>_xlfn.IFNA(INDEX(MTT_codes,MATCH(loaded!BE662,MTT,0)),"")</f>
        <v/>
      </c>
      <c r="AA662" t="str">
        <f>_xlfn.IFNA(INDEX(MTT_codes,MATCH(loaded!BG662,MTT,0)),"")</f>
        <v/>
      </c>
      <c r="AB662" t="str">
        <f>_xlfn.IFNA(INDEX(MTT_codes,MATCH(loaded!BI662,MTT,0)),"")</f>
        <v/>
      </c>
      <c r="AC662" t="str">
        <f>_xlfn.IFNA(INDEX(MTT_codes,MATCH(loaded!BK662,MTT,0)),"")</f>
        <v/>
      </c>
      <c r="AD662" t="str">
        <f>_xlfn.IFNA(INDEX(MTT_codes,MATCH(loaded!BM662,MTT,0)),"")</f>
        <v/>
      </c>
      <c r="AE662" t="e">
        <f>INDEX(liv_ar_codes,MATCH(loaded!BO662,liv_ar,0))</f>
        <v>#N/A</v>
      </c>
      <c r="AF662" t="str">
        <f>_xlfn.IFNA(INDEX(MTT_codes,MATCH(loaded!BQ662,MTT,0)),"")</f>
        <v/>
      </c>
      <c r="AG662">
        <f>_xlfn.IFNA(INDEX(mental_codes,MATCH(loaded!BS662,mental,0)),9)</f>
        <v>9</v>
      </c>
    </row>
    <row r="663" spans="1:33" x14ac:dyDescent="0.25">
      <c r="A663">
        <f>loaded!C663</f>
        <v>0</v>
      </c>
      <c r="B663">
        <f>loaded!I663</f>
        <v>0</v>
      </c>
      <c r="C663">
        <f>IF(loaded!K663="Male",1,IF(loaded!K663="Female",2,9))</f>
        <v>9</v>
      </c>
      <c r="D663" s="8">
        <f>loaded!M663</f>
        <v>0</v>
      </c>
      <c r="E663" t="str">
        <f>LEFT(loaded!O663,3)</f>
        <v/>
      </c>
      <c r="F663" t="e">
        <f>INDEX(cntry_codes,MATCH(loaded!Q663,countries,0))</f>
        <v>#N/A</v>
      </c>
      <c r="G663" t="e">
        <f>INDEX(atsi_codes,MATCH(loaded!S663,atsi,0))</f>
        <v>#N/A</v>
      </c>
      <c r="H663" t="e">
        <f>INDEX(lang_codes,MATCH(loaded!U663,lang,0))</f>
        <v>#N/A</v>
      </c>
      <c r="I663" s="8">
        <f>loaded!W663</f>
        <v>0</v>
      </c>
      <c r="J663" t="e">
        <f>INDEX(us_acc_codes,MATCH(loaded!Y663,us_acc,0))</f>
        <v>#N/A</v>
      </c>
      <c r="K663" t="e">
        <f>INDEX(client_codes,MATCH(loaded!AA663,client,0))</f>
        <v>#N/A</v>
      </c>
      <c r="L663" t="e">
        <f>INDEX(src_ref_codes,MATCH(loaded!AC663,src_ref,0))</f>
        <v>#N/A</v>
      </c>
      <c r="M663" s="8">
        <f>loaded!AE663</f>
        <v>0</v>
      </c>
      <c r="N663" s="8">
        <f>loaded!AG663</f>
        <v>0</v>
      </c>
      <c r="O663" t="e">
        <f>INDEX(reces_codes,MATCH(loaded!AI663,reason,0))</f>
        <v>#N/A</v>
      </c>
      <c r="P663" t="e">
        <f>INDEX(TDS_codes,MATCH(loaded!AK663,TDS,0))</f>
        <v>#N/A</v>
      </c>
      <c r="Q663" t="e">
        <f>IF(K663=2,"",INDEX(method_codes,MATCH(loaded!AM663,method,0)))</f>
        <v>#N/A</v>
      </c>
      <c r="R663" t="e">
        <f>IF(K663=2,"",INDEX(inj_codes,MATCH(loaded!AO663,inj,0)))</f>
        <v>#N/A</v>
      </c>
      <c r="S663" t="e">
        <f>IF(K663=2,"",INDEX(drug_codes,MATCH(loaded!AQ663,drug,0)))</f>
        <v>#N/A</v>
      </c>
      <c r="T663" t="e">
        <f>IF(K663=2,"",_xlfn.IFNA(INDEX(drug_codes,MATCH(loaded!AS663,drug,0)),""))</f>
        <v>#N/A</v>
      </c>
      <c r="U663" t="e">
        <f>IF(K663=2,"",_xlfn.IFNA(INDEX(drug_codes,MATCH(loaded!AU663,drug,0)),""))</f>
        <v>#N/A</v>
      </c>
      <c r="V663" t="e">
        <f>IF(K663=2,"",_xlfn.IFNA(INDEX(drug_codes,MATCH(loaded!AW663,drug,0)),""))</f>
        <v>#N/A</v>
      </c>
      <c r="W663" t="e">
        <f>IF(K663=2,"",_xlfn.IFNA(INDEX(drug_codes,MATCH(loaded!AY663,drug,0)),""))</f>
        <v>#N/A</v>
      </c>
      <c r="X663" t="e">
        <f>IF(K663=2,"",_xlfn.IFNA(INDEX(drug_codes,MATCH(loaded!BA663,drug,0)),""))</f>
        <v>#N/A</v>
      </c>
      <c r="Y663" t="e">
        <f>INDEX(MTT_codes,MATCH(loaded!BC663,MTT,0))</f>
        <v>#N/A</v>
      </c>
      <c r="Z663" t="str">
        <f>_xlfn.IFNA(INDEX(MTT_codes,MATCH(loaded!BE663,MTT,0)),"")</f>
        <v/>
      </c>
      <c r="AA663" t="str">
        <f>_xlfn.IFNA(INDEX(MTT_codes,MATCH(loaded!BG663,MTT,0)),"")</f>
        <v/>
      </c>
      <c r="AB663" t="str">
        <f>_xlfn.IFNA(INDEX(MTT_codes,MATCH(loaded!BI663,MTT,0)),"")</f>
        <v/>
      </c>
      <c r="AC663" t="str">
        <f>_xlfn.IFNA(INDEX(MTT_codes,MATCH(loaded!BK663,MTT,0)),"")</f>
        <v/>
      </c>
      <c r="AD663" t="str">
        <f>_xlfn.IFNA(INDEX(MTT_codes,MATCH(loaded!BM663,MTT,0)),"")</f>
        <v/>
      </c>
      <c r="AE663" t="e">
        <f>INDEX(liv_ar_codes,MATCH(loaded!BO663,liv_ar,0))</f>
        <v>#N/A</v>
      </c>
      <c r="AF663" t="str">
        <f>_xlfn.IFNA(INDEX(MTT_codes,MATCH(loaded!BQ663,MTT,0)),"")</f>
        <v/>
      </c>
      <c r="AG663">
        <f>_xlfn.IFNA(INDEX(mental_codes,MATCH(loaded!BS663,mental,0)),9)</f>
        <v>9</v>
      </c>
    </row>
    <row r="664" spans="1:33" x14ac:dyDescent="0.25">
      <c r="A664">
        <f>loaded!C664</f>
        <v>0</v>
      </c>
      <c r="B664">
        <f>loaded!I664</f>
        <v>0</v>
      </c>
      <c r="C664">
        <f>IF(loaded!K664="Male",1,IF(loaded!K664="Female",2,9))</f>
        <v>9</v>
      </c>
      <c r="D664" s="8">
        <f>loaded!M664</f>
        <v>0</v>
      </c>
      <c r="E664" t="str">
        <f>LEFT(loaded!O664,3)</f>
        <v/>
      </c>
      <c r="F664" t="e">
        <f>INDEX(cntry_codes,MATCH(loaded!Q664,countries,0))</f>
        <v>#N/A</v>
      </c>
      <c r="G664" t="e">
        <f>INDEX(atsi_codes,MATCH(loaded!S664,atsi,0))</f>
        <v>#N/A</v>
      </c>
      <c r="H664" t="e">
        <f>INDEX(lang_codes,MATCH(loaded!U664,lang,0))</f>
        <v>#N/A</v>
      </c>
      <c r="I664" s="8">
        <f>loaded!W664</f>
        <v>0</v>
      </c>
      <c r="J664" t="e">
        <f>INDEX(us_acc_codes,MATCH(loaded!Y664,us_acc,0))</f>
        <v>#N/A</v>
      </c>
      <c r="K664" t="e">
        <f>INDEX(client_codes,MATCH(loaded!AA664,client,0))</f>
        <v>#N/A</v>
      </c>
      <c r="L664" t="e">
        <f>INDEX(src_ref_codes,MATCH(loaded!AC664,src_ref,0))</f>
        <v>#N/A</v>
      </c>
      <c r="M664" s="8">
        <f>loaded!AE664</f>
        <v>0</v>
      </c>
      <c r="N664" s="8">
        <f>loaded!AG664</f>
        <v>0</v>
      </c>
      <c r="O664" t="e">
        <f>INDEX(reces_codes,MATCH(loaded!AI664,reason,0))</f>
        <v>#N/A</v>
      </c>
      <c r="P664" t="e">
        <f>INDEX(TDS_codes,MATCH(loaded!AK664,TDS,0))</f>
        <v>#N/A</v>
      </c>
      <c r="Q664" t="e">
        <f>IF(K664=2,"",INDEX(method_codes,MATCH(loaded!AM664,method,0)))</f>
        <v>#N/A</v>
      </c>
      <c r="R664" t="e">
        <f>IF(K664=2,"",INDEX(inj_codes,MATCH(loaded!AO664,inj,0)))</f>
        <v>#N/A</v>
      </c>
      <c r="S664" t="e">
        <f>IF(K664=2,"",INDEX(drug_codes,MATCH(loaded!AQ664,drug,0)))</f>
        <v>#N/A</v>
      </c>
      <c r="T664" t="e">
        <f>IF(K664=2,"",_xlfn.IFNA(INDEX(drug_codes,MATCH(loaded!AS664,drug,0)),""))</f>
        <v>#N/A</v>
      </c>
      <c r="U664" t="e">
        <f>IF(K664=2,"",_xlfn.IFNA(INDEX(drug_codes,MATCH(loaded!AU664,drug,0)),""))</f>
        <v>#N/A</v>
      </c>
      <c r="V664" t="e">
        <f>IF(K664=2,"",_xlfn.IFNA(INDEX(drug_codes,MATCH(loaded!AW664,drug,0)),""))</f>
        <v>#N/A</v>
      </c>
      <c r="W664" t="e">
        <f>IF(K664=2,"",_xlfn.IFNA(INDEX(drug_codes,MATCH(loaded!AY664,drug,0)),""))</f>
        <v>#N/A</v>
      </c>
      <c r="X664" t="e">
        <f>IF(K664=2,"",_xlfn.IFNA(INDEX(drug_codes,MATCH(loaded!BA664,drug,0)),""))</f>
        <v>#N/A</v>
      </c>
      <c r="Y664" t="e">
        <f>INDEX(MTT_codes,MATCH(loaded!BC664,MTT,0))</f>
        <v>#N/A</v>
      </c>
      <c r="Z664" t="str">
        <f>_xlfn.IFNA(INDEX(MTT_codes,MATCH(loaded!BE664,MTT,0)),"")</f>
        <v/>
      </c>
      <c r="AA664" t="str">
        <f>_xlfn.IFNA(INDEX(MTT_codes,MATCH(loaded!BG664,MTT,0)),"")</f>
        <v/>
      </c>
      <c r="AB664" t="str">
        <f>_xlfn.IFNA(INDEX(MTT_codes,MATCH(loaded!BI664,MTT,0)),"")</f>
        <v/>
      </c>
      <c r="AC664" t="str">
        <f>_xlfn.IFNA(INDEX(MTT_codes,MATCH(loaded!BK664,MTT,0)),"")</f>
        <v/>
      </c>
      <c r="AD664" t="str">
        <f>_xlfn.IFNA(INDEX(MTT_codes,MATCH(loaded!BM664,MTT,0)),"")</f>
        <v/>
      </c>
      <c r="AE664" t="e">
        <f>INDEX(liv_ar_codes,MATCH(loaded!BO664,liv_ar,0))</f>
        <v>#N/A</v>
      </c>
      <c r="AF664" t="str">
        <f>_xlfn.IFNA(INDEX(MTT_codes,MATCH(loaded!BQ664,MTT,0)),"")</f>
        <v/>
      </c>
      <c r="AG664">
        <f>_xlfn.IFNA(INDEX(mental_codes,MATCH(loaded!BS664,mental,0)),9)</f>
        <v>9</v>
      </c>
    </row>
    <row r="665" spans="1:33" x14ac:dyDescent="0.25">
      <c r="A665">
        <f>loaded!C665</f>
        <v>0</v>
      </c>
      <c r="B665">
        <f>loaded!I665</f>
        <v>0</v>
      </c>
      <c r="C665">
        <f>IF(loaded!K665="Male",1,IF(loaded!K665="Female",2,9))</f>
        <v>9</v>
      </c>
      <c r="D665" s="8">
        <f>loaded!M665</f>
        <v>0</v>
      </c>
      <c r="E665" t="str">
        <f>LEFT(loaded!O665,3)</f>
        <v/>
      </c>
      <c r="F665" t="e">
        <f>INDEX(cntry_codes,MATCH(loaded!Q665,countries,0))</f>
        <v>#N/A</v>
      </c>
      <c r="G665" t="e">
        <f>INDEX(atsi_codes,MATCH(loaded!S665,atsi,0))</f>
        <v>#N/A</v>
      </c>
      <c r="H665" t="e">
        <f>INDEX(lang_codes,MATCH(loaded!U665,lang,0))</f>
        <v>#N/A</v>
      </c>
      <c r="I665" s="8">
        <f>loaded!W665</f>
        <v>0</v>
      </c>
      <c r="J665" t="e">
        <f>INDEX(us_acc_codes,MATCH(loaded!Y665,us_acc,0))</f>
        <v>#N/A</v>
      </c>
      <c r="K665" t="e">
        <f>INDEX(client_codes,MATCH(loaded!AA665,client,0))</f>
        <v>#N/A</v>
      </c>
      <c r="L665" t="e">
        <f>INDEX(src_ref_codes,MATCH(loaded!AC665,src_ref,0))</f>
        <v>#N/A</v>
      </c>
      <c r="M665" s="8">
        <f>loaded!AE665</f>
        <v>0</v>
      </c>
      <c r="N665" s="8">
        <f>loaded!AG665</f>
        <v>0</v>
      </c>
      <c r="O665" t="e">
        <f>INDEX(reces_codes,MATCH(loaded!AI665,reason,0))</f>
        <v>#N/A</v>
      </c>
      <c r="P665" t="e">
        <f>INDEX(TDS_codes,MATCH(loaded!AK665,TDS,0))</f>
        <v>#N/A</v>
      </c>
      <c r="Q665" t="e">
        <f>IF(K665=2,"",INDEX(method_codes,MATCH(loaded!AM665,method,0)))</f>
        <v>#N/A</v>
      </c>
      <c r="R665" t="e">
        <f>IF(K665=2,"",INDEX(inj_codes,MATCH(loaded!AO665,inj,0)))</f>
        <v>#N/A</v>
      </c>
      <c r="S665" t="e">
        <f>IF(K665=2,"",INDEX(drug_codes,MATCH(loaded!AQ665,drug,0)))</f>
        <v>#N/A</v>
      </c>
      <c r="T665" t="e">
        <f>IF(K665=2,"",_xlfn.IFNA(INDEX(drug_codes,MATCH(loaded!AS665,drug,0)),""))</f>
        <v>#N/A</v>
      </c>
      <c r="U665" t="e">
        <f>IF(K665=2,"",_xlfn.IFNA(INDEX(drug_codes,MATCH(loaded!AU665,drug,0)),""))</f>
        <v>#N/A</v>
      </c>
      <c r="V665" t="e">
        <f>IF(K665=2,"",_xlfn.IFNA(INDEX(drug_codes,MATCH(loaded!AW665,drug,0)),""))</f>
        <v>#N/A</v>
      </c>
      <c r="W665" t="e">
        <f>IF(K665=2,"",_xlfn.IFNA(INDEX(drug_codes,MATCH(loaded!AY665,drug,0)),""))</f>
        <v>#N/A</v>
      </c>
      <c r="X665" t="e">
        <f>IF(K665=2,"",_xlfn.IFNA(INDEX(drug_codes,MATCH(loaded!BA665,drug,0)),""))</f>
        <v>#N/A</v>
      </c>
      <c r="Y665" t="e">
        <f>INDEX(MTT_codes,MATCH(loaded!BC665,MTT,0))</f>
        <v>#N/A</v>
      </c>
      <c r="Z665" t="str">
        <f>_xlfn.IFNA(INDEX(MTT_codes,MATCH(loaded!BE665,MTT,0)),"")</f>
        <v/>
      </c>
      <c r="AA665" t="str">
        <f>_xlfn.IFNA(INDEX(MTT_codes,MATCH(loaded!BG665,MTT,0)),"")</f>
        <v/>
      </c>
      <c r="AB665" t="str">
        <f>_xlfn.IFNA(INDEX(MTT_codes,MATCH(loaded!BI665,MTT,0)),"")</f>
        <v/>
      </c>
      <c r="AC665" t="str">
        <f>_xlfn.IFNA(INDEX(MTT_codes,MATCH(loaded!BK665,MTT,0)),"")</f>
        <v/>
      </c>
      <c r="AD665" t="str">
        <f>_xlfn.IFNA(INDEX(MTT_codes,MATCH(loaded!BM665,MTT,0)),"")</f>
        <v/>
      </c>
      <c r="AE665" t="e">
        <f>INDEX(liv_ar_codes,MATCH(loaded!BO665,liv_ar,0))</f>
        <v>#N/A</v>
      </c>
      <c r="AF665" t="str">
        <f>_xlfn.IFNA(INDEX(MTT_codes,MATCH(loaded!BQ665,MTT,0)),"")</f>
        <v/>
      </c>
      <c r="AG665">
        <f>_xlfn.IFNA(INDEX(mental_codes,MATCH(loaded!BS665,mental,0)),9)</f>
        <v>9</v>
      </c>
    </row>
    <row r="666" spans="1:33" x14ac:dyDescent="0.25">
      <c r="A666">
        <f>loaded!C666</f>
        <v>0</v>
      </c>
      <c r="B666">
        <f>loaded!I666</f>
        <v>0</v>
      </c>
      <c r="C666">
        <f>IF(loaded!K666="Male",1,IF(loaded!K666="Female",2,9))</f>
        <v>9</v>
      </c>
      <c r="D666" s="8">
        <f>loaded!M666</f>
        <v>0</v>
      </c>
      <c r="E666" t="str">
        <f>LEFT(loaded!O666,3)</f>
        <v/>
      </c>
      <c r="F666" t="e">
        <f>INDEX(cntry_codes,MATCH(loaded!Q666,countries,0))</f>
        <v>#N/A</v>
      </c>
      <c r="G666" t="e">
        <f>INDEX(atsi_codes,MATCH(loaded!S666,atsi,0))</f>
        <v>#N/A</v>
      </c>
      <c r="H666" t="e">
        <f>INDEX(lang_codes,MATCH(loaded!U666,lang,0))</f>
        <v>#N/A</v>
      </c>
      <c r="I666" s="8">
        <f>loaded!W666</f>
        <v>0</v>
      </c>
      <c r="J666" t="e">
        <f>INDEX(us_acc_codes,MATCH(loaded!Y666,us_acc,0))</f>
        <v>#N/A</v>
      </c>
      <c r="K666" t="e">
        <f>INDEX(client_codes,MATCH(loaded!AA666,client,0))</f>
        <v>#N/A</v>
      </c>
      <c r="L666" t="e">
        <f>INDEX(src_ref_codes,MATCH(loaded!AC666,src_ref,0))</f>
        <v>#N/A</v>
      </c>
      <c r="M666" s="8">
        <f>loaded!AE666</f>
        <v>0</v>
      </c>
      <c r="N666" s="8">
        <f>loaded!AG666</f>
        <v>0</v>
      </c>
      <c r="O666" t="e">
        <f>INDEX(reces_codes,MATCH(loaded!AI666,reason,0))</f>
        <v>#N/A</v>
      </c>
      <c r="P666" t="e">
        <f>INDEX(TDS_codes,MATCH(loaded!AK666,TDS,0))</f>
        <v>#N/A</v>
      </c>
      <c r="Q666" t="e">
        <f>IF(K666=2,"",INDEX(method_codes,MATCH(loaded!AM666,method,0)))</f>
        <v>#N/A</v>
      </c>
      <c r="R666" t="e">
        <f>IF(K666=2,"",INDEX(inj_codes,MATCH(loaded!AO666,inj,0)))</f>
        <v>#N/A</v>
      </c>
      <c r="S666" t="e">
        <f>IF(K666=2,"",INDEX(drug_codes,MATCH(loaded!AQ666,drug,0)))</f>
        <v>#N/A</v>
      </c>
      <c r="T666" t="e">
        <f>IF(K666=2,"",_xlfn.IFNA(INDEX(drug_codes,MATCH(loaded!AS666,drug,0)),""))</f>
        <v>#N/A</v>
      </c>
      <c r="U666" t="e">
        <f>IF(K666=2,"",_xlfn.IFNA(INDEX(drug_codes,MATCH(loaded!AU666,drug,0)),""))</f>
        <v>#N/A</v>
      </c>
      <c r="V666" t="e">
        <f>IF(K666=2,"",_xlfn.IFNA(INDEX(drug_codes,MATCH(loaded!AW666,drug,0)),""))</f>
        <v>#N/A</v>
      </c>
      <c r="W666" t="e">
        <f>IF(K666=2,"",_xlfn.IFNA(INDEX(drug_codes,MATCH(loaded!AY666,drug,0)),""))</f>
        <v>#N/A</v>
      </c>
      <c r="X666" t="e">
        <f>IF(K666=2,"",_xlfn.IFNA(INDEX(drug_codes,MATCH(loaded!BA666,drug,0)),""))</f>
        <v>#N/A</v>
      </c>
      <c r="Y666" t="e">
        <f>INDEX(MTT_codes,MATCH(loaded!BC666,MTT,0))</f>
        <v>#N/A</v>
      </c>
      <c r="Z666" t="str">
        <f>_xlfn.IFNA(INDEX(MTT_codes,MATCH(loaded!BE666,MTT,0)),"")</f>
        <v/>
      </c>
      <c r="AA666" t="str">
        <f>_xlfn.IFNA(INDEX(MTT_codes,MATCH(loaded!BG666,MTT,0)),"")</f>
        <v/>
      </c>
      <c r="AB666" t="str">
        <f>_xlfn.IFNA(INDEX(MTT_codes,MATCH(loaded!BI666,MTT,0)),"")</f>
        <v/>
      </c>
      <c r="AC666" t="str">
        <f>_xlfn.IFNA(INDEX(MTT_codes,MATCH(loaded!BK666,MTT,0)),"")</f>
        <v/>
      </c>
      <c r="AD666" t="str">
        <f>_xlfn.IFNA(INDEX(MTT_codes,MATCH(loaded!BM666,MTT,0)),"")</f>
        <v/>
      </c>
      <c r="AE666" t="e">
        <f>INDEX(liv_ar_codes,MATCH(loaded!BO666,liv_ar,0))</f>
        <v>#N/A</v>
      </c>
      <c r="AF666" t="str">
        <f>_xlfn.IFNA(INDEX(MTT_codes,MATCH(loaded!BQ666,MTT,0)),"")</f>
        <v/>
      </c>
      <c r="AG666">
        <f>_xlfn.IFNA(INDEX(mental_codes,MATCH(loaded!BS666,mental,0)),9)</f>
        <v>9</v>
      </c>
    </row>
    <row r="667" spans="1:33" x14ac:dyDescent="0.25">
      <c r="A667">
        <f>loaded!C667</f>
        <v>0</v>
      </c>
      <c r="B667">
        <f>loaded!I667</f>
        <v>0</v>
      </c>
      <c r="C667">
        <f>IF(loaded!K667="Male",1,IF(loaded!K667="Female",2,9))</f>
        <v>9</v>
      </c>
      <c r="D667" s="8">
        <f>loaded!M667</f>
        <v>0</v>
      </c>
      <c r="E667" t="str">
        <f>LEFT(loaded!O667,3)</f>
        <v/>
      </c>
      <c r="F667" t="e">
        <f>INDEX(cntry_codes,MATCH(loaded!Q667,countries,0))</f>
        <v>#N/A</v>
      </c>
      <c r="G667" t="e">
        <f>INDEX(atsi_codes,MATCH(loaded!S667,atsi,0))</f>
        <v>#N/A</v>
      </c>
      <c r="H667" t="e">
        <f>INDEX(lang_codes,MATCH(loaded!U667,lang,0))</f>
        <v>#N/A</v>
      </c>
      <c r="I667" s="8">
        <f>loaded!W667</f>
        <v>0</v>
      </c>
      <c r="J667" t="e">
        <f>INDEX(us_acc_codes,MATCH(loaded!Y667,us_acc,0))</f>
        <v>#N/A</v>
      </c>
      <c r="K667" t="e">
        <f>INDEX(client_codes,MATCH(loaded!AA667,client,0))</f>
        <v>#N/A</v>
      </c>
      <c r="L667" t="e">
        <f>INDEX(src_ref_codes,MATCH(loaded!AC667,src_ref,0))</f>
        <v>#N/A</v>
      </c>
      <c r="M667" s="8">
        <f>loaded!AE667</f>
        <v>0</v>
      </c>
      <c r="N667" s="8">
        <f>loaded!AG667</f>
        <v>0</v>
      </c>
      <c r="O667" t="e">
        <f>INDEX(reces_codes,MATCH(loaded!AI667,reason,0))</f>
        <v>#N/A</v>
      </c>
      <c r="P667" t="e">
        <f>INDEX(TDS_codes,MATCH(loaded!AK667,TDS,0))</f>
        <v>#N/A</v>
      </c>
      <c r="Q667" t="e">
        <f>IF(K667=2,"",INDEX(method_codes,MATCH(loaded!AM667,method,0)))</f>
        <v>#N/A</v>
      </c>
      <c r="R667" t="e">
        <f>IF(K667=2,"",INDEX(inj_codes,MATCH(loaded!AO667,inj,0)))</f>
        <v>#N/A</v>
      </c>
      <c r="S667" t="e">
        <f>IF(K667=2,"",INDEX(drug_codes,MATCH(loaded!AQ667,drug,0)))</f>
        <v>#N/A</v>
      </c>
      <c r="T667" t="e">
        <f>IF(K667=2,"",_xlfn.IFNA(INDEX(drug_codes,MATCH(loaded!AS667,drug,0)),""))</f>
        <v>#N/A</v>
      </c>
      <c r="U667" t="e">
        <f>IF(K667=2,"",_xlfn.IFNA(INDEX(drug_codes,MATCH(loaded!AU667,drug,0)),""))</f>
        <v>#N/A</v>
      </c>
      <c r="V667" t="e">
        <f>IF(K667=2,"",_xlfn.IFNA(INDEX(drug_codes,MATCH(loaded!AW667,drug,0)),""))</f>
        <v>#N/A</v>
      </c>
      <c r="W667" t="e">
        <f>IF(K667=2,"",_xlfn.IFNA(INDEX(drug_codes,MATCH(loaded!AY667,drug,0)),""))</f>
        <v>#N/A</v>
      </c>
      <c r="X667" t="e">
        <f>IF(K667=2,"",_xlfn.IFNA(INDEX(drug_codes,MATCH(loaded!BA667,drug,0)),""))</f>
        <v>#N/A</v>
      </c>
      <c r="Y667" t="e">
        <f>INDEX(MTT_codes,MATCH(loaded!BC667,MTT,0))</f>
        <v>#N/A</v>
      </c>
      <c r="Z667" t="str">
        <f>_xlfn.IFNA(INDEX(MTT_codes,MATCH(loaded!BE667,MTT,0)),"")</f>
        <v/>
      </c>
      <c r="AA667" t="str">
        <f>_xlfn.IFNA(INDEX(MTT_codes,MATCH(loaded!BG667,MTT,0)),"")</f>
        <v/>
      </c>
      <c r="AB667" t="str">
        <f>_xlfn.IFNA(INDEX(MTT_codes,MATCH(loaded!BI667,MTT,0)),"")</f>
        <v/>
      </c>
      <c r="AC667" t="str">
        <f>_xlfn.IFNA(INDEX(MTT_codes,MATCH(loaded!BK667,MTT,0)),"")</f>
        <v/>
      </c>
      <c r="AD667" t="str">
        <f>_xlfn.IFNA(INDEX(MTT_codes,MATCH(loaded!BM667,MTT,0)),"")</f>
        <v/>
      </c>
      <c r="AE667" t="e">
        <f>INDEX(liv_ar_codes,MATCH(loaded!BO667,liv_ar,0))</f>
        <v>#N/A</v>
      </c>
      <c r="AF667" t="str">
        <f>_xlfn.IFNA(INDEX(MTT_codes,MATCH(loaded!BQ667,MTT,0)),"")</f>
        <v/>
      </c>
      <c r="AG667">
        <f>_xlfn.IFNA(INDEX(mental_codes,MATCH(loaded!BS667,mental,0)),9)</f>
        <v>9</v>
      </c>
    </row>
    <row r="668" spans="1:33" x14ac:dyDescent="0.25">
      <c r="A668">
        <f>loaded!C668</f>
        <v>0</v>
      </c>
      <c r="B668">
        <f>loaded!I668</f>
        <v>0</v>
      </c>
      <c r="C668">
        <f>IF(loaded!K668="Male",1,IF(loaded!K668="Female",2,9))</f>
        <v>9</v>
      </c>
      <c r="D668" s="8">
        <f>loaded!M668</f>
        <v>0</v>
      </c>
      <c r="E668" t="str">
        <f>LEFT(loaded!O668,3)</f>
        <v/>
      </c>
      <c r="F668" t="e">
        <f>INDEX(cntry_codes,MATCH(loaded!Q668,countries,0))</f>
        <v>#N/A</v>
      </c>
      <c r="G668" t="e">
        <f>INDEX(atsi_codes,MATCH(loaded!S668,atsi,0))</f>
        <v>#N/A</v>
      </c>
      <c r="H668" t="e">
        <f>INDEX(lang_codes,MATCH(loaded!U668,lang,0))</f>
        <v>#N/A</v>
      </c>
      <c r="I668" s="8">
        <f>loaded!W668</f>
        <v>0</v>
      </c>
      <c r="J668" t="e">
        <f>INDEX(us_acc_codes,MATCH(loaded!Y668,us_acc,0))</f>
        <v>#N/A</v>
      </c>
      <c r="K668" t="e">
        <f>INDEX(client_codes,MATCH(loaded!AA668,client,0))</f>
        <v>#N/A</v>
      </c>
      <c r="L668" t="e">
        <f>INDEX(src_ref_codes,MATCH(loaded!AC668,src_ref,0))</f>
        <v>#N/A</v>
      </c>
      <c r="M668" s="8">
        <f>loaded!AE668</f>
        <v>0</v>
      </c>
      <c r="N668" s="8">
        <f>loaded!AG668</f>
        <v>0</v>
      </c>
      <c r="O668" t="e">
        <f>INDEX(reces_codes,MATCH(loaded!AI668,reason,0))</f>
        <v>#N/A</v>
      </c>
      <c r="P668" t="e">
        <f>INDEX(TDS_codes,MATCH(loaded!AK668,TDS,0))</f>
        <v>#N/A</v>
      </c>
      <c r="Q668" t="e">
        <f>IF(K668=2,"",INDEX(method_codes,MATCH(loaded!AM668,method,0)))</f>
        <v>#N/A</v>
      </c>
      <c r="R668" t="e">
        <f>IF(K668=2,"",INDEX(inj_codes,MATCH(loaded!AO668,inj,0)))</f>
        <v>#N/A</v>
      </c>
      <c r="S668" t="e">
        <f>IF(K668=2,"",INDEX(drug_codes,MATCH(loaded!AQ668,drug,0)))</f>
        <v>#N/A</v>
      </c>
      <c r="T668" t="e">
        <f>IF(K668=2,"",_xlfn.IFNA(INDEX(drug_codes,MATCH(loaded!AS668,drug,0)),""))</f>
        <v>#N/A</v>
      </c>
      <c r="U668" t="e">
        <f>IF(K668=2,"",_xlfn.IFNA(INDEX(drug_codes,MATCH(loaded!AU668,drug,0)),""))</f>
        <v>#N/A</v>
      </c>
      <c r="V668" t="e">
        <f>IF(K668=2,"",_xlfn.IFNA(INDEX(drug_codes,MATCH(loaded!AW668,drug,0)),""))</f>
        <v>#N/A</v>
      </c>
      <c r="W668" t="e">
        <f>IF(K668=2,"",_xlfn.IFNA(INDEX(drug_codes,MATCH(loaded!AY668,drug,0)),""))</f>
        <v>#N/A</v>
      </c>
      <c r="X668" t="e">
        <f>IF(K668=2,"",_xlfn.IFNA(INDEX(drug_codes,MATCH(loaded!BA668,drug,0)),""))</f>
        <v>#N/A</v>
      </c>
      <c r="Y668" t="e">
        <f>INDEX(MTT_codes,MATCH(loaded!BC668,MTT,0))</f>
        <v>#N/A</v>
      </c>
      <c r="Z668" t="str">
        <f>_xlfn.IFNA(INDEX(MTT_codes,MATCH(loaded!BE668,MTT,0)),"")</f>
        <v/>
      </c>
      <c r="AA668" t="str">
        <f>_xlfn.IFNA(INDEX(MTT_codes,MATCH(loaded!BG668,MTT,0)),"")</f>
        <v/>
      </c>
      <c r="AB668" t="str">
        <f>_xlfn.IFNA(INDEX(MTT_codes,MATCH(loaded!BI668,MTT,0)),"")</f>
        <v/>
      </c>
      <c r="AC668" t="str">
        <f>_xlfn.IFNA(INDEX(MTT_codes,MATCH(loaded!BK668,MTT,0)),"")</f>
        <v/>
      </c>
      <c r="AD668" t="str">
        <f>_xlfn.IFNA(INDEX(MTT_codes,MATCH(loaded!BM668,MTT,0)),"")</f>
        <v/>
      </c>
      <c r="AE668" t="e">
        <f>INDEX(liv_ar_codes,MATCH(loaded!BO668,liv_ar,0))</f>
        <v>#N/A</v>
      </c>
      <c r="AF668" t="str">
        <f>_xlfn.IFNA(INDEX(MTT_codes,MATCH(loaded!BQ668,MTT,0)),"")</f>
        <v/>
      </c>
      <c r="AG668">
        <f>_xlfn.IFNA(INDEX(mental_codes,MATCH(loaded!BS668,mental,0)),9)</f>
        <v>9</v>
      </c>
    </row>
    <row r="669" spans="1:33" x14ac:dyDescent="0.25">
      <c r="A669">
        <f>loaded!C669</f>
        <v>0</v>
      </c>
      <c r="B669">
        <f>loaded!I669</f>
        <v>0</v>
      </c>
      <c r="C669">
        <f>IF(loaded!K669="Male",1,IF(loaded!K669="Female",2,9))</f>
        <v>9</v>
      </c>
      <c r="D669" s="8">
        <f>loaded!M669</f>
        <v>0</v>
      </c>
      <c r="E669" t="str">
        <f>LEFT(loaded!O669,3)</f>
        <v/>
      </c>
      <c r="F669" t="e">
        <f>INDEX(cntry_codes,MATCH(loaded!Q669,countries,0))</f>
        <v>#N/A</v>
      </c>
      <c r="G669" t="e">
        <f>INDEX(atsi_codes,MATCH(loaded!S669,atsi,0))</f>
        <v>#N/A</v>
      </c>
      <c r="H669" t="e">
        <f>INDEX(lang_codes,MATCH(loaded!U669,lang,0))</f>
        <v>#N/A</v>
      </c>
      <c r="I669" s="8">
        <f>loaded!W669</f>
        <v>0</v>
      </c>
      <c r="J669" t="e">
        <f>INDEX(us_acc_codes,MATCH(loaded!Y669,us_acc,0))</f>
        <v>#N/A</v>
      </c>
      <c r="K669" t="e">
        <f>INDEX(client_codes,MATCH(loaded!AA669,client,0))</f>
        <v>#N/A</v>
      </c>
      <c r="L669" t="e">
        <f>INDEX(src_ref_codes,MATCH(loaded!AC669,src_ref,0))</f>
        <v>#N/A</v>
      </c>
      <c r="M669" s="8">
        <f>loaded!AE669</f>
        <v>0</v>
      </c>
      <c r="N669" s="8">
        <f>loaded!AG669</f>
        <v>0</v>
      </c>
      <c r="O669" t="e">
        <f>INDEX(reces_codes,MATCH(loaded!AI669,reason,0))</f>
        <v>#N/A</v>
      </c>
      <c r="P669" t="e">
        <f>INDEX(TDS_codes,MATCH(loaded!AK669,TDS,0))</f>
        <v>#N/A</v>
      </c>
      <c r="Q669" t="e">
        <f>IF(K669=2,"",INDEX(method_codes,MATCH(loaded!AM669,method,0)))</f>
        <v>#N/A</v>
      </c>
      <c r="R669" t="e">
        <f>IF(K669=2,"",INDEX(inj_codes,MATCH(loaded!AO669,inj,0)))</f>
        <v>#N/A</v>
      </c>
      <c r="S669" t="e">
        <f>IF(K669=2,"",INDEX(drug_codes,MATCH(loaded!AQ669,drug,0)))</f>
        <v>#N/A</v>
      </c>
      <c r="T669" t="e">
        <f>IF(K669=2,"",_xlfn.IFNA(INDEX(drug_codes,MATCH(loaded!AS669,drug,0)),""))</f>
        <v>#N/A</v>
      </c>
      <c r="U669" t="e">
        <f>IF(K669=2,"",_xlfn.IFNA(INDEX(drug_codes,MATCH(loaded!AU669,drug,0)),""))</f>
        <v>#N/A</v>
      </c>
      <c r="V669" t="e">
        <f>IF(K669=2,"",_xlfn.IFNA(INDEX(drug_codes,MATCH(loaded!AW669,drug,0)),""))</f>
        <v>#N/A</v>
      </c>
      <c r="W669" t="e">
        <f>IF(K669=2,"",_xlfn.IFNA(INDEX(drug_codes,MATCH(loaded!AY669,drug,0)),""))</f>
        <v>#N/A</v>
      </c>
      <c r="X669" t="e">
        <f>IF(K669=2,"",_xlfn.IFNA(INDEX(drug_codes,MATCH(loaded!BA669,drug,0)),""))</f>
        <v>#N/A</v>
      </c>
      <c r="Y669" t="e">
        <f>INDEX(MTT_codes,MATCH(loaded!BC669,MTT,0))</f>
        <v>#N/A</v>
      </c>
      <c r="Z669" t="str">
        <f>_xlfn.IFNA(INDEX(MTT_codes,MATCH(loaded!BE669,MTT,0)),"")</f>
        <v/>
      </c>
      <c r="AA669" t="str">
        <f>_xlfn.IFNA(INDEX(MTT_codes,MATCH(loaded!BG669,MTT,0)),"")</f>
        <v/>
      </c>
      <c r="AB669" t="str">
        <f>_xlfn.IFNA(INDEX(MTT_codes,MATCH(loaded!BI669,MTT,0)),"")</f>
        <v/>
      </c>
      <c r="AC669" t="str">
        <f>_xlfn.IFNA(INDEX(MTT_codes,MATCH(loaded!BK669,MTT,0)),"")</f>
        <v/>
      </c>
      <c r="AD669" t="str">
        <f>_xlfn.IFNA(INDEX(MTT_codes,MATCH(loaded!BM669,MTT,0)),"")</f>
        <v/>
      </c>
      <c r="AE669" t="e">
        <f>INDEX(liv_ar_codes,MATCH(loaded!BO669,liv_ar,0))</f>
        <v>#N/A</v>
      </c>
      <c r="AF669" t="str">
        <f>_xlfn.IFNA(INDEX(MTT_codes,MATCH(loaded!BQ669,MTT,0)),"")</f>
        <v/>
      </c>
      <c r="AG669">
        <f>_xlfn.IFNA(INDEX(mental_codes,MATCH(loaded!BS669,mental,0)),9)</f>
        <v>9</v>
      </c>
    </row>
    <row r="670" spans="1:33" x14ac:dyDescent="0.25">
      <c r="A670">
        <f>loaded!C670</f>
        <v>0</v>
      </c>
      <c r="B670">
        <f>loaded!I670</f>
        <v>0</v>
      </c>
      <c r="C670">
        <f>IF(loaded!K670="Male",1,IF(loaded!K670="Female",2,9))</f>
        <v>9</v>
      </c>
      <c r="D670" s="8">
        <f>loaded!M670</f>
        <v>0</v>
      </c>
      <c r="E670" t="str">
        <f>LEFT(loaded!O670,3)</f>
        <v/>
      </c>
      <c r="F670" t="e">
        <f>INDEX(cntry_codes,MATCH(loaded!Q670,countries,0))</f>
        <v>#N/A</v>
      </c>
      <c r="G670" t="e">
        <f>INDEX(atsi_codes,MATCH(loaded!S670,atsi,0))</f>
        <v>#N/A</v>
      </c>
      <c r="H670" t="e">
        <f>INDEX(lang_codes,MATCH(loaded!U670,lang,0))</f>
        <v>#N/A</v>
      </c>
      <c r="I670" s="8">
        <f>loaded!W670</f>
        <v>0</v>
      </c>
      <c r="J670" t="e">
        <f>INDEX(us_acc_codes,MATCH(loaded!Y670,us_acc,0))</f>
        <v>#N/A</v>
      </c>
      <c r="K670" t="e">
        <f>INDEX(client_codes,MATCH(loaded!AA670,client,0))</f>
        <v>#N/A</v>
      </c>
      <c r="L670" t="e">
        <f>INDEX(src_ref_codes,MATCH(loaded!AC670,src_ref,0))</f>
        <v>#N/A</v>
      </c>
      <c r="M670" s="8">
        <f>loaded!AE670</f>
        <v>0</v>
      </c>
      <c r="N670" s="8">
        <f>loaded!AG670</f>
        <v>0</v>
      </c>
      <c r="O670" t="e">
        <f>INDEX(reces_codes,MATCH(loaded!AI670,reason,0))</f>
        <v>#N/A</v>
      </c>
      <c r="P670" t="e">
        <f>INDEX(TDS_codes,MATCH(loaded!AK670,TDS,0))</f>
        <v>#N/A</v>
      </c>
      <c r="Q670" t="e">
        <f>IF(K670=2,"",INDEX(method_codes,MATCH(loaded!AM670,method,0)))</f>
        <v>#N/A</v>
      </c>
      <c r="R670" t="e">
        <f>IF(K670=2,"",INDEX(inj_codes,MATCH(loaded!AO670,inj,0)))</f>
        <v>#N/A</v>
      </c>
      <c r="S670" t="e">
        <f>IF(K670=2,"",INDEX(drug_codes,MATCH(loaded!AQ670,drug,0)))</f>
        <v>#N/A</v>
      </c>
      <c r="T670" t="e">
        <f>IF(K670=2,"",_xlfn.IFNA(INDEX(drug_codes,MATCH(loaded!AS670,drug,0)),""))</f>
        <v>#N/A</v>
      </c>
      <c r="U670" t="e">
        <f>IF(K670=2,"",_xlfn.IFNA(INDEX(drug_codes,MATCH(loaded!AU670,drug,0)),""))</f>
        <v>#N/A</v>
      </c>
      <c r="V670" t="e">
        <f>IF(K670=2,"",_xlfn.IFNA(INDEX(drug_codes,MATCH(loaded!AW670,drug,0)),""))</f>
        <v>#N/A</v>
      </c>
      <c r="W670" t="e">
        <f>IF(K670=2,"",_xlfn.IFNA(INDEX(drug_codes,MATCH(loaded!AY670,drug,0)),""))</f>
        <v>#N/A</v>
      </c>
      <c r="X670" t="e">
        <f>IF(K670=2,"",_xlfn.IFNA(INDEX(drug_codes,MATCH(loaded!BA670,drug,0)),""))</f>
        <v>#N/A</v>
      </c>
      <c r="Y670" t="e">
        <f>INDEX(MTT_codes,MATCH(loaded!BC670,MTT,0))</f>
        <v>#N/A</v>
      </c>
      <c r="Z670" t="str">
        <f>_xlfn.IFNA(INDEX(MTT_codes,MATCH(loaded!BE670,MTT,0)),"")</f>
        <v/>
      </c>
      <c r="AA670" t="str">
        <f>_xlfn.IFNA(INDEX(MTT_codes,MATCH(loaded!BG670,MTT,0)),"")</f>
        <v/>
      </c>
      <c r="AB670" t="str">
        <f>_xlfn.IFNA(INDEX(MTT_codes,MATCH(loaded!BI670,MTT,0)),"")</f>
        <v/>
      </c>
      <c r="AC670" t="str">
        <f>_xlfn.IFNA(INDEX(MTT_codes,MATCH(loaded!BK670,MTT,0)),"")</f>
        <v/>
      </c>
      <c r="AD670" t="str">
        <f>_xlfn.IFNA(INDEX(MTT_codes,MATCH(loaded!BM670,MTT,0)),"")</f>
        <v/>
      </c>
      <c r="AE670" t="e">
        <f>INDEX(liv_ar_codes,MATCH(loaded!BO670,liv_ar,0))</f>
        <v>#N/A</v>
      </c>
      <c r="AF670" t="str">
        <f>_xlfn.IFNA(INDEX(MTT_codes,MATCH(loaded!BQ670,MTT,0)),"")</f>
        <v/>
      </c>
      <c r="AG670">
        <f>_xlfn.IFNA(INDEX(mental_codes,MATCH(loaded!BS670,mental,0)),9)</f>
        <v>9</v>
      </c>
    </row>
    <row r="671" spans="1:33" x14ac:dyDescent="0.25">
      <c r="A671">
        <f>loaded!C671</f>
        <v>0</v>
      </c>
      <c r="B671">
        <f>loaded!I671</f>
        <v>0</v>
      </c>
      <c r="C671">
        <f>IF(loaded!K671="Male",1,IF(loaded!K671="Female",2,9))</f>
        <v>9</v>
      </c>
      <c r="D671" s="8">
        <f>loaded!M671</f>
        <v>0</v>
      </c>
      <c r="E671" t="str">
        <f>LEFT(loaded!O671,3)</f>
        <v/>
      </c>
      <c r="F671" t="e">
        <f>INDEX(cntry_codes,MATCH(loaded!Q671,countries,0))</f>
        <v>#N/A</v>
      </c>
      <c r="G671" t="e">
        <f>INDEX(atsi_codes,MATCH(loaded!S671,atsi,0))</f>
        <v>#N/A</v>
      </c>
      <c r="H671" t="e">
        <f>INDEX(lang_codes,MATCH(loaded!U671,lang,0))</f>
        <v>#N/A</v>
      </c>
      <c r="I671" s="8">
        <f>loaded!W671</f>
        <v>0</v>
      </c>
      <c r="J671" t="e">
        <f>INDEX(us_acc_codes,MATCH(loaded!Y671,us_acc,0))</f>
        <v>#N/A</v>
      </c>
      <c r="K671" t="e">
        <f>INDEX(client_codes,MATCH(loaded!AA671,client,0))</f>
        <v>#N/A</v>
      </c>
      <c r="L671" t="e">
        <f>INDEX(src_ref_codes,MATCH(loaded!AC671,src_ref,0))</f>
        <v>#N/A</v>
      </c>
      <c r="M671" s="8">
        <f>loaded!AE671</f>
        <v>0</v>
      </c>
      <c r="N671" s="8">
        <f>loaded!AG671</f>
        <v>0</v>
      </c>
      <c r="O671" t="e">
        <f>INDEX(reces_codes,MATCH(loaded!AI671,reason,0))</f>
        <v>#N/A</v>
      </c>
      <c r="P671" t="e">
        <f>INDEX(TDS_codes,MATCH(loaded!AK671,TDS,0))</f>
        <v>#N/A</v>
      </c>
      <c r="Q671" t="e">
        <f>IF(K671=2,"",INDEX(method_codes,MATCH(loaded!AM671,method,0)))</f>
        <v>#N/A</v>
      </c>
      <c r="R671" t="e">
        <f>IF(K671=2,"",INDEX(inj_codes,MATCH(loaded!AO671,inj,0)))</f>
        <v>#N/A</v>
      </c>
      <c r="S671" t="e">
        <f>IF(K671=2,"",INDEX(drug_codes,MATCH(loaded!AQ671,drug,0)))</f>
        <v>#N/A</v>
      </c>
      <c r="T671" t="e">
        <f>IF(K671=2,"",_xlfn.IFNA(INDEX(drug_codes,MATCH(loaded!AS671,drug,0)),""))</f>
        <v>#N/A</v>
      </c>
      <c r="U671" t="e">
        <f>IF(K671=2,"",_xlfn.IFNA(INDEX(drug_codes,MATCH(loaded!AU671,drug,0)),""))</f>
        <v>#N/A</v>
      </c>
      <c r="V671" t="e">
        <f>IF(K671=2,"",_xlfn.IFNA(INDEX(drug_codes,MATCH(loaded!AW671,drug,0)),""))</f>
        <v>#N/A</v>
      </c>
      <c r="W671" t="e">
        <f>IF(K671=2,"",_xlfn.IFNA(INDEX(drug_codes,MATCH(loaded!AY671,drug,0)),""))</f>
        <v>#N/A</v>
      </c>
      <c r="X671" t="e">
        <f>IF(K671=2,"",_xlfn.IFNA(INDEX(drug_codes,MATCH(loaded!BA671,drug,0)),""))</f>
        <v>#N/A</v>
      </c>
      <c r="Y671" t="e">
        <f>INDEX(MTT_codes,MATCH(loaded!BC671,MTT,0))</f>
        <v>#N/A</v>
      </c>
      <c r="Z671" t="str">
        <f>_xlfn.IFNA(INDEX(MTT_codes,MATCH(loaded!BE671,MTT,0)),"")</f>
        <v/>
      </c>
      <c r="AA671" t="str">
        <f>_xlfn.IFNA(INDEX(MTT_codes,MATCH(loaded!BG671,MTT,0)),"")</f>
        <v/>
      </c>
      <c r="AB671" t="str">
        <f>_xlfn.IFNA(INDEX(MTT_codes,MATCH(loaded!BI671,MTT,0)),"")</f>
        <v/>
      </c>
      <c r="AC671" t="str">
        <f>_xlfn.IFNA(INDEX(MTT_codes,MATCH(loaded!BK671,MTT,0)),"")</f>
        <v/>
      </c>
      <c r="AD671" t="str">
        <f>_xlfn.IFNA(INDEX(MTT_codes,MATCH(loaded!BM671,MTT,0)),"")</f>
        <v/>
      </c>
      <c r="AE671" t="e">
        <f>INDEX(liv_ar_codes,MATCH(loaded!BO671,liv_ar,0))</f>
        <v>#N/A</v>
      </c>
      <c r="AF671" t="str">
        <f>_xlfn.IFNA(INDEX(MTT_codes,MATCH(loaded!BQ671,MTT,0)),"")</f>
        <v/>
      </c>
      <c r="AG671">
        <f>_xlfn.IFNA(INDEX(mental_codes,MATCH(loaded!BS671,mental,0)),9)</f>
        <v>9</v>
      </c>
    </row>
    <row r="672" spans="1:33" x14ac:dyDescent="0.25">
      <c r="A672">
        <f>loaded!C672</f>
        <v>0</v>
      </c>
      <c r="B672">
        <f>loaded!I672</f>
        <v>0</v>
      </c>
      <c r="C672">
        <f>IF(loaded!K672="Male",1,IF(loaded!K672="Female",2,9))</f>
        <v>9</v>
      </c>
      <c r="D672" s="8">
        <f>loaded!M672</f>
        <v>0</v>
      </c>
      <c r="E672" t="str">
        <f>LEFT(loaded!O672,3)</f>
        <v/>
      </c>
      <c r="F672" t="e">
        <f>INDEX(cntry_codes,MATCH(loaded!Q672,countries,0))</f>
        <v>#N/A</v>
      </c>
      <c r="G672" t="e">
        <f>INDEX(atsi_codes,MATCH(loaded!S672,atsi,0))</f>
        <v>#N/A</v>
      </c>
      <c r="H672" t="e">
        <f>INDEX(lang_codes,MATCH(loaded!U672,lang,0))</f>
        <v>#N/A</v>
      </c>
      <c r="I672" s="8">
        <f>loaded!W672</f>
        <v>0</v>
      </c>
      <c r="J672" t="e">
        <f>INDEX(us_acc_codes,MATCH(loaded!Y672,us_acc,0))</f>
        <v>#N/A</v>
      </c>
      <c r="K672" t="e">
        <f>INDEX(client_codes,MATCH(loaded!AA672,client,0))</f>
        <v>#N/A</v>
      </c>
      <c r="L672" t="e">
        <f>INDEX(src_ref_codes,MATCH(loaded!AC672,src_ref,0))</f>
        <v>#N/A</v>
      </c>
      <c r="M672" s="8">
        <f>loaded!AE672</f>
        <v>0</v>
      </c>
      <c r="N672" s="8">
        <f>loaded!AG672</f>
        <v>0</v>
      </c>
      <c r="O672" t="e">
        <f>INDEX(reces_codes,MATCH(loaded!AI672,reason,0))</f>
        <v>#N/A</v>
      </c>
      <c r="P672" t="e">
        <f>INDEX(TDS_codes,MATCH(loaded!AK672,TDS,0))</f>
        <v>#N/A</v>
      </c>
      <c r="Q672" t="e">
        <f>IF(K672=2,"",INDEX(method_codes,MATCH(loaded!AM672,method,0)))</f>
        <v>#N/A</v>
      </c>
      <c r="R672" t="e">
        <f>IF(K672=2,"",INDEX(inj_codes,MATCH(loaded!AO672,inj,0)))</f>
        <v>#N/A</v>
      </c>
      <c r="S672" t="e">
        <f>IF(K672=2,"",INDEX(drug_codes,MATCH(loaded!AQ672,drug,0)))</f>
        <v>#N/A</v>
      </c>
      <c r="T672" t="e">
        <f>IF(K672=2,"",_xlfn.IFNA(INDEX(drug_codes,MATCH(loaded!AS672,drug,0)),""))</f>
        <v>#N/A</v>
      </c>
      <c r="U672" t="e">
        <f>IF(K672=2,"",_xlfn.IFNA(INDEX(drug_codes,MATCH(loaded!AU672,drug,0)),""))</f>
        <v>#N/A</v>
      </c>
      <c r="V672" t="e">
        <f>IF(K672=2,"",_xlfn.IFNA(INDEX(drug_codes,MATCH(loaded!AW672,drug,0)),""))</f>
        <v>#N/A</v>
      </c>
      <c r="W672" t="e">
        <f>IF(K672=2,"",_xlfn.IFNA(INDEX(drug_codes,MATCH(loaded!AY672,drug,0)),""))</f>
        <v>#N/A</v>
      </c>
      <c r="X672" t="e">
        <f>IF(K672=2,"",_xlfn.IFNA(INDEX(drug_codes,MATCH(loaded!BA672,drug,0)),""))</f>
        <v>#N/A</v>
      </c>
      <c r="Y672" t="e">
        <f>INDEX(MTT_codes,MATCH(loaded!BC672,MTT,0))</f>
        <v>#N/A</v>
      </c>
      <c r="Z672" t="str">
        <f>_xlfn.IFNA(INDEX(MTT_codes,MATCH(loaded!BE672,MTT,0)),"")</f>
        <v/>
      </c>
      <c r="AA672" t="str">
        <f>_xlfn.IFNA(INDEX(MTT_codes,MATCH(loaded!BG672,MTT,0)),"")</f>
        <v/>
      </c>
      <c r="AB672" t="str">
        <f>_xlfn.IFNA(INDEX(MTT_codes,MATCH(loaded!BI672,MTT,0)),"")</f>
        <v/>
      </c>
      <c r="AC672" t="str">
        <f>_xlfn.IFNA(INDEX(MTT_codes,MATCH(loaded!BK672,MTT,0)),"")</f>
        <v/>
      </c>
      <c r="AD672" t="str">
        <f>_xlfn.IFNA(INDEX(MTT_codes,MATCH(loaded!BM672,MTT,0)),"")</f>
        <v/>
      </c>
      <c r="AE672" t="e">
        <f>INDEX(liv_ar_codes,MATCH(loaded!BO672,liv_ar,0))</f>
        <v>#N/A</v>
      </c>
      <c r="AF672" t="str">
        <f>_xlfn.IFNA(INDEX(MTT_codes,MATCH(loaded!BQ672,MTT,0)),"")</f>
        <v/>
      </c>
      <c r="AG672">
        <f>_xlfn.IFNA(INDEX(mental_codes,MATCH(loaded!BS672,mental,0)),9)</f>
        <v>9</v>
      </c>
    </row>
    <row r="673" spans="1:33" x14ac:dyDescent="0.25">
      <c r="A673">
        <f>loaded!C673</f>
        <v>0</v>
      </c>
      <c r="B673">
        <f>loaded!I673</f>
        <v>0</v>
      </c>
      <c r="C673">
        <f>IF(loaded!K673="Male",1,IF(loaded!K673="Female",2,9))</f>
        <v>9</v>
      </c>
      <c r="D673" s="8">
        <f>loaded!M673</f>
        <v>0</v>
      </c>
      <c r="E673" t="str">
        <f>LEFT(loaded!O673,3)</f>
        <v/>
      </c>
      <c r="F673" t="e">
        <f>INDEX(cntry_codes,MATCH(loaded!Q673,countries,0))</f>
        <v>#N/A</v>
      </c>
      <c r="G673" t="e">
        <f>INDEX(atsi_codes,MATCH(loaded!S673,atsi,0))</f>
        <v>#N/A</v>
      </c>
      <c r="H673" t="e">
        <f>INDEX(lang_codes,MATCH(loaded!U673,lang,0))</f>
        <v>#N/A</v>
      </c>
      <c r="I673" s="8">
        <f>loaded!W673</f>
        <v>0</v>
      </c>
      <c r="J673" t="e">
        <f>INDEX(us_acc_codes,MATCH(loaded!Y673,us_acc,0))</f>
        <v>#N/A</v>
      </c>
      <c r="K673" t="e">
        <f>INDEX(client_codes,MATCH(loaded!AA673,client,0))</f>
        <v>#N/A</v>
      </c>
      <c r="L673" t="e">
        <f>INDEX(src_ref_codes,MATCH(loaded!AC673,src_ref,0))</f>
        <v>#N/A</v>
      </c>
      <c r="M673" s="8">
        <f>loaded!AE673</f>
        <v>0</v>
      </c>
      <c r="N673" s="8">
        <f>loaded!AG673</f>
        <v>0</v>
      </c>
      <c r="O673" t="e">
        <f>INDEX(reces_codes,MATCH(loaded!AI673,reason,0))</f>
        <v>#N/A</v>
      </c>
      <c r="P673" t="e">
        <f>INDEX(TDS_codes,MATCH(loaded!AK673,TDS,0))</f>
        <v>#N/A</v>
      </c>
      <c r="Q673" t="e">
        <f>IF(K673=2,"",INDEX(method_codes,MATCH(loaded!AM673,method,0)))</f>
        <v>#N/A</v>
      </c>
      <c r="R673" t="e">
        <f>IF(K673=2,"",INDEX(inj_codes,MATCH(loaded!AO673,inj,0)))</f>
        <v>#N/A</v>
      </c>
      <c r="S673" t="e">
        <f>IF(K673=2,"",INDEX(drug_codes,MATCH(loaded!AQ673,drug,0)))</f>
        <v>#N/A</v>
      </c>
      <c r="T673" t="e">
        <f>IF(K673=2,"",_xlfn.IFNA(INDEX(drug_codes,MATCH(loaded!AS673,drug,0)),""))</f>
        <v>#N/A</v>
      </c>
      <c r="U673" t="e">
        <f>IF(K673=2,"",_xlfn.IFNA(INDEX(drug_codes,MATCH(loaded!AU673,drug,0)),""))</f>
        <v>#N/A</v>
      </c>
      <c r="V673" t="e">
        <f>IF(K673=2,"",_xlfn.IFNA(INDEX(drug_codes,MATCH(loaded!AW673,drug,0)),""))</f>
        <v>#N/A</v>
      </c>
      <c r="W673" t="e">
        <f>IF(K673=2,"",_xlfn.IFNA(INDEX(drug_codes,MATCH(loaded!AY673,drug,0)),""))</f>
        <v>#N/A</v>
      </c>
      <c r="X673" t="e">
        <f>IF(K673=2,"",_xlfn.IFNA(INDEX(drug_codes,MATCH(loaded!BA673,drug,0)),""))</f>
        <v>#N/A</v>
      </c>
      <c r="Y673" t="e">
        <f>INDEX(MTT_codes,MATCH(loaded!BC673,MTT,0))</f>
        <v>#N/A</v>
      </c>
      <c r="Z673" t="str">
        <f>_xlfn.IFNA(INDEX(MTT_codes,MATCH(loaded!BE673,MTT,0)),"")</f>
        <v/>
      </c>
      <c r="AA673" t="str">
        <f>_xlfn.IFNA(INDEX(MTT_codes,MATCH(loaded!BG673,MTT,0)),"")</f>
        <v/>
      </c>
      <c r="AB673" t="str">
        <f>_xlfn.IFNA(INDEX(MTT_codes,MATCH(loaded!BI673,MTT,0)),"")</f>
        <v/>
      </c>
      <c r="AC673" t="str">
        <f>_xlfn.IFNA(INDEX(MTT_codes,MATCH(loaded!BK673,MTT,0)),"")</f>
        <v/>
      </c>
      <c r="AD673" t="str">
        <f>_xlfn.IFNA(INDEX(MTT_codes,MATCH(loaded!BM673,MTT,0)),"")</f>
        <v/>
      </c>
      <c r="AE673" t="e">
        <f>INDEX(liv_ar_codes,MATCH(loaded!BO673,liv_ar,0))</f>
        <v>#N/A</v>
      </c>
      <c r="AF673" t="str">
        <f>_xlfn.IFNA(INDEX(MTT_codes,MATCH(loaded!BQ673,MTT,0)),"")</f>
        <v/>
      </c>
      <c r="AG673">
        <f>_xlfn.IFNA(INDEX(mental_codes,MATCH(loaded!BS673,mental,0)),9)</f>
        <v>9</v>
      </c>
    </row>
    <row r="674" spans="1:33" x14ac:dyDescent="0.25">
      <c r="A674">
        <f>loaded!C674</f>
        <v>0</v>
      </c>
      <c r="B674">
        <f>loaded!I674</f>
        <v>0</v>
      </c>
      <c r="C674">
        <f>IF(loaded!K674="Male",1,IF(loaded!K674="Female",2,9))</f>
        <v>9</v>
      </c>
      <c r="D674" s="8">
        <f>loaded!M674</f>
        <v>0</v>
      </c>
      <c r="E674" t="str">
        <f>LEFT(loaded!O674,3)</f>
        <v/>
      </c>
      <c r="F674" t="e">
        <f>INDEX(cntry_codes,MATCH(loaded!Q674,countries,0))</f>
        <v>#N/A</v>
      </c>
      <c r="G674" t="e">
        <f>INDEX(atsi_codes,MATCH(loaded!S674,atsi,0))</f>
        <v>#N/A</v>
      </c>
      <c r="H674" t="e">
        <f>INDEX(lang_codes,MATCH(loaded!U674,lang,0))</f>
        <v>#N/A</v>
      </c>
      <c r="I674" s="8">
        <f>loaded!W674</f>
        <v>0</v>
      </c>
      <c r="J674" t="e">
        <f>INDEX(us_acc_codes,MATCH(loaded!Y674,us_acc,0))</f>
        <v>#N/A</v>
      </c>
      <c r="K674" t="e">
        <f>INDEX(client_codes,MATCH(loaded!AA674,client,0))</f>
        <v>#N/A</v>
      </c>
      <c r="L674" t="e">
        <f>INDEX(src_ref_codes,MATCH(loaded!AC674,src_ref,0))</f>
        <v>#N/A</v>
      </c>
      <c r="M674" s="8">
        <f>loaded!AE674</f>
        <v>0</v>
      </c>
      <c r="N674" s="8">
        <f>loaded!AG674</f>
        <v>0</v>
      </c>
      <c r="O674" t="e">
        <f>INDEX(reces_codes,MATCH(loaded!AI674,reason,0))</f>
        <v>#N/A</v>
      </c>
      <c r="P674" t="e">
        <f>INDEX(TDS_codes,MATCH(loaded!AK674,TDS,0))</f>
        <v>#N/A</v>
      </c>
      <c r="Q674" t="e">
        <f>IF(K674=2,"",INDEX(method_codes,MATCH(loaded!AM674,method,0)))</f>
        <v>#N/A</v>
      </c>
      <c r="R674" t="e">
        <f>IF(K674=2,"",INDEX(inj_codes,MATCH(loaded!AO674,inj,0)))</f>
        <v>#N/A</v>
      </c>
      <c r="S674" t="e">
        <f>IF(K674=2,"",INDEX(drug_codes,MATCH(loaded!AQ674,drug,0)))</f>
        <v>#N/A</v>
      </c>
      <c r="T674" t="e">
        <f>IF(K674=2,"",_xlfn.IFNA(INDEX(drug_codes,MATCH(loaded!AS674,drug,0)),""))</f>
        <v>#N/A</v>
      </c>
      <c r="U674" t="e">
        <f>IF(K674=2,"",_xlfn.IFNA(INDEX(drug_codes,MATCH(loaded!AU674,drug,0)),""))</f>
        <v>#N/A</v>
      </c>
      <c r="V674" t="e">
        <f>IF(K674=2,"",_xlfn.IFNA(INDEX(drug_codes,MATCH(loaded!AW674,drug,0)),""))</f>
        <v>#N/A</v>
      </c>
      <c r="W674" t="e">
        <f>IF(K674=2,"",_xlfn.IFNA(INDEX(drug_codes,MATCH(loaded!AY674,drug,0)),""))</f>
        <v>#N/A</v>
      </c>
      <c r="X674" t="e">
        <f>IF(K674=2,"",_xlfn.IFNA(INDEX(drug_codes,MATCH(loaded!BA674,drug,0)),""))</f>
        <v>#N/A</v>
      </c>
      <c r="Y674" t="e">
        <f>INDEX(MTT_codes,MATCH(loaded!BC674,MTT,0))</f>
        <v>#N/A</v>
      </c>
      <c r="Z674" t="str">
        <f>_xlfn.IFNA(INDEX(MTT_codes,MATCH(loaded!BE674,MTT,0)),"")</f>
        <v/>
      </c>
      <c r="AA674" t="str">
        <f>_xlfn.IFNA(INDEX(MTT_codes,MATCH(loaded!BG674,MTT,0)),"")</f>
        <v/>
      </c>
      <c r="AB674" t="str">
        <f>_xlfn.IFNA(INDEX(MTT_codes,MATCH(loaded!BI674,MTT,0)),"")</f>
        <v/>
      </c>
      <c r="AC674" t="str">
        <f>_xlfn.IFNA(INDEX(MTT_codes,MATCH(loaded!BK674,MTT,0)),"")</f>
        <v/>
      </c>
      <c r="AD674" t="str">
        <f>_xlfn.IFNA(INDEX(MTT_codes,MATCH(loaded!BM674,MTT,0)),"")</f>
        <v/>
      </c>
      <c r="AE674" t="e">
        <f>INDEX(liv_ar_codes,MATCH(loaded!BO674,liv_ar,0))</f>
        <v>#N/A</v>
      </c>
      <c r="AF674" t="str">
        <f>_xlfn.IFNA(INDEX(MTT_codes,MATCH(loaded!BQ674,MTT,0)),"")</f>
        <v/>
      </c>
      <c r="AG674">
        <f>_xlfn.IFNA(INDEX(mental_codes,MATCH(loaded!BS674,mental,0)),9)</f>
        <v>9</v>
      </c>
    </row>
    <row r="675" spans="1:33" x14ac:dyDescent="0.25">
      <c r="A675">
        <f>loaded!C675</f>
        <v>0</v>
      </c>
      <c r="B675">
        <f>loaded!I675</f>
        <v>0</v>
      </c>
      <c r="C675">
        <f>IF(loaded!K675="Male",1,IF(loaded!K675="Female",2,9))</f>
        <v>9</v>
      </c>
      <c r="D675" s="8">
        <f>loaded!M675</f>
        <v>0</v>
      </c>
      <c r="E675" t="str">
        <f>LEFT(loaded!O675,3)</f>
        <v/>
      </c>
      <c r="F675" t="e">
        <f>INDEX(cntry_codes,MATCH(loaded!Q675,countries,0))</f>
        <v>#N/A</v>
      </c>
      <c r="G675" t="e">
        <f>INDEX(atsi_codes,MATCH(loaded!S675,atsi,0))</f>
        <v>#N/A</v>
      </c>
      <c r="H675" t="e">
        <f>INDEX(lang_codes,MATCH(loaded!U675,lang,0))</f>
        <v>#N/A</v>
      </c>
      <c r="I675" s="8">
        <f>loaded!W675</f>
        <v>0</v>
      </c>
      <c r="J675" t="e">
        <f>INDEX(us_acc_codes,MATCH(loaded!Y675,us_acc,0))</f>
        <v>#N/A</v>
      </c>
      <c r="K675" t="e">
        <f>INDEX(client_codes,MATCH(loaded!AA675,client,0))</f>
        <v>#N/A</v>
      </c>
      <c r="L675" t="e">
        <f>INDEX(src_ref_codes,MATCH(loaded!AC675,src_ref,0))</f>
        <v>#N/A</v>
      </c>
      <c r="M675" s="8">
        <f>loaded!AE675</f>
        <v>0</v>
      </c>
      <c r="N675" s="8">
        <f>loaded!AG675</f>
        <v>0</v>
      </c>
      <c r="O675" t="e">
        <f>INDEX(reces_codes,MATCH(loaded!AI675,reason,0))</f>
        <v>#N/A</v>
      </c>
      <c r="P675" t="e">
        <f>INDEX(TDS_codes,MATCH(loaded!AK675,TDS,0))</f>
        <v>#N/A</v>
      </c>
      <c r="Q675" t="e">
        <f>IF(K675=2,"",INDEX(method_codes,MATCH(loaded!AM675,method,0)))</f>
        <v>#N/A</v>
      </c>
      <c r="R675" t="e">
        <f>IF(K675=2,"",INDEX(inj_codes,MATCH(loaded!AO675,inj,0)))</f>
        <v>#N/A</v>
      </c>
      <c r="S675" t="e">
        <f>IF(K675=2,"",INDEX(drug_codes,MATCH(loaded!AQ675,drug,0)))</f>
        <v>#N/A</v>
      </c>
      <c r="T675" t="e">
        <f>IF(K675=2,"",_xlfn.IFNA(INDEX(drug_codes,MATCH(loaded!AS675,drug,0)),""))</f>
        <v>#N/A</v>
      </c>
      <c r="U675" t="e">
        <f>IF(K675=2,"",_xlfn.IFNA(INDEX(drug_codes,MATCH(loaded!AU675,drug,0)),""))</f>
        <v>#N/A</v>
      </c>
      <c r="V675" t="e">
        <f>IF(K675=2,"",_xlfn.IFNA(INDEX(drug_codes,MATCH(loaded!AW675,drug,0)),""))</f>
        <v>#N/A</v>
      </c>
      <c r="W675" t="e">
        <f>IF(K675=2,"",_xlfn.IFNA(INDEX(drug_codes,MATCH(loaded!AY675,drug,0)),""))</f>
        <v>#N/A</v>
      </c>
      <c r="X675" t="e">
        <f>IF(K675=2,"",_xlfn.IFNA(INDEX(drug_codes,MATCH(loaded!BA675,drug,0)),""))</f>
        <v>#N/A</v>
      </c>
      <c r="Y675" t="e">
        <f>INDEX(MTT_codes,MATCH(loaded!BC675,MTT,0))</f>
        <v>#N/A</v>
      </c>
      <c r="Z675" t="str">
        <f>_xlfn.IFNA(INDEX(MTT_codes,MATCH(loaded!BE675,MTT,0)),"")</f>
        <v/>
      </c>
      <c r="AA675" t="str">
        <f>_xlfn.IFNA(INDEX(MTT_codes,MATCH(loaded!BG675,MTT,0)),"")</f>
        <v/>
      </c>
      <c r="AB675" t="str">
        <f>_xlfn.IFNA(INDEX(MTT_codes,MATCH(loaded!BI675,MTT,0)),"")</f>
        <v/>
      </c>
      <c r="AC675" t="str">
        <f>_xlfn.IFNA(INDEX(MTT_codes,MATCH(loaded!BK675,MTT,0)),"")</f>
        <v/>
      </c>
      <c r="AD675" t="str">
        <f>_xlfn.IFNA(INDEX(MTT_codes,MATCH(loaded!BM675,MTT,0)),"")</f>
        <v/>
      </c>
      <c r="AE675" t="e">
        <f>INDEX(liv_ar_codes,MATCH(loaded!BO675,liv_ar,0))</f>
        <v>#N/A</v>
      </c>
      <c r="AF675" t="str">
        <f>_xlfn.IFNA(INDEX(MTT_codes,MATCH(loaded!BQ675,MTT,0)),"")</f>
        <v/>
      </c>
      <c r="AG675">
        <f>_xlfn.IFNA(INDEX(mental_codes,MATCH(loaded!BS675,mental,0)),9)</f>
        <v>9</v>
      </c>
    </row>
    <row r="676" spans="1:33" x14ac:dyDescent="0.25">
      <c r="A676">
        <f>loaded!C676</f>
        <v>0</v>
      </c>
      <c r="B676">
        <f>loaded!I676</f>
        <v>0</v>
      </c>
      <c r="C676">
        <f>IF(loaded!K676="Male",1,IF(loaded!K676="Female",2,9))</f>
        <v>9</v>
      </c>
      <c r="D676" s="8">
        <f>loaded!M676</f>
        <v>0</v>
      </c>
      <c r="E676" t="str">
        <f>LEFT(loaded!O676,3)</f>
        <v/>
      </c>
      <c r="F676" t="e">
        <f>INDEX(cntry_codes,MATCH(loaded!Q676,countries,0))</f>
        <v>#N/A</v>
      </c>
      <c r="G676" t="e">
        <f>INDEX(atsi_codes,MATCH(loaded!S676,atsi,0))</f>
        <v>#N/A</v>
      </c>
      <c r="H676" t="e">
        <f>INDEX(lang_codes,MATCH(loaded!U676,lang,0))</f>
        <v>#N/A</v>
      </c>
      <c r="I676" s="8">
        <f>loaded!W676</f>
        <v>0</v>
      </c>
      <c r="J676" t="e">
        <f>INDEX(us_acc_codes,MATCH(loaded!Y676,us_acc,0))</f>
        <v>#N/A</v>
      </c>
      <c r="K676" t="e">
        <f>INDEX(client_codes,MATCH(loaded!AA676,client,0))</f>
        <v>#N/A</v>
      </c>
      <c r="L676" t="e">
        <f>INDEX(src_ref_codes,MATCH(loaded!AC676,src_ref,0))</f>
        <v>#N/A</v>
      </c>
      <c r="M676" s="8">
        <f>loaded!AE676</f>
        <v>0</v>
      </c>
      <c r="N676" s="8">
        <f>loaded!AG676</f>
        <v>0</v>
      </c>
      <c r="O676" t="e">
        <f>INDEX(reces_codes,MATCH(loaded!AI676,reason,0))</f>
        <v>#N/A</v>
      </c>
      <c r="P676" t="e">
        <f>INDEX(TDS_codes,MATCH(loaded!AK676,TDS,0))</f>
        <v>#N/A</v>
      </c>
      <c r="Q676" t="e">
        <f>IF(K676=2,"",INDEX(method_codes,MATCH(loaded!AM676,method,0)))</f>
        <v>#N/A</v>
      </c>
      <c r="R676" t="e">
        <f>IF(K676=2,"",INDEX(inj_codes,MATCH(loaded!AO676,inj,0)))</f>
        <v>#N/A</v>
      </c>
      <c r="S676" t="e">
        <f>IF(K676=2,"",INDEX(drug_codes,MATCH(loaded!AQ676,drug,0)))</f>
        <v>#N/A</v>
      </c>
      <c r="T676" t="e">
        <f>IF(K676=2,"",_xlfn.IFNA(INDEX(drug_codes,MATCH(loaded!AS676,drug,0)),""))</f>
        <v>#N/A</v>
      </c>
      <c r="U676" t="e">
        <f>IF(K676=2,"",_xlfn.IFNA(INDEX(drug_codes,MATCH(loaded!AU676,drug,0)),""))</f>
        <v>#N/A</v>
      </c>
      <c r="V676" t="e">
        <f>IF(K676=2,"",_xlfn.IFNA(INDEX(drug_codes,MATCH(loaded!AW676,drug,0)),""))</f>
        <v>#N/A</v>
      </c>
      <c r="W676" t="e">
        <f>IF(K676=2,"",_xlfn.IFNA(INDEX(drug_codes,MATCH(loaded!AY676,drug,0)),""))</f>
        <v>#N/A</v>
      </c>
      <c r="X676" t="e">
        <f>IF(K676=2,"",_xlfn.IFNA(INDEX(drug_codes,MATCH(loaded!BA676,drug,0)),""))</f>
        <v>#N/A</v>
      </c>
      <c r="Y676" t="e">
        <f>INDEX(MTT_codes,MATCH(loaded!BC676,MTT,0))</f>
        <v>#N/A</v>
      </c>
      <c r="Z676" t="str">
        <f>_xlfn.IFNA(INDEX(MTT_codes,MATCH(loaded!BE676,MTT,0)),"")</f>
        <v/>
      </c>
      <c r="AA676" t="str">
        <f>_xlfn.IFNA(INDEX(MTT_codes,MATCH(loaded!BG676,MTT,0)),"")</f>
        <v/>
      </c>
      <c r="AB676" t="str">
        <f>_xlfn.IFNA(INDEX(MTT_codes,MATCH(loaded!BI676,MTT,0)),"")</f>
        <v/>
      </c>
      <c r="AC676" t="str">
        <f>_xlfn.IFNA(INDEX(MTT_codes,MATCH(loaded!BK676,MTT,0)),"")</f>
        <v/>
      </c>
      <c r="AD676" t="str">
        <f>_xlfn.IFNA(INDEX(MTT_codes,MATCH(loaded!BM676,MTT,0)),"")</f>
        <v/>
      </c>
      <c r="AE676" t="e">
        <f>INDEX(liv_ar_codes,MATCH(loaded!BO676,liv_ar,0))</f>
        <v>#N/A</v>
      </c>
      <c r="AF676" t="str">
        <f>_xlfn.IFNA(INDEX(MTT_codes,MATCH(loaded!BQ676,MTT,0)),"")</f>
        <v/>
      </c>
      <c r="AG676">
        <f>_xlfn.IFNA(INDEX(mental_codes,MATCH(loaded!BS676,mental,0)),9)</f>
        <v>9</v>
      </c>
    </row>
    <row r="677" spans="1:33" x14ac:dyDescent="0.25">
      <c r="A677">
        <f>loaded!C677</f>
        <v>0</v>
      </c>
      <c r="B677">
        <f>loaded!I677</f>
        <v>0</v>
      </c>
      <c r="C677">
        <f>IF(loaded!K677="Male",1,IF(loaded!K677="Female",2,9))</f>
        <v>9</v>
      </c>
      <c r="D677" s="8">
        <f>loaded!M677</f>
        <v>0</v>
      </c>
      <c r="E677" t="str">
        <f>LEFT(loaded!O677,3)</f>
        <v/>
      </c>
      <c r="F677" t="e">
        <f>INDEX(cntry_codes,MATCH(loaded!Q677,countries,0))</f>
        <v>#N/A</v>
      </c>
      <c r="G677" t="e">
        <f>INDEX(atsi_codes,MATCH(loaded!S677,atsi,0))</f>
        <v>#N/A</v>
      </c>
      <c r="H677" t="e">
        <f>INDEX(lang_codes,MATCH(loaded!U677,lang,0))</f>
        <v>#N/A</v>
      </c>
      <c r="I677" s="8">
        <f>loaded!W677</f>
        <v>0</v>
      </c>
      <c r="J677" t="e">
        <f>INDEX(us_acc_codes,MATCH(loaded!Y677,us_acc,0))</f>
        <v>#N/A</v>
      </c>
      <c r="K677" t="e">
        <f>INDEX(client_codes,MATCH(loaded!AA677,client,0))</f>
        <v>#N/A</v>
      </c>
      <c r="L677" t="e">
        <f>INDEX(src_ref_codes,MATCH(loaded!AC677,src_ref,0))</f>
        <v>#N/A</v>
      </c>
      <c r="M677" s="8">
        <f>loaded!AE677</f>
        <v>0</v>
      </c>
      <c r="N677" s="8">
        <f>loaded!AG677</f>
        <v>0</v>
      </c>
      <c r="O677" t="e">
        <f>INDEX(reces_codes,MATCH(loaded!AI677,reason,0))</f>
        <v>#N/A</v>
      </c>
      <c r="P677" t="e">
        <f>INDEX(TDS_codes,MATCH(loaded!AK677,TDS,0))</f>
        <v>#N/A</v>
      </c>
      <c r="Q677" t="e">
        <f>IF(K677=2,"",INDEX(method_codes,MATCH(loaded!AM677,method,0)))</f>
        <v>#N/A</v>
      </c>
      <c r="R677" t="e">
        <f>IF(K677=2,"",INDEX(inj_codes,MATCH(loaded!AO677,inj,0)))</f>
        <v>#N/A</v>
      </c>
      <c r="S677" t="e">
        <f>IF(K677=2,"",INDEX(drug_codes,MATCH(loaded!AQ677,drug,0)))</f>
        <v>#N/A</v>
      </c>
      <c r="T677" t="e">
        <f>IF(K677=2,"",_xlfn.IFNA(INDEX(drug_codes,MATCH(loaded!AS677,drug,0)),""))</f>
        <v>#N/A</v>
      </c>
      <c r="U677" t="e">
        <f>IF(K677=2,"",_xlfn.IFNA(INDEX(drug_codes,MATCH(loaded!AU677,drug,0)),""))</f>
        <v>#N/A</v>
      </c>
      <c r="V677" t="e">
        <f>IF(K677=2,"",_xlfn.IFNA(INDEX(drug_codes,MATCH(loaded!AW677,drug,0)),""))</f>
        <v>#N/A</v>
      </c>
      <c r="W677" t="e">
        <f>IF(K677=2,"",_xlfn.IFNA(INDEX(drug_codes,MATCH(loaded!AY677,drug,0)),""))</f>
        <v>#N/A</v>
      </c>
      <c r="X677" t="e">
        <f>IF(K677=2,"",_xlfn.IFNA(INDEX(drug_codes,MATCH(loaded!BA677,drug,0)),""))</f>
        <v>#N/A</v>
      </c>
      <c r="Y677" t="e">
        <f>INDEX(MTT_codes,MATCH(loaded!BC677,MTT,0))</f>
        <v>#N/A</v>
      </c>
      <c r="Z677" t="str">
        <f>_xlfn.IFNA(INDEX(MTT_codes,MATCH(loaded!BE677,MTT,0)),"")</f>
        <v/>
      </c>
      <c r="AA677" t="str">
        <f>_xlfn.IFNA(INDEX(MTT_codes,MATCH(loaded!BG677,MTT,0)),"")</f>
        <v/>
      </c>
      <c r="AB677" t="str">
        <f>_xlfn.IFNA(INDEX(MTT_codes,MATCH(loaded!BI677,MTT,0)),"")</f>
        <v/>
      </c>
      <c r="AC677" t="str">
        <f>_xlfn.IFNA(INDEX(MTT_codes,MATCH(loaded!BK677,MTT,0)),"")</f>
        <v/>
      </c>
      <c r="AD677" t="str">
        <f>_xlfn.IFNA(INDEX(MTT_codes,MATCH(loaded!BM677,MTT,0)),"")</f>
        <v/>
      </c>
      <c r="AE677" t="e">
        <f>INDEX(liv_ar_codes,MATCH(loaded!BO677,liv_ar,0))</f>
        <v>#N/A</v>
      </c>
      <c r="AF677" t="str">
        <f>_xlfn.IFNA(INDEX(MTT_codes,MATCH(loaded!BQ677,MTT,0)),"")</f>
        <v/>
      </c>
      <c r="AG677">
        <f>_xlfn.IFNA(INDEX(mental_codes,MATCH(loaded!BS677,mental,0)),9)</f>
        <v>9</v>
      </c>
    </row>
    <row r="678" spans="1:33" x14ac:dyDescent="0.25">
      <c r="A678">
        <f>loaded!C678</f>
        <v>0</v>
      </c>
      <c r="B678">
        <f>loaded!I678</f>
        <v>0</v>
      </c>
      <c r="C678">
        <f>IF(loaded!K678="Male",1,IF(loaded!K678="Female",2,9))</f>
        <v>9</v>
      </c>
      <c r="D678" s="8">
        <f>loaded!M678</f>
        <v>0</v>
      </c>
      <c r="E678" t="str">
        <f>LEFT(loaded!O678,3)</f>
        <v/>
      </c>
      <c r="F678" t="e">
        <f>INDEX(cntry_codes,MATCH(loaded!Q678,countries,0))</f>
        <v>#N/A</v>
      </c>
      <c r="G678" t="e">
        <f>INDEX(atsi_codes,MATCH(loaded!S678,atsi,0))</f>
        <v>#N/A</v>
      </c>
      <c r="H678" t="e">
        <f>INDEX(lang_codes,MATCH(loaded!U678,lang,0))</f>
        <v>#N/A</v>
      </c>
      <c r="I678" s="8">
        <f>loaded!W678</f>
        <v>0</v>
      </c>
      <c r="J678" t="e">
        <f>INDEX(us_acc_codes,MATCH(loaded!Y678,us_acc,0))</f>
        <v>#N/A</v>
      </c>
      <c r="K678" t="e">
        <f>INDEX(client_codes,MATCH(loaded!AA678,client,0))</f>
        <v>#N/A</v>
      </c>
      <c r="L678" t="e">
        <f>INDEX(src_ref_codes,MATCH(loaded!AC678,src_ref,0))</f>
        <v>#N/A</v>
      </c>
      <c r="M678" s="8">
        <f>loaded!AE678</f>
        <v>0</v>
      </c>
      <c r="N678" s="8">
        <f>loaded!AG678</f>
        <v>0</v>
      </c>
      <c r="O678" t="e">
        <f>INDEX(reces_codes,MATCH(loaded!AI678,reason,0))</f>
        <v>#N/A</v>
      </c>
      <c r="P678" t="e">
        <f>INDEX(TDS_codes,MATCH(loaded!AK678,TDS,0))</f>
        <v>#N/A</v>
      </c>
      <c r="Q678" t="e">
        <f>IF(K678=2,"",INDEX(method_codes,MATCH(loaded!AM678,method,0)))</f>
        <v>#N/A</v>
      </c>
      <c r="R678" t="e">
        <f>IF(K678=2,"",INDEX(inj_codes,MATCH(loaded!AO678,inj,0)))</f>
        <v>#N/A</v>
      </c>
      <c r="S678" t="e">
        <f>IF(K678=2,"",INDEX(drug_codes,MATCH(loaded!AQ678,drug,0)))</f>
        <v>#N/A</v>
      </c>
      <c r="T678" t="e">
        <f>IF(K678=2,"",_xlfn.IFNA(INDEX(drug_codes,MATCH(loaded!AS678,drug,0)),""))</f>
        <v>#N/A</v>
      </c>
      <c r="U678" t="e">
        <f>IF(K678=2,"",_xlfn.IFNA(INDEX(drug_codes,MATCH(loaded!AU678,drug,0)),""))</f>
        <v>#N/A</v>
      </c>
      <c r="V678" t="e">
        <f>IF(K678=2,"",_xlfn.IFNA(INDEX(drug_codes,MATCH(loaded!AW678,drug,0)),""))</f>
        <v>#N/A</v>
      </c>
      <c r="W678" t="e">
        <f>IF(K678=2,"",_xlfn.IFNA(INDEX(drug_codes,MATCH(loaded!AY678,drug,0)),""))</f>
        <v>#N/A</v>
      </c>
      <c r="X678" t="e">
        <f>IF(K678=2,"",_xlfn.IFNA(INDEX(drug_codes,MATCH(loaded!BA678,drug,0)),""))</f>
        <v>#N/A</v>
      </c>
      <c r="Y678" t="e">
        <f>INDEX(MTT_codes,MATCH(loaded!BC678,MTT,0))</f>
        <v>#N/A</v>
      </c>
      <c r="Z678" t="str">
        <f>_xlfn.IFNA(INDEX(MTT_codes,MATCH(loaded!BE678,MTT,0)),"")</f>
        <v/>
      </c>
      <c r="AA678" t="str">
        <f>_xlfn.IFNA(INDEX(MTT_codes,MATCH(loaded!BG678,MTT,0)),"")</f>
        <v/>
      </c>
      <c r="AB678" t="str">
        <f>_xlfn.IFNA(INDEX(MTT_codes,MATCH(loaded!BI678,MTT,0)),"")</f>
        <v/>
      </c>
      <c r="AC678" t="str">
        <f>_xlfn.IFNA(INDEX(MTT_codes,MATCH(loaded!BK678,MTT,0)),"")</f>
        <v/>
      </c>
      <c r="AD678" t="str">
        <f>_xlfn.IFNA(INDEX(MTT_codes,MATCH(loaded!BM678,MTT,0)),"")</f>
        <v/>
      </c>
      <c r="AE678" t="e">
        <f>INDEX(liv_ar_codes,MATCH(loaded!BO678,liv_ar,0))</f>
        <v>#N/A</v>
      </c>
      <c r="AF678" t="str">
        <f>_xlfn.IFNA(INDEX(MTT_codes,MATCH(loaded!BQ678,MTT,0)),"")</f>
        <v/>
      </c>
      <c r="AG678">
        <f>_xlfn.IFNA(INDEX(mental_codes,MATCH(loaded!BS678,mental,0)),9)</f>
        <v>9</v>
      </c>
    </row>
    <row r="679" spans="1:33" x14ac:dyDescent="0.25">
      <c r="A679">
        <f>loaded!C679</f>
        <v>0</v>
      </c>
      <c r="B679">
        <f>loaded!I679</f>
        <v>0</v>
      </c>
      <c r="C679">
        <f>IF(loaded!K679="Male",1,IF(loaded!K679="Female",2,9))</f>
        <v>9</v>
      </c>
      <c r="D679" s="8">
        <f>loaded!M679</f>
        <v>0</v>
      </c>
      <c r="E679" t="str">
        <f>LEFT(loaded!O679,3)</f>
        <v/>
      </c>
      <c r="F679" t="e">
        <f>INDEX(cntry_codes,MATCH(loaded!Q679,countries,0))</f>
        <v>#N/A</v>
      </c>
      <c r="G679" t="e">
        <f>INDEX(atsi_codes,MATCH(loaded!S679,atsi,0))</f>
        <v>#N/A</v>
      </c>
      <c r="H679" t="e">
        <f>INDEX(lang_codes,MATCH(loaded!U679,lang,0))</f>
        <v>#N/A</v>
      </c>
      <c r="I679" s="8">
        <f>loaded!W679</f>
        <v>0</v>
      </c>
      <c r="J679" t="e">
        <f>INDEX(us_acc_codes,MATCH(loaded!Y679,us_acc,0))</f>
        <v>#N/A</v>
      </c>
      <c r="K679" t="e">
        <f>INDEX(client_codes,MATCH(loaded!AA679,client,0))</f>
        <v>#N/A</v>
      </c>
      <c r="L679" t="e">
        <f>INDEX(src_ref_codes,MATCH(loaded!AC679,src_ref,0))</f>
        <v>#N/A</v>
      </c>
      <c r="M679" s="8">
        <f>loaded!AE679</f>
        <v>0</v>
      </c>
      <c r="N679" s="8">
        <f>loaded!AG679</f>
        <v>0</v>
      </c>
      <c r="O679" t="e">
        <f>INDEX(reces_codes,MATCH(loaded!AI679,reason,0))</f>
        <v>#N/A</v>
      </c>
      <c r="P679" t="e">
        <f>INDEX(TDS_codes,MATCH(loaded!AK679,TDS,0))</f>
        <v>#N/A</v>
      </c>
      <c r="Q679" t="e">
        <f>IF(K679=2,"",INDEX(method_codes,MATCH(loaded!AM679,method,0)))</f>
        <v>#N/A</v>
      </c>
      <c r="R679" t="e">
        <f>IF(K679=2,"",INDEX(inj_codes,MATCH(loaded!AO679,inj,0)))</f>
        <v>#N/A</v>
      </c>
      <c r="S679" t="e">
        <f>IF(K679=2,"",INDEX(drug_codes,MATCH(loaded!AQ679,drug,0)))</f>
        <v>#N/A</v>
      </c>
      <c r="T679" t="e">
        <f>IF(K679=2,"",_xlfn.IFNA(INDEX(drug_codes,MATCH(loaded!AS679,drug,0)),""))</f>
        <v>#N/A</v>
      </c>
      <c r="U679" t="e">
        <f>IF(K679=2,"",_xlfn.IFNA(INDEX(drug_codes,MATCH(loaded!AU679,drug,0)),""))</f>
        <v>#N/A</v>
      </c>
      <c r="V679" t="e">
        <f>IF(K679=2,"",_xlfn.IFNA(INDEX(drug_codes,MATCH(loaded!AW679,drug,0)),""))</f>
        <v>#N/A</v>
      </c>
      <c r="W679" t="e">
        <f>IF(K679=2,"",_xlfn.IFNA(INDEX(drug_codes,MATCH(loaded!AY679,drug,0)),""))</f>
        <v>#N/A</v>
      </c>
      <c r="X679" t="e">
        <f>IF(K679=2,"",_xlfn.IFNA(INDEX(drug_codes,MATCH(loaded!BA679,drug,0)),""))</f>
        <v>#N/A</v>
      </c>
      <c r="Y679" t="e">
        <f>INDEX(MTT_codes,MATCH(loaded!BC679,MTT,0))</f>
        <v>#N/A</v>
      </c>
      <c r="Z679" t="str">
        <f>_xlfn.IFNA(INDEX(MTT_codes,MATCH(loaded!BE679,MTT,0)),"")</f>
        <v/>
      </c>
      <c r="AA679" t="str">
        <f>_xlfn.IFNA(INDEX(MTT_codes,MATCH(loaded!BG679,MTT,0)),"")</f>
        <v/>
      </c>
      <c r="AB679" t="str">
        <f>_xlfn.IFNA(INDEX(MTT_codes,MATCH(loaded!BI679,MTT,0)),"")</f>
        <v/>
      </c>
      <c r="AC679" t="str">
        <f>_xlfn.IFNA(INDEX(MTT_codes,MATCH(loaded!BK679,MTT,0)),"")</f>
        <v/>
      </c>
      <c r="AD679" t="str">
        <f>_xlfn.IFNA(INDEX(MTT_codes,MATCH(loaded!BM679,MTT,0)),"")</f>
        <v/>
      </c>
      <c r="AE679" t="e">
        <f>INDEX(liv_ar_codes,MATCH(loaded!BO679,liv_ar,0))</f>
        <v>#N/A</v>
      </c>
      <c r="AF679" t="str">
        <f>_xlfn.IFNA(INDEX(MTT_codes,MATCH(loaded!BQ679,MTT,0)),"")</f>
        <v/>
      </c>
      <c r="AG679">
        <f>_xlfn.IFNA(INDEX(mental_codes,MATCH(loaded!BS679,mental,0)),9)</f>
        <v>9</v>
      </c>
    </row>
    <row r="680" spans="1:33" x14ac:dyDescent="0.25">
      <c r="A680">
        <f>loaded!C680</f>
        <v>0</v>
      </c>
      <c r="B680">
        <f>loaded!I680</f>
        <v>0</v>
      </c>
      <c r="C680">
        <f>IF(loaded!K680="Male",1,IF(loaded!K680="Female",2,9))</f>
        <v>9</v>
      </c>
      <c r="D680" s="8">
        <f>loaded!M680</f>
        <v>0</v>
      </c>
      <c r="E680" t="str">
        <f>LEFT(loaded!O680,3)</f>
        <v/>
      </c>
      <c r="F680" t="e">
        <f>INDEX(cntry_codes,MATCH(loaded!Q680,countries,0))</f>
        <v>#N/A</v>
      </c>
      <c r="G680" t="e">
        <f>INDEX(atsi_codes,MATCH(loaded!S680,atsi,0))</f>
        <v>#N/A</v>
      </c>
      <c r="H680" t="e">
        <f>INDEX(lang_codes,MATCH(loaded!U680,lang,0))</f>
        <v>#N/A</v>
      </c>
      <c r="I680" s="8">
        <f>loaded!W680</f>
        <v>0</v>
      </c>
      <c r="J680" t="e">
        <f>INDEX(us_acc_codes,MATCH(loaded!Y680,us_acc,0))</f>
        <v>#N/A</v>
      </c>
      <c r="K680" t="e">
        <f>INDEX(client_codes,MATCH(loaded!AA680,client,0))</f>
        <v>#N/A</v>
      </c>
      <c r="L680" t="e">
        <f>INDEX(src_ref_codes,MATCH(loaded!AC680,src_ref,0))</f>
        <v>#N/A</v>
      </c>
      <c r="M680" s="8">
        <f>loaded!AE680</f>
        <v>0</v>
      </c>
      <c r="N680" s="8">
        <f>loaded!AG680</f>
        <v>0</v>
      </c>
      <c r="O680" t="e">
        <f>INDEX(reces_codes,MATCH(loaded!AI680,reason,0))</f>
        <v>#N/A</v>
      </c>
      <c r="P680" t="e">
        <f>INDEX(TDS_codes,MATCH(loaded!AK680,TDS,0))</f>
        <v>#N/A</v>
      </c>
      <c r="Q680" t="e">
        <f>IF(K680=2,"",INDEX(method_codes,MATCH(loaded!AM680,method,0)))</f>
        <v>#N/A</v>
      </c>
      <c r="R680" t="e">
        <f>IF(K680=2,"",INDEX(inj_codes,MATCH(loaded!AO680,inj,0)))</f>
        <v>#N/A</v>
      </c>
      <c r="S680" t="e">
        <f>IF(K680=2,"",INDEX(drug_codes,MATCH(loaded!AQ680,drug,0)))</f>
        <v>#N/A</v>
      </c>
      <c r="T680" t="e">
        <f>IF(K680=2,"",_xlfn.IFNA(INDEX(drug_codes,MATCH(loaded!AS680,drug,0)),""))</f>
        <v>#N/A</v>
      </c>
      <c r="U680" t="e">
        <f>IF(K680=2,"",_xlfn.IFNA(INDEX(drug_codes,MATCH(loaded!AU680,drug,0)),""))</f>
        <v>#N/A</v>
      </c>
      <c r="V680" t="e">
        <f>IF(K680=2,"",_xlfn.IFNA(INDEX(drug_codes,MATCH(loaded!AW680,drug,0)),""))</f>
        <v>#N/A</v>
      </c>
      <c r="W680" t="e">
        <f>IF(K680=2,"",_xlfn.IFNA(INDEX(drug_codes,MATCH(loaded!AY680,drug,0)),""))</f>
        <v>#N/A</v>
      </c>
      <c r="X680" t="e">
        <f>IF(K680=2,"",_xlfn.IFNA(INDEX(drug_codes,MATCH(loaded!BA680,drug,0)),""))</f>
        <v>#N/A</v>
      </c>
      <c r="Y680" t="e">
        <f>INDEX(MTT_codes,MATCH(loaded!BC680,MTT,0))</f>
        <v>#N/A</v>
      </c>
      <c r="Z680" t="str">
        <f>_xlfn.IFNA(INDEX(MTT_codes,MATCH(loaded!BE680,MTT,0)),"")</f>
        <v/>
      </c>
      <c r="AA680" t="str">
        <f>_xlfn.IFNA(INDEX(MTT_codes,MATCH(loaded!BG680,MTT,0)),"")</f>
        <v/>
      </c>
      <c r="AB680" t="str">
        <f>_xlfn.IFNA(INDEX(MTT_codes,MATCH(loaded!BI680,MTT,0)),"")</f>
        <v/>
      </c>
      <c r="AC680" t="str">
        <f>_xlfn.IFNA(INDEX(MTT_codes,MATCH(loaded!BK680,MTT,0)),"")</f>
        <v/>
      </c>
      <c r="AD680" t="str">
        <f>_xlfn.IFNA(INDEX(MTT_codes,MATCH(loaded!BM680,MTT,0)),"")</f>
        <v/>
      </c>
      <c r="AE680" t="e">
        <f>INDEX(liv_ar_codes,MATCH(loaded!BO680,liv_ar,0))</f>
        <v>#N/A</v>
      </c>
      <c r="AF680" t="str">
        <f>_xlfn.IFNA(INDEX(MTT_codes,MATCH(loaded!BQ680,MTT,0)),"")</f>
        <v/>
      </c>
      <c r="AG680">
        <f>_xlfn.IFNA(INDEX(mental_codes,MATCH(loaded!BS680,mental,0)),9)</f>
        <v>9</v>
      </c>
    </row>
    <row r="681" spans="1:33" x14ac:dyDescent="0.25">
      <c r="A681">
        <f>loaded!C681</f>
        <v>0</v>
      </c>
      <c r="B681">
        <f>loaded!I681</f>
        <v>0</v>
      </c>
      <c r="C681">
        <f>IF(loaded!K681="Male",1,IF(loaded!K681="Female",2,9))</f>
        <v>9</v>
      </c>
      <c r="D681" s="8">
        <f>loaded!M681</f>
        <v>0</v>
      </c>
      <c r="E681" t="str">
        <f>LEFT(loaded!O681,3)</f>
        <v/>
      </c>
      <c r="F681" t="e">
        <f>INDEX(cntry_codes,MATCH(loaded!Q681,countries,0))</f>
        <v>#N/A</v>
      </c>
      <c r="G681" t="e">
        <f>INDEX(atsi_codes,MATCH(loaded!S681,atsi,0))</f>
        <v>#N/A</v>
      </c>
      <c r="H681" t="e">
        <f>INDEX(lang_codes,MATCH(loaded!U681,lang,0))</f>
        <v>#N/A</v>
      </c>
      <c r="I681" s="8">
        <f>loaded!W681</f>
        <v>0</v>
      </c>
      <c r="J681" t="e">
        <f>INDEX(us_acc_codes,MATCH(loaded!Y681,us_acc,0))</f>
        <v>#N/A</v>
      </c>
      <c r="K681" t="e">
        <f>INDEX(client_codes,MATCH(loaded!AA681,client,0))</f>
        <v>#N/A</v>
      </c>
      <c r="L681" t="e">
        <f>INDEX(src_ref_codes,MATCH(loaded!AC681,src_ref,0))</f>
        <v>#N/A</v>
      </c>
      <c r="M681" s="8">
        <f>loaded!AE681</f>
        <v>0</v>
      </c>
      <c r="N681" s="8">
        <f>loaded!AG681</f>
        <v>0</v>
      </c>
      <c r="O681" t="e">
        <f>INDEX(reces_codes,MATCH(loaded!AI681,reason,0))</f>
        <v>#N/A</v>
      </c>
      <c r="P681" t="e">
        <f>INDEX(TDS_codes,MATCH(loaded!AK681,TDS,0))</f>
        <v>#N/A</v>
      </c>
      <c r="Q681" t="e">
        <f>IF(K681=2,"",INDEX(method_codes,MATCH(loaded!AM681,method,0)))</f>
        <v>#N/A</v>
      </c>
      <c r="R681" t="e">
        <f>IF(K681=2,"",INDEX(inj_codes,MATCH(loaded!AO681,inj,0)))</f>
        <v>#N/A</v>
      </c>
      <c r="S681" t="e">
        <f>IF(K681=2,"",INDEX(drug_codes,MATCH(loaded!AQ681,drug,0)))</f>
        <v>#N/A</v>
      </c>
      <c r="T681" t="e">
        <f>IF(K681=2,"",_xlfn.IFNA(INDEX(drug_codes,MATCH(loaded!AS681,drug,0)),""))</f>
        <v>#N/A</v>
      </c>
      <c r="U681" t="e">
        <f>IF(K681=2,"",_xlfn.IFNA(INDEX(drug_codes,MATCH(loaded!AU681,drug,0)),""))</f>
        <v>#N/A</v>
      </c>
      <c r="V681" t="e">
        <f>IF(K681=2,"",_xlfn.IFNA(INDEX(drug_codes,MATCH(loaded!AW681,drug,0)),""))</f>
        <v>#N/A</v>
      </c>
      <c r="W681" t="e">
        <f>IF(K681=2,"",_xlfn.IFNA(INDEX(drug_codes,MATCH(loaded!AY681,drug,0)),""))</f>
        <v>#N/A</v>
      </c>
      <c r="X681" t="e">
        <f>IF(K681=2,"",_xlfn.IFNA(INDEX(drug_codes,MATCH(loaded!BA681,drug,0)),""))</f>
        <v>#N/A</v>
      </c>
      <c r="Y681" t="e">
        <f>INDEX(MTT_codes,MATCH(loaded!BC681,MTT,0))</f>
        <v>#N/A</v>
      </c>
      <c r="Z681" t="str">
        <f>_xlfn.IFNA(INDEX(MTT_codes,MATCH(loaded!BE681,MTT,0)),"")</f>
        <v/>
      </c>
      <c r="AA681" t="str">
        <f>_xlfn.IFNA(INDEX(MTT_codes,MATCH(loaded!BG681,MTT,0)),"")</f>
        <v/>
      </c>
      <c r="AB681" t="str">
        <f>_xlfn.IFNA(INDEX(MTT_codes,MATCH(loaded!BI681,MTT,0)),"")</f>
        <v/>
      </c>
      <c r="AC681" t="str">
        <f>_xlfn.IFNA(INDEX(MTT_codes,MATCH(loaded!BK681,MTT,0)),"")</f>
        <v/>
      </c>
      <c r="AD681" t="str">
        <f>_xlfn.IFNA(INDEX(MTT_codes,MATCH(loaded!BM681,MTT,0)),"")</f>
        <v/>
      </c>
      <c r="AE681" t="e">
        <f>INDEX(liv_ar_codes,MATCH(loaded!BO681,liv_ar,0))</f>
        <v>#N/A</v>
      </c>
      <c r="AF681" t="str">
        <f>_xlfn.IFNA(INDEX(MTT_codes,MATCH(loaded!BQ681,MTT,0)),"")</f>
        <v/>
      </c>
      <c r="AG681">
        <f>_xlfn.IFNA(INDEX(mental_codes,MATCH(loaded!BS681,mental,0)),9)</f>
        <v>9</v>
      </c>
    </row>
    <row r="682" spans="1:33" x14ac:dyDescent="0.25">
      <c r="A682">
        <f>loaded!C682</f>
        <v>0</v>
      </c>
      <c r="B682">
        <f>loaded!I682</f>
        <v>0</v>
      </c>
      <c r="C682">
        <f>IF(loaded!K682="Male",1,IF(loaded!K682="Female",2,9))</f>
        <v>9</v>
      </c>
      <c r="D682" s="8">
        <f>loaded!M682</f>
        <v>0</v>
      </c>
      <c r="E682" t="str">
        <f>LEFT(loaded!O682,3)</f>
        <v/>
      </c>
      <c r="F682" t="e">
        <f>INDEX(cntry_codes,MATCH(loaded!Q682,countries,0))</f>
        <v>#N/A</v>
      </c>
      <c r="G682" t="e">
        <f>INDEX(atsi_codes,MATCH(loaded!S682,atsi,0))</f>
        <v>#N/A</v>
      </c>
      <c r="H682" t="e">
        <f>INDEX(lang_codes,MATCH(loaded!U682,lang,0))</f>
        <v>#N/A</v>
      </c>
      <c r="I682" s="8">
        <f>loaded!W682</f>
        <v>0</v>
      </c>
      <c r="J682" t="e">
        <f>INDEX(us_acc_codes,MATCH(loaded!Y682,us_acc,0))</f>
        <v>#N/A</v>
      </c>
      <c r="K682" t="e">
        <f>INDEX(client_codes,MATCH(loaded!AA682,client,0))</f>
        <v>#N/A</v>
      </c>
      <c r="L682" t="e">
        <f>INDEX(src_ref_codes,MATCH(loaded!AC682,src_ref,0))</f>
        <v>#N/A</v>
      </c>
      <c r="M682" s="8">
        <f>loaded!AE682</f>
        <v>0</v>
      </c>
      <c r="N682" s="8">
        <f>loaded!AG682</f>
        <v>0</v>
      </c>
      <c r="O682" t="e">
        <f>INDEX(reces_codes,MATCH(loaded!AI682,reason,0))</f>
        <v>#N/A</v>
      </c>
      <c r="P682" t="e">
        <f>INDEX(TDS_codes,MATCH(loaded!AK682,TDS,0))</f>
        <v>#N/A</v>
      </c>
      <c r="Q682" t="e">
        <f>IF(K682=2,"",INDEX(method_codes,MATCH(loaded!AM682,method,0)))</f>
        <v>#N/A</v>
      </c>
      <c r="R682" t="e">
        <f>IF(K682=2,"",INDEX(inj_codes,MATCH(loaded!AO682,inj,0)))</f>
        <v>#N/A</v>
      </c>
      <c r="S682" t="e">
        <f>IF(K682=2,"",INDEX(drug_codes,MATCH(loaded!AQ682,drug,0)))</f>
        <v>#N/A</v>
      </c>
      <c r="T682" t="e">
        <f>IF(K682=2,"",_xlfn.IFNA(INDEX(drug_codes,MATCH(loaded!AS682,drug,0)),""))</f>
        <v>#N/A</v>
      </c>
      <c r="U682" t="e">
        <f>IF(K682=2,"",_xlfn.IFNA(INDEX(drug_codes,MATCH(loaded!AU682,drug,0)),""))</f>
        <v>#N/A</v>
      </c>
      <c r="V682" t="e">
        <f>IF(K682=2,"",_xlfn.IFNA(INDEX(drug_codes,MATCH(loaded!AW682,drug,0)),""))</f>
        <v>#N/A</v>
      </c>
      <c r="W682" t="e">
        <f>IF(K682=2,"",_xlfn.IFNA(INDEX(drug_codes,MATCH(loaded!AY682,drug,0)),""))</f>
        <v>#N/A</v>
      </c>
      <c r="X682" t="e">
        <f>IF(K682=2,"",_xlfn.IFNA(INDEX(drug_codes,MATCH(loaded!BA682,drug,0)),""))</f>
        <v>#N/A</v>
      </c>
      <c r="Y682" t="e">
        <f>INDEX(MTT_codes,MATCH(loaded!BC682,MTT,0))</f>
        <v>#N/A</v>
      </c>
      <c r="Z682" t="str">
        <f>_xlfn.IFNA(INDEX(MTT_codes,MATCH(loaded!BE682,MTT,0)),"")</f>
        <v/>
      </c>
      <c r="AA682" t="str">
        <f>_xlfn.IFNA(INDEX(MTT_codes,MATCH(loaded!BG682,MTT,0)),"")</f>
        <v/>
      </c>
      <c r="AB682" t="str">
        <f>_xlfn.IFNA(INDEX(MTT_codes,MATCH(loaded!BI682,MTT,0)),"")</f>
        <v/>
      </c>
      <c r="AC682" t="str">
        <f>_xlfn.IFNA(INDEX(MTT_codes,MATCH(loaded!BK682,MTT,0)),"")</f>
        <v/>
      </c>
      <c r="AD682" t="str">
        <f>_xlfn.IFNA(INDEX(MTT_codes,MATCH(loaded!BM682,MTT,0)),"")</f>
        <v/>
      </c>
      <c r="AE682" t="e">
        <f>INDEX(liv_ar_codes,MATCH(loaded!BO682,liv_ar,0))</f>
        <v>#N/A</v>
      </c>
      <c r="AF682" t="str">
        <f>_xlfn.IFNA(INDEX(MTT_codes,MATCH(loaded!BQ682,MTT,0)),"")</f>
        <v/>
      </c>
      <c r="AG682">
        <f>_xlfn.IFNA(INDEX(mental_codes,MATCH(loaded!BS682,mental,0)),9)</f>
        <v>9</v>
      </c>
    </row>
    <row r="683" spans="1:33" x14ac:dyDescent="0.25">
      <c r="A683">
        <f>loaded!C683</f>
        <v>0</v>
      </c>
      <c r="B683">
        <f>loaded!I683</f>
        <v>0</v>
      </c>
      <c r="C683">
        <f>IF(loaded!K683="Male",1,IF(loaded!K683="Female",2,9))</f>
        <v>9</v>
      </c>
      <c r="D683" s="8">
        <f>loaded!M683</f>
        <v>0</v>
      </c>
      <c r="E683" t="str">
        <f>LEFT(loaded!O683,3)</f>
        <v/>
      </c>
      <c r="F683" t="e">
        <f>INDEX(cntry_codes,MATCH(loaded!Q683,countries,0))</f>
        <v>#N/A</v>
      </c>
      <c r="G683" t="e">
        <f>INDEX(atsi_codes,MATCH(loaded!S683,atsi,0))</f>
        <v>#N/A</v>
      </c>
      <c r="H683" t="e">
        <f>INDEX(lang_codes,MATCH(loaded!U683,lang,0))</f>
        <v>#N/A</v>
      </c>
      <c r="I683" s="8">
        <f>loaded!W683</f>
        <v>0</v>
      </c>
      <c r="J683" t="e">
        <f>INDEX(us_acc_codes,MATCH(loaded!Y683,us_acc,0))</f>
        <v>#N/A</v>
      </c>
      <c r="K683" t="e">
        <f>INDEX(client_codes,MATCH(loaded!AA683,client,0))</f>
        <v>#N/A</v>
      </c>
      <c r="L683" t="e">
        <f>INDEX(src_ref_codes,MATCH(loaded!AC683,src_ref,0))</f>
        <v>#N/A</v>
      </c>
      <c r="M683" s="8">
        <f>loaded!AE683</f>
        <v>0</v>
      </c>
      <c r="N683" s="8">
        <f>loaded!AG683</f>
        <v>0</v>
      </c>
      <c r="O683" t="e">
        <f>INDEX(reces_codes,MATCH(loaded!AI683,reason,0))</f>
        <v>#N/A</v>
      </c>
      <c r="P683" t="e">
        <f>INDEX(TDS_codes,MATCH(loaded!AK683,TDS,0))</f>
        <v>#N/A</v>
      </c>
      <c r="Q683" t="e">
        <f>IF(K683=2,"",INDEX(method_codes,MATCH(loaded!AM683,method,0)))</f>
        <v>#N/A</v>
      </c>
      <c r="R683" t="e">
        <f>IF(K683=2,"",INDEX(inj_codes,MATCH(loaded!AO683,inj,0)))</f>
        <v>#N/A</v>
      </c>
      <c r="S683" t="e">
        <f>IF(K683=2,"",INDEX(drug_codes,MATCH(loaded!AQ683,drug,0)))</f>
        <v>#N/A</v>
      </c>
      <c r="T683" t="e">
        <f>IF(K683=2,"",_xlfn.IFNA(INDEX(drug_codes,MATCH(loaded!AS683,drug,0)),""))</f>
        <v>#N/A</v>
      </c>
      <c r="U683" t="e">
        <f>IF(K683=2,"",_xlfn.IFNA(INDEX(drug_codes,MATCH(loaded!AU683,drug,0)),""))</f>
        <v>#N/A</v>
      </c>
      <c r="V683" t="e">
        <f>IF(K683=2,"",_xlfn.IFNA(INDEX(drug_codes,MATCH(loaded!AW683,drug,0)),""))</f>
        <v>#N/A</v>
      </c>
      <c r="W683" t="e">
        <f>IF(K683=2,"",_xlfn.IFNA(INDEX(drug_codes,MATCH(loaded!AY683,drug,0)),""))</f>
        <v>#N/A</v>
      </c>
      <c r="X683" t="e">
        <f>IF(K683=2,"",_xlfn.IFNA(INDEX(drug_codes,MATCH(loaded!BA683,drug,0)),""))</f>
        <v>#N/A</v>
      </c>
      <c r="Y683" t="e">
        <f>INDEX(MTT_codes,MATCH(loaded!BC683,MTT,0))</f>
        <v>#N/A</v>
      </c>
      <c r="Z683" t="str">
        <f>_xlfn.IFNA(INDEX(MTT_codes,MATCH(loaded!BE683,MTT,0)),"")</f>
        <v/>
      </c>
      <c r="AA683" t="str">
        <f>_xlfn.IFNA(INDEX(MTT_codes,MATCH(loaded!BG683,MTT,0)),"")</f>
        <v/>
      </c>
      <c r="AB683" t="str">
        <f>_xlfn.IFNA(INDEX(MTT_codes,MATCH(loaded!BI683,MTT,0)),"")</f>
        <v/>
      </c>
      <c r="AC683" t="str">
        <f>_xlfn.IFNA(INDEX(MTT_codes,MATCH(loaded!BK683,MTT,0)),"")</f>
        <v/>
      </c>
      <c r="AD683" t="str">
        <f>_xlfn.IFNA(INDEX(MTT_codes,MATCH(loaded!BM683,MTT,0)),"")</f>
        <v/>
      </c>
      <c r="AE683" t="e">
        <f>INDEX(liv_ar_codes,MATCH(loaded!BO683,liv_ar,0))</f>
        <v>#N/A</v>
      </c>
      <c r="AF683" t="str">
        <f>_xlfn.IFNA(INDEX(MTT_codes,MATCH(loaded!BQ683,MTT,0)),"")</f>
        <v/>
      </c>
      <c r="AG683">
        <f>_xlfn.IFNA(INDEX(mental_codes,MATCH(loaded!BS683,mental,0)),9)</f>
        <v>9</v>
      </c>
    </row>
    <row r="684" spans="1:33" x14ac:dyDescent="0.25">
      <c r="A684">
        <f>loaded!C684</f>
        <v>0</v>
      </c>
      <c r="B684">
        <f>loaded!I684</f>
        <v>0</v>
      </c>
      <c r="C684">
        <f>IF(loaded!K684="Male",1,IF(loaded!K684="Female",2,9))</f>
        <v>9</v>
      </c>
      <c r="D684" s="8">
        <f>loaded!M684</f>
        <v>0</v>
      </c>
      <c r="E684" t="str">
        <f>LEFT(loaded!O684,3)</f>
        <v/>
      </c>
      <c r="F684" t="e">
        <f>INDEX(cntry_codes,MATCH(loaded!Q684,countries,0))</f>
        <v>#N/A</v>
      </c>
      <c r="G684" t="e">
        <f>INDEX(atsi_codes,MATCH(loaded!S684,atsi,0))</f>
        <v>#N/A</v>
      </c>
      <c r="H684" t="e">
        <f>INDEX(lang_codes,MATCH(loaded!U684,lang,0))</f>
        <v>#N/A</v>
      </c>
      <c r="I684" s="8">
        <f>loaded!W684</f>
        <v>0</v>
      </c>
      <c r="J684" t="e">
        <f>INDEX(us_acc_codes,MATCH(loaded!Y684,us_acc,0))</f>
        <v>#N/A</v>
      </c>
      <c r="K684" t="e">
        <f>INDEX(client_codes,MATCH(loaded!AA684,client,0))</f>
        <v>#N/A</v>
      </c>
      <c r="L684" t="e">
        <f>INDEX(src_ref_codes,MATCH(loaded!AC684,src_ref,0))</f>
        <v>#N/A</v>
      </c>
      <c r="M684" s="8">
        <f>loaded!AE684</f>
        <v>0</v>
      </c>
      <c r="N684" s="8">
        <f>loaded!AG684</f>
        <v>0</v>
      </c>
      <c r="O684" t="e">
        <f>INDEX(reces_codes,MATCH(loaded!AI684,reason,0))</f>
        <v>#N/A</v>
      </c>
      <c r="P684" t="e">
        <f>INDEX(TDS_codes,MATCH(loaded!AK684,TDS,0))</f>
        <v>#N/A</v>
      </c>
      <c r="Q684" t="e">
        <f>IF(K684=2,"",INDEX(method_codes,MATCH(loaded!AM684,method,0)))</f>
        <v>#N/A</v>
      </c>
      <c r="R684" t="e">
        <f>IF(K684=2,"",INDEX(inj_codes,MATCH(loaded!AO684,inj,0)))</f>
        <v>#N/A</v>
      </c>
      <c r="S684" t="e">
        <f>IF(K684=2,"",INDEX(drug_codes,MATCH(loaded!AQ684,drug,0)))</f>
        <v>#N/A</v>
      </c>
      <c r="T684" t="e">
        <f>IF(K684=2,"",_xlfn.IFNA(INDEX(drug_codes,MATCH(loaded!AS684,drug,0)),""))</f>
        <v>#N/A</v>
      </c>
      <c r="U684" t="e">
        <f>IF(K684=2,"",_xlfn.IFNA(INDEX(drug_codes,MATCH(loaded!AU684,drug,0)),""))</f>
        <v>#N/A</v>
      </c>
      <c r="V684" t="e">
        <f>IF(K684=2,"",_xlfn.IFNA(INDEX(drug_codes,MATCH(loaded!AW684,drug,0)),""))</f>
        <v>#N/A</v>
      </c>
      <c r="W684" t="e">
        <f>IF(K684=2,"",_xlfn.IFNA(INDEX(drug_codes,MATCH(loaded!AY684,drug,0)),""))</f>
        <v>#N/A</v>
      </c>
      <c r="X684" t="e">
        <f>IF(K684=2,"",_xlfn.IFNA(INDEX(drug_codes,MATCH(loaded!BA684,drug,0)),""))</f>
        <v>#N/A</v>
      </c>
      <c r="Y684" t="e">
        <f>INDEX(MTT_codes,MATCH(loaded!BC684,MTT,0))</f>
        <v>#N/A</v>
      </c>
      <c r="Z684" t="str">
        <f>_xlfn.IFNA(INDEX(MTT_codes,MATCH(loaded!BE684,MTT,0)),"")</f>
        <v/>
      </c>
      <c r="AA684" t="str">
        <f>_xlfn.IFNA(INDEX(MTT_codes,MATCH(loaded!BG684,MTT,0)),"")</f>
        <v/>
      </c>
      <c r="AB684" t="str">
        <f>_xlfn.IFNA(INDEX(MTT_codes,MATCH(loaded!BI684,MTT,0)),"")</f>
        <v/>
      </c>
      <c r="AC684" t="str">
        <f>_xlfn.IFNA(INDEX(MTT_codes,MATCH(loaded!BK684,MTT,0)),"")</f>
        <v/>
      </c>
      <c r="AD684" t="str">
        <f>_xlfn.IFNA(INDEX(MTT_codes,MATCH(loaded!BM684,MTT,0)),"")</f>
        <v/>
      </c>
      <c r="AE684" t="e">
        <f>INDEX(liv_ar_codes,MATCH(loaded!BO684,liv_ar,0))</f>
        <v>#N/A</v>
      </c>
      <c r="AF684" t="str">
        <f>_xlfn.IFNA(INDEX(MTT_codes,MATCH(loaded!BQ684,MTT,0)),"")</f>
        <v/>
      </c>
      <c r="AG684">
        <f>_xlfn.IFNA(INDEX(mental_codes,MATCH(loaded!BS684,mental,0)),9)</f>
        <v>9</v>
      </c>
    </row>
    <row r="685" spans="1:33" x14ac:dyDescent="0.25">
      <c r="A685">
        <f>loaded!C685</f>
        <v>0</v>
      </c>
      <c r="B685">
        <f>loaded!I685</f>
        <v>0</v>
      </c>
      <c r="C685">
        <f>IF(loaded!K685="Male",1,IF(loaded!K685="Female",2,9))</f>
        <v>9</v>
      </c>
      <c r="D685" s="8">
        <f>loaded!M685</f>
        <v>0</v>
      </c>
      <c r="E685" t="str">
        <f>LEFT(loaded!O685,3)</f>
        <v/>
      </c>
      <c r="F685" t="e">
        <f>INDEX(cntry_codes,MATCH(loaded!Q685,countries,0))</f>
        <v>#N/A</v>
      </c>
      <c r="G685" t="e">
        <f>INDEX(atsi_codes,MATCH(loaded!S685,atsi,0))</f>
        <v>#N/A</v>
      </c>
      <c r="H685" t="e">
        <f>INDEX(lang_codes,MATCH(loaded!U685,lang,0))</f>
        <v>#N/A</v>
      </c>
      <c r="I685" s="8">
        <f>loaded!W685</f>
        <v>0</v>
      </c>
      <c r="J685" t="e">
        <f>INDEX(us_acc_codes,MATCH(loaded!Y685,us_acc,0))</f>
        <v>#N/A</v>
      </c>
      <c r="K685" t="e">
        <f>INDEX(client_codes,MATCH(loaded!AA685,client,0))</f>
        <v>#N/A</v>
      </c>
      <c r="L685" t="e">
        <f>INDEX(src_ref_codes,MATCH(loaded!AC685,src_ref,0))</f>
        <v>#N/A</v>
      </c>
      <c r="M685" s="8">
        <f>loaded!AE685</f>
        <v>0</v>
      </c>
      <c r="N685" s="8">
        <f>loaded!AG685</f>
        <v>0</v>
      </c>
      <c r="O685" t="e">
        <f>INDEX(reces_codes,MATCH(loaded!AI685,reason,0))</f>
        <v>#N/A</v>
      </c>
      <c r="P685" t="e">
        <f>INDEX(TDS_codes,MATCH(loaded!AK685,TDS,0))</f>
        <v>#N/A</v>
      </c>
      <c r="Q685" t="e">
        <f>IF(K685=2,"",INDEX(method_codes,MATCH(loaded!AM685,method,0)))</f>
        <v>#N/A</v>
      </c>
      <c r="R685" t="e">
        <f>IF(K685=2,"",INDEX(inj_codes,MATCH(loaded!AO685,inj,0)))</f>
        <v>#N/A</v>
      </c>
      <c r="S685" t="e">
        <f>IF(K685=2,"",INDEX(drug_codes,MATCH(loaded!AQ685,drug,0)))</f>
        <v>#N/A</v>
      </c>
      <c r="T685" t="e">
        <f>IF(K685=2,"",_xlfn.IFNA(INDEX(drug_codes,MATCH(loaded!AS685,drug,0)),""))</f>
        <v>#N/A</v>
      </c>
      <c r="U685" t="e">
        <f>IF(K685=2,"",_xlfn.IFNA(INDEX(drug_codes,MATCH(loaded!AU685,drug,0)),""))</f>
        <v>#N/A</v>
      </c>
      <c r="V685" t="e">
        <f>IF(K685=2,"",_xlfn.IFNA(INDEX(drug_codes,MATCH(loaded!AW685,drug,0)),""))</f>
        <v>#N/A</v>
      </c>
      <c r="W685" t="e">
        <f>IF(K685=2,"",_xlfn.IFNA(INDEX(drug_codes,MATCH(loaded!AY685,drug,0)),""))</f>
        <v>#N/A</v>
      </c>
      <c r="X685" t="e">
        <f>IF(K685=2,"",_xlfn.IFNA(INDEX(drug_codes,MATCH(loaded!BA685,drug,0)),""))</f>
        <v>#N/A</v>
      </c>
      <c r="Y685" t="e">
        <f>INDEX(MTT_codes,MATCH(loaded!BC685,MTT,0))</f>
        <v>#N/A</v>
      </c>
      <c r="Z685" t="str">
        <f>_xlfn.IFNA(INDEX(MTT_codes,MATCH(loaded!BE685,MTT,0)),"")</f>
        <v/>
      </c>
      <c r="AA685" t="str">
        <f>_xlfn.IFNA(INDEX(MTT_codes,MATCH(loaded!BG685,MTT,0)),"")</f>
        <v/>
      </c>
      <c r="AB685" t="str">
        <f>_xlfn.IFNA(INDEX(MTT_codes,MATCH(loaded!BI685,MTT,0)),"")</f>
        <v/>
      </c>
      <c r="AC685" t="str">
        <f>_xlfn.IFNA(INDEX(MTT_codes,MATCH(loaded!BK685,MTT,0)),"")</f>
        <v/>
      </c>
      <c r="AD685" t="str">
        <f>_xlfn.IFNA(INDEX(MTT_codes,MATCH(loaded!BM685,MTT,0)),"")</f>
        <v/>
      </c>
      <c r="AE685" t="e">
        <f>INDEX(liv_ar_codes,MATCH(loaded!BO685,liv_ar,0))</f>
        <v>#N/A</v>
      </c>
      <c r="AF685" t="str">
        <f>_xlfn.IFNA(INDEX(MTT_codes,MATCH(loaded!BQ685,MTT,0)),"")</f>
        <v/>
      </c>
      <c r="AG685">
        <f>_xlfn.IFNA(INDEX(mental_codes,MATCH(loaded!BS685,mental,0)),9)</f>
        <v>9</v>
      </c>
    </row>
    <row r="686" spans="1:33" x14ac:dyDescent="0.25">
      <c r="A686">
        <f>loaded!C686</f>
        <v>0</v>
      </c>
      <c r="B686">
        <f>loaded!I686</f>
        <v>0</v>
      </c>
      <c r="C686">
        <f>IF(loaded!K686="Male",1,IF(loaded!K686="Female",2,9))</f>
        <v>9</v>
      </c>
      <c r="D686" s="8">
        <f>loaded!M686</f>
        <v>0</v>
      </c>
      <c r="E686" t="str">
        <f>LEFT(loaded!O686,3)</f>
        <v/>
      </c>
      <c r="F686" t="e">
        <f>INDEX(cntry_codes,MATCH(loaded!Q686,countries,0))</f>
        <v>#N/A</v>
      </c>
      <c r="G686" t="e">
        <f>INDEX(atsi_codes,MATCH(loaded!S686,atsi,0))</f>
        <v>#N/A</v>
      </c>
      <c r="H686" t="e">
        <f>INDEX(lang_codes,MATCH(loaded!U686,lang,0))</f>
        <v>#N/A</v>
      </c>
      <c r="I686" s="8">
        <f>loaded!W686</f>
        <v>0</v>
      </c>
      <c r="J686" t="e">
        <f>INDEX(us_acc_codes,MATCH(loaded!Y686,us_acc,0))</f>
        <v>#N/A</v>
      </c>
      <c r="K686" t="e">
        <f>INDEX(client_codes,MATCH(loaded!AA686,client,0))</f>
        <v>#N/A</v>
      </c>
      <c r="L686" t="e">
        <f>INDEX(src_ref_codes,MATCH(loaded!AC686,src_ref,0))</f>
        <v>#N/A</v>
      </c>
      <c r="M686" s="8">
        <f>loaded!AE686</f>
        <v>0</v>
      </c>
      <c r="N686" s="8">
        <f>loaded!AG686</f>
        <v>0</v>
      </c>
      <c r="O686" t="e">
        <f>INDEX(reces_codes,MATCH(loaded!AI686,reason,0))</f>
        <v>#N/A</v>
      </c>
      <c r="P686" t="e">
        <f>INDEX(TDS_codes,MATCH(loaded!AK686,TDS,0))</f>
        <v>#N/A</v>
      </c>
      <c r="Q686" t="e">
        <f>IF(K686=2,"",INDEX(method_codes,MATCH(loaded!AM686,method,0)))</f>
        <v>#N/A</v>
      </c>
      <c r="R686" t="e">
        <f>IF(K686=2,"",INDEX(inj_codes,MATCH(loaded!AO686,inj,0)))</f>
        <v>#N/A</v>
      </c>
      <c r="S686" t="e">
        <f>IF(K686=2,"",INDEX(drug_codes,MATCH(loaded!AQ686,drug,0)))</f>
        <v>#N/A</v>
      </c>
      <c r="T686" t="e">
        <f>IF(K686=2,"",_xlfn.IFNA(INDEX(drug_codes,MATCH(loaded!AS686,drug,0)),""))</f>
        <v>#N/A</v>
      </c>
      <c r="U686" t="e">
        <f>IF(K686=2,"",_xlfn.IFNA(INDEX(drug_codes,MATCH(loaded!AU686,drug,0)),""))</f>
        <v>#N/A</v>
      </c>
      <c r="V686" t="e">
        <f>IF(K686=2,"",_xlfn.IFNA(INDEX(drug_codes,MATCH(loaded!AW686,drug,0)),""))</f>
        <v>#N/A</v>
      </c>
      <c r="W686" t="e">
        <f>IF(K686=2,"",_xlfn.IFNA(INDEX(drug_codes,MATCH(loaded!AY686,drug,0)),""))</f>
        <v>#N/A</v>
      </c>
      <c r="X686" t="e">
        <f>IF(K686=2,"",_xlfn.IFNA(INDEX(drug_codes,MATCH(loaded!BA686,drug,0)),""))</f>
        <v>#N/A</v>
      </c>
      <c r="Y686" t="e">
        <f>INDEX(MTT_codes,MATCH(loaded!BC686,MTT,0))</f>
        <v>#N/A</v>
      </c>
      <c r="Z686" t="str">
        <f>_xlfn.IFNA(INDEX(MTT_codes,MATCH(loaded!BE686,MTT,0)),"")</f>
        <v/>
      </c>
      <c r="AA686" t="str">
        <f>_xlfn.IFNA(INDEX(MTT_codes,MATCH(loaded!BG686,MTT,0)),"")</f>
        <v/>
      </c>
      <c r="AB686" t="str">
        <f>_xlfn.IFNA(INDEX(MTT_codes,MATCH(loaded!BI686,MTT,0)),"")</f>
        <v/>
      </c>
      <c r="AC686" t="str">
        <f>_xlfn.IFNA(INDEX(MTT_codes,MATCH(loaded!BK686,MTT,0)),"")</f>
        <v/>
      </c>
      <c r="AD686" t="str">
        <f>_xlfn.IFNA(INDEX(MTT_codes,MATCH(loaded!BM686,MTT,0)),"")</f>
        <v/>
      </c>
      <c r="AE686" t="e">
        <f>INDEX(liv_ar_codes,MATCH(loaded!BO686,liv_ar,0))</f>
        <v>#N/A</v>
      </c>
      <c r="AF686" t="str">
        <f>_xlfn.IFNA(INDEX(MTT_codes,MATCH(loaded!BQ686,MTT,0)),"")</f>
        <v/>
      </c>
      <c r="AG686">
        <f>_xlfn.IFNA(INDEX(mental_codes,MATCH(loaded!BS686,mental,0)),9)</f>
        <v>9</v>
      </c>
    </row>
    <row r="687" spans="1:33" x14ac:dyDescent="0.25">
      <c r="A687">
        <f>loaded!C687</f>
        <v>0</v>
      </c>
      <c r="B687">
        <f>loaded!I687</f>
        <v>0</v>
      </c>
      <c r="C687">
        <f>IF(loaded!K687="Male",1,IF(loaded!K687="Female",2,9))</f>
        <v>9</v>
      </c>
      <c r="D687" s="8">
        <f>loaded!M687</f>
        <v>0</v>
      </c>
      <c r="E687" t="str">
        <f>LEFT(loaded!O687,3)</f>
        <v/>
      </c>
      <c r="F687" t="e">
        <f>INDEX(cntry_codes,MATCH(loaded!Q687,countries,0))</f>
        <v>#N/A</v>
      </c>
      <c r="G687" t="e">
        <f>INDEX(atsi_codes,MATCH(loaded!S687,atsi,0))</f>
        <v>#N/A</v>
      </c>
      <c r="H687" t="e">
        <f>INDEX(lang_codes,MATCH(loaded!U687,lang,0))</f>
        <v>#N/A</v>
      </c>
      <c r="I687" s="8">
        <f>loaded!W687</f>
        <v>0</v>
      </c>
      <c r="J687" t="e">
        <f>INDEX(us_acc_codes,MATCH(loaded!Y687,us_acc,0))</f>
        <v>#N/A</v>
      </c>
      <c r="K687" t="e">
        <f>INDEX(client_codes,MATCH(loaded!AA687,client,0))</f>
        <v>#N/A</v>
      </c>
      <c r="L687" t="e">
        <f>INDEX(src_ref_codes,MATCH(loaded!AC687,src_ref,0))</f>
        <v>#N/A</v>
      </c>
      <c r="M687" s="8">
        <f>loaded!AE687</f>
        <v>0</v>
      </c>
      <c r="N687" s="8">
        <f>loaded!AG687</f>
        <v>0</v>
      </c>
      <c r="O687" t="e">
        <f>INDEX(reces_codes,MATCH(loaded!AI687,reason,0))</f>
        <v>#N/A</v>
      </c>
      <c r="P687" t="e">
        <f>INDEX(TDS_codes,MATCH(loaded!AK687,TDS,0))</f>
        <v>#N/A</v>
      </c>
      <c r="Q687" t="e">
        <f>IF(K687=2,"",INDEX(method_codes,MATCH(loaded!AM687,method,0)))</f>
        <v>#N/A</v>
      </c>
      <c r="R687" t="e">
        <f>IF(K687=2,"",INDEX(inj_codes,MATCH(loaded!AO687,inj,0)))</f>
        <v>#N/A</v>
      </c>
      <c r="S687" t="e">
        <f>IF(K687=2,"",INDEX(drug_codes,MATCH(loaded!AQ687,drug,0)))</f>
        <v>#N/A</v>
      </c>
      <c r="T687" t="e">
        <f>IF(K687=2,"",_xlfn.IFNA(INDEX(drug_codes,MATCH(loaded!AS687,drug,0)),""))</f>
        <v>#N/A</v>
      </c>
      <c r="U687" t="e">
        <f>IF(K687=2,"",_xlfn.IFNA(INDEX(drug_codes,MATCH(loaded!AU687,drug,0)),""))</f>
        <v>#N/A</v>
      </c>
      <c r="V687" t="e">
        <f>IF(K687=2,"",_xlfn.IFNA(INDEX(drug_codes,MATCH(loaded!AW687,drug,0)),""))</f>
        <v>#N/A</v>
      </c>
      <c r="W687" t="e">
        <f>IF(K687=2,"",_xlfn.IFNA(INDEX(drug_codes,MATCH(loaded!AY687,drug,0)),""))</f>
        <v>#N/A</v>
      </c>
      <c r="X687" t="e">
        <f>IF(K687=2,"",_xlfn.IFNA(INDEX(drug_codes,MATCH(loaded!BA687,drug,0)),""))</f>
        <v>#N/A</v>
      </c>
      <c r="Y687" t="e">
        <f>INDEX(MTT_codes,MATCH(loaded!BC687,MTT,0))</f>
        <v>#N/A</v>
      </c>
      <c r="Z687" t="str">
        <f>_xlfn.IFNA(INDEX(MTT_codes,MATCH(loaded!BE687,MTT,0)),"")</f>
        <v/>
      </c>
      <c r="AA687" t="str">
        <f>_xlfn.IFNA(INDEX(MTT_codes,MATCH(loaded!BG687,MTT,0)),"")</f>
        <v/>
      </c>
      <c r="AB687" t="str">
        <f>_xlfn.IFNA(INDEX(MTT_codes,MATCH(loaded!BI687,MTT,0)),"")</f>
        <v/>
      </c>
      <c r="AC687" t="str">
        <f>_xlfn.IFNA(INDEX(MTT_codes,MATCH(loaded!BK687,MTT,0)),"")</f>
        <v/>
      </c>
      <c r="AD687" t="str">
        <f>_xlfn.IFNA(INDEX(MTT_codes,MATCH(loaded!BM687,MTT,0)),"")</f>
        <v/>
      </c>
      <c r="AE687" t="e">
        <f>INDEX(liv_ar_codes,MATCH(loaded!BO687,liv_ar,0))</f>
        <v>#N/A</v>
      </c>
      <c r="AF687" t="str">
        <f>_xlfn.IFNA(INDEX(MTT_codes,MATCH(loaded!BQ687,MTT,0)),"")</f>
        <v/>
      </c>
      <c r="AG687">
        <f>_xlfn.IFNA(INDEX(mental_codes,MATCH(loaded!BS687,mental,0)),9)</f>
        <v>9</v>
      </c>
    </row>
    <row r="688" spans="1:33" x14ac:dyDescent="0.25">
      <c r="A688">
        <f>loaded!C688</f>
        <v>0</v>
      </c>
      <c r="B688">
        <f>loaded!I688</f>
        <v>0</v>
      </c>
      <c r="C688">
        <f>IF(loaded!K688="Male",1,IF(loaded!K688="Female",2,9))</f>
        <v>9</v>
      </c>
      <c r="D688" s="8">
        <f>loaded!M688</f>
        <v>0</v>
      </c>
      <c r="E688" t="str">
        <f>LEFT(loaded!O688,3)</f>
        <v/>
      </c>
      <c r="F688" t="e">
        <f>INDEX(cntry_codes,MATCH(loaded!Q688,countries,0))</f>
        <v>#N/A</v>
      </c>
      <c r="G688" t="e">
        <f>INDEX(atsi_codes,MATCH(loaded!S688,atsi,0))</f>
        <v>#N/A</v>
      </c>
      <c r="H688" t="e">
        <f>INDEX(lang_codes,MATCH(loaded!U688,lang,0))</f>
        <v>#N/A</v>
      </c>
      <c r="I688" s="8">
        <f>loaded!W688</f>
        <v>0</v>
      </c>
      <c r="J688" t="e">
        <f>INDEX(us_acc_codes,MATCH(loaded!Y688,us_acc,0))</f>
        <v>#N/A</v>
      </c>
      <c r="K688" t="e">
        <f>INDEX(client_codes,MATCH(loaded!AA688,client,0))</f>
        <v>#N/A</v>
      </c>
      <c r="L688" t="e">
        <f>INDEX(src_ref_codes,MATCH(loaded!AC688,src_ref,0))</f>
        <v>#N/A</v>
      </c>
      <c r="M688" s="8">
        <f>loaded!AE688</f>
        <v>0</v>
      </c>
      <c r="N688" s="8">
        <f>loaded!AG688</f>
        <v>0</v>
      </c>
      <c r="O688" t="e">
        <f>INDEX(reces_codes,MATCH(loaded!AI688,reason,0))</f>
        <v>#N/A</v>
      </c>
      <c r="P688" t="e">
        <f>INDEX(TDS_codes,MATCH(loaded!AK688,TDS,0))</f>
        <v>#N/A</v>
      </c>
      <c r="Q688" t="e">
        <f>IF(K688=2,"",INDEX(method_codes,MATCH(loaded!AM688,method,0)))</f>
        <v>#N/A</v>
      </c>
      <c r="R688" t="e">
        <f>IF(K688=2,"",INDEX(inj_codes,MATCH(loaded!AO688,inj,0)))</f>
        <v>#N/A</v>
      </c>
      <c r="S688" t="e">
        <f>IF(K688=2,"",INDEX(drug_codes,MATCH(loaded!AQ688,drug,0)))</f>
        <v>#N/A</v>
      </c>
      <c r="T688" t="e">
        <f>IF(K688=2,"",_xlfn.IFNA(INDEX(drug_codes,MATCH(loaded!AS688,drug,0)),""))</f>
        <v>#N/A</v>
      </c>
      <c r="U688" t="e">
        <f>IF(K688=2,"",_xlfn.IFNA(INDEX(drug_codes,MATCH(loaded!AU688,drug,0)),""))</f>
        <v>#N/A</v>
      </c>
      <c r="V688" t="e">
        <f>IF(K688=2,"",_xlfn.IFNA(INDEX(drug_codes,MATCH(loaded!AW688,drug,0)),""))</f>
        <v>#N/A</v>
      </c>
      <c r="W688" t="e">
        <f>IF(K688=2,"",_xlfn.IFNA(INDEX(drug_codes,MATCH(loaded!AY688,drug,0)),""))</f>
        <v>#N/A</v>
      </c>
      <c r="X688" t="e">
        <f>IF(K688=2,"",_xlfn.IFNA(INDEX(drug_codes,MATCH(loaded!BA688,drug,0)),""))</f>
        <v>#N/A</v>
      </c>
      <c r="Y688" t="e">
        <f>INDEX(MTT_codes,MATCH(loaded!BC688,MTT,0))</f>
        <v>#N/A</v>
      </c>
      <c r="Z688" t="str">
        <f>_xlfn.IFNA(INDEX(MTT_codes,MATCH(loaded!BE688,MTT,0)),"")</f>
        <v/>
      </c>
      <c r="AA688" t="str">
        <f>_xlfn.IFNA(INDEX(MTT_codes,MATCH(loaded!BG688,MTT,0)),"")</f>
        <v/>
      </c>
      <c r="AB688" t="str">
        <f>_xlfn.IFNA(INDEX(MTT_codes,MATCH(loaded!BI688,MTT,0)),"")</f>
        <v/>
      </c>
      <c r="AC688" t="str">
        <f>_xlfn.IFNA(INDEX(MTT_codes,MATCH(loaded!BK688,MTT,0)),"")</f>
        <v/>
      </c>
      <c r="AD688" t="str">
        <f>_xlfn.IFNA(INDEX(MTT_codes,MATCH(loaded!BM688,MTT,0)),"")</f>
        <v/>
      </c>
      <c r="AE688" t="e">
        <f>INDEX(liv_ar_codes,MATCH(loaded!BO688,liv_ar,0))</f>
        <v>#N/A</v>
      </c>
      <c r="AF688" t="str">
        <f>_xlfn.IFNA(INDEX(MTT_codes,MATCH(loaded!BQ688,MTT,0)),"")</f>
        <v/>
      </c>
      <c r="AG688">
        <f>_xlfn.IFNA(INDEX(mental_codes,MATCH(loaded!BS688,mental,0)),9)</f>
        <v>9</v>
      </c>
    </row>
    <row r="689" spans="1:33" x14ac:dyDescent="0.25">
      <c r="A689">
        <f>loaded!C689</f>
        <v>0</v>
      </c>
      <c r="B689">
        <f>loaded!I689</f>
        <v>0</v>
      </c>
      <c r="C689">
        <f>IF(loaded!K689="Male",1,IF(loaded!K689="Female",2,9))</f>
        <v>9</v>
      </c>
      <c r="D689" s="8">
        <f>loaded!M689</f>
        <v>0</v>
      </c>
      <c r="E689" t="str">
        <f>LEFT(loaded!O689,3)</f>
        <v/>
      </c>
      <c r="F689" t="e">
        <f>INDEX(cntry_codes,MATCH(loaded!Q689,countries,0))</f>
        <v>#N/A</v>
      </c>
      <c r="G689" t="e">
        <f>INDEX(atsi_codes,MATCH(loaded!S689,atsi,0))</f>
        <v>#N/A</v>
      </c>
      <c r="H689" t="e">
        <f>INDEX(lang_codes,MATCH(loaded!U689,lang,0))</f>
        <v>#N/A</v>
      </c>
      <c r="I689" s="8">
        <f>loaded!W689</f>
        <v>0</v>
      </c>
      <c r="J689" t="e">
        <f>INDEX(us_acc_codes,MATCH(loaded!Y689,us_acc,0))</f>
        <v>#N/A</v>
      </c>
      <c r="K689" t="e">
        <f>INDEX(client_codes,MATCH(loaded!AA689,client,0))</f>
        <v>#N/A</v>
      </c>
      <c r="L689" t="e">
        <f>INDEX(src_ref_codes,MATCH(loaded!AC689,src_ref,0))</f>
        <v>#N/A</v>
      </c>
      <c r="M689" s="8">
        <f>loaded!AE689</f>
        <v>0</v>
      </c>
      <c r="N689" s="8">
        <f>loaded!AG689</f>
        <v>0</v>
      </c>
      <c r="O689" t="e">
        <f>INDEX(reces_codes,MATCH(loaded!AI689,reason,0))</f>
        <v>#N/A</v>
      </c>
      <c r="P689" t="e">
        <f>INDEX(TDS_codes,MATCH(loaded!AK689,TDS,0))</f>
        <v>#N/A</v>
      </c>
      <c r="Q689" t="e">
        <f>IF(K689=2,"",INDEX(method_codes,MATCH(loaded!AM689,method,0)))</f>
        <v>#N/A</v>
      </c>
      <c r="R689" t="e">
        <f>IF(K689=2,"",INDEX(inj_codes,MATCH(loaded!AO689,inj,0)))</f>
        <v>#N/A</v>
      </c>
      <c r="S689" t="e">
        <f>IF(K689=2,"",INDEX(drug_codes,MATCH(loaded!AQ689,drug,0)))</f>
        <v>#N/A</v>
      </c>
      <c r="T689" t="e">
        <f>IF(K689=2,"",_xlfn.IFNA(INDEX(drug_codes,MATCH(loaded!AS689,drug,0)),""))</f>
        <v>#N/A</v>
      </c>
      <c r="U689" t="e">
        <f>IF(K689=2,"",_xlfn.IFNA(INDEX(drug_codes,MATCH(loaded!AU689,drug,0)),""))</f>
        <v>#N/A</v>
      </c>
      <c r="V689" t="e">
        <f>IF(K689=2,"",_xlfn.IFNA(INDEX(drug_codes,MATCH(loaded!AW689,drug,0)),""))</f>
        <v>#N/A</v>
      </c>
      <c r="W689" t="e">
        <f>IF(K689=2,"",_xlfn.IFNA(INDEX(drug_codes,MATCH(loaded!AY689,drug,0)),""))</f>
        <v>#N/A</v>
      </c>
      <c r="X689" t="e">
        <f>IF(K689=2,"",_xlfn.IFNA(INDEX(drug_codes,MATCH(loaded!BA689,drug,0)),""))</f>
        <v>#N/A</v>
      </c>
      <c r="Y689" t="e">
        <f>INDEX(MTT_codes,MATCH(loaded!BC689,MTT,0))</f>
        <v>#N/A</v>
      </c>
      <c r="Z689" t="str">
        <f>_xlfn.IFNA(INDEX(MTT_codes,MATCH(loaded!BE689,MTT,0)),"")</f>
        <v/>
      </c>
      <c r="AA689" t="str">
        <f>_xlfn.IFNA(INDEX(MTT_codes,MATCH(loaded!BG689,MTT,0)),"")</f>
        <v/>
      </c>
      <c r="AB689" t="str">
        <f>_xlfn.IFNA(INDEX(MTT_codes,MATCH(loaded!BI689,MTT,0)),"")</f>
        <v/>
      </c>
      <c r="AC689" t="str">
        <f>_xlfn.IFNA(INDEX(MTT_codes,MATCH(loaded!BK689,MTT,0)),"")</f>
        <v/>
      </c>
      <c r="AD689" t="str">
        <f>_xlfn.IFNA(INDEX(MTT_codes,MATCH(loaded!BM689,MTT,0)),"")</f>
        <v/>
      </c>
      <c r="AE689" t="e">
        <f>INDEX(liv_ar_codes,MATCH(loaded!BO689,liv_ar,0))</f>
        <v>#N/A</v>
      </c>
      <c r="AF689" t="str">
        <f>_xlfn.IFNA(INDEX(MTT_codes,MATCH(loaded!BQ689,MTT,0)),"")</f>
        <v/>
      </c>
      <c r="AG689">
        <f>_xlfn.IFNA(INDEX(mental_codes,MATCH(loaded!BS689,mental,0)),9)</f>
        <v>9</v>
      </c>
    </row>
    <row r="690" spans="1:33" x14ac:dyDescent="0.25">
      <c r="A690">
        <f>loaded!C690</f>
        <v>0</v>
      </c>
      <c r="B690">
        <f>loaded!I690</f>
        <v>0</v>
      </c>
      <c r="C690">
        <f>IF(loaded!K690="Male",1,IF(loaded!K690="Female",2,9))</f>
        <v>9</v>
      </c>
      <c r="D690" s="8">
        <f>loaded!M690</f>
        <v>0</v>
      </c>
      <c r="E690" t="str">
        <f>LEFT(loaded!O690,3)</f>
        <v/>
      </c>
      <c r="F690" t="e">
        <f>INDEX(cntry_codes,MATCH(loaded!Q690,countries,0))</f>
        <v>#N/A</v>
      </c>
      <c r="G690" t="e">
        <f>INDEX(atsi_codes,MATCH(loaded!S690,atsi,0))</f>
        <v>#N/A</v>
      </c>
      <c r="H690" t="e">
        <f>INDEX(lang_codes,MATCH(loaded!U690,lang,0))</f>
        <v>#N/A</v>
      </c>
      <c r="I690" s="8">
        <f>loaded!W690</f>
        <v>0</v>
      </c>
      <c r="J690" t="e">
        <f>INDEX(us_acc_codes,MATCH(loaded!Y690,us_acc,0))</f>
        <v>#N/A</v>
      </c>
      <c r="K690" t="e">
        <f>INDEX(client_codes,MATCH(loaded!AA690,client,0))</f>
        <v>#N/A</v>
      </c>
      <c r="L690" t="e">
        <f>INDEX(src_ref_codes,MATCH(loaded!AC690,src_ref,0))</f>
        <v>#N/A</v>
      </c>
      <c r="M690" s="8">
        <f>loaded!AE690</f>
        <v>0</v>
      </c>
      <c r="N690" s="8">
        <f>loaded!AG690</f>
        <v>0</v>
      </c>
      <c r="O690" t="e">
        <f>INDEX(reces_codes,MATCH(loaded!AI690,reason,0))</f>
        <v>#N/A</v>
      </c>
      <c r="P690" t="e">
        <f>INDEX(TDS_codes,MATCH(loaded!AK690,TDS,0))</f>
        <v>#N/A</v>
      </c>
      <c r="Q690" t="e">
        <f>IF(K690=2,"",INDEX(method_codes,MATCH(loaded!AM690,method,0)))</f>
        <v>#N/A</v>
      </c>
      <c r="R690" t="e">
        <f>IF(K690=2,"",INDEX(inj_codes,MATCH(loaded!AO690,inj,0)))</f>
        <v>#N/A</v>
      </c>
      <c r="S690" t="e">
        <f>IF(K690=2,"",INDEX(drug_codes,MATCH(loaded!AQ690,drug,0)))</f>
        <v>#N/A</v>
      </c>
      <c r="T690" t="e">
        <f>IF(K690=2,"",_xlfn.IFNA(INDEX(drug_codes,MATCH(loaded!AS690,drug,0)),""))</f>
        <v>#N/A</v>
      </c>
      <c r="U690" t="e">
        <f>IF(K690=2,"",_xlfn.IFNA(INDEX(drug_codes,MATCH(loaded!AU690,drug,0)),""))</f>
        <v>#N/A</v>
      </c>
      <c r="V690" t="e">
        <f>IF(K690=2,"",_xlfn.IFNA(INDEX(drug_codes,MATCH(loaded!AW690,drug,0)),""))</f>
        <v>#N/A</v>
      </c>
      <c r="W690" t="e">
        <f>IF(K690=2,"",_xlfn.IFNA(INDEX(drug_codes,MATCH(loaded!AY690,drug,0)),""))</f>
        <v>#N/A</v>
      </c>
      <c r="X690" t="e">
        <f>IF(K690=2,"",_xlfn.IFNA(INDEX(drug_codes,MATCH(loaded!BA690,drug,0)),""))</f>
        <v>#N/A</v>
      </c>
      <c r="Y690" t="e">
        <f>INDEX(MTT_codes,MATCH(loaded!BC690,MTT,0))</f>
        <v>#N/A</v>
      </c>
      <c r="Z690" t="str">
        <f>_xlfn.IFNA(INDEX(MTT_codes,MATCH(loaded!BE690,MTT,0)),"")</f>
        <v/>
      </c>
      <c r="AA690" t="str">
        <f>_xlfn.IFNA(INDEX(MTT_codes,MATCH(loaded!BG690,MTT,0)),"")</f>
        <v/>
      </c>
      <c r="AB690" t="str">
        <f>_xlfn.IFNA(INDEX(MTT_codes,MATCH(loaded!BI690,MTT,0)),"")</f>
        <v/>
      </c>
      <c r="AC690" t="str">
        <f>_xlfn.IFNA(INDEX(MTT_codes,MATCH(loaded!BK690,MTT,0)),"")</f>
        <v/>
      </c>
      <c r="AD690" t="str">
        <f>_xlfn.IFNA(INDEX(MTT_codes,MATCH(loaded!BM690,MTT,0)),"")</f>
        <v/>
      </c>
      <c r="AE690" t="e">
        <f>INDEX(liv_ar_codes,MATCH(loaded!BO690,liv_ar,0))</f>
        <v>#N/A</v>
      </c>
      <c r="AF690" t="str">
        <f>_xlfn.IFNA(INDEX(MTT_codes,MATCH(loaded!BQ690,MTT,0)),"")</f>
        <v/>
      </c>
      <c r="AG690">
        <f>_xlfn.IFNA(INDEX(mental_codes,MATCH(loaded!BS690,mental,0)),9)</f>
        <v>9</v>
      </c>
    </row>
    <row r="691" spans="1:33" x14ac:dyDescent="0.25">
      <c r="A691">
        <f>loaded!C691</f>
        <v>0</v>
      </c>
      <c r="B691">
        <f>loaded!I691</f>
        <v>0</v>
      </c>
      <c r="C691">
        <f>IF(loaded!K691="Male",1,IF(loaded!K691="Female",2,9))</f>
        <v>9</v>
      </c>
      <c r="D691" s="8">
        <f>loaded!M691</f>
        <v>0</v>
      </c>
      <c r="E691" t="str">
        <f>LEFT(loaded!O691,3)</f>
        <v/>
      </c>
      <c r="F691" t="e">
        <f>INDEX(cntry_codes,MATCH(loaded!Q691,countries,0))</f>
        <v>#N/A</v>
      </c>
      <c r="G691" t="e">
        <f>INDEX(atsi_codes,MATCH(loaded!S691,atsi,0))</f>
        <v>#N/A</v>
      </c>
      <c r="H691" t="e">
        <f>INDEX(lang_codes,MATCH(loaded!U691,lang,0))</f>
        <v>#N/A</v>
      </c>
      <c r="I691" s="8">
        <f>loaded!W691</f>
        <v>0</v>
      </c>
      <c r="J691" t="e">
        <f>INDEX(us_acc_codes,MATCH(loaded!Y691,us_acc,0))</f>
        <v>#N/A</v>
      </c>
      <c r="K691" t="e">
        <f>INDEX(client_codes,MATCH(loaded!AA691,client,0))</f>
        <v>#N/A</v>
      </c>
      <c r="L691" t="e">
        <f>INDEX(src_ref_codes,MATCH(loaded!AC691,src_ref,0))</f>
        <v>#N/A</v>
      </c>
      <c r="M691" s="8">
        <f>loaded!AE691</f>
        <v>0</v>
      </c>
      <c r="N691" s="8">
        <f>loaded!AG691</f>
        <v>0</v>
      </c>
      <c r="O691" t="e">
        <f>INDEX(reces_codes,MATCH(loaded!AI691,reason,0))</f>
        <v>#N/A</v>
      </c>
      <c r="P691" t="e">
        <f>INDEX(TDS_codes,MATCH(loaded!AK691,TDS,0))</f>
        <v>#N/A</v>
      </c>
      <c r="Q691" t="e">
        <f>IF(K691=2,"",INDEX(method_codes,MATCH(loaded!AM691,method,0)))</f>
        <v>#N/A</v>
      </c>
      <c r="R691" t="e">
        <f>IF(K691=2,"",INDEX(inj_codes,MATCH(loaded!AO691,inj,0)))</f>
        <v>#N/A</v>
      </c>
      <c r="S691" t="e">
        <f>IF(K691=2,"",INDEX(drug_codes,MATCH(loaded!AQ691,drug,0)))</f>
        <v>#N/A</v>
      </c>
      <c r="T691" t="e">
        <f>IF(K691=2,"",_xlfn.IFNA(INDEX(drug_codes,MATCH(loaded!AS691,drug,0)),""))</f>
        <v>#N/A</v>
      </c>
      <c r="U691" t="e">
        <f>IF(K691=2,"",_xlfn.IFNA(INDEX(drug_codes,MATCH(loaded!AU691,drug,0)),""))</f>
        <v>#N/A</v>
      </c>
      <c r="V691" t="e">
        <f>IF(K691=2,"",_xlfn.IFNA(INDEX(drug_codes,MATCH(loaded!AW691,drug,0)),""))</f>
        <v>#N/A</v>
      </c>
      <c r="W691" t="e">
        <f>IF(K691=2,"",_xlfn.IFNA(INDEX(drug_codes,MATCH(loaded!AY691,drug,0)),""))</f>
        <v>#N/A</v>
      </c>
      <c r="X691" t="e">
        <f>IF(K691=2,"",_xlfn.IFNA(INDEX(drug_codes,MATCH(loaded!BA691,drug,0)),""))</f>
        <v>#N/A</v>
      </c>
      <c r="Y691" t="e">
        <f>INDEX(MTT_codes,MATCH(loaded!BC691,MTT,0))</f>
        <v>#N/A</v>
      </c>
      <c r="Z691" t="str">
        <f>_xlfn.IFNA(INDEX(MTT_codes,MATCH(loaded!BE691,MTT,0)),"")</f>
        <v/>
      </c>
      <c r="AA691" t="str">
        <f>_xlfn.IFNA(INDEX(MTT_codes,MATCH(loaded!BG691,MTT,0)),"")</f>
        <v/>
      </c>
      <c r="AB691" t="str">
        <f>_xlfn.IFNA(INDEX(MTT_codes,MATCH(loaded!BI691,MTT,0)),"")</f>
        <v/>
      </c>
      <c r="AC691" t="str">
        <f>_xlfn.IFNA(INDEX(MTT_codes,MATCH(loaded!BK691,MTT,0)),"")</f>
        <v/>
      </c>
      <c r="AD691" t="str">
        <f>_xlfn.IFNA(INDEX(MTT_codes,MATCH(loaded!BM691,MTT,0)),"")</f>
        <v/>
      </c>
      <c r="AE691" t="e">
        <f>INDEX(liv_ar_codes,MATCH(loaded!BO691,liv_ar,0))</f>
        <v>#N/A</v>
      </c>
      <c r="AF691" t="str">
        <f>_xlfn.IFNA(INDEX(MTT_codes,MATCH(loaded!BQ691,MTT,0)),"")</f>
        <v/>
      </c>
      <c r="AG691">
        <f>_xlfn.IFNA(INDEX(mental_codes,MATCH(loaded!BS691,mental,0)),9)</f>
        <v>9</v>
      </c>
    </row>
    <row r="692" spans="1:33" x14ac:dyDescent="0.25">
      <c r="A692">
        <f>loaded!C692</f>
        <v>0</v>
      </c>
      <c r="B692">
        <f>loaded!I692</f>
        <v>0</v>
      </c>
      <c r="C692">
        <f>IF(loaded!K692="Male",1,IF(loaded!K692="Female",2,9))</f>
        <v>9</v>
      </c>
      <c r="D692" s="8">
        <f>loaded!M692</f>
        <v>0</v>
      </c>
      <c r="E692" t="str">
        <f>LEFT(loaded!O692,3)</f>
        <v/>
      </c>
      <c r="F692" t="e">
        <f>INDEX(cntry_codes,MATCH(loaded!Q692,countries,0))</f>
        <v>#N/A</v>
      </c>
      <c r="G692" t="e">
        <f>INDEX(atsi_codes,MATCH(loaded!S692,atsi,0))</f>
        <v>#N/A</v>
      </c>
      <c r="H692" t="e">
        <f>INDEX(lang_codes,MATCH(loaded!U692,lang,0))</f>
        <v>#N/A</v>
      </c>
      <c r="I692" s="8">
        <f>loaded!W692</f>
        <v>0</v>
      </c>
      <c r="J692" t="e">
        <f>INDEX(us_acc_codes,MATCH(loaded!Y692,us_acc,0))</f>
        <v>#N/A</v>
      </c>
      <c r="K692" t="e">
        <f>INDEX(client_codes,MATCH(loaded!AA692,client,0))</f>
        <v>#N/A</v>
      </c>
      <c r="L692" t="e">
        <f>INDEX(src_ref_codes,MATCH(loaded!AC692,src_ref,0))</f>
        <v>#N/A</v>
      </c>
      <c r="M692" s="8">
        <f>loaded!AE692</f>
        <v>0</v>
      </c>
      <c r="N692" s="8">
        <f>loaded!AG692</f>
        <v>0</v>
      </c>
      <c r="O692" t="e">
        <f>INDEX(reces_codes,MATCH(loaded!AI692,reason,0))</f>
        <v>#N/A</v>
      </c>
      <c r="P692" t="e">
        <f>INDEX(TDS_codes,MATCH(loaded!AK692,TDS,0))</f>
        <v>#N/A</v>
      </c>
      <c r="Q692" t="e">
        <f>IF(K692=2,"",INDEX(method_codes,MATCH(loaded!AM692,method,0)))</f>
        <v>#N/A</v>
      </c>
      <c r="R692" t="e">
        <f>IF(K692=2,"",INDEX(inj_codes,MATCH(loaded!AO692,inj,0)))</f>
        <v>#N/A</v>
      </c>
      <c r="S692" t="e">
        <f>IF(K692=2,"",INDEX(drug_codes,MATCH(loaded!AQ692,drug,0)))</f>
        <v>#N/A</v>
      </c>
      <c r="T692" t="e">
        <f>IF(K692=2,"",_xlfn.IFNA(INDEX(drug_codes,MATCH(loaded!AS692,drug,0)),""))</f>
        <v>#N/A</v>
      </c>
      <c r="U692" t="e">
        <f>IF(K692=2,"",_xlfn.IFNA(INDEX(drug_codes,MATCH(loaded!AU692,drug,0)),""))</f>
        <v>#N/A</v>
      </c>
      <c r="V692" t="e">
        <f>IF(K692=2,"",_xlfn.IFNA(INDEX(drug_codes,MATCH(loaded!AW692,drug,0)),""))</f>
        <v>#N/A</v>
      </c>
      <c r="W692" t="e">
        <f>IF(K692=2,"",_xlfn.IFNA(INDEX(drug_codes,MATCH(loaded!AY692,drug,0)),""))</f>
        <v>#N/A</v>
      </c>
      <c r="X692" t="e">
        <f>IF(K692=2,"",_xlfn.IFNA(INDEX(drug_codes,MATCH(loaded!BA692,drug,0)),""))</f>
        <v>#N/A</v>
      </c>
      <c r="Y692" t="e">
        <f>INDEX(MTT_codes,MATCH(loaded!BC692,MTT,0))</f>
        <v>#N/A</v>
      </c>
      <c r="Z692" t="str">
        <f>_xlfn.IFNA(INDEX(MTT_codes,MATCH(loaded!BE692,MTT,0)),"")</f>
        <v/>
      </c>
      <c r="AA692" t="str">
        <f>_xlfn.IFNA(INDEX(MTT_codes,MATCH(loaded!BG692,MTT,0)),"")</f>
        <v/>
      </c>
      <c r="AB692" t="str">
        <f>_xlfn.IFNA(INDEX(MTT_codes,MATCH(loaded!BI692,MTT,0)),"")</f>
        <v/>
      </c>
      <c r="AC692" t="str">
        <f>_xlfn.IFNA(INDEX(MTT_codes,MATCH(loaded!BK692,MTT,0)),"")</f>
        <v/>
      </c>
      <c r="AD692" t="str">
        <f>_xlfn.IFNA(INDEX(MTT_codes,MATCH(loaded!BM692,MTT,0)),"")</f>
        <v/>
      </c>
      <c r="AE692" t="e">
        <f>INDEX(liv_ar_codes,MATCH(loaded!BO692,liv_ar,0))</f>
        <v>#N/A</v>
      </c>
      <c r="AF692" t="str">
        <f>_xlfn.IFNA(INDEX(MTT_codes,MATCH(loaded!BQ692,MTT,0)),"")</f>
        <v/>
      </c>
      <c r="AG692">
        <f>_xlfn.IFNA(INDEX(mental_codes,MATCH(loaded!BS692,mental,0)),9)</f>
        <v>9</v>
      </c>
    </row>
    <row r="693" spans="1:33" x14ac:dyDescent="0.25">
      <c r="A693">
        <f>loaded!C693</f>
        <v>0</v>
      </c>
      <c r="B693">
        <f>loaded!I693</f>
        <v>0</v>
      </c>
      <c r="C693">
        <f>IF(loaded!K693="Male",1,IF(loaded!K693="Female",2,9))</f>
        <v>9</v>
      </c>
      <c r="D693" s="8">
        <f>loaded!M693</f>
        <v>0</v>
      </c>
      <c r="E693" t="str">
        <f>LEFT(loaded!O693,3)</f>
        <v/>
      </c>
      <c r="F693" t="e">
        <f>INDEX(cntry_codes,MATCH(loaded!Q693,countries,0))</f>
        <v>#N/A</v>
      </c>
      <c r="G693" t="e">
        <f>INDEX(atsi_codes,MATCH(loaded!S693,atsi,0))</f>
        <v>#N/A</v>
      </c>
      <c r="H693" t="e">
        <f>INDEX(lang_codes,MATCH(loaded!U693,lang,0))</f>
        <v>#N/A</v>
      </c>
      <c r="I693" s="8">
        <f>loaded!W693</f>
        <v>0</v>
      </c>
      <c r="J693" t="e">
        <f>INDEX(us_acc_codes,MATCH(loaded!Y693,us_acc,0))</f>
        <v>#N/A</v>
      </c>
      <c r="K693" t="e">
        <f>INDEX(client_codes,MATCH(loaded!AA693,client,0))</f>
        <v>#N/A</v>
      </c>
      <c r="L693" t="e">
        <f>INDEX(src_ref_codes,MATCH(loaded!AC693,src_ref,0))</f>
        <v>#N/A</v>
      </c>
      <c r="M693" s="8">
        <f>loaded!AE693</f>
        <v>0</v>
      </c>
      <c r="N693" s="8">
        <f>loaded!AG693</f>
        <v>0</v>
      </c>
      <c r="O693" t="e">
        <f>INDEX(reces_codes,MATCH(loaded!AI693,reason,0))</f>
        <v>#N/A</v>
      </c>
      <c r="P693" t="e">
        <f>INDEX(TDS_codes,MATCH(loaded!AK693,TDS,0))</f>
        <v>#N/A</v>
      </c>
      <c r="Q693" t="e">
        <f>IF(K693=2,"",INDEX(method_codes,MATCH(loaded!AM693,method,0)))</f>
        <v>#N/A</v>
      </c>
      <c r="R693" t="e">
        <f>IF(K693=2,"",INDEX(inj_codes,MATCH(loaded!AO693,inj,0)))</f>
        <v>#N/A</v>
      </c>
      <c r="S693" t="e">
        <f>IF(K693=2,"",INDEX(drug_codes,MATCH(loaded!AQ693,drug,0)))</f>
        <v>#N/A</v>
      </c>
      <c r="T693" t="e">
        <f>IF(K693=2,"",_xlfn.IFNA(INDEX(drug_codes,MATCH(loaded!AS693,drug,0)),""))</f>
        <v>#N/A</v>
      </c>
      <c r="U693" t="e">
        <f>IF(K693=2,"",_xlfn.IFNA(INDEX(drug_codes,MATCH(loaded!AU693,drug,0)),""))</f>
        <v>#N/A</v>
      </c>
      <c r="V693" t="e">
        <f>IF(K693=2,"",_xlfn.IFNA(INDEX(drug_codes,MATCH(loaded!AW693,drug,0)),""))</f>
        <v>#N/A</v>
      </c>
      <c r="W693" t="e">
        <f>IF(K693=2,"",_xlfn.IFNA(INDEX(drug_codes,MATCH(loaded!AY693,drug,0)),""))</f>
        <v>#N/A</v>
      </c>
      <c r="X693" t="e">
        <f>IF(K693=2,"",_xlfn.IFNA(INDEX(drug_codes,MATCH(loaded!BA693,drug,0)),""))</f>
        <v>#N/A</v>
      </c>
      <c r="Y693" t="e">
        <f>INDEX(MTT_codes,MATCH(loaded!BC693,MTT,0))</f>
        <v>#N/A</v>
      </c>
      <c r="Z693" t="str">
        <f>_xlfn.IFNA(INDEX(MTT_codes,MATCH(loaded!BE693,MTT,0)),"")</f>
        <v/>
      </c>
      <c r="AA693" t="str">
        <f>_xlfn.IFNA(INDEX(MTT_codes,MATCH(loaded!BG693,MTT,0)),"")</f>
        <v/>
      </c>
      <c r="AB693" t="str">
        <f>_xlfn.IFNA(INDEX(MTT_codes,MATCH(loaded!BI693,MTT,0)),"")</f>
        <v/>
      </c>
      <c r="AC693" t="str">
        <f>_xlfn.IFNA(INDEX(MTT_codes,MATCH(loaded!BK693,MTT,0)),"")</f>
        <v/>
      </c>
      <c r="AD693" t="str">
        <f>_xlfn.IFNA(INDEX(MTT_codes,MATCH(loaded!BM693,MTT,0)),"")</f>
        <v/>
      </c>
      <c r="AE693" t="e">
        <f>INDEX(liv_ar_codes,MATCH(loaded!BO693,liv_ar,0))</f>
        <v>#N/A</v>
      </c>
      <c r="AF693" t="str">
        <f>_xlfn.IFNA(INDEX(MTT_codes,MATCH(loaded!BQ693,MTT,0)),"")</f>
        <v/>
      </c>
      <c r="AG693">
        <f>_xlfn.IFNA(INDEX(mental_codes,MATCH(loaded!BS693,mental,0)),9)</f>
        <v>9</v>
      </c>
    </row>
    <row r="694" spans="1:33" x14ac:dyDescent="0.25">
      <c r="A694">
        <f>loaded!C694</f>
        <v>0</v>
      </c>
      <c r="B694">
        <f>loaded!I694</f>
        <v>0</v>
      </c>
      <c r="C694">
        <f>IF(loaded!K694="Male",1,IF(loaded!K694="Female",2,9))</f>
        <v>9</v>
      </c>
      <c r="D694" s="8">
        <f>loaded!M694</f>
        <v>0</v>
      </c>
      <c r="E694" t="str">
        <f>LEFT(loaded!O694,3)</f>
        <v/>
      </c>
      <c r="F694" t="e">
        <f>INDEX(cntry_codes,MATCH(loaded!Q694,countries,0))</f>
        <v>#N/A</v>
      </c>
      <c r="G694" t="e">
        <f>INDEX(atsi_codes,MATCH(loaded!S694,atsi,0))</f>
        <v>#N/A</v>
      </c>
      <c r="H694" t="e">
        <f>INDEX(lang_codes,MATCH(loaded!U694,lang,0))</f>
        <v>#N/A</v>
      </c>
      <c r="I694" s="8">
        <f>loaded!W694</f>
        <v>0</v>
      </c>
      <c r="J694" t="e">
        <f>INDEX(us_acc_codes,MATCH(loaded!Y694,us_acc,0))</f>
        <v>#N/A</v>
      </c>
      <c r="K694" t="e">
        <f>INDEX(client_codes,MATCH(loaded!AA694,client,0))</f>
        <v>#N/A</v>
      </c>
      <c r="L694" t="e">
        <f>INDEX(src_ref_codes,MATCH(loaded!AC694,src_ref,0))</f>
        <v>#N/A</v>
      </c>
      <c r="M694" s="8">
        <f>loaded!AE694</f>
        <v>0</v>
      </c>
      <c r="N694" s="8">
        <f>loaded!AG694</f>
        <v>0</v>
      </c>
      <c r="O694" t="e">
        <f>INDEX(reces_codes,MATCH(loaded!AI694,reason,0))</f>
        <v>#N/A</v>
      </c>
      <c r="P694" t="e">
        <f>INDEX(TDS_codes,MATCH(loaded!AK694,TDS,0))</f>
        <v>#N/A</v>
      </c>
      <c r="Q694" t="e">
        <f>IF(K694=2,"",INDEX(method_codes,MATCH(loaded!AM694,method,0)))</f>
        <v>#N/A</v>
      </c>
      <c r="R694" t="e">
        <f>IF(K694=2,"",INDEX(inj_codes,MATCH(loaded!AO694,inj,0)))</f>
        <v>#N/A</v>
      </c>
      <c r="S694" t="e">
        <f>IF(K694=2,"",INDEX(drug_codes,MATCH(loaded!AQ694,drug,0)))</f>
        <v>#N/A</v>
      </c>
      <c r="T694" t="e">
        <f>IF(K694=2,"",_xlfn.IFNA(INDEX(drug_codes,MATCH(loaded!AS694,drug,0)),""))</f>
        <v>#N/A</v>
      </c>
      <c r="U694" t="e">
        <f>IF(K694=2,"",_xlfn.IFNA(INDEX(drug_codes,MATCH(loaded!AU694,drug,0)),""))</f>
        <v>#N/A</v>
      </c>
      <c r="V694" t="e">
        <f>IF(K694=2,"",_xlfn.IFNA(INDEX(drug_codes,MATCH(loaded!AW694,drug,0)),""))</f>
        <v>#N/A</v>
      </c>
      <c r="W694" t="e">
        <f>IF(K694=2,"",_xlfn.IFNA(INDEX(drug_codes,MATCH(loaded!AY694,drug,0)),""))</f>
        <v>#N/A</v>
      </c>
      <c r="X694" t="e">
        <f>IF(K694=2,"",_xlfn.IFNA(INDEX(drug_codes,MATCH(loaded!BA694,drug,0)),""))</f>
        <v>#N/A</v>
      </c>
      <c r="Y694" t="e">
        <f>INDEX(MTT_codes,MATCH(loaded!BC694,MTT,0))</f>
        <v>#N/A</v>
      </c>
      <c r="Z694" t="str">
        <f>_xlfn.IFNA(INDEX(MTT_codes,MATCH(loaded!BE694,MTT,0)),"")</f>
        <v/>
      </c>
      <c r="AA694" t="str">
        <f>_xlfn.IFNA(INDEX(MTT_codes,MATCH(loaded!BG694,MTT,0)),"")</f>
        <v/>
      </c>
      <c r="AB694" t="str">
        <f>_xlfn.IFNA(INDEX(MTT_codes,MATCH(loaded!BI694,MTT,0)),"")</f>
        <v/>
      </c>
      <c r="AC694" t="str">
        <f>_xlfn.IFNA(INDEX(MTT_codes,MATCH(loaded!BK694,MTT,0)),"")</f>
        <v/>
      </c>
      <c r="AD694" t="str">
        <f>_xlfn.IFNA(INDEX(MTT_codes,MATCH(loaded!BM694,MTT,0)),"")</f>
        <v/>
      </c>
      <c r="AE694" t="e">
        <f>INDEX(liv_ar_codes,MATCH(loaded!BO694,liv_ar,0))</f>
        <v>#N/A</v>
      </c>
      <c r="AF694" t="str">
        <f>_xlfn.IFNA(INDEX(MTT_codes,MATCH(loaded!BQ694,MTT,0)),"")</f>
        <v/>
      </c>
      <c r="AG694">
        <f>_xlfn.IFNA(INDEX(mental_codes,MATCH(loaded!BS694,mental,0)),9)</f>
        <v>9</v>
      </c>
    </row>
    <row r="695" spans="1:33" x14ac:dyDescent="0.25">
      <c r="A695">
        <f>loaded!C695</f>
        <v>0</v>
      </c>
      <c r="B695">
        <f>loaded!I695</f>
        <v>0</v>
      </c>
      <c r="C695">
        <f>IF(loaded!K695="Male",1,IF(loaded!K695="Female",2,9))</f>
        <v>9</v>
      </c>
      <c r="D695" s="8">
        <f>loaded!M695</f>
        <v>0</v>
      </c>
      <c r="E695" t="str">
        <f>LEFT(loaded!O695,3)</f>
        <v/>
      </c>
      <c r="F695" t="e">
        <f>INDEX(cntry_codes,MATCH(loaded!Q695,countries,0))</f>
        <v>#N/A</v>
      </c>
      <c r="G695" t="e">
        <f>INDEX(atsi_codes,MATCH(loaded!S695,atsi,0))</f>
        <v>#N/A</v>
      </c>
      <c r="H695" t="e">
        <f>INDEX(lang_codes,MATCH(loaded!U695,lang,0))</f>
        <v>#N/A</v>
      </c>
      <c r="I695" s="8">
        <f>loaded!W695</f>
        <v>0</v>
      </c>
      <c r="J695" t="e">
        <f>INDEX(us_acc_codes,MATCH(loaded!Y695,us_acc,0))</f>
        <v>#N/A</v>
      </c>
      <c r="K695" t="e">
        <f>INDEX(client_codes,MATCH(loaded!AA695,client,0))</f>
        <v>#N/A</v>
      </c>
      <c r="L695" t="e">
        <f>INDEX(src_ref_codes,MATCH(loaded!AC695,src_ref,0))</f>
        <v>#N/A</v>
      </c>
      <c r="M695" s="8">
        <f>loaded!AE695</f>
        <v>0</v>
      </c>
      <c r="N695" s="8">
        <f>loaded!AG695</f>
        <v>0</v>
      </c>
      <c r="O695" t="e">
        <f>INDEX(reces_codes,MATCH(loaded!AI695,reason,0))</f>
        <v>#N/A</v>
      </c>
      <c r="P695" t="e">
        <f>INDEX(TDS_codes,MATCH(loaded!AK695,TDS,0))</f>
        <v>#N/A</v>
      </c>
      <c r="Q695" t="e">
        <f>IF(K695=2,"",INDEX(method_codes,MATCH(loaded!AM695,method,0)))</f>
        <v>#N/A</v>
      </c>
      <c r="R695" t="e">
        <f>IF(K695=2,"",INDEX(inj_codes,MATCH(loaded!AO695,inj,0)))</f>
        <v>#N/A</v>
      </c>
      <c r="S695" t="e">
        <f>IF(K695=2,"",INDEX(drug_codes,MATCH(loaded!AQ695,drug,0)))</f>
        <v>#N/A</v>
      </c>
      <c r="T695" t="e">
        <f>IF(K695=2,"",_xlfn.IFNA(INDEX(drug_codes,MATCH(loaded!AS695,drug,0)),""))</f>
        <v>#N/A</v>
      </c>
      <c r="U695" t="e">
        <f>IF(K695=2,"",_xlfn.IFNA(INDEX(drug_codes,MATCH(loaded!AU695,drug,0)),""))</f>
        <v>#N/A</v>
      </c>
      <c r="V695" t="e">
        <f>IF(K695=2,"",_xlfn.IFNA(INDEX(drug_codes,MATCH(loaded!AW695,drug,0)),""))</f>
        <v>#N/A</v>
      </c>
      <c r="W695" t="e">
        <f>IF(K695=2,"",_xlfn.IFNA(INDEX(drug_codes,MATCH(loaded!AY695,drug,0)),""))</f>
        <v>#N/A</v>
      </c>
      <c r="X695" t="e">
        <f>IF(K695=2,"",_xlfn.IFNA(INDEX(drug_codes,MATCH(loaded!BA695,drug,0)),""))</f>
        <v>#N/A</v>
      </c>
      <c r="Y695" t="e">
        <f>INDEX(MTT_codes,MATCH(loaded!BC695,MTT,0))</f>
        <v>#N/A</v>
      </c>
      <c r="Z695" t="str">
        <f>_xlfn.IFNA(INDEX(MTT_codes,MATCH(loaded!BE695,MTT,0)),"")</f>
        <v/>
      </c>
      <c r="AA695" t="str">
        <f>_xlfn.IFNA(INDEX(MTT_codes,MATCH(loaded!BG695,MTT,0)),"")</f>
        <v/>
      </c>
      <c r="AB695" t="str">
        <f>_xlfn.IFNA(INDEX(MTT_codes,MATCH(loaded!BI695,MTT,0)),"")</f>
        <v/>
      </c>
      <c r="AC695" t="str">
        <f>_xlfn.IFNA(INDEX(MTT_codes,MATCH(loaded!BK695,MTT,0)),"")</f>
        <v/>
      </c>
      <c r="AD695" t="str">
        <f>_xlfn.IFNA(INDEX(MTT_codes,MATCH(loaded!BM695,MTT,0)),"")</f>
        <v/>
      </c>
      <c r="AE695" t="e">
        <f>INDEX(liv_ar_codes,MATCH(loaded!BO695,liv_ar,0))</f>
        <v>#N/A</v>
      </c>
      <c r="AF695" t="str">
        <f>_xlfn.IFNA(INDEX(MTT_codes,MATCH(loaded!BQ695,MTT,0)),"")</f>
        <v/>
      </c>
      <c r="AG695">
        <f>_xlfn.IFNA(INDEX(mental_codes,MATCH(loaded!BS695,mental,0)),9)</f>
        <v>9</v>
      </c>
    </row>
    <row r="696" spans="1:33" x14ac:dyDescent="0.25">
      <c r="A696">
        <f>loaded!C696</f>
        <v>0</v>
      </c>
      <c r="B696">
        <f>loaded!I696</f>
        <v>0</v>
      </c>
      <c r="C696">
        <f>IF(loaded!K696="Male",1,IF(loaded!K696="Female",2,9))</f>
        <v>9</v>
      </c>
      <c r="D696" s="8">
        <f>loaded!M696</f>
        <v>0</v>
      </c>
      <c r="E696" t="str">
        <f>LEFT(loaded!O696,3)</f>
        <v/>
      </c>
      <c r="F696" t="e">
        <f>INDEX(cntry_codes,MATCH(loaded!Q696,countries,0))</f>
        <v>#N/A</v>
      </c>
      <c r="G696" t="e">
        <f>INDEX(atsi_codes,MATCH(loaded!S696,atsi,0))</f>
        <v>#N/A</v>
      </c>
      <c r="H696" t="e">
        <f>INDEX(lang_codes,MATCH(loaded!U696,lang,0))</f>
        <v>#N/A</v>
      </c>
      <c r="I696" s="8">
        <f>loaded!W696</f>
        <v>0</v>
      </c>
      <c r="J696" t="e">
        <f>INDEX(us_acc_codes,MATCH(loaded!Y696,us_acc,0))</f>
        <v>#N/A</v>
      </c>
      <c r="K696" t="e">
        <f>INDEX(client_codes,MATCH(loaded!AA696,client,0))</f>
        <v>#N/A</v>
      </c>
      <c r="L696" t="e">
        <f>INDEX(src_ref_codes,MATCH(loaded!AC696,src_ref,0))</f>
        <v>#N/A</v>
      </c>
      <c r="M696" s="8">
        <f>loaded!AE696</f>
        <v>0</v>
      </c>
      <c r="N696" s="8">
        <f>loaded!AG696</f>
        <v>0</v>
      </c>
      <c r="O696" t="e">
        <f>INDEX(reces_codes,MATCH(loaded!AI696,reason,0))</f>
        <v>#N/A</v>
      </c>
      <c r="P696" t="e">
        <f>INDEX(TDS_codes,MATCH(loaded!AK696,TDS,0))</f>
        <v>#N/A</v>
      </c>
      <c r="Q696" t="e">
        <f>IF(K696=2,"",INDEX(method_codes,MATCH(loaded!AM696,method,0)))</f>
        <v>#N/A</v>
      </c>
      <c r="R696" t="e">
        <f>IF(K696=2,"",INDEX(inj_codes,MATCH(loaded!AO696,inj,0)))</f>
        <v>#N/A</v>
      </c>
      <c r="S696" t="e">
        <f>IF(K696=2,"",INDEX(drug_codes,MATCH(loaded!AQ696,drug,0)))</f>
        <v>#N/A</v>
      </c>
      <c r="T696" t="e">
        <f>IF(K696=2,"",_xlfn.IFNA(INDEX(drug_codes,MATCH(loaded!AS696,drug,0)),""))</f>
        <v>#N/A</v>
      </c>
      <c r="U696" t="e">
        <f>IF(K696=2,"",_xlfn.IFNA(INDEX(drug_codes,MATCH(loaded!AU696,drug,0)),""))</f>
        <v>#N/A</v>
      </c>
      <c r="V696" t="e">
        <f>IF(K696=2,"",_xlfn.IFNA(INDEX(drug_codes,MATCH(loaded!AW696,drug,0)),""))</f>
        <v>#N/A</v>
      </c>
      <c r="W696" t="e">
        <f>IF(K696=2,"",_xlfn.IFNA(INDEX(drug_codes,MATCH(loaded!AY696,drug,0)),""))</f>
        <v>#N/A</v>
      </c>
      <c r="X696" t="e">
        <f>IF(K696=2,"",_xlfn.IFNA(INDEX(drug_codes,MATCH(loaded!BA696,drug,0)),""))</f>
        <v>#N/A</v>
      </c>
      <c r="Y696" t="e">
        <f>INDEX(MTT_codes,MATCH(loaded!BC696,MTT,0))</f>
        <v>#N/A</v>
      </c>
      <c r="Z696" t="str">
        <f>_xlfn.IFNA(INDEX(MTT_codes,MATCH(loaded!BE696,MTT,0)),"")</f>
        <v/>
      </c>
      <c r="AA696" t="str">
        <f>_xlfn.IFNA(INDEX(MTT_codes,MATCH(loaded!BG696,MTT,0)),"")</f>
        <v/>
      </c>
      <c r="AB696" t="str">
        <f>_xlfn.IFNA(INDEX(MTT_codes,MATCH(loaded!BI696,MTT,0)),"")</f>
        <v/>
      </c>
      <c r="AC696" t="str">
        <f>_xlfn.IFNA(INDEX(MTT_codes,MATCH(loaded!BK696,MTT,0)),"")</f>
        <v/>
      </c>
      <c r="AD696" t="str">
        <f>_xlfn.IFNA(INDEX(MTT_codes,MATCH(loaded!BM696,MTT,0)),"")</f>
        <v/>
      </c>
      <c r="AE696" t="e">
        <f>INDEX(liv_ar_codes,MATCH(loaded!BO696,liv_ar,0))</f>
        <v>#N/A</v>
      </c>
      <c r="AF696" t="str">
        <f>_xlfn.IFNA(INDEX(MTT_codes,MATCH(loaded!BQ696,MTT,0)),"")</f>
        <v/>
      </c>
      <c r="AG696">
        <f>_xlfn.IFNA(INDEX(mental_codes,MATCH(loaded!BS696,mental,0)),9)</f>
        <v>9</v>
      </c>
    </row>
    <row r="697" spans="1:33" x14ac:dyDescent="0.25">
      <c r="A697">
        <f>loaded!C697</f>
        <v>0</v>
      </c>
      <c r="B697">
        <f>loaded!I697</f>
        <v>0</v>
      </c>
      <c r="C697">
        <f>IF(loaded!K697="Male",1,IF(loaded!K697="Female",2,9))</f>
        <v>9</v>
      </c>
      <c r="D697" s="8">
        <f>loaded!M697</f>
        <v>0</v>
      </c>
      <c r="E697" t="str">
        <f>LEFT(loaded!O697,3)</f>
        <v/>
      </c>
      <c r="F697" t="e">
        <f>INDEX(cntry_codes,MATCH(loaded!Q697,countries,0))</f>
        <v>#N/A</v>
      </c>
      <c r="G697" t="e">
        <f>INDEX(atsi_codes,MATCH(loaded!S697,atsi,0))</f>
        <v>#N/A</v>
      </c>
      <c r="H697" t="e">
        <f>INDEX(lang_codes,MATCH(loaded!U697,lang,0))</f>
        <v>#N/A</v>
      </c>
      <c r="I697" s="8">
        <f>loaded!W697</f>
        <v>0</v>
      </c>
      <c r="J697" t="e">
        <f>INDEX(us_acc_codes,MATCH(loaded!Y697,us_acc,0))</f>
        <v>#N/A</v>
      </c>
      <c r="K697" t="e">
        <f>INDEX(client_codes,MATCH(loaded!AA697,client,0))</f>
        <v>#N/A</v>
      </c>
      <c r="L697" t="e">
        <f>INDEX(src_ref_codes,MATCH(loaded!AC697,src_ref,0))</f>
        <v>#N/A</v>
      </c>
      <c r="M697" s="8">
        <f>loaded!AE697</f>
        <v>0</v>
      </c>
      <c r="N697" s="8">
        <f>loaded!AG697</f>
        <v>0</v>
      </c>
      <c r="O697" t="e">
        <f>INDEX(reces_codes,MATCH(loaded!AI697,reason,0))</f>
        <v>#N/A</v>
      </c>
      <c r="P697" t="e">
        <f>INDEX(TDS_codes,MATCH(loaded!AK697,TDS,0))</f>
        <v>#N/A</v>
      </c>
      <c r="Q697" t="e">
        <f>IF(K697=2,"",INDEX(method_codes,MATCH(loaded!AM697,method,0)))</f>
        <v>#N/A</v>
      </c>
      <c r="R697" t="e">
        <f>IF(K697=2,"",INDEX(inj_codes,MATCH(loaded!AO697,inj,0)))</f>
        <v>#N/A</v>
      </c>
      <c r="S697" t="e">
        <f>IF(K697=2,"",INDEX(drug_codes,MATCH(loaded!AQ697,drug,0)))</f>
        <v>#N/A</v>
      </c>
      <c r="T697" t="e">
        <f>IF(K697=2,"",_xlfn.IFNA(INDEX(drug_codes,MATCH(loaded!AS697,drug,0)),""))</f>
        <v>#N/A</v>
      </c>
      <c r="U697" t="e">
        <f>IF(K697=2,"",_xlfn.IFNA(INDEX(drug_codes,MATCH(loaded!AU697,drug,0)),""))</f>
        <v>#N/A</v>
      </c>
      <c r="V697" t="e">
        <f>IF(K697=2,"",_xlfn.IFNA(INDEX(drug_codes,MATCH(loaded!AW697,drug,0)),""))</f>
        <v>#N/A</v>
      </c>
      <c r="W697" t="e">
        <f>IF(K697=2,"",_xlfn.IFNA(INDEX(drug_codes,MATCH(loaded!AY697,drug,0)),""))</f>
        <v>#N/A</v>
      </c>
      <c r="X697" t="e">
        <f>IF(K697=2,"",_xlfn.IFNA(INDEX(drug_codes,MATCH(loaded!BA697,drug,0)),""))</f>
        <v>#N/A</v>
      </c>
      <c r="Y697" t="e">
        <f>INDEX(MTT_codes,MATCH(loaded!BC697,MTT,0))</f>
        <v>#N/A</v>
      </c>
      <c r="Z697" t="str">
        <f>_xlfn.IFNA(INDEX(MTT_codes,MATCH(loaded!BE697,MTT,0)),"")</f>
        <v/>
      </c>
      <c r="AA697" t="str">
        <f>_xlfn.IFNA(INDEX(MTT_codes,MATCH(loaded!BG697,MTT,0)),"")</f>
        <v/>
      </c>
      <c r="AB697" t="str">
        <f>_xlfn.IFNA(INDEX(MTT_codes,MATCH(loaded!BI697,MTT,0)),"")</f>
        <v/>
      </c>
      <c r="AC697" t="str">
        <f>_xlfn.IFNA(INDEX(MTT_codes,MATCH(loaded!BK697,MTT,0)),"")</f>
        <v/>
      </c>
      <c r="AD697" t="str">
        <f>_xlfn.IFNA(INDEX(MTT_codes,MATCH(loaded!BM697,MTT,0)),"")</f>
        <v/>
      </c>
      <c r="AE697" t="e">
        <f>INDEX(liv_ar_codes,MATCH(loaded!BO697,liv_ar,0))</f>
        <v>#N/A</v>
      </c>
      <c r="AF697" t="str">
        <f>_xlfn.IFNA(INDEX(MTT_codes,MATCH(loaded!BQ697,MTT,0)),"")</f>
        <v/>
      </c>
      <c r="AG697">
        <f>_xlfn.IFNA(INDEX(mental_codes,MATCH(loaded!BS697,mental,0)),9)</f>
        <v>9</v>
      </c>
    </row>
    <row r="698" spans="1:33" x14ac:dyDescent="0.25">
      <c r="A698">
        <f>loaded!C698</f>
        <v>0</v>
      </c>
      <c r="B698">
        <f>loaded!I698</f>
        <v>0</v>
      </c>
      <c r="C698">
        <f>IF(loaded!K698="Male",1,IF(loaded!K698="Female",2,9))</f>
        <v>9</v>
      </c>
      <c r="D698" s="8">
        <f>loaded!M698</f>
        <v>0</v>
      </c>
      <c r="E698" t="str">
        <f>LEFT(loaded!O698,3)</f>
        <v/>
      </c>
      <c r="F698" t="e">
        <f>INDEX(cntry_codes,MATCH(loaded!Q698,countries,0))</f>
        <v>#N/A</v>
      </c>
      <c r="G698" t="e">
        <f>INDEX(atsi_codes,MATCH(loaded!S698,atsi,0))</f>
        <v>#N/A</v>
      </c>
      <c r="H698" t="e">
        <f>INDEX(lang_codes,MATCH(loaded!U698,lang,0))</f>
        <v>#N/A</v>
      </c>
      <c r="I698" s="8">
        <f>loaded!W698</f>
        <v>0</v>
      </c>
      <c r="J698" t="e">
        <f>INDEX(us_acc_codes,MATCH(loaded!Y698,us_acc,0))</f>
        <v>#N/A</v>
      </c>
      <c r="K698" t="e">
        <f>INDEX(client_codes,MATCH(loaded!AA698,client,0))</f>
        <v>#N/A</v>
      </c>
      <c r="L698" t="e">
        <f>INDEX(src_ref_codes,MATCH(loaded!AC698,src_ref,0))</f>
        <v>#N/A</v>
      </c>
      <c r="M698" s="8">
        <f>loaded!AE698</f>
        <v>0</v>
      </c>
      <c r="N698" s="8">
        <f>loaded!AG698</f>
        <v>0</v>
      </c>
      <c r="O698" t="e">
        <f>INDEX(reces_codes,MATCH(loaded!AI698,reason,0))</f>
        <v>#N/A</v>
      </c>
      <c r="P698" t="e">
        <f>INDEX(TDS_codes,MATCH(loaded!AK698,TDS,0))</f>
        <v>#N/A</v>
      </c>
      <c r="Q698" t="e">
        <f>IF(K698=2,"",INDEX(method_codes,MATCH(loaded!AM698,method,0)))</f>
        <v>#N/A</v>
      </c>
      <c r="R698" t="e">
        <f>IF(K698=2,"",INDEX(inj_codes,MATCH(loaded!AO698,inj,0)))</f>
        <v>#N/A</v>
      </c>
      <c r="S698" t="e">
        <f>IF(K698=2,"",INDEX(drug_codes,MATCH(loaded!AQ698,drug,0)))</f>
        <v>#N/A</v>
      </c>
      <c r="T698" t="e">
        <f>IF(K698=2,"",_xlfn.IFNA(INDEX(drug_codes,MATCH(loaded!AS698,drug,0)),""))</f>
        <v>#N/A</v>
      </c>
      <c r="U698" t="e">
        <f>IF(K698=2,"",_xlfn.IFNA(INDEX(drug_codes,MATCH(loaded!AU698,drug,0)),""))</f>
        <v>#N/A</v>
      </c>
      <c r="V698" t="e">
        <f>IF(K698=2,"",_xlfn.IFNA(INDEX(drug_codes,MATCH(loaded!AW698,drug,0)),""))</f>
        <v>#N/A</v>
      </c>
      <c r="W698" t="e">
        <f>IF(K698=2,"",_xlfn.IFNA(INDEX(drug_codes,MATCH(loaded!AY698,drug,0)),""))</f>
        <v>#N/A</v>
      </c>
      <c r="X698" t="e">
        <f>IF(K698=2,"",_xlfn.IFNA(INDEX(drug_codes,MATCH(loaded!BA698,drug,0)),""))</f>
        <v>#N/A</v>
      </c>
      <c r="Y698" t="e">
        <f>INDEX(MTT_codes,MATCH(loaded!BC698,MTT,0))</f>
        <v>#N/A</v>
      </c>
      <c r="Z698" t="str">
        <f>_xlfn.IFNA(INDEX(MTT_codes,MATCH(loaded!BE698,MTT,0)),"")</f>
        <v/>
      </c>
      <c r="AA698" t="str">
        <f>_xlfn.IFNA(INDEX(MTT_codes,MATCH(loaded!BG698,MTT,0)),"")</f>
        <v/>
      </c>
      <c r="AB698" t="str">
        <f>_xlfn.IFNA(INDEX(MTT_codes,MATCH(loaded!BI698,MTT,0)),"")</f>
        <v/>
      </c>
      <c r="AC698" t="str">
        <f>_xlfn.IFNA(INDEX(MTT_codes,MATCH(loaded!BK698,MTT,0)),"")</f>
        <v/>
      </c>
      <c r="AD698" t="str">
        <f>_xlfn.IFNA(INDEX(MTT_codes,MATCH(loaded!BM698,MTT,0)),"")</f>
        <v/>
      </c>
      <c r="AE698" t="e">
        <f>INDEX(liv_ar_codes,MATCH(loaded!BO698,liv_ar,0))</f>
        <v>#N/A</v>
      </c>
      <c r="AF698" t="str">
        <f>_xlfn.IFNA(INDEX(MTT_codes,MATCH(loaded!BQ698,MTT,0)),"")</f>
        <v/>
      </c>
      <c r="AG698">
        <f>_xlfn.IFNA(INDEX(mental_codes,MATCH(loaded!BS698,mental,0)),9)</f>
        <v>9</v>
      </c>
    </row>
    <row r="699" spans="1:33" x14ac:dyDescent="0.25">
      <c r="A699">
        <f>loaded!C699</f>
        <v>0</v>
      </c>
      <c r="B699">
        <f>loaded!I699</f>
        <v>0</v>
      </c>
      <c r="C699">
        <f>IF(loaded!K699="Male",1,IF(loaded!K699="Female",2,9))</f>
        <v>9</v>
      </c>
      <c r="D699" s="8">
        <f>loaded!M699</f>
        <v>0</v>
      </c>
      <c r="E699" t="str">
        <f>LEFT(loaded!O699,3)</f>
        <v/>
      </c>
      <c r="F699" t="e">
        <f>INDEX(cntry_codes,MATCH(loaded!Q699,countries,0))</f>
        <v>#N/A</v>
      </c>
      <c r="G699" t="e">
        <f>INDEX(atsi_codes,MATCH(loaded!S699,atsi,0))</f>
        <v>#N/A</v>
      </c>
      <c r="H699" t="e">
        <f>INDEX(lang_codes,MATCH(loaded!U699,lang,0))</f>
        <v>#N/A</v>
      </c>
      <c r="I699" s="8">
        <f>loaded!W699</f>
        <v>0</v>
      </c>
      <c r="J699" t="e">
        <f>INDEX(us_acc_codes,MATCH(loaded!Y699,us_acc,0))</f>
        <v>#N/A</v>
      </c>
      <c r="K699" t="e">
        <f>INDEX(client_codes,MATCH(loaded!AA699,client,0))</f>
        <v>#N/A</v>
      </c>
      <c r="L699" t="e">
        <f>INDEX(src_ref_codes,MATCH(loaded!AC699,src_ref,0))</f>
        <v>#N/A</v>
      </c>
      <c r="M699" s="8">
        <f>loaded!AE699</f>
        <v>0</v>
      </c>
      <c r="N699" s="8">
        <f>loaded!AG699</f>
        <v>0</v>
      </c>
      <c r="O699" t="e">
        <f>INDEX(reces_codes,MATCH(loaded!AI699,reason,0))</f>
        <v>#N/A</v>
      </c>
      <c r="P699" t="e">
        <f>INDEX(TDS_codes,MATCH(loaded!AK699,TDS,0))</f>
        <v>#N/A</v>
      </c>
      <c r="Q699" t="e">
        <f>IF(K699=2,"",INDEX(method_codes,MATCH(loaded!AM699,method,0)))</f>
        <v>#N/A</v>
      </c>
      <c r="R699" t="e">
        <f>IF(K699=2,"",INDEX(inj_codes,MATCH(loaded!AO699,inj,0)))</f>
        <v>#N/A</v>
      </c>
      <c r="S699" t="e">
        <f>IF(K699=2,"",INDEX(drug_codes,MATCH(loaded!AQ699,drug,0)))</f>
        <v>#N/A</v>
      </c>
      <c r="T699" t="e">
        <f>IF(K699=2,"",_xlfn.IFNA(INDEX(drug_codes,MATCH(loaded!AS699,drug,0)),""))</f>
        <v>#N/A</v>
      </c>
      <c r="U699" t="e">
        <f>IF(K699=2,"",_xlfn.IFNA(INDEX(drug_codes,MATCH(loaded!AU699,drug,0)),""))</f>
        <v>#N/A</v>
      </c>
      <c r="V699" t="e">
        <f>IF(K699=2,"",_xlfn.IFNA(INDEX(drug_codes,MATCH(loaded!AW699,drug,0)),""))</f>
        <v>#N/A</v>
      </c>
      <c r="W699" t="e">
        <f>IF(K699=2,"",_xlfn.IFNA(INDEX(drug_codes,MATCH(loaded!AY699,drug,0)),""))</f>
        <v>#N/A</v>
      </c>
      <c r="X699" t="e">
        <f>IF(K699=2,"",_xlfn.IFNA(INDEX(drug_codes,MATCH(loaded!BA699,drug,0)),""))</f>
        <v>#N/A</v>
      </c>
      <c r="Y699" t="e">
        <f>INDEX(MTT_codes,MATCH(loaded!BC699,MTT,0))</f>
        <v>#N/A</v>
      </c>
      <c r="Z699" t="str">
        <f>_xlfn.IFNA(INDEX(MTT_codes,MATCH(loaded!BE699,MTT,0)),"")</f>
        <v/>
      </c>
      <c r="AA699" t="str">
        <f>_xlfn.IFNA(INDEX(MTT_codes,MATCH(loaded!BG699,MTT,0)),"")</f>
        <v/>
      </c>
      <c r="AB699" t="str">
        <f>_xlfn.IFNA(INDEX(MTT_codes,MATCH(loaded!BI699,MTT,0)),"")</f>
        <v/>
      </c>
      <c r="AC699" t="str">
        <f>_xlfn.IFNA(INDEX(MTT_codes,MATCH(loaded!BK699,MTT,0)),"")</f>
        <v/>
      </c>
      <c r="AD699" t="str">
        <f>_xlfn.IFNA(INDEX(MTT_codes,MATCH(loaded!BM699,MTT,0)),"")</f>
        <v/>
      </c>
      <c r="AE699" t="e">
        <f>INDEX(liv_ar_codes,MATCH(loaded!BO699,liv_ar,0))</f>
        <v>#N/A</v>
      </c>
      <c r="AF699" t="str">
        <f>_xlfn.IFNA(INDEX(MTT_codes,MATCH(loaded!BQ699,MTT,0)),"")</f>
        <v/>
      </c>
      <c r="AG699">
        <f>_xlfn.IFNA(INDEX(mental_codes,MATCH(loaded!BS699,mental,0)),9)</f>
        <v>9</v>
      </c>
    </row>
    <row r="700" spans="1:33" x14ac:dyDescent="0.25">
      <c r="A700">
        <f>loaded!C700</f>
        <v>0</v>
      </c>
      <c r="B700">
        <f>loaded!I700</f>
        <v>0</v>
      </c>
      <c r="C700">
        <f>IF(loaded!K700="Male",1,IF(loaded!K700="Female",2,9))</f>
        <v>9</v>
      </c>
      <c r="D700" s="8">
        <f>loaded!M700</f>
        <v>0</v>
      </c>
      <c r="E700" t="str">
        <f>LEFT(loaded!O700,3)</f>
        <v/>
      </c>
      <c r="F700" t="e">
        <f>INDEX(cntry_codes,MATCH(loaded!Q700,countries,0))</f>
        <v>#N/A</v>
      </c>
      <c r="G700" t="e">
        <f>INDEX(atsi_codes,MATCH(loaded!S700,atsi,0))</f>
        <v>#N/A</v>
      </c>
      <c r="H700" t="e">
        <f>INDEX(lang_codes,MATCH(loaded!U700,lang,0))</f>
        <v>#N/A</v>
      </c>
      <c r="I700" s="8">
        <f>loaded!W700</f>
        <v>0</v>
      </c>
      <c r="J700" t="e">
        <f>INDEX(us_acc_codes,MATCH(loaded!Y700,us_acc,0))</f>
        <v>#N/A</v>
      </c>
      <c r="K700" t="e">
        <f>INDEX(client_codes,MATCH(loaded!AA700,client,0))</f>
        <v>#N/A</v>
      </c>
      <c r="L700" t="e">
        <f>INDEX(src_ref_codes,MATCH(loaded!AC700,src_ref,0))</f>
        <v>#N/A</v>
      </c>
      <c r="M700" s="8">
        <f>loaded!AE700</f>
        <v>0</v>
      </c>
      <c r="N700" s="8">
        <f>loaded!AG700</f>
        <v>0</v>
      </c>
      <c r="O700" t="e">
        <f>INDEX(reces_codes,MATCH(loaded!AI700,reason,0))</f>
        <v>#N/A</v>
      </c>
      <c r="P700" t="e">
        <f>INDEX(TDS_codes,MATCH(loaded!AK700,TDS,0))</f>
        <v>#N/A</v>
      </c>
      <c r="Q700" t="e">
        <f>IF(K700=2,"",INDEX(method_codes,MATCH(loaded!AM700,method,0)))</f>
        <v>#N/A</v>
      </c>
      <c r="R700" t="e">
        <f>IF(K700=2,"",INDEX(inj_codes,MATCH(loaded!AO700,inj,0)))</f>
        <v>#N/A</v>
      </c>
      <c r="S700" t="e">
        <f>IF(K700=2,"",INDEX(drug_codes,MATCH(loaded!AQ700,drug,0)))</f>
        <v>#N/A</v>
      </c>
      <c r="T700" t="e">
        <f>IF(K700=2,"",_xlfn.IFNA(INDEX(drug_codes,MATCH(loaded!AS700,drug,0)),""))</f>
        <v>#N/A</v>
      </c>
      <c r="U700" t="e">
        <f>IF(K700=2,"",_xlfn.IFNA(INDEX(drug_codes,MATCH(loaded!AU700,drug,0)),""))</f>
        <v>#N/A</v>
      </c>
      <c r="V700" t="e">
        <f>IF(K700=2,"",_xlfn.IFNA(INDEX(drug_codes,MATCH(loaded!AW700,drug,0)),""))</f>
        <v>#N/A</v>
      </c>
      <c r="W700" t="e">
        <f>IF(K700=2,"",_xlfn.IFNA(INDEX(drug_codes,MATCH(loaded!AY700,drug,0)),""))</f>
        <v>#N/A</v>
      </c>
      <c r="X700" t="e">
        <f>IF(K700=2,"",_xlfn.IFNA(INDEX(drug_codes,MATCH(loaded!BA700,drug,0)),""))</f>
        <v>#N/A</v>
      </c>
      <c r="Y700" t="e">
        <f>INDEX(MTT_codes,MATCH(loaded!BC700,MTT,0))</f>
        <v>#N/A</v>
      </c>
      <c r="Z700" t="str">
        <f>_xlfn.IFNA(INDEX(MTT_codes,MATCH(loaded!BE700,MTT,0)),"")</f>
        <v/>
      </c>
      <c r="AA700" t="str">
        <f>_xlfn.IFNA(INDEX(MTT_codes,MATCH(loaded!BG700,MTT,0)),"")</f>
        <v/>
      </c>
      <c r="AB700" t="str">
        <f>_xlfn.IFNA(INDEX(MTT_codes,MATCH(loaded!BI700,MTT,0)),"")</f>
        <v/>
      </c>
      <c r="AC700" t="str">
        <f>_xlfn.IFNA(INDEX(MTT_codes,MATCH(loaded!BK700,MTT,0)),"")</f>
        <v/>
      </c>
      <c r="AD700" t="str">
        <f>_xlfn.IFNA(INDEX(MTT_codes,MATCH(loaded!BM700,MTT,0)),"")</f>
        <v/>
      </c>
      <c r="AE700" t="e">
        <f>INDEX(liv_ar_codes,MATCH(loaded!BO700,liv_ar,0))</f>
        <v>#N/A</v>
      </c>
      <c r="AF700" t="str">
        <f>_xlfn.IFNA(INDEX(MTT_codes,MATCH(loaded!BQ700,MTT,0)),"")</f>
        <v/>
      </c>
      <c r="AG700">
        <f>_xlfn.IFNA(INDEX(mental_codes,MATCH(loaded!BS700,mental,0)),9)</f>
        <v>9</v>
      </c>
    </row>
    <row r="701" spans="1:33" x14ac:dyDescent="0.25">
      <c r="A701">
        <f>loaded!C701</f>
        <v>0</v>
      </c>
      <c r="B701">
        <f>loaded!I701</f>
        <v>0</v>
      </c>
      <c r="C701">
        <f>IF(loaded!K701="Male",1,IF(loaded!K701="Female",2,9))</f>
        <v>9</v>
      </c>
      <c r="D701" s="8">
        <f>loaded!M701</f>
        <v>0</v>
      </c>
      <c r="E701" t="str">
        <f>LEFT(loaded!O701,3)</f>
        <v/>
      </c>
      <c r="F701" t="e">
        <f>INDEX(cntry_codes,MATCH(loaded!Q701,countries,0))</f>
        <v>#N/A</v>
      </c>
      <c r="G701" t="e">
        <f>INDEX(atsi_codes,MATCH(loaded!S701,atsi,0))</f>
        <v>#N/A</v>
      </c>
      <c r="H701" t="e">
        <f>INDEX(lang_codes,MATCH(loaded!U701,lang,0))</f>
        <v>#N/A</v>
      </c>
      <c r="I701" s="8">
        <f>loaded!W701</f>
        <v>0</v>
      </c>
      <c r="J701" t="e">
        <f>INDEX(us_acc_codes,MATCH(loaded!Y701,us_acc,0))</f>
        <v>#N/A</v>
      </c>
      <c r="K701" t="e">
        <f>INDEX(client_codes,MATCH(loaded!AA701,client,0))</f>
        <v>#N/A</v>
      </c>
      <c r="L701" t="e">
        <f>INDEX(src_ref_codes,MATCH(loaded!AC701,src_ref,0))</f>
        <v>#N/A</v>
      </c>
      <c r="M701" s="8">
        <f>loaded!AE701</f>
        <v>0</v>
      </c>
      <c r="N701" s="8">
        <f>loaded!AG701</f>
        <v>0</v>
      </c>
      <c r="O701" t="e">
        <f>INDEX(reces_codes,MATCH(loaded!AI701,reason,0))</f>
        <v>#N/A</v>
      </c>
      <c r="P701" t="e">
        <f>INDEX(TDS_codes,MATCH(loaded!AK701,TDS,0))</f>
        <v>#N/A</v>
      </c>
      <c r="Q701" t="e">
        <f>IF(K701=2,"",INDEX(method_codes,MATCH(loaded!AM701,method,0)))</f>
        <v>#N/A</v>
      </c>
      <c r="R701" t="e">
        <f>IF(K701=2,"",INDEX(inj_codes,MATCH(loaded!AO701,inj,0)))</f>
        <v>#N/A</v>
      </c>
      <c r="S701" t="e">
        <f>IF(K701=2,"",INDEX(drug_codes,MATCH(loaded!AQ701,drug,0)))</f>
        <v>#N/A</v>
      </c>
      <c r="T701" t="e">
        <f>IF(K701=2,"",_xlfn.IFNA(INDEX(drug_codes,MATCH(loaded!AS701,drug,0)),""))</f>
        <v>#N/A</v>
      </c>
      <c r="U701" t="e">
        <f>IF(K701=2,"",_xlfn.IFNA(INDEX(drug_codes,MATCH(loaded!AU701,drug,0)),""))</f>
        <v>#N/A</v>
      </c>
      <c r="V701" t="e">
        <f>IF(K701=2,"",_xlfn.IFNA(INDEX(drug_codes,MATCH(loaded!AW701,drug,0)),""))</f>
        <v>#N/A</v>
      </c>
      <c r="W701" t="e">
        <f>IF(K701=2,"",_xlfn.IFNA(INDEX(drug_codes,MATCH(loaded!AY701,drug,0)),""))</f>
        <v>#N/A</v>
      </c>
      <c r="X701" t="e">
        <f>IF(K701=2,"",_xlfn.IFNA(INDEX(drug_codes,MATCH(loaded!BA701,drug,0)),""))</f>
        <v>#N/A</v>
      </c>
      <c r="Y701" t="e">
        <f>INDEX(MTT_codes,MATCH(loaded!BC701,MTT,0))</f>
        <v>#N/A</v>
      </c>
      <c r="Z701" t="str">
        <f>_xlfn.IFNA(INDEX(MTT_codes,MATCH(loaded!BE701,MTT,0)),"")</f>
        <v/>
      </c>
      <c r="AA701" t="str">
        <f>_xlfn.IFNA(INDEX(MTT_codes,MATCH(loaded!BG701,MTT,0)),"")</f>
        <v/>
      </c>
      <c r="AB701" t="str">
        <f>_xlfn.IFNA(INDEX(MTT_codes,MATCH(loaded!BI701,MTT,0)),"")</f>
        <v/>
      </c>
      <c r="AC701" t="str">
        <f>_xlfn.IFNA(INDEX(MTT_codes,MATCH(loaded!BK701,MTT,0)),"")</f>
        <v/>
      </c>
      <c r="AD701" t="str">
        <f>_xlfn.IFNA(INDEX(MTT_codes,MATCH(loaded!BM701,MTT,0)),"")</f>
        <v/>
      </c>
      <c r="AE701" t="e">
        <f>INDEX(liv_ar_codes,MATCH(loaded!BO701,liv_ar,0))</f>
        <v>#N/A</v>
      </c>
      <c r="AF701" t="str">
        <f>_xlfn.IFNA(INDEX(MTT_codes,MATCH(loaded!BQ701,MTT,0)),"")</f>
        <v/>
      </c>
      <c r="AG701">
        <f>_xlfn.IFNA(INDEX(mental_codes,MATCH(loaded!BS701,mental,0)),9)</f>
        <v>9</v>
      </c>
    </row>
    <row r="702" spans="1:33" x14ac:dyDescent="0.25">
      <c r="A702">
        <f>loaded!C702</f>
        <v>0</v>
      </c>
      <c r="B702">
        <f>loaded!I702</f>
        <v>0</v>
      </c>
      <c r="C702">
        <f>IF(loaded!K702="Male",1,IF(loaded!K702="Female",2,9))</f>
        <v>9</v>
      </c>
      <c r="D702" s="8">
        <f>loaded!M702</f>
        <v>0</v>
      </c>
      <c r="E702" t="str">
        <f>LEFT(loaded!O702,3)</f>
        <v/>
      </c>
      <c r="F702" t="e">
        <f>INDEX(cntry_codes,MATCH(loaded!Q702,countries,0))</f>
        <v>#N/A</v>
      </c>
      <c r="G702" t="e">
        <f>INDEX(atsi_codes,MATCH(loaded!S702,atsi,0))</f>
        <v>#N/A</v>
      </c>
      <c r="H702" t="e">
        <f>INDEX(lang_codes,MATCH(loaded!U702,lang,0))</f>
        <v>#N/A</v>
      </c>
      <c r="I702" s="8">
        <f>loaded!W702</f>
        <v>0</v>
      </c>
      <c r="J702" t="e">
        <f>INDEX(us_acc_codes,MATCH(loaded!Y702,us_acc,0))</f>
        <v>#N/A</v>
      </c>
      <c r="K702" t="e">
        <f>INDEX(client_codes,MATCH(loaded!AA702,client,0))</f>
        <v>#N/A</v>
      </c>
      <c r="L702" t="e">
        <f>INDEX(src_ref_codes,MATCH(loaded!AC702,src_ref,0))</f>
        <v>#N/A</v>
      </c>
      <c r="M702" s="8">
        <f>loaded!AE702</f>
        <v>0</v>
      </c>
      <c r="N702" s="8">
        <f>loaded!AG702</f>
        <v>0</v>
      </c>
      <c r="O702" t="e">
        <f>INDEX(reces_codes,MATCH(loaded!AI702,reason,0))</f>
        <v>#N/A</v>
      </c>
      <c r="P702" t="e">
        <f>INDEX(TDS_codes,MATCH(loaded!AK702,TDS,0))</f>
        <v>#N/A</v>
      </c>
      <c r="Q702" t="e">
        <f>IF(K702=2,"",INDEX(method_codes,MATCH(loaded!AM702,method,0)))</f>
        <v>#N/A</v>
      </c>
      <c r="R702" t="e">
        <f>IF(K702=2,"",INDEX(inj_codes,MATCH(loaded!AO702,inj,0)))</f>
        <v>#N/A</v>
      </c>
      <c r="S702" t="e">
        <f>IF(K702=2,"",INDEX(drug_codes,MATCH(loaded!AQ702,drug,0)))</f>
        <v>#N/A</v>
      </c>
      <c r="T702" t="e">
        <f>IF(K702=2,"",_xlfn.IFNA(INDEX(drug_codes,MATCH(loaded!AS702,drug,0)),""))</f>
        <v>#N/A</v>
      </c>
      <c r="U702" t="e">
        <f>IF(K702=2,"",_xlfn.IFNA(INDEX(drug_codes,MATCH(loaded!AU702,drug,0)),""))</f>
        <v>#N/A</v>
      </c>
      <c r="V702" t="e">
        <f>IF(K702=2,"",_xlfn.IFNA(INDEX(drug_codes,MATCH(loaded!AW702,drug,0)),""))</f>
        <v>#N/A</v>
      </c>
      <c r="W702" t="e">
        <f>IF(K702=2,"",_xlfn.IFNA(INDEX(drug_codes,MATCH(loaded!AY702,drug,0)),""))</f>
        <v>#N/A</v>
      </c>
      <c r="X702" t="e">
        <f>IF(K702=2,"",_xlfn.IFNA(INDEX(drug_codes,MATCH(loaded!BA702,drug,0)),""))</f>
        <v>#N/A</v>
      </c>
      <c r="Y702" t="e">
        <f>INDEX(MTT_codes,MATCH(loaded!BC702,MTT,0))</f>
        <v>#N/A</v>
      </c>
      <c r="Z702" t="str">
        <f>_xlfn.IFNA(INDEX(MTT_codes,MATCH(loaded!BE702,MTT,0)),"")</f>
        <v/>
      </c>
      <c r="AA702" t="str">
        <f>_xlfn.IFNA(INDEX(MTT_codes,MATCH(loaded!BG702,MTT,0)),"")</f>
        <v/>
      </c>
      <c r="AB702" t="str">
        <f>_xlfn.IFNA(INDEX(MTT_codes,MATCH(loaded!BI702,MTT,0)),"")</f>
        <v/>
      </c>
      <c r="AC702" t="str">
        <f>_xlfn.IFNA(INDEX(MTT_codes,MATCH(loaded!BK702,MTT,0)),"")</f>
        <v/>
      </c>
      <c r="AD702" t="str">
        <f>_xlfn.IFNA(INDEX(MTT_codes,MATCH(loaded!BM702,MTT,0)),"")</f>
        <v/>
      </c>
      <c r="AE702" t="e">
        <f>INDEX(liv_ar_codes,MATCH(loaded!BO702,liv_ar,0))</f>
        <v>#N/A</v>
      </c>
      <c r="AF702" t="str">
        <f>_xlfn.IFNA(INDEX(MTT_codes,MATCH(loaded!BQ702,MTT,0)),"")</f>
        <v/>
      </c>
      <c r="AG702">
        <f>_xlfn.IFNA(INDEX(mental_codes,MATCH(loaded!BS702,mental,0)),9)</f>
        <v>9</v>
      </c>
    </row>
    <row r="703" spans="1:33" x14ac:dyDescent="0.25">
      <c r="A703">
        <f>loaded!C703</f>
        <v>0</v>
      </c>
      <c r="B703">
        <f>loaded!I703</f>
        <v>0</v>
      </c>
      <c r="C703">
        <f>IF(loaded!K703="Male",1,IF(loaded!K703="Female",2,9))</f>
        <v>9</v>
      </c>
      <c r="D703" s="8">
        <f>loaded!M703</f>
        <v>0</v>
      </c>
      <c r="E703" t="str">
        <f>LEFT(loaded!O703,3)</f>
        <v/>
      </c>
      <c r="F703" t="e">
        <f>INDEX(cntry_codes,MATCH(loaded!Q703,countries,0))</f>
        <v>#N/A</v>
      </c>
      <c r="G703" t="e">
        <f>INDEX(atsi_codes,MATCH(loaded!S703,atsi,0))</f>
        <v>#N/A</v>
      </c>
      <c r="H703" t="e">
        <f>INDEX(lang_codes,MATCH(loaded!U703,lang,0))</f>
        <v>#N/A</v>
      </c>
      <c r="I703" s="8">
        <f>loaded!W703</f>
        <v>0</v>
      </c>
      <c r="J703" t="e">
        <f>INDEX(us_acc_codes,MATCH(loaded!Y703,us_acc,0))</f>
        <v>#N/A</v>
      </c>
      <c r="K703" t="e">
        <f>INDEX(client_codes,MATCH(loaded!AA703,client,0))</f>
        <v>#N/A</v>
      </c>
      <c r="L703" t="e">
        <f>INDEX(src_ref_codes,MATCH(loaded!AC703,src_ref,0))</f>
        <v>#N/A</v>
      </c>
      <c r="M703" s="8">
        <f>loaded!AE703</f>
        <v>0</v>
      </c>
      <c r="N703" s="8">
        <f>loaded!AG703</f>
        <v>0</v>
      </c>
      <c r="O703" t="e">
        <f>INDEX(reces_codes,MATCH(loaded!AI703,reason,0))</f>
        <v>#N/A</v>
      </c>
      <c r="P703" t="e">
        <f>INDEX(TDS_codes,MATCH(loaded!AK703,TDS,0))</f>
        <v>#N/A</v>
      </c>
      <c r="Q703" t="e">
        <f>IF(K703=2,"",INDEX(method_codes,MATCH(loaded!AM703,method,0)))</f>
        <v>#N/A</v>
      </c>
      <c r="R703" t="e">
        <f>IF(K703=2,"",INDEX(inj_codes,MATCH(loaded!AO703,inj,0)))</f>
        <v>#N/A</v>
      </c>
      <c r="S703" t="e">
        <f>IF(K703=2,"",INDEX(drug_codes,MATCH(loaded!AQ703,drug,0)))</f>
        <v>#N/A</v>
      </c>
      <c r="T703" t="e">
        <f>IF(K703=2,"",_xlfn.IFNA(INDEX(drug_codes,MATCH(loaded!AS703,drug,0)),""))</f>
        <v>#N/A</v>
      </c>
      <c r="U703" t="e">
        <f>IF(K703=2,"",_xlfn.IFNA(INDEX(drug_codes,MATCH(loaded!AU703,drug,0)),""))</f>
        <v>#N/A</v>
      </c>
      <c r="V703" t="e">
        <f>IF(K703=2,"",_xlfn.IFNA(INDEX(drug_codes,MATCH(loaded!AW703,drug,0)),""))</f>
        <v>#N/A</v>
      </c>
      <c r="W703" t="e">
        <f>IF(K703=2,"",_xlfn.IFNA(INDEX(drug_codes,MATCH(loaded!AY703,drug,0)),""))</f>
        <v>#N/A</v>
      </c>
      <c r="X703" t="e">
        <f>IF(K703=2,"",_xlfn.IFNA(INDEX(drug_codes,MATCH(loaded!BA703,drug,0)),""))</f>
        <v>#N/A</v>
      </c>
      <c r="Y703" t="e">
        <f>INDEX(MTT_codes,MATCH(loaded!BC703,MTT,0))</f>
        <v>#N/A</v>
      </c>
      <c r="Z703" t="str">
        <f>_xlfn.IFNA(INDEX(MTT_codes,MATCH(loaded!BE703,MTT,0)),"")</f>
        <v/>
      </c>
      <c r="AA703" t="str">
        <f>_xlfn.IFNA(INDEX(MTT_codes,MATCH(loaded!BG703,MTT,0)),"")</f>
        <v/>
      </c>
      <c r="AB703" t="str">
        <f>_xlfn.IFNA(INDEX(MTT_codes,MATCH(loaded!BI703,MTT,0)),"")</f>
        <v/>
      </c>
      <c r="AC703" t="str">
        <f>_xlfn.IFNA(INDEX(MTT_codes,MATCH(loaded!BK703,MTT,0)),"")</f>
        <v/>
      </c>
      <c r="AD703" t="str">
        <f>_xlfn.IFNA(INDEX(MTT_codes,MATCH(loaded!BM703,MTT,0)),"")</f>
        <v/>
      </c>
      <c r="AE703" t="e">
        <f>INDEX(liv_ar_codes,MATCH(loaded!BO703,liv_ar,0))</f>
        <v>#N/A</v>
      </c>
      <c r="AF703" t="str">
        <f>_xlfn.IFNA(INDEX(MTT_codes,MATCH(loaded!BQ703,MTT,0)),"")</f>
        <v/>
      </c>
      <c r="AG703">
        <f>_xlfn.IFNA(INDEX(mental_codes,MATCH(loaded!BS703,mental,0)),9)</f>
        <v>9</v>
      </c>
    </row>
    <row r="704" spans="1:33" x14ac:dyDescent="0.25">
      <c r="A704">
        <f>loaded!C704</f>
        <v>0</v>
      </c>
      <c r="B704">
        <f>loaded!I704</f>
        <v>0</v>
      </c>
      <c r="C704">
        <f>IF(loaded!K704="Male",1,IF(loaded!K704="Female",2,9))</f>
        <v>9</v>
      </c>
      <c r="D704" s="8">
        <f>loaded!M704</f>
        <v>0</v>
      </c>
      <c r="E704" t="str">
        <f>LEFT(loaded!O704,3)</f>
        <v/>
      </c>
      <c r="F704" t="e">
        <f>INDEX(cntry_codes,MATCH(loaded!Q704,countries,0))</f>
        <v>#N/A</v>
      </c>
      <c r="G704" t="e">
        <f>INDEX(atsi_codes,MATCH(loaded!S704,atsi,0))</f>
        <v>#N/A</v>
      </c>
      <c r="H704" t="e">
        <f>INDEX(lang_codes,MATCH(loaded!U704,lang,0))</f>
        <v>#N/A</v>
      </c>
      <c r="I704" s="8">
        <f>loaded!W704</f>
        <v>0</v>
      </c>
      <c r="J704" t="e">
        <f>INDEX(us_acc_codes,MATCH(loaded!Y704,us_acc,0))</f>
        <v>#N/A</v>
      </c>
      <c r="K704" t="e">
        <f>INDEX(client_codes,MATCH(loaded!AA704,client,0))</f>
        <v>#N/A</v>
      </c>
      <c r="L704" t="e">
        <f>INDEX(src_ref_codes,MATCH(loaded!AC704,src_ref,0))</f>
        <v>#N/A</v>
      </c>
      <c r="M704" s="8">
        <f>loaded!AE704</f>
        <v>0</v>
      </c>
      <c r="N704" s="8">
        <f>loaded!AG704</f>
        <v>0</v>
      </c>
      <c r="O704" t="e">
        <f>INDEX(reces_codes,MATCH(loaded!AI704,reason,0))</f>
        <v>#N/A</v>
      </c>
      <c r="P704" t="e">
        <f>INDEX(TDS_codes,MATCH(loaded!AK704,TDS,0))</f>
        <v>#N/A</v>
      </c>
      <c r="Q704" t="e">
        <f>IF(K704=2,"",INDEX(method_codes,MATCH(loaded!AM704,method,0)))</f>
        <v>#N/A</v>
      </c>
      <c r="R704" t="e">
        <f>IF(K704=2,"",INDEX(inj_codes,MATCH(loaded!AO704,inj,0)))</f>
        <v>#N/A</v>
      </c>
      <c r="S704" t="e">
        <f>IF(K704=2,"",INDEX(drug_codes,MATCH(loaded!AQ704,drug,0)))</f>
        <v>#N/A</v>
      </c>
      <c r="T704" t="e">
        <f>IF(K704=2,"",_xlfn.IFNA(INDEX(drug_codes,MATCH(loaded!AS704,drug,0)),""))</f>
        <v>#N/A</v>
      </c>
      <c r="U704" t="e">
        <f>IF(K704=2,"",_xlfn.IFNA(INDEX(drug_codes,MATCH(loaded!AU704,drug,0)),""))</f>
        <v>#N/A</v>
      </c>
      <c r="V704" t="e">
        <f>IF(K704=2,"",_xlfn.IFNA(INDEX(drug_codes,MATCH(loaded!AW704,drug,0)),""))</f>
        <v>#N/A</v>
      </c>
      <c r="W704" t="e">
        <f>IF(K704=2,"",_xlfn.IFNA(INDEX(drug_codes,MATCH(loaded!AY704,drug,0)),""))</f>
        <v>#N/A</v>
      </c>
      <c r="X704" t="e">
        <f>IF(K704=2,"",_xlfn.IFNA(INDEX(drug_codes,MATCH(loaded!BA704,drug,0)),""))</f>
        <v>#N/A</v>
      </c>
      <c r="Y704" t="e">
        <f>INDEX(MTT_codes,MATCH(loaded!BC704,MTT,0))</f>
        <v>#N/A</v>
      </c>
      <c r="Z704" t="str">
        <f>_xlfn.IFNA(INDEX(MTT_codes,MATCH(loaded!BE704,MTT,0)),"")</f>
        <v/>
      </c>
      <c r="AA704" t="str">
        <f>_xlfn.IFNA(INDEX(MTT_codes,MATCH(loaded!BG704,MTT,0)),"")</f>
        <v/>
      </c>
      <c r="AB704" t="str">
        <f>_xlfn.IFNA(INDEX(MTT_codes,MATCH(loaded!BI704,MTT,0)),"")</f>
        <v/>
      </c>
      <c r="AC704" t="str">
        <f>_xlfn.IFNA(INDEX(MTT_codes,MATCH(loaded!BK704,MTT,0)),"")</f>
        <v/>
      </c>
      <c r="AD704" t="str">
        <f>_xlfn.IFNA(INDEX(MTT_codes,MATCH(loaded!BM704,MTT,0)),"")</f>
        <v/>
      </c>
      <c r="AE704" t="e">
        <f>INDEX(liv_ar_codes,MATCH(loaded!BO704,liv_ar,0))</f>
        <v>#N/A</v>
      </c>
      <c r="AF704" t="str">
        <f>_xlfn.IFNA(INDEX(MTT_codes,MATCH(loaded!BQ704,MTT,0)),"")</f>
        <v/>
      </c>
      <c r="AG704">
        <f>_xlfn.IFNA(INDEX(mental_codes,MATCH(loaded!BS704,mental,0)),9)</f>
        <v>9</v>
      </c>
    </row>
    <row r="705" spans="1:33" x14ac:dyDescent="0.25">
      <c r="A705">
        <f>loaded!C705</f>
        <v>0</v>
      </c>
      <c r="B705">
        <f>loaded!I705</f>
        <v>0</v>
      </c>
      <c r="C705">
        <f>IF(loaded!K705="Male",1,IF(loaded!K705="Female",2,9))</f>
        <v>9</v>
      </c>
      <c r="D705" s="8">
        <f>loaded!M705</f>
        <v>0</v>
      </c>
      <c r="E705" t="str">
        <f>LEFT(loaded!O705,3)</f>
        <v/>
      </c>
      <c r="F705" t="e">
        <f>INDEX(cntry_codes,MATCH(loaded!Q705,countries,0))</f>
        <v>#N/A</v>
      </c>
      <c r="G705" t="e">
        <f>INDEX(atsi_codes,MATCH(loaded!S705,atsi,0))</f>
        <v>#N/A</v>
      </c>
      <c r="H705" t="e">
        <f>INDEX(lang_codes,MATCH(loaded!U705,lang,0))</f>
        <v>#N/A</v>
      </c>
      <c r="I705" s="8">
        <f>loaded!W705</f>
        <v>0</v>
      </c>
      <c r="J705" t="e">
        <f>INDEX(us_acc_codes,MATCH(loaded!Y705,us_acc,0))</f>
        <v>#N/A</v>
      </c>
      <c r="K705" t="e">
        <f>INDEX(client_codes,MATCH(loaded!AA705,client,0))</f>
        <v>#N/A</v>
      </c>
      <c r="L705" t="e">
        <f>INDEX(src_ref_codes,MATCH(loaded!AC705,src_ref,0))</f>
        <v>#N/A</v>
      </c>
      <c r="M705" s="8">
        <f>loaded!AE705</f>
        <v>0</v>
      </c>
      <c r="N705" s="8">
        <f>loaded!AG705</f>
        <v>0</v>
      </c>
      <c r="O705" t="e">
        <f>INDEX(reces_codes,MATCH(loaded!AI705,reason,0))</f>
        <v>#N/A</v>
      </c>
      <c r="P705" t="e">
        <f>INDEX(TDS_codes,MATCH(loaded!AK705,TDS,0))</f>
        <v>#N/A</v>
      </c>
      <c r="Q705" t="e">
        <f>IF(K705=2,"",INDEX(method_codes,MATCH(loaded!AM705,method,0)))</f>
        <v>#N/A</v>
      </c>
      <c r="R705" t="e">
        <f>IF(K705=2,"",INDEX(inj_codes,MATCH(loaded!AO705,inj,0)))</f>
        <v>#N/A</v>
      </c>
      <c r="S705" t="e">
        <f>IF(K705=2,"",INDEX(drug_codes,MATCH(loaded!AQ705,drug,0)))</f>
        <v>#N/A</v>
      </c>
      <c r="T705" t="e">
        <f>IF(K705=2,"",_xlfn.IFNA(INDEX(drug_codes,MATCH(loaded!AS705,drug,0)),""))</f>
        <v>#N/A</v>
      </c>
      <c r="U705" t="e">
        <f>IF(K705=2,"",_xlfn.IFNA(INDEX(drug_codes,MATCH(loaded!AU705,drug,0)),""))</f>
        <v>#N/A</v>
      </c>
      <c r="V705" t="e">
        <f>IF(K705=2,"",_xlfn.IFNA(INDEX(drug_codes,MATCH(loaded!AW705,drug,0)),""))</f>
        <v>#N/A</v>
      </c>
      <c r="W705" t="e">
        <f>IF(K705=2,"",_xlfn.IFNA(INDEX(drug_codes,MATCH(loaded!AY705,drug,0)),""))</f>
        <v>#N/A</v>
      </c>
      <c r="X705" t="e">
        <f>IF(K705=2,"",_xlfn.IFNA(INDEX(drug_codes,MATCH(loaded!BA705,drug,0)),""))</f>
        <v>#N/A</v>
      </c>
      <c r="Y705" t="e">
        <f>INDEX(MTT_codes,MATCH(loaded!BC705,MTT,0))</f>
        <v>#N/A</v>
      </c>
      <c r="Z705" t="str">
        <f>_xlfn.IFNA(INDEX(MTT_codes,MATCH(loaded!BE705,MTT,0)),"")</f>
        <v/>
      </c>
      <c r="AA705" t="str">
        <f>_xlfn.IFNA(INDEX(MTT_codes,MATCH(loaded!BG705,MTT,0)),"")</f>
        <v/>
      </c>
      <c r="AB705" t="str">
        <f>_xlfn.IFNA(INDEX(MTT_codes,MATCH(loaded!BI705,MTT,0)),"")</f>
        <v/>
      </c>
      <c r="AC705" t="str">
        <f>_xlfn.IFNA(INDEX(MTT_codes,MATCH(loaded!BK705,MTT,0)),"")</f>
        <v/>
      </c>
      <c r="AD705" t="str">
        <f>_xlfn.IFNA(INDEX(MTT_codes,MATCH(loaded!BM705,MTT,0)),"")</f>
        <v/>
      </c>
      <c r="AE705" t="e">
        <f>INDEX(liv_ar_codes,MATCH(loaded!BO705,liv_ar,0))</f>
        <v>#N/A</v>
      </c>
      <c r="AF705" t="str">
        <f>_xlfn.IFNA(INDEX(MTT_codes,MATCH(loaded!BQ705,MTT,0)),"")</f>
        <v/>
      </c>
      <c r="AG705">
        <f>_xlfn.IFNA(INDEX(mental_codes,MATCH(loaded!BS705,mental,0)),9)</f>
        <v>9</v>
      </c>
    </row>
    <row r="706" spans="1:33" x14ac:dyDescent="0.25">
      <c r="A706">
        <f>loaded!C706</f>
        <v>0</v>
      </c>
      <c r="B706">
        <f>loaded!I706</f>
        <v>0</v>
      </c>
      <c r="C706">
        <f>IF(loaded!K706="Male",1,IF(loaded!K706="Female",2,9))</f>
        <v>9</v>
      </c>
      <c r="D706" s="8">
        <f>loaded!M706</f>
        <v>0</v>
      </c>
      <c r="E706" t="str">
        <f>LEFT(loaded!O706,3)</f>
        <v/>
      </c>
      <c r="F706" t="e">
        <f>INDEX(cntry_codes,MATCH(loaded!Q706,countries,0))</f>
        <v>#N/A</v>
      </c>
      <c r="G706" t="e">
        <f>INDEX(atsi_codes,MATCH(loaded!S706,atsi,0))</f>
        <v>#N/A</v>
      </c>
      <c r="H706" t="e">
        <f>INDEX(lang_codes,MATCH(loaded!U706,lang,0))</f>
        <v>#N/A</v>
      </c>
      <c r="I706" s="8">
        <f>loaded!W706</f>
        <v>0</v>
      </c>
      <c r="J706" t="e">
        <f>INDEX(us_acc_codes,MATCH(loaded!Y706,us_acc,0))</f>
        <v>#N/A</v>
      </c>
      <c r="K706" t="e">
        <f>INDEX(client_codes,MATCH(loaded!AA706,client,0))</f>
        <v>#N/A</v>
      </c>
      <c r="L706" t="e">
        <f>INDEX(src_ref_codes,MATCH(loaded!AC706,src_ref,0))</f>
        <v>#N/A</v>
      </c>
      <c r="M706" s="8">
        <f>loaded!AE706</f>
        <v>0</v>
      </c>
      <c r="N706" s="8">
        <f>loaded!AG706</f>
        <v>0</v>
      </c>
      <c r="O706" t="e">
        <f>INDEX(reces_codes,MATCH(loaded!AI706,reason,0))</f>
        <v>#N/A</v>
      </c>
      <c r="P706" t="e">
        <f>INDEX(TDS_codes,MATCH(loaded!AK706,TDS,0))</f>
        <v>#N/A</v>
      </c>
      <c r="Q706" t="e">
        <f>IF(K706=2,"",INDEX(method_codes,MATCH(loaded!AM706,method,0)))</f>
        <v>#N/A</v>
      </c>
      <c r="R706" t="e">
        <f>IF(K706=2,"",INDEX(inj_codes,MATCH(loaded!AO706,inj,0)))</f>
        <v>#N/A</v>
      </c>
      <c r="S706" t="e">
        <f>IF(K706=2,"",INDEX(drug_codes,MATCH(loaded!AQ706,drug,0)))</f>
        <v>#N/A</v>
      </c>
      <c r="T706" t="e">
        <f>IF(K706=2,"",_xlfn.IFNA(INDEX(drug_codes,MATCH(loaded!AS706,drug,0)),""))</f>
        <v>#N/A</v>
      </c>
      <c r="U706" t="e">
        <f>IF(K706=2,"",_xlfn.IFNA(INDEX(drug_codes,MATCH(loaded!AU706,drug,0)),""))</f>
        <v>#N/A</v>
      </c>
      <c r="V706" t="e">
        <f>IF(K706=2,"",_xlfn.IFNA(INDEX(drug_codes,MATCH(loaded!AW706,drug,0)),""))</f>
        <v>#N/A</v>
      </c>
      <c r="W706" t="e">
        <f>IF(K706=2,"",_xlfn.IFNA(INDEX(drug_codes,MATCH(loaded!AY706,drug,0)),""))</f>
        <v>#N/A</v>
      </c>
      <c r="X706" t="e">
        <f>IF(K706=2,"",_xlfn.IFNA(INDEX(drug_codes,MATCH(loaded!BA706,drug,0)),""))</f>
        <v>#N/A</v>
      </c>
      <c r="Y706" t="e">
        <f>INDEX(MTT_codes,MATCH(loaded!BC706,MTT,0))</f>
        <v>#N/A</v>
      </c>
      <c r="Z706" t="str">
        <f>_xlfn.IFNA(INDEX(MTT_codes,MATCH(loaded!BE706,MTT,0)),"")</f>
        <v/>
      </c>
      <c r="AA706" t="str">
        <f>_xlfn.IFNA(INDEX(MTT_codes,MATCH(loaded!BG706,MTT,0)),"")</f>
        <v/>
      </c>
      <c r="AB706" t="str">
        <f>_xlfn.IFNA(INDEX(MTT_codes,MATCH(loaded!BI706,MTT,0)),"")</f>
        <v/>
      </c>
      <c r="AC706" t="str">
        <f>_xlfn.IFNA(INDEX(MTT_codes,MATCH(loaded!BK706,MTT,0)),"")</f>
        <v/>
      </c>
      <c r="AD706" t="str">
        <f>_xlfn.IFNA(INDEX(MTT_codes,MATCH(loaded!BM706,MTT,0)),"")</f>
        <v/>
      </c>
      <c r="AE706" t="e">
        <f>INDEX(liv_ar_codes,MATCH(loaded!BO706,liv_ar,0))</f>
        <v>#N/A</v>
      </c>
      <c r="AF706" t="str">
        <f>_xlfn.IFNA(INDEX(MTT_codes,MATCH(loaded!BQ706,MTT,0)),"")</f>
        <v/>
      </c>
      <c r="AG706">
        <f>_xlfn.IFNA(INDEX(mental_codes,MATCH(loaded!BS706,mental,0)),9)</f>
        <v>9</v>
      </c>
    </row>
    <row r="707" spans="1:33" x14ac:dyDescent="0.25">
      <c r="A707">
        <f>loaded!C707</f>
        <v>0</v>
      </c>
      <c r="B707">
        <f>loaded!I707</f>
        <v>0</v>
      </c>
      <c r="C707">
        <f>IF(loaded!K707="Male",1,IF(loaded!K707="Female",2,9))</f>
        <v>9</v>
      </c>
      <c r="D707" s="8">
        <f>loaded!M707</f>
        <v>0</v>
      </c>
      <c r="E707" t="str">
        <f>LEFT(loaded!O707,3)</f>
        <v/>
      </c>
      <c r="F707" t="e">
        <f>INDEX(cntry_codes,MATCH(loaded!Q707,countries,0))</f>
        <v>#N/A</v>
      </c>
      <c r="G707" t="e">
        <f>INDEX(atsi_codes,MATCH(loaded!S707,atsi,0))</f>
        <v>#N/A</v>
      </c>
      <c r="H707" t="e">
        <f>INDEX(lang_codes,MATCH(loaded!U707,lang,0))</f>
        <v>#N/A</v>
      </c>
      <c r="I707" s="8">
        <f>loaded!W707</f>
        <v>0</v>
      </c>
      <c r="J707" t="e">
        <f>INDEX(us_acc_codes,MATCH(loaded!Y707,us_acc,0))</f>
        <v>#N/A</v>
      </c>
      <c r="K707" t="e">
        <f>INDEX(client_codes,MATCH(loaded!AA707,client,0))</f>
        <v>#N/A</v>
      </c>
      <c r="L707" t="e">
        <f>INDEX(src_ref_codes,MATCH(loaded!AC707,src_ref,0))</f>
        <v>#N/A</v>
      </c>
      <c r="M707" s="8">
        <f>loaded!AE707</f>
        <v>0</v>
      </c>
      <c r="N707" s="8">
        <f>loaded!AG707</f>
        <v>0</v>
      </c>
      <c r="O707" t="e">
        <f>INDEX(reces_codes,MATCH(loaded!AI707,reason,0))</f>
        <v>#N/A</v>
      </c>
      <c r="P707" t="e">
        <f>INDEX(TDS_codes,MATCH(loaded!AK707,TDS,0))</f>
        <v>#N/A</v>
      </c>
      <c r="Q707" t="e">
        <f>IF(K707=2,"",INDEX(method_codes,MATCH(loaded!AM707,method,0)))</f>
        <v>#N/A</v>
      </c>
      <c r="R707" t="e">
        <f>IF(K707=2,"",INDEX(inj_codes,MATCH(loaded!AO707,inj,0)))</f>
        <v>#N/A</v>
      </c>
      <c r="S707" t="e">
        <f>IF(K707=2,"",INDEX(drug_codes,MATCH(loaded!AQ707,drug,0)))</f>
        <v>#N/A</v>
      </c>
      <c r="T707" t="e">
        <f>IF(K707=2,"",_xlfn.IFNA(INDEX(drug_codes,MATCH(loaded!AS707,drug,0)),""))</f>
        <v>#N/A</v>
      </c>
      <c r="U707" t="e">
        <f>IF(K707=2,"",_xlfn.IFNA(INDEX(drug_codes,MATCH(loaded!AU707,drug,0)),""))</f>
        <v>#N/A</v>
      </c>
      <c r="V707" t="e">
        <f>IF(K707=2,"",_xlfn.IFNA(INDEX(drug_codes,MATCH(loaded!AW707,drug,0)),""))</f>
        <v>#N/A</v>
      </c>
      <c r="W707" t="e">
        <f>IF(K707=2,"",_xlfn.IFNA(INDEX(drug_codes,MATCH(loaded!AY707,drug,0)),""))</f>
        <v>#N/A</v>
      </c>
      <c r="X707" t="e">
        <f>IF(K707=2,"",_xlfn.IFNA(INDEX(drug_codes,MATCH(loaded!BA707,drug,0)),""))</f>
        <v>#N/A</v>
      </c>
      <c r="Y707" t="e">
        <f>INDEX(MTT_codes,MATCH(loaded!BC707,MTT,0))</f>
        <v>#N/A</v>
      </c>
      <c r="Z707" t="str">
        <f>_xlfn.IFNA(INDEX(MTT_codes,MATCH(loaded!BE707,MTT,0)),"")</f>
        <v/>
      </c>
      <c r="AA707" t="str">
        <f>_xlfn.IFNA(INDEX(MTT_codes,MATCH(loaded!BG707,MTT,0)),"")</f>
        <v/>
      </c>
      <c r="AB707" t="str">
        <f>_xlfn.IFNA(INDEX(MTT_codes,MATCH(loaded!BI707,MTT,0)),"")</f>
        <v/>
      </c>
      <c r="AC707" t="str">
        <f>_xlfn.IFNA(INDEX(MTT_codes,MATCH(loaded!BK707,MTT,0)),"")</f>
        <v/>
      </c>
      <c r="AD707" t="str">
        <f>_xlfn.IFNA(INDEX(MTT_codes,MATCH(loaded!BM707,MTT,0)),"")</f>
        <v/>
      </c>
      <c r="AE707" t="e">
        <f>INDEX(liv_ar_codes,MATCH(loaded!BO707,liv_ar,0))</f>
        <v>#N/A</v>
      </c>
      <c r="AF707" t="str">
        <f>_xlfn.IFNA(INDEX(MTT_codes,MATCH(loaded!BQ707,MTT,0)),"")</f>
        <v/>
      </c>
      <c r="AG707">
        <f>_xlfn.IFNA(INDEX(mental_codes,MATCH(loaded!BS707,mental,0)),9)</f>
        <v>9</v>
      </c>
    </row>
    <row r="708" spans="1:33" x14ac:dyDescent="0.25">
      <c r="A708">
        <f>loaded!C708</f>
        <v>0</v>
      </c>
      <c r="B708">
        <f>loaded!I708</f>
        <v>0</v>
      </c>
      <c r="C708">
        <f>IF(loaded!K708="Male",1,IF(loaded!K708="Female",2,9))</f>
        <v>9</v>
      </c>
      <c r="D708" s="8">
        <f>loaded!M708</f>
        <v>0</v>
      </c>
      <c r="E708" t="str">
        <f>LEFT(loaded!O708,3)</f>
        <v/>
      </c>
      <c r="F708" t="e">
        <f>INDEX(cntry_codes,MATCH(loaded!Q708,countries,0))</f>
        <v>#N/A</v>
      </c>
      <c r="G708" t="e">
        <f>INDEX(atsi_codes,MATCH(loaded!S708,atsi,0))</f>
        <v>#N/A</v>
      </c>
      <c r="H708" t="e">
        <f>INDEX(lang_codes,MATCH(loaded!U708,lang,0))</f>
        <v>#N/A</v>
      </c>
      <c r="I708" s="8">
        <f>loaded!W708</f>
        <v>0</v>
      </c>
      <c r="J708" t="e">
        <f>INDEX(us_acc_codes,MATCH(loaded!Y708,us_acc,0))</f>
        <v>#N/A</v>
      </c>
      <c r="K708" t="e">
        <f>INDEX(client_codes,MATCH(loaded!AA708,client,0))</f>
        <v>#N/A</v>
      </c>
      <c r="L708" t="e">
        <f>INDEX(src_ref_codes,MATCH(loaded!AC708,src_ref,0))</f>
        <v>#N/A</v>
      </c>
      <c r="M708" s="8">
        <f>loaded!AE708</f>
        <v>0</v>
      </c>
      <c r="N708" s="8">
        <f>loaded!AG708</f>
        <v>0</v>
      </c>
      <c r="O708" t="e">
        <f>INDEX(reces_codes,MATCH(loaded!AI708,reason,0))</f>
        <v>#N/A</v>
      </c>
      <c r="P708" t="e">
        <f>INDEX(TDS_codes,MATCH(loaded!AK708,TDS,0))</f>
        <v>#N/A</v>
      </c>
      <c r="Q708" t="e">
        <f>IF(K708=2,"",INDEX(method_codes,MATCH(loaded!AM708,method,0)))</f>
        <v>#N/A</v>
      </c>
      <c r="R708" t="e">
        <f>IF(K708=2,"",INDEX(inj_codes,MATCH(loaded!AO708,inj,0)))</f>
        <v>#N/A</v>
      </c>
      <c r="S708" t="e">
        <f>IF(K708=2,"",INDEX(drug_codes,MATCH(loaded!AQ708,drug,0)))</f>
        <v>#N/A</v>
      </c>
      <c r="T708" t="e">
        <f>IF(K708=2,"",_xlfn.IFNA(INDEX(drug_codes,MATCH(loaded!AS708,drug,0)),""))</f>
        <v>#N/A</v>
      </c>
      <c r="U708" t="e">
        <f>IF(K708=2,"",_xlfn.IFNA(INDEX(drug_codes,MATCH(loaded!AU708,drug,0)),""))</f>
        <v>#N/A</v>
      </c>
      <c r="V708" t="e">
        <f>IF(K708=2,"",_xlfn.IFNA(INDEX(drug_codes,MATCH(loaded!AW708,drug,0)),""))</f>
        <v>#N/A</v>
      </c>
      <c r="W708" t="e">
        <f>IF(K708=2,"",_xlfn.IFNA(INDEX(drug_codes,MATCH(loaded!AY708,drug,0)),""))</f>
        <v>#N/A</v>
      </c>
      <c r="X708" t="e">
        <f>IF(K708=2,"",_xlfn.IFNA(INDEX(drug_codes,MATCH(loaded!BA708,drug,0)),""))</f>
        <v>#N/A</v>
      </c>
      <c r="Y708" t="e">
        <f>INDEX(MTT_codes,MATCH(loaded!BC708,MTT,0))</f>
        <v>#N/A</v>
      </c>
      <c r="Z708" t="str">
        <f>_xlfn.IFNA(INDEX(MTT_codes,MATCH(loaded!BE708,MTT,0)),"")</f>
        <v/>
      </c>
      <c r="AA708" t="str">
        <f>_xlfn.IFNA(INDEX(MTT_codes,MATCH(loaded!BG708,MTT,0)),"")</f>
        <v/>
      </c>
      <c r="AB708" t="str">
        <f>_xlfn.IFNA(INDEX(MTT_codes,MATCH(loaded!BI708,MTT,0)),"")</f>
        <v/>
      </c>
      <c r="AC708" t="str">
        <f>_xlfn.IFNA(INDEX(MTT_codes,MATCH(loaded!BK708,MTT,0)),"")</f>
        <v/>
      </c>
      <c r="AD708" t="str">
        <f>_xlfn.IFNA(INDEX(MTT_codes,MATCH(loaded!BM708,MTT,0)),"")</f>
        <v/>
      </c>
      <c r="AE708" t="e">
        <f>INDEX(liv_ar_codes,MATCH(loaded!BO708,liv_ar,0))</f>
        <v>#N/A</v>
      </c>
      <c r="AF708" t="str">
        <f>_xlfn.IFNA(INDEX(MTT_codes,MATCH(loaded!BQ708,MTT,0)),"")</f>
        <v/>
      </c>
      <c r="AG708">
        <f>_xlfn.IFNA(INDEX(mental_codes,MATCH(loaded!BS708,mental,0)),9)</f>
        <v>9</v>
      </c>
    </row>
    <row r="709" spans="1:33" x14ac:dyDescent="0.25">
      <c r="A709">
        <f>loaded!C709</f>
        <v>0</v>
      </c>
      <c r="B709">
        <f>loaded!I709</f>
        <v>0</v>
      </c>
      <c r="C709">
        <f>IF(loaded!K709="Male",1,IF(loaded!K709="Female",2,9))</f>
        <v>9</v>
      </c>
      <c r="D709" s="8">
        <f>loaded!M709</f>
        <v>0</v>
      </c>
      <c r="E709" t="str">
        <f>LEFT(loaded!O709,3)</f>
        <v/>
      </c>
      <c r="F709" t="e">
        <f>INDEX(cntry_codes,MATCH(loaded!Q709,countries,0))</f>
        <v>#N/A</v>
      </c>
      <c r="G709" t="e">
        <f>INDEX(atsi_codes,MATCH(loaded!S709,atsi,0))</f>
        <v>#N/A</v>
      </c>
      <c r="H709" t="e">
        <f>INDEX(lang_codes,MATCH(loaded!U709,lang,0))</f>
        <v>#N/A</v>
      </c>
      <c r="I709" s="8">
        <f>loaded!W709</f>
        <v>0</v>
      </c>
      <c r="J709" t="e">
        <f>INDEX(us_acc_codes,MATCH(loaded!Y709,us_acc,0))</f>
        <v>#N/A</v>
      </c>
      <c r="K709" t="e">
        <f>INDEX(client_codes,MATCH(loaded!AA709,client,0))</f>
        <v>#N/A</v>
      </c>
      <c r="L709" t="e">
        <f>INDEX(src_ref_codes,MATCH(loaded!AC709,src_ref,0))</f>
        <v>#N/A</v>
      </c>
      <c r="M709" s="8">
        <f>loaded!AE709</f>
        <v>0</v>
      </c>
      <c r="N709" s="8">
        <f>loaded!AG709</f>
        <v>0</v>
      </c>
      <c r="O709" t="e">
        <f>INDEX(reces_codes,MATCH(loaded!AI709,reason,0))</f>
        <v>#N/A</v>
      </c>
      <c r="P709" t="e">
        <f>INDEX(TDS_codes,MATCH(loaded!AK709,TDS,0))</f>
        <v>#N/A</v>
      </c>
      <c r="Q709" t="e">
        <f>IF(K709=2,"",INDEX(method_codes,MATCH(loaded!AM709,method,0)))</f>
        <v>#N/A</v>
      </c>
      <c r="R709" t="e">
        <f>IF(K709=2,"",INDEX(inj_codes,MATCH(loaded!AO709,inj,0)))</f>
        <v>#N/A</v>
      </c>
      <c r="S709" t="e">
        <f>IF(K709=2,"",INDEX(drug_codes,MATCH(loaded!AQ709,drug,0)))</f>
        <v>#N/A</v>
      </c>
      <c r="T709" t="e">
        <f>IF(K709=2,"",_xlfn.IFNA(INDEX(drug_codes,MATCH(loaded!AS709,drug,0)),""))</f>
        <v>#N/A</v>
      </c>
      <c r="U709" t="e">
        <f>IF(K709=2,"",_xlfn.IFNA(INDEX(drug_codes,MATCH(loaded!AU709,drug,0)),""))</f>
        <v>#N/A</v>
      </c>
      <c r="V709" t="e">
        <f>IF(K709=2,"",_xlfn.IFNA(INDEX(drug_codes,MATCH(loaded!AW709,drug,0)),""))</f>
        <v>#N/A</v>
      </c>
      <c r="W709" t="e">
        <f>IF(K709=2,"",_xlfn.IFNA(INDEX(drug_codes,MATCH(loaded!AY709,drug,0)),""))</f>
        <v>#N/A</v>
      </c>
      <c r="X709" t="e">
        <f>IF(K709=2,"",_xlfn.IFNA(INDEX(drug_codes,MATCH(loaded!BA709,drug,0)),""))</f>
        <v>#N/A</v>
      </c>
      <c r="Y709" t="e">
        <f>INDEX(MTT_codes,MATCH(loaded!BC709,MTT,0))</f>
        <v>#N/A</v>
      </c>
      <c r="Z709" t="str">
        <f>_xlfn.IFNA(INDEX(MTT_codes,MATCH(loaded!BE709,MTT,0)),"")</f>
        <v/>
      </c>
      <c r="AA709" t="str">
        <f>_xlfn.IFNA(INDEX(MTT_codes,MATCH(loaded!BG709,MTT,0)),"")</f>
        <v/>
      </c>
      <c r="AB709" t="str">
        <f>_xlfn.IFNA(INDEX(MTT_codes,MATCH(loaded!BI709,MTT,0)),"")</f>
        <v/>
      </c>
      <c r="AC709" t="str">
        <f>_xlfn.IFNA(INDEX(MTT_codes,MATCH(loaded!BK709,MTT,0)),"")</f>
        <v/>
      </c>
      <c r="AD709" t="str">
        <f>_xlfn.IFNA(INDEX(MTT_codes,MATCH(loaded!BM709,MTT,0)),"")</f>
        <v/>
      </c>
      <c r="AE709" t="e">
        <f>INDEX(liv_ar_codes,MATCH(loaded!BO709,liv_ar,0))</f>
        <v>#N/A</v>
      </c>
      <c r="AF709" t="str">
        <f>_xlfn.IFNA(INDEX(MTT_codes,MATCH(loaded!BQ709,MTT,0)),"")</f>
        <v/>
      </c>
      <c r="AG709">
        <f>_xlfn.IFNA(INDEX(mental_codes,MATCH(loaded!BS709,mental,0)),9)</f>
        <v>9</v>
      </c>
    </row>
    <row r="710" spans="1:33" x14ac:dyDescent="0.25">
      <c r="A710">
        <f>loaded!C710</f>
        <v>0</v>
      </c>
      <c r="B710">
        <f>loaded!I710</f>
        <v>0</v>
      </c>
      <c r="C710">
        <f>IF(loaded!K710="Male",1,IF(loaded!K710="Female",2,9))</f>
        <v>9</v>
      </c>
      <c r="D710" s="8">
        <f>loaded!M710</f>
        <v>0</v>
      </c>
      <c r="E710" t="str">
        <f>LEFT(loaded!O710,3)</f>
        <v/>
      </c>
      <c r="F710" t="e">
        <f>INDEX(cntry_codes,MATCH(loaded!Q710,countries,0))</f>
        <v>#N/A</v>
      </c>
      <c r="G710" t="e">
        <f>INDEX(atsi_codes,MATCH(loaded!S710,atsi,0))</f>
        <v>#N/A</v>
      </c>
      <c r="H710" t="e">
        <f>INDEX(lang_codes,MATCH(loaded!U710,lang,0))</f>
        <v>#N/A</v>
      </c>
      <c r="I710" s="8">
        <f>loaded!W710</f>
        <v>0</v>
      </c>
      <c r="J710" t="e">
        <f>INDEX(us_acc_codes,MATCH(loaded!Y710,us_acc,0))</f>
        <v>#N/A</v>
      </c>
      <c r="K710" t="e">
        <f>INDEX(client_codes,MATCH(loaded!AA710,client,0))</f>
        <v>#N/A</v>
      </c>
      <c r="L710" t="e">
        <f>INDEX(src_ref_codes,MATCH(loaded!AC710,src_ref,0))</f>
        <v>#N/A</v>
      </c>
      <c r="M710" s="8">
        <f>loaded!AE710</f>
        <v>0</v>
      </c>
      <c r="N710" s="8">
        <f>loaded!AG710</f>
        <v>0</v>
      </c>
      <c r="O710" t="e">
        <f>INDEX(reces_codes,MATCH(loaded!AI710,reason,0))</f>
        <v>#N/A</v>
      </c>
      <c r="P710" t="e">
        <f>INDEX(TDS_codes,MATCH(loaded!AK710,TDS,0))</f>
        <v>#N/A</v>
      </c>
      <c r="Q710" t="e">
        <f>IF(K710=2,"",INDEX(method_codes,MATCH(loaded!AM710,method,0)))</f>
        <v>#N/A</v>
      </c>
      <c r="R710" t="e">
        <f>IF(K710=2,"",INDEX(inj_codes,MATCH(loaded!AO710,inj,0)))</f>
        <v>#N/A</v>
      </c>
      <c r="S710" t="e">
        <f>IF(K710=2,"",INDEX(drug_codes,MATCH(loaded!AQ710,drug,0)))</f>
        <v>#N/A</v>
      </c>
      <c r="T710" t="e">
        <f>IF(K710=2,"",_xlfn.IFNA(INDEX(drug_codes,MATCH(loaded!AS710,drug,0)),""))</f>
        <v>#N/A</v>
      </c>
      <c r="U710" t="e">
        <f>IF(K710=2,"",_xlfn.IFNA(INDEX(drug_codes,MATCH(loaded!AU710,drug,0)),""))</f>
        <v>#N/A</v>
      </c>
      <c r="V710" t="e">
        <f>IF(K710=2,"",_xlfn.IFNA(INDEX(drug_codes,MATCH(loaded!AW710,drug,0)),""))</f>
        <v>#N/A</v>
      </c>
      <c r="W710" t="e">
        <f>IF(K710=2,"",_xlfn.IFNA(INDEX(drug_codes,MATCH(loaded!AY710,drug,0)),""))</f>
        <v>#N/A</v>
      </c>
      <c r="X710" t="e">
        <f>IF(K710=2,"",_xlfn.IFNA(INDEX(drug_codes,MATCH(loaded!BA710,drug,0)),""))</f>
        <v>#N/A</v>
      </c>
      <c r="Y710" t="e">
        <f>INDEX(MTT_codes,MATCH(loaded!BC710,MTT,0))</f>
        <v>#N/A</v>
      </c>
      <c r="Z710" t="str">
        <f>_xlfn.IFNA(INDEX(MTT_codes,MATCH(loaded!BE710,MTT,0)),"")</f>
        <v/>
      </c>
      <c r="AA710" t="str">
        <f>_xlfn.IFNA(INDEX(MTT_codes,MATCH(loaded!BG710,MTT,0)),"")</f>
        <v/>
      </c>
      <c r="AB710" t="str">
        <f>_xlfn.IFNA(INDEX(MTT_codes,MATCH(loaded!BI710,MTT,0)),"")</f>
        <v/>
      </c>
      <c r="AC710" t="str">
        <f>_xlfn.IFNA(INDEX(MTT_codes,MATCH(loaded!BK710,MTT,0)),"")</f>
        <v/>
      </c>
      <c r="AD710" t="str">
        <f>_xlfn.IFNA(INDEX(MTT_codes,MATCH(loaded!BM710,MTT,0)),"")</f>
        <v/>
      </c>
      <c r="AE710" t="e">
        <f>INDEX(liv_ar_codes,MATCH(loaded!BO710,liv_ar,0))</f>
        <v>#N/A</v>
      </c>
      <c r="AF710" t="str">
        <f>_xlfn.IFNA(INDEX(MTT_codes,MATCH(loaded!BQ710,MTT,0)),"")</f>
        <v/>
      </c>
      <c r="AG710">
        <f>_xlfn.IFNA(INDEX(mental_codes,MATCH(loaded!BS710,mental,0)),9)</f>
        <v>9</v>
      </c>
    </row>
    <row r="711" spans="1:33" x14ac:dyDescent="0.25">
      <c r="A711">
        <f>loaded!C711</f>
        <v>0</v>
      </c>
      <c r="B711">
        <f>loaded!I711</f>
        <v>0</v>
      </c>
      <c r="C711">
        <f>IF(loaded!K711="Male",1,IF(loaded!K711="Female",2,9))</f>
        <v>9</v>
      </c>
      <c r="D711" s="8">
        <f>loaded!M711</f>
        <v>0</v>
      </c>
      <c r="E711" t="str">
        <f>LEFT(loaded!O711,3)</f>
        <v/>
      </c>
      <c r="F711" t="e">
        <f>INDEX(cntry_codes,MATCH(loaded!Q711,countries,0))</f>
        <v>#N/A</v>
      </c>
      <c r="G711" t="e">
        <f>INDEX(atsi_codes,MATCH(loaded!S711,atsi,0))</f>
        <v>#N/A</v>
      </c>
      <c r="H711" t="e">
        <f>INDEX(lang_codes,MATCH(loaded!U711,lang,0))</f>
        <v>#N/A</v>
      </c>
      <c r="I711" s="8">
        <f>loaded!W711</f>
        <v>0</v>
      </c>
      <c r="J711" t="e">
        <f>INDEX(us_acc_codes,MATCH(loaded!Y711,us_acc,0))</f>
        <v>#N/A</v>
      </c>
      <c r="K711" t="e">
        <f>INDEX(client_codes,MATCH(loaded!AA711,client,0))</f>
        <v>#N/A</v>
      </c>
      <c r="L711" t="e">
        <f>INDEX(src_ref_codes,MATCH(loaded!AC711,src_ref,0))</f>
        <v>#N/A</v>
      </c>
      <c r="M711" s="8">
        <f>loaded!AE711</f>
        <v>0</v>
      </c>
      <c r="N711" s="8">
        <f>loaded!AG711</f>
        <v>0</v>
      </c>
      <c r="O711" t="e">
        <f>INDEX(reces_codes,MATCH(loaded!AI711,reason,0))</f>
        <v>#N/A</v>
      </c>
      <c r="P711" t="e">
        <f>INDEX(TDS_codes,MATCH(loaded!AK711,TDS,0))</f>
        <v>#N/A</v>
      </c>
      <c r="Q711" t="e">
        <f>IF(K711=2,"",INDEX(method_codes,MATCH(loaded!AM711,method,0)))</f>
        <v>#N/A</v>
      </c>
      <c r="R711" t="e">
        <f>IF(K711=2,"",INDEX(inj_codes,MATCH(loaded!AO711,inj,0)))</f>
        <v>#N/A</v>
      </c>
      <c r="S711" t="e">
        <f>IF(K711=2,"",INDEX(drug_codes,MATCH(loaded!AQ711,drug,0)))</f>
        <v>#N/A</v>
      </c>
      <c r="T711" t="e">
        <f>IF(K711=2,"",_xlfn.IFNA(INDEX(drug_codes,MATCH(loaded!AS711,drug,0)),""))</f>
        <v>#N/A</v>
      </c>
      <c r="U711" t="e">
        <f>IF(K711=2,"",_xlfn.IFNA(INDEX(drug_codes,MATCH(loaded!AU711,drug,0)),""))</f>
        <v>#N/A</v>
      </c>
      <c r="V711" t="e">
        <f>IF(K711=2,"",_xlfn.IFNA(INDEX(drug_codes,MATCH(loaded!AW711,drug,0)),""))</f>
        <v>#N/A</v>
      </c>
      <c r="W711" t="e">
        <f>IF(K711=2,"",_xlfn.IFNA(INDEX(drug_codes,MATCH(loaded!AY711,drug,0)),""))</f>
        <v>#N/A</v>
      </c>
      <c r="X711" t="e">
        <f>IF(K711=2,"",_xlfn.IFNA(INDEX(drug_codes,MATCH(loaded!BA711,drug,0)),""))</f>
        <v>#N/A</v>
      </c>
      <c r="Y711" t="e">
        <f>INDEX(MTT_codes,MATCH(loaded!BC711,MTT,0))</f>
        <v>#N/A</v>
      </c>
      <c r="Z711" t="str">
        <f>_xlfn.IFNA(INDEX(MTT_codes,MATCH(loaded!BE711,MTT,0)),"")</f>
        <v/>
      </c>
      <c r="AA711" t="str">
        <f>_xlfn.IFNA(INDEX(MTT_codes,MATCH(loaded!BG711,MTT,0)),"")</f>
        <v/>
      </c>
      <c r="AB711" t="str">
        <f>_xlfn.IFNA(INDEX(MTT_codes,MATCH(loaded!BI711,MTT,0)),"")</f>
        <v/>
      </c>
      <c r="AC711" t="str">
        <f>_xlfn.IFNA(INDEX(MTT_codes,MATCH(loaded!BK711,MTT,0)),"")</f>
        <v/>
      </c>
      <c r="AD711" t="str">
        <f>_xlfn.IFNA(INDEX(MTT_codes,MATCH(loaded!BM711,MTT,0)),"")</f>
        <v/>
      </c>
      <c r="AE711" t="e">
        <f>INDEX(liv_ar_codes,MATCH(loaded!BO711,liv_ar,0))</f>
        <v>#N/A</v>
      </c>
      <c r="AF711" t="str">
        <f>_xlfn.IFNA(INDEX(MTT_codes,MATCH(loaded!BQ711,MTT,0)),"")</f>
        <v/>
      </c>
      <c r="AG711">
        <f>_xlfn.IFNA(INDEX(mental_codes,MATCH(loaded!BS711,mental,0)),9)</f>
        <v>9</v>
      </c>
    </row>
    <row r="712" spans="1:33" x14ac:dyDescent="0.25">
      <c r="A712">
        <f>loaded!C712</f>
        <v>0</v>
      </c>
      <c r="B712">
        <f>loaded!I712</f>
        <v>0</v>
      </c>
      <c r="C712">
        <f>IF(loaded!K712="Male",1,IF(loaded!K712="Female",2,9))</f>
        <v>9</v>
      </c>
      <c r="D712" s="8">
        <f>loaded!M712</f>
        <v>0</v>
      </c>
      <c r="E712" t="str">
        <f>LEFT(loaded!O712,3)</f>
        <v/>
      </c>
      <c r="F712" t="e">
        <f>INDEX(cntry_codes,MATCH(loaded!Q712,countries,0))</f>
        <v>#N/A</v>
      </c>
      <c r="G712" t="e">
        <f>INDEX(atsi_codes,MATCH(loaded!S712,atsi,0))</f>
        <v>#N/A</v>
      </c>
      <c r="H712" t="e">
        <f>INDEX(lang_codes,MATCH(loaded!U712,lang,0))</f>
        <v>#N/A</v>
      </c>
      <c r="I712" s="8">
        <f>loaded!W712</f>
        <v>0</v>
      </c>
      <c r="J712" t="e">
        <f>INDEX(us_acc_codes,MATCH(loaded!Y712,us_acc,0))</f>
        <v>#N/A</v>
      </c>
      <c r="K712" t="e">
        <f>INDEX(client_codes,MATCH(loaded!AA712,client,0))</f>
        <v>#N/A</v>
      </c>
      <c r="L712" t="e">
        <f>INDEX(src_ref_codes,MATCH(loaded!AC712,src_ref,0))</f>
        <v>#N/A</v>
      </c>
      <c r="M712" s="8">
        <f>loaded!AE712</f>
        <v>0</v>
      </c>
      <c r="N712" s="8">
        <f>loaded!AG712</f>
        <v>0</v>
      </c>
      <c r="O712" t="e">
        <f>INDEX(reces_codes,MATCH(loaded!AI712,reason,0))</f>
        <v>#N/A</v>
      </c>
      <c r="P712" t="e">
        <f>INDEX(TDS_codes,MATCH(loaded!AK712,TDS,0))</f>
        <v>#N/A</v>
      </c>
      <c r="Q712" t="e">
        <f>IF(K712=2,"",INDEX(method_codes,MATCH(loaded!AM712,method,0)))</f>
        <v>#N/A</v>
      </c>
      <c r="R712" t="e">
        <f>IF(K712=2,"",INDEX(inj_codes,MATCH(loaded!AO712,inj,0)))</f>
        <v>#N/A</v>
      </c>
      <c r="S712" t="e">
        <f>IF(K712=2,"",INDEX(drug_codes,MATCH(loaded!AQ712,drug,0)))</f>
        <v>#N/A</v>
      </c>
      <c r="T712" t="e">
        <f>IF(K712=2,"",_xlfn.IFNA(INDEX(drug_codes,MATCH(loaded!AS712,drug,0)),""))</f>
        <v>#N/A</v>
      </c>
      <c r="U712" t="e">
        <f>IF(K712=2,"",_xlfn.IFNA(INDEX(drug_codes,MATCH(loaded!AU712,drug,0)),""))</f>
        <v>#N/A</v>
      </c>
      <c r="V712" t="e">
        <f>IF(K712=2,"",_xlfn.IFNA(INDEX(drug_codes,MATCH(loaded!AW712,drug,0)),""))</f>
        <v>#N/A</v>
      </c>
      <c r="W712" t="e">
        <f>IF(K712=2,"",_xlfn.IFNA(INDEX(drug_codes,MATCH(loaded!AY712,drug,0)),""))</f>
        <v>#N/A</v>
      </c>
      <c r="X712" t="e">
        <f>IF(K712=2,"",_xlfn.IFNA(INDEX(drug_codes,MATCH(loaded!BA712,drug,0)),""))</f>
        <v>#N/A</v>
      </c>
      <c r="Y712" t="e">
        <f>INDEX(MTT_codes,MATCH(loaded!BC712,MTT,0))</f>
        <v>#N/A</v>
      </c>
      <c r="Z712" t="str">
        <f>_xlfn.IFNA(INDEX(MTT_codes,MATCH(loaded!BE712,MTT,0)),"")</f>
        <v/>
      </c>
      <c r="AA712" t="str">
        <f>_xlfn.IFNA(INDEX(MTT_codes,MATCH(loaded!BG712,MTT,0)),"")</f>
        <v/>
      </c>
      <c r="AB712" t="str">
        <f>_xlfn.IFNA(INDEX(MTT_codes,MATCH(loaded!BI712,MTT,0)),"")</f>
        <v/>
      </c>
      <c r="AC712" t="str">
        <f>_xlfn.IFNA(INDEX(MTT_codes,MATCH(loaded!BK712,MTT,0)),"")</f>
        <v/>
      </c>
      <c r="AD712" t="str">
        <f>_xlfn.IFNA(INDEX(MTT_codes,MATCH(loaded!BM712,MTT,0)),"")</f>
        <v/>
      </c>
      <c r="AE712" t="e">
        <f>INDEX(liv_ar_codes,MATCH(loaded!BO712,liv_ar,0))</f>
        <v>#N/A</v>
      </c>
      <c r="AF712" t="str">
        <f>_xlfn.IFNA(INDEX(MTT_codes,MATCH(loaded!BQ712,MTT,0)),"")</f>
        <v/>
      </c>
      <c r="AG712">
        <f>_xlfn.IFNA(INDEX(mental_codes,MATCH(loaded!BS712,mental,0)),9)</f>
        <v>9</v>
      </c>
    </row>
    <row r="713" spans="1:33" x14ac:dyDescent="0.25">
      <c r="A713">
        <f>loaded!C713</f>
        <v>0</v>
      </c>
      <c r="B713">
        <f>loaded!I713</f>
        <v>0</v>
      </c>
      <c r="C713">
        <f>IF(loaded!K713="Male",1,IF(loaded!K713="Female",2,9))</f>
        <v>9</v>
      </c>
      <c r="D713" s="8">
        <f>loaded!M713</f>
        <v>0</v>
      </c>
      <c r="E713" t="str">
        <f>LEFT(loaded!O713,3)</f>
        <v/>
      </c>
      <c r="F713" t="e">
        <f>INDEX(cntry_codes,MATCH(loaded!Q713,countries,0))</f>
        <v>#N/A</v>
      </c>
      <c r="G713" t="e">
        <f>INDEX(atsi_codes,MATCH(loaded!S713,atsi,0))</f>
        <v>#N/A</v>
      </c>
      <c r="H713" t="e">
        <f>INDEX(lang_codes,MATCH(loaded!U713,lang,0))</f>
        <v>#N/A</v>
      </c>
      <c r="I713" s="8">
        <f>loaded!W713</f>
        <v>0</v>
      </c>
      <c r="J713" t="e">
        <f>INDEX(us_acc_codes,MATCH(loaded!Y713,us_acc,0))</f>
        <v>#N/A</v>
      </c>
      <c r="K713" t="e">
        <f>INDEX(client_codes,MATCH(loaded!AA713,client,0))</f>
        <v>#N/A</v>
      </c>
      <c r="L713" t="e">
        <f>INDEX(src_ref_codes,MATCH(loaded!AC713,src_ref,0))</f>
        <v>#N/A</v>
      </c>
      <c r="M713" s="8">
        <f>loaded!AE713</f>
        <v>0</v>
      </c>
      <c r="N713" s="8">
        <f>loaded!AG713</f>
        <v>0</v>
      </c>
      <c r="O713" t="e">
        <f>INDEX(reces_codes,MATCH(loaded!AI713,reason,0))</f>
        <v>#N/A</v>
      </c>
      <c r="P713" t="e">
        <f>INDEX(TDS_codes,MATCH(loaded!AK713,TDS,0))</f>
        <v>#N/A</v>
      </c>
      <c r="Q713" t="e">
        <f>IF(K713=2,"",INDEX(method_codes,MATCH(loaded!AM713,method,0)))</f>
        <v>#N/A</v>
      </c>
      <c r="R713" t="e">
        <f>IF(K713=2,"",INDEX(inj_codes,MATCH(loaded!AO713,inj,0)))</f>
        <v>#N/A</v>
      </c>
      <c r="S713" t="e">
        <f>IF(K713=2,"",INDEX(drug_codes,MATCH(loaded!AQ713,drug,0)))</f>
        <v>#N/A</v>
      </c>
      <c r="T713" t="e">
        <f>IF(K713=2,"",_xlfn.IFNA(INDEX(drug_codes,MATCH(loaded!AS713,drug,0)),""))</f>
        <v>#N/A</v>
      </c>
      <c r="U713" t="e">
        <f>IF(K713=2,"",_xlfn.IFNA(INDEX(drug_codes,MATCH(loaded!AU713,drug,0)),""))</f>
        <v>#N/A</v>
      </c>
      <c r="V713" t="e">
        <f>IF(K713=2,"",_xlfn.IFNA(INDEX(drug_codes,MATCH(loaded!AW713,drug,0)),""))</f>
        <v>#N/A</v>
      </c>
      <c r="W713" t="e">
        <f>IF(K713=2,"",_xlfn.IFNA(INDEX(drug_codes,MATCH(loaded!AY713,drug,0)),""))</f>
        <v>#N/A</v>
      </c>
      <c r="X713" t="e">
        <f>IF(K713=2,"",_xlfn.IFNA(INDEX(drug_codes,MATCH(loaded!BA713,drug,0)),""))</f>
        <v>#N/A</v>
      </c>
      <c r="Y713" t="e">
        <f>INDEX(MTT_codes,MATCH(loaded!BC713,MTT,0))</f>
        <v>#N/A</v>
      </c>
      <c r="Z713" t="str">
        <f>_xlfn.IFNA(INDEX(MTT_codes,MATCH(loaded!BE713,MTT,0)),"")</f>
        <v/>
      </c>
      <c r="AA713" t="str">
        <f>_xlfn.IFNA(INDEX(MTT_codes,MATCH(loaded!BG713,MTT,0)),"")</f>
        <v/>
      </c>
      <c r="AB713" t="str">
        <f>_xlfn.IFNA(INDEX(MTT_codes,MATCH(loaded!BI713,MTT,0)),"")</f>
        <v/>
      </c>
      <c r="AC713" t="str">
        <f>_xlfn.IFNA(INDEX(MTT_codes,MATCH(loaded!BK713,MTT,0)),"")</f>
        <v/>
      </c>
      <c r="AD713" t="str">
        <f>_xlfn.IFNA(INDEX(MTT_codes,MATCH(loaded!BM713,MTT,0)),"")</f>
        <v/>
      </c>
      <c r="AE713" t="e">
        <f>INDEX(liv_ar_codes,MATCH(loaded!BO713,liv_ar,0))</f>
        <v>#N/A</v>
      </c>
      <c r="AF713" t="str">
        <f>_xlfn.IFNA(INDEX(MTT_codes,MATCH(loaded!BQ713,MTT,0)),"")</f>
        <v/>
      </c>
      <c r="AG713">
        <f>_xlfn.IFNA(INDEX(mental_codes,MATCH(loaded!BS713,mental,0)),9)</f>
        <v>9</v>
      </c>
    </row>
    <row r="714" spans="1:33" x14ac:dyDescent="0.25">
      <c r="A714">
        <f>loaded!C714</f>
        <v>0</v>
      </c>
      <c r="B714">
        <f>loaded!I714</f>
        <v>0</v>
      </c>
      <c r="C714">
        <f>IF(loaded!K714="Male",1,IF(loaded!K714="Female",2,9))</f>
        <v>9</v>
      </c>
      <c r="D714" s="8">
        <f>loaded!M714</f>
        <v>0</v>
      </c>
      <c r="E714" t="str">
        <f>LEFT(loaded!O714,3)</f>
        <v/>
      </c>
      <c r="F714" t="e">
        <f>INDEX(cntry_codes,MATCH(loaded!Q714,countries,0))</f>
        <v>#N/A</v>
      </c>
      <c r="G714" t="e">
        <f>INDEX(atsi_codes,MATCH(loaded!S714,atsi,0))</f>
        <v>#N/A</v>
      </c>
      <c r="H714" t="e">
        <f>INDEX(lang_codes,MATCH(loaded!U714,lang,0))</f>
        <v>#N/A</v>
      </c>
      <c r="I714" s="8">
        <f>loaded!W714</f>
        <v>0</v>
      </c>
      <c r="J714" t="e">
        <f>INDEX(us_acc_codes,MATCH(loaded!Y714,us_acc,0))</f>
        <v>#N/A</v>
      </c>
      <c r="K714" t="e">
        <f>INDEX(client_codes,MATCH(loaded!AA714,client,0))</f>
        <v>#N/A</v>
      </c>
      <c r="L714" t="e">
        <f>INDEX(src_ref_codes,MATCH(loaded!AC714,src_ref,0))</f>
        <v>#N/A</v>
      </c>
      <c r="M714" s="8">
        <f>loaded!AE714</f>
        <v>0</v>
      </c>
      <c r="N714" s="8">
        <f>loaded!AG714</f>
        <v>0</v>
      </c>
      <c r="O714" t="e">
        <f>INDEX(reces_codes,MATCH(loaded!AI714,reason,0))</f>
        <v>#N/A</v>
      </c>
      <c r="P714" t="e">
        <f>INDEX(TDS_codes,MATCH(loaded!AK714,TDS,0))</f>
        <v>#N/A</v>
      </c>
      <c r="Q714" t="e">
        <f>IF(K714=2,"",INDEX(method_codes,MATCH(loaded!AM714,method,0)))</f>
        <v>#N/A</v>
      </c>
      <c r="R714" t="e">
        <f>IF(K714=2,"",INDEX(inj_codes,MATCH(loaded!AO714,inj,0)))</f>
        <v>#N/A</v>
      </c>
      <c r="S714" t="e">
        <f>IF(K714=2,"",INDEX(drug_codes,MATCH(loaded!AQ714,drug,0)))</f>
        <v>#N/A</v>
      </c>
      <c r="T714" t="e">
        <f>IF(K714=2,"",_xlfn.IFNA(INDEX(drug_codes,MATCH(loaded!AS714,drug,0)),""))</f>
        <v>#N/A</v>
      </c>
      <c r="U714" t="e">
        <f>IF(K714=2,"",_xlfn.IFNA(INDEX(drug_codes,MATCH(loaded!AU714,drug,0)),""))</f>
        <v>#N/A</v>
      </c>
      <c r="V714" t="e">
        <f>IF(K714=2,"",_xlfn.IFNA(INDEX(drug_codes,MATCH(loaded!AW714,drug,0)),""))</f>
        <v>#N/A</v>
      </c>
      <c r="W714" t="e">
        <f>IF(K714=2,"",_xlfn.IFNA(INDEX(drug_codes,MATCH(loaded!AY714,drug,0)),""))</f>
        <v>#N/A</v>
      </c>
      <c r="X714" t="e">
        <f>IF(K714=2,"",_xlfn.IFNA(INDEX(drug_codes,MATCH(loaded!BA714,drug,0)),""))</f>
        <v>#N/A</v>
      </c>
      <c r="Y714" t="e">
        <f>INDEX(MTT_codes,MATCH(loaded!BC714,MTT,0))</f>
        <v>#N/A</v>
      </c>
      <c r="Z714" t="str">
        <f>_xlfn.IFNA(INDEX(MTT_codes,MATCH(loaded!BE714,MTT,0)),"")</f>
        <v/>
      </c>
      <c r="AA714" t="str">
        <f>_xlfn.IFNA(INDEX(MTT_codes,MATCH(loaded!BG714,MTT,0)),"")</f>
        <v/>
      </c>
      <c r="AB714" t="str">
        <f>_xlfn.IFNA(INDEX(MTT_codes,MATCH(loaded!BI714,MTT,0)),"")</f>
        <v/>
      </c>
      <c r="AC714" t="str">
        <f>_xlfn.IFNA(INDEX(MTT_codes,MATCH(loaded!BK714,MTT,0)),"")</f>
        <v/>
      </c>
      <c r="AD714" t="str">
        <f>_xlfn.IFNA(INDEX(MTT_codes,MATCH(loaded!BM714,MTT,0)),"")</f>
        <v/>
      </c>
      <c r="AE714" t="e">
        <f>INDEX(liv_ar_codes,MATCH(loaded!BO714,liv_ar,0))</f>
        <v>#N/A</v>
      </c>
      <c r="AF714" t="str">
        <f>_xlfn.IFNA(INDEX(MTT_codes,MATCH(loaded!BQ714,MTT,0)),"")</f>
        <v/>
      </c>
      <c r="AG714">
        <f>_xlfn.IFNA(INDEX(mental_codes,MATCH(loaded!BS714,mental,0)),9)</f>
        <v>9</v>
      </c>
    </row>
    <row r="715" spans="1:33" x14ac:dyDescent="0.25">
      <c r="A715">
        <f>loaded!C715</f>
        <v>0</v>
      </c>
      <c r="B715">
        <f>loaded!I715</f>
        <v>0</v>
      </c>
      <c r="C715">
        <f>IF(loaded!K715="Male",1,IF(loaded!K715="Female",2,9))</f>
        <v>9</v>
      </c>
      <c r="D715" s="8">
        <f>loaded!M715</f>
        <v>0</v>
      </c>
      <c r="E715" t="str">
        <f>LEFT(loaded!O715,3)</f>
        <v/>
      </c>
      <c r="F715" t="e">
        <f>INDEX(cntry_codes,MATCH(loaded!Q715,countries,0))</f>
        <v>#N/A</v>
      </c>
      <c r="G715" t="e">
        <f>INDEX(atsi_codes,MATCH(loaded!S715,atsi,0))</f>
        <v>#N/A</v>
      </c>
      <c r="H715" t="e">
        <f>INDEX(lang_codes,MATCH(loaded!U715,lang,0))</f>
        <v>#N/A</v>
      </c>
      <c r="I715" s="8">
        <f>loaded!W715</f>
        <v>0</v>
      </c>
      <c r="J715" t="e">
        <f>INDEX(us_acc_codes,MATCH(loaded!Y715,us_acc,0))</f>
        <v>#N/A</v>
      </c>
      <c r="K715" t="e">
        <f>INDEX(client_codes,MATCH(loaded!AA715,client,0))</f>
        <v>#N/A</v>
      </c>
      <c r="L715" t="e">
        <f>INDEX(src_ref_codes,MATCH(loaded!AC715,src_ref,0))</f>
        <v>#N/A</v>
      </c>
      <c r="M715" s="8">
        <f>loaded!AE715</f>
        <v>0</v>
      </c>
      <c r="N715" s="8">
        <f>loaded!AG715</f>
        <v>0</v>
      </c>
      <c r="O715" t="e">
        <f>INDEX(reces_codes,MATCH(loaded!AI715,reason,0))</f>
        <v>#N/A</v>
      </c>
      <c r="P715" t="e">
        <f>INDEX(TDS_codes,MATCH(loaded!AK715,TDS,0))</f>
        <v>#N/A</v>
      </c>
      <c r="Q715" t="e">
        <f>IF(K715=2,"",INDEX(method_codes,MATCH(loaded!AM715,method,0)))</f>
        <v>#N/A</v>
      </c>
      <c r="R715" t="e">
        <f>IF(K715=2,"",INDEX(inj_codes,MATCH(loaded!AO715,inj,0)))</f>
        <v>#N/A</v>
      </c>
      <c r="S715" t="e">
        <f>IF(K715=2,"",INDEX(drug_codes,MATCH(loaded!AQ715,drug,0)))</f>
        <v>#N/A</v>
      </c>
      <c r="T715" t="e">
        <f>IF(K715=2,"",_xlfn.IFNA(INDEX(drug_codes,MATCH(loaded!AS715,drug,0)),""))</f>
        <v>#N/A</v>
      </c>
      <c r="U715" t="e">
        <f>IF(K715=2,"",_xlfn.IFNA(INDEX(drug_codes,MATCH(loaded!AU715,drug,0)),""))</f>
        <v>#N/A</v>
      </c>
      <c r="V715" t="e">
        <f>IF(K715=2,"",_xlfn.IFNA(INDEX(drug_codes,MATCH(loaded!AW715,drug,0)),""))</f>
        <v>#N/A</v>
      </c>
      <c r="W715" t="e">
        <f>IF(K715=2,"",_xlfn.IFNA(INDEX(drug_codes,MATCH(loaded!AY715,drug,0)),""))</f>
        <v>#N/A</v>
      </c>
      <c r="X715" t="e">
        <f>IF(K715=2,"",_xlfn.IFNA(INDEX(drug_codes,MATCH(loaded!BA715,drug,0)),""))</f>
        <v>#N/A</v>
      </c>
      <c r="Y715" t="e">
        <f>INDEX(MTT_codes,MATCH(loaded!BC715,MTT,0))</f>
        <v>#N/A</v>
      </c>
      <c r="Z715" t="str">
        <f>_xlfn.IFNA(INDEX(MTT_codes,MATCH(loaded!BE715,MTT,0)),"")</f>
        <v/>
      </c>
      <c r="AA715" t="str">
        <f>_xlfn.IFNA(INDEX(MTT_codes,MATCH(loaded!BG715,MTT,0)),"")</f>
        <v/>
      </c>
      <c r="AB715" t="str">
        <f>_xlfn.IFNA(INDEX(MTT_codes,MATCH(loaded!BI715,MTT,0)),"")</f>
        <v/>
      </c>
      <c r="AC715" t="str">
        <f>_xlfn.IFNA(INDEX(MTT_codes,MATCH(loaded!BK715,MTT,0)),"")</f>
        <v/>
      </c>
      <c r="AD715" t="str">
        <f>_xlfn.IFNA(INDEX(MTT_codes,MATCH(loaded!BM715,MTT,0)),"")</f>
        <v/>
      </c>
      <c r="AE715" t="e">
        <f>INDEX(liv_ar_codes,MATCH(loaded!BO715,liv_ar,0))</f>
        <v>#N/A</v>
      </c>
      <c r="AF715" t="str">
        <f>_xlfn.IFNA(INDEX(MTT_codes,MATCH(loaded!BQ715,MTT,0)),"")</f>
        <v/>
      </c>
      <c r="AG715">
        <f>_xlfn.IFNA(INDEX(mental_codes,MATCH(loaded!BS715,mental,0)),9)</f>
        <v>9</v>
      </c>
    </row>
    <row r="716" spans="1:33" x14ac:dyDescent="0.25">
      <c r="A716">
        <f>loaded!C716</f>
        <v>0</v>
      </c>
      <c r="B716">
        <f>loaded!I716</f>
        <v>0</v>
      </c>
      <c r="C716">
        <f>IF(loaded!K716="Male",1,IF(loaded!K716="Female",2,9))</f>
        <v>9</v>
      </c>
      <c r="D716" s="8">
        <f>loaded!M716</f>
        <v>0</v>
      </c>
      <c r="E716" t="str">
        <f>LEFT(loaded!O716,3)</f>
        <v/>
      </c>
      <c r="F716" t="e">
        <f>INDEX(cntry_codes,MATCH(loaded!Q716,countries,0))</f>
        <v>#N/A</v>
      </c>
      <c r="G716" t="e">
        <f>INDEX(atsi_codes,MATCH(loaded!S716,atsi,0))</f>
        <v>#N/A</v>
      </c>
      <c r="H716" t="e">
        <f>INDEX(lang_codes,MATCH(loaded!U716,lang,0))</f>
        <v>#N/A</v>
      </c>
      <c r="I716" s="8">
        <f>loaded!W716</f>
        <v>0</v>
      </c>
      <c r="J716" t="e">
        <f>INDEX(us_acc_codes,MATCH(loaded!Y716,us_acc,0))</f>
        <v>#N/A</v>
      </c>
      <c r="K716" t="e">
        <f>INDEX(client_codes,MATCH(loaded!AA716,client,0))</f>
        <v>#N/A</v>
      </c>
      <c r="L716" t="e">
        <f>INDEX(src_ref_codes,MATCH(loaded!AC716,src_ref,0))</f>
        <v>#N/A</v>
      </c>
      <c r="M716" s="8">
        <f>loaded!AE716</f>
        <v>0</v>
      </c>
      <c r="N716" s="8">
        <f>loaded!AG716</f>
        <v>0</v>
      </c>
      <c r="O716" t="e">
        <f>INDEX(reces_codes,MATCH(loaded!AI716,reason,0))</f>
        <v>#N/A</v>
      </c>
      <c r="P716" t="e">
        <f>INDEX(TDS_codes,MATCH(loaded!AK716,TDS,0))</f>
        <v>#N/A</v>
      </c>
      <c r="Q716" t="e">
        <f>IF(K716=2,"",INDEX(method_codes,MATCH(loaded!AM716,method,0)))</f>
        <v>#N/A</v>
      </c>
      <c r="R716" t="e">
        <f>IF(K716=2,"",INDEX(inj_codes,MATCH(loaded!AO716,inj,0)))</f>
        <v>#N/A</v>
      </c>
      <c r="S716" t="e">
        <f>IF(K716=2,"",INDEX(drug_codes,MATCH(loaded!AQ716,drug,0)))</f>
        <v>#N/A</v>
      </c>
      <c r="T716" t="e">
        <f>IF(K716=2,"",_xlfn.IFNA(INDEX(drug_codes,MATCH(loaded!AS716,drug,0)),""))</f>
        <v>#N/A</v>
      </c>
      <c r="U716" t="e">
        <f>IF(K716=2,"",_xlfn.IFNA(INDEX(drug_codes,MATCH(loaded!AU716,drug,0)),""))</f>
        <v>#N/A</v>
      </c>
      <c r="V716" t="e">
        <f>IF(K716=2,"",_xlfn.IFNA(INDEX(drug_codes,MATCH(loaded!AW716,drug,0)),""))</f>
        <v>#N/A</v>
      </c>
      <c r="W716" t="e">
        <f>IF(K716=2,"",_xlfn.IFNA(INDEX(drug_codes,MATCH(loaded!AY716,drug,0)),""))</f>
        <v>#N/A</v>
      </c>
      <c r="X716" t="e">
        <f>IF(K716=2,"",_xlfn.IFNA(INDEX(drug_codes,MATCH(loaded!BA716,drug,0)),""))</f>
        <v>#N/A</v>
      </c>
      <c r="Y716" t="e">
        <f>INDEX(MTT_codes,MATCH(loaded!BC716,MTT,0))</f>
        <v>#N/A</v>
      </c>
      <c r="Z716" t="str">
        <f>_xlfn.IFNA(INDEX(MTT_codes,MATCH(loaded!BE716,MTT,0)),"")</f>
        <v/>
      </c>
      <c r="AA716" t="str">
        <f>_xlfn.IFNA(INDEX(MTT_codes,MATCH(loaded!BG716,MTT,0)),"")</f>
        <v/>
      </c>
      <c r="AB716" t="str">
        <f>_xlfn.IFNA(INDEX(MTT_codes,MATCH(loaded!BI716,MTT,0)),"")</f>
        <v/>
      </c>
      <c r="AC716" t="str">
        <f>_xlfn.IFNA(INDEX(MTT_codes,MATCH(loaded!BK716,MTT,0)),"")</f>
        <v/>
      </c>
      <c r="AD716" t="str">
        <f>_xlfn.IFNA(INDEX(MTT_codes,MATCH(loaded!BM716,MTT,0)),"")</f>
        <v/>
      </c>
      <c r="AE716" t="e">
        <f>INDEX(liv_ar_codes,MATCH(loaded!BO716,liv_ar,0))</f>
        <v>#N/A</v>
      </c>
      <c r="AF716" t="str">
        <f>_xlfn.IFNA(INDEX(MTT_codes,MATCH(loaded!BQ716,MTT,0)),"")</f>
        <v/>
      </c>
      <c r="AG716">
        <f>_xlfn.IFNA(INDEX(mental_codes,MATCH(loaded!BS716,mental,0)),9)</f>
        <v>9</v>
      </c>
    </row>
    <row r="717" spans="1:33" x14ac:dyDescent="0.25">
      <c r="A717">
        <f>loaded!C717</f>
        <v>0</v>
      </c>
      <c r="B717">
        <f>loaded!I717</f>
        <v>0</v>
      </c>
      <c r="C717">
        <f>IF(loaded!K717="Male",1,IF(loaded!K717="Female",2,9))</f>
        <v>9</v>
      </c>
      <c r="D717" s="8">
        <f>loaded!M717</f>
        <v>0</v>
      </c>
      <c r="E717" t="str">
        <f>LEFT(loaded!O717,3)</f>
        <v/>
      </c>
      <c r="F717" t="e">
        <f>INDEX(cntry_codes,MATCH(loaded!Q717,countries,0))</f>
        <v>#N/A</v>
      </c>
      <c r="G717" t="e">
        <f>INDEX(atsi_codes,MATCH(loaded!S717,atsi,0))</f>
        <v>#N/A</v>
      </c>
      <c r="H717" t="e">
        <f>INDEX(lang_codes,MATCH(loaded!U717,lang,0))</f>
        <v>#N/A</v>
      </c>
      <c r="I717" s="8">
        <f>loaded!W717</f>
        <v>0</v>
      </c>
      <c r="J717" t="e">
        <f>INDEX(us_acc_codes,MATCH(loaded!Y717,us_acc,0))</f>
        <v>#N/A</v>
      </c>
      <c r="K717" t="e">
        <f>INDEX(client_codes,MATCH(loaded!AA717,client,0))</f>
        <v>#N/A</v>
      </c>
      <c r="L717" t="e">
        <f>INDEX(src_ref_codes,MATCH(loaded!AC717,src_ref,0))</f>
        <v>#N/A</v>
      </c>
      <c r="M717" s="8">
        <f>loaded!AE717</f>
        <v>0</v>
      </c>
      <c r="N717" s="8">
        <f>loaded!AG717</f>
        <v>0</v>
      </c>
      <c r="O717" t="e">
        <f>INDEX(reces_codes,MATCH(loaded!AI717,reason,0))</f>
        <v>#N/A</v>
      </c>
      <c r="P717" t="e">
        <f>INDEX(TDS_codes,MATCH(loaded!AK717,TDS,0))</f>
        <v>#N/A</v>
      </c>
      <c r="Q717" t="e">
        <f>IF(K717=2,"",INDEX(method_codes,MATCH(loaded!AM717,method,0)))</f>
        <v>#N/A</v>
      </c>
      <c r="R717" t="e">
        <f>IF(K717=2,"",INDEX(inj_codes,MATCH(loaded!AO717,inj,0)))</f>
        <v>#N/A</v>
      </c>
      <c r="S717" t="e">
        <f>IF(K717=2,"",INDEX(drug_codes,MATCH(loaded!AQ717,drug,0)))</f>
        <v>#N/A</v>
      </c>
      <c r="T717" t="e">
        <f>IF(K717=2,"",_xlfn.IFNA(INDEX(drug_codes,MATCH(loaded!AS717,drug,0)),""))</f>
        <v>#N/A</v>
      </c>
      <c r="U717" t="e">
        <f>IF(K717=2,"",_xlfn.IFNA(INDEX(drug_codes,MATCH(loaded!AU717,drug,0)),""))</f>
        <v>#N/A</v>
      </c>
      <c r="V717" t="e">
        <f>IF(K717=2,"",_xlfn.IFNA(INDEX(drug_codes,MATCH(loaded!AW717,drug,0)),""))</f>
        <v>#N/A</v>
      </c>
      <c r="W717" t="e">
        <f>IF(K717=2,"",_xlfn.IFNA(INDEX(drug_codes,MATCH(loaded!AY717,drug,0)),""))</f>
        <v>#N/A</v>
      </c>
      <c r="X717" t="e">
        <f>IF(K717=2,"",_xlfn.IFNA(INDEX(drug_codes,MATCH(loaded!BA717,drug,0)),""))</f>
        <v>#N/A</v>
      </c>
      <c r="Y717" t="e">
        <f>INDEX(MTT_codes,MATCH(loaded!BC717,MTT,0))</f>
        <v>#N/A</v>
      </c>
      <c r="Z717" t="str">
        <f>_xlfn.IFNA(INDEX(MTT_codes,MATCH(loaded!BE717,MTT,0)),"")</f>
        <v/>
      </c>
      <c r="AA717" t="str">
        <f>_xlfn.IFNA(INDEX(MTT_codes,MATCH(loaded!BG717,MTT,0)),"")</f>
        <v/>
      </c>
      <c r="AB717" t="str">
        <f>_xlfn.IFNA(INDEX(MTT_codes,MATCH(loaded!BI717,MTT,0)),"")</f>
        <v/>
      </c>
      <c r="AC717" t="str">
        <f>_xlfn.IFNA(INDEX(MTT_codes,MATCH(loaded!BK717,MTT,0)),"")</f>
        <v/>
      </c>
      <c r="AD717" t="str">
        <f>_xlfn.IFNA(INDEX(MTT_codes,MATCH(loaded!BM717,MTT,0)),"")</f>
        <v/>
      </c>
      <c r="AE717" t="e">
        <f>INDEX(liv_ar_codes,MATCH(loaded!BO717,liv_ar,0))</f>
        <v>#N/A</v>
      </c>
      <c r="AF717" t="str">
        <f>_xlfn.IFNA(INDEX(MTT_codes,MATCH(loaded!BQ717,MTT,0)),"")</f>
        <v/>
      </c>
      <c r="AG717">
        <f>_xlfn.IFNA(INDEX(mental_codes,MATCH(loaded!BS717,mental,0)),9)</f>
        <v>9</v>
      </c>
    </row>
    <row r="718" spans="1:33" x14ac:dyDescent="0.25">
      <c r="A718">
        <f>loaded!C718</f>
        <v>0</v>
      </c>
      <c r="B718">
        <f>loaded!I718</f>
        <v>0</v>
      </c>
      <c r="C718">
        <f>IF(loaded!K718="Male",1,IF(loaded!K718="Female",2,9))</f>
        <v>9</v>
      </c>
      <c r="D718" s="8">
        <f>loaded!M718</f>
        <v>0</v>
      </c>
      <c r="E718" t="str">
        <f>LEFT(loaded!O718,3)</f>
        <v/>
      </c>
      <c r="F718" t="e">
        <f>INDEX(cntry_codes,MATCH(loaded!Q718,countries,0))</f>
        <v>#N/A</v>
      </c>
      <c r="G718" t="e">
        <f>INDEX(atsi_codes,MATCH(loaded!S718,atsi,0))</f>
        <v>#N/A</v>
      </c>
      <c r="H718" t="e">
        <f>INDEX(lang_codes,MATCH(loaded!U718,lang,0))</f>
        <v>#N/A</v>
      </c>
      <c r="I718" s="8">
        <f>loaded!W718</f>
        <v>0</v>
      </c>
      <c r="J718" t="e">
        <f>INDEX(us_acc_codes,MATCH(loaded!Y718,us_acc,0))</f>
        <v>#N/A</v>
      </c>
      <c r="K718" t="e">
        <f>INDEX(client_codes,MATCH(loaded!AA718,client,0))</f>
        <v>#N/A</v>
      </c>
      <c r="L718" t="e">
        <f>INDEX(src_ref_codes,MATCH(loaded!AC718,src_ref,0))</f>
        <v>#N/A</v>
      </c>
      <c r="M718" s="8">
        <f>loaded!AE718</f>
        <v>0</v>
      </c>
      <c r="N718" s="8">
        <f>loaded!AG718</f>
        <v>0</v>
      </c>
      <c r="O718" t="e">
        <f>INDEX(reces_codes,MATCH(loaded!AI718,reason,0))</f>
        <v>#N/A</v>
      </c>
      <c r="P718" t="e">
        <f>INDEX(TDS_codes,MATCH(loaded!AK718,TDS,0))</f>
        <v>#N/A</v>
      </c>
      <c r="Q718" t="e">
        <f>IF(K718=2,"",INDEX(method_codes,MATCH(loaded!AM718,method,0)))</f>
        <v>#N/A</v>
      </c>
      <c r="R718" t="e">
        <f>IF(K718=2,"",INDEX(inj_codes,MATCH(loaded!AO718,inj,0)))</f>
        <v>#N/A</v>
      </c>
      <c r="S718" t="e">
        <f>IF(K718=2,"",INDEX(drug_codes,MATCH(loaded!AQ718,drug,0)))</f>
        <v>#N/A</v>
      </c>
      <c r="T718" t="e">
        <f>IF(K718=2,"",_xlfn.IFNA(INDEX(drug_codes,MATCH(loaded!AS718,drug,0)),""))</f>
        <v>#N/A</v>
      </c>
      <c r="U718" t="e">
        <f>IF(K718=2,"",_xlfn.IFNA(INDEX(drug_codes,MATCH(loaded!AU718,drug,0)),""))</f>
        <v>#N/A</v>
      </c>
      <c r="V718" t="e">
        <f>IF(K718=2,"",_xlfn.IFNA(INDEX(drug_codes,MATCH(loaded!AW718,drug,0)),""))</f>
        <v>#N/A</v>
      </c>
      <c r="W718" t="e">
        <f>IF(K718=2,"",_xlfn.IFNA(INDEX(drug_codes,MATCH(loaded!AY718,drug,0)),""))</f>
        <v>#N/A</v>
      </c>
      <c r="X718" t="e">
        <f>IF(K718=2,"",_xlfn.IFNA(INDEX(drug_codes,MATCH(loaded!BA718,drug,0)),""))</f>
        <v>#N/A</v>
      </c>
      <c r="Y718" t="e">
        <f>INDEX(MTT_codes,MATCH(loaded!BC718,MTT,0))</f>
        <v>#N/A</v>
      </c>
      <c r="Z718" t="str">
        <f>_xlfn.IFNA(INDEX(MTT_codes,MATCH(loaded!BE718,MTT,0)),"")</f>
        <v/>
      </c>
      <c r="AA718" t="str">
        <f>_xlfn.IFNA(INDEX(MTT_codes,MATCH(loaded!BG718,MTT,0)),"")</f>
        <v/>
      </c>
      <c r="AB718" t="str">
        <f>_xlfn.IFNA(INDEX(MTT_codes,MATCH(loaded!BI718,MTT,0)),"")</f>
        <v/>
      </c>
      <c r="AC718" t="str">
        <f>_xlfn.IFNA(INDEX(MTT_codes,MATCH(loaded!BK718,MTT,0)),"")</f>
        <v/>
      </c>
      <c r="AD718" t="str">
        <f>_xlfn.IFNA(INDEX(MTT_codes,MATCH(loaded!BM718,MTT,0)),"")</f>
        <v/>
      </c>
      <c r="AE718" t="e">
        <f>INDEX(liv_ar_codes,MATCH(loaded!BO718,liv_ar,0))</f>
        <v>#N/A</v>
      </c>
      <c r="AF718" t="str">
        <f>_xlfn.IFNA(INDEX(MTT_codes,MATCH(loaded!BQ718,MTT,0)),"")</f>
        <v/>
      </c>
      <c r="AG718">
        <f>_xlfn.IFNA(INDEX(mental_codes,MATCH(loaded!BS718,mental,0)),9)</f>
        <v>9</v>
      </c>
    </row>
    <row r="719" spans="1:33" x14ac:dyDescent="0.25">
      <c r="A719">
        <f>loaded!C719</f>
        <v>0</v>
      </c>
      <c r="B719">
        <f>loaded!I719</f>
        <v>0</v>
      </c>
      <c r="C719">
        <f>IF(loaded!K719="Male",1,IF(loaded!K719="Female",2,9))</f>
        <v>9</v>
      </c>
      <c r="D719" s="8">
        <f>loaded!M719</f>
        <v>0</v>
      </c>
      <c r="E719" t="str">
        <f>LEFT(loaded!O719,3)</f>
        <v/>
      </c>
      <c r="F719" t="e">
        <f>INDEX(cntry_codes,MATCH(loaded!Q719,countries,0))</f>
        <v>#N/A</v>
      </c>
      <c r="G719" t="e">
        <f>INDEX(atsi_codes,MATCH(loaded!S719,atsi,0))</f>
        <v>#N/A</v>
      </c>
      <c r="H719" t="e">
        <f>INDEX(lang_codes,MATCH(loaded!U719,lang,0))</f>
        <v>#N/A</v>
      </c>
      <c r="I719" s="8">
        <f>loaded!W719</f>
        <v>0</v>
      </c>
      <c r="J719" t="e">
        <f>INDEX(us_acc_codes,MATCH(loaded!Y719,us_acc,0))</f>
        <v>#N/A</v>
      </c>
      <c r="K719" t="e">
        <f>INDEX(client_codes,MATCH(loaded!AA719,client,0))</f>
        <v>#N/A</v>
      </c>
      <c r="L719" t="e">
        <f>INDEX(src_ref_codes,MATCH(loaded!AC719,src_ref,0))</f>
        <v>#N/A</v>
      </c>
      <c r="M719" s="8">
        <f>loaded!AE719</f>
        <v>0</v>
      </c>
      <c r="N719" s="8">
        <f>loaded!AG719</f>
        <v>0</v>
      </c>
      <c r="O719" t="e">
        <f>INDEX(reces_codes,MATCH(loaded!AI719,reason,0))</f>
        <v>#N/A</v>
      </c>
      <c r="P719" t="e">
        <f>INDEX(TDS_codes,MATCH(loaded!AK719,TDS,0))</f>
        <v>#N/A</v>
      </c>
      <c r="Q719" t="e">
        <f>IF(K719=2,"",INDEX(method_codes,MATCH(loaded!AM719,method,0)))</f>
        <v>#N/A</v>
      </c>
      <c r="R719" t="e">
        <f>IF(K719=2,"",INDEX(inj_codes,MATCH(loaded!AO719,inj,0)))</f>
        <v>#N/A</v>
      </c>
      <c r="S719" t="e">
        <f>IF(K719=2,"",INDEX(drug_codes,MATCH(loaded!AQ719,drug,0)))</f>
        <v>#N/A</v>
      </c>
      <c r="T719" t="e">
        <f>IF(K719=2,"",_xlfn.IFNA(INDEX(drug_codes,MATCH(loaded!AS719,drug,0)),""))</f>
        <v>#N/A</v>
      </c>
      <c r="U719" t="e">
        <f>IF(K719=2,"",_xlfn.IFNA(INDEX(drug_codes,MATCH(loaded!AU719,drug,0)),""))</f>
        <v>#N/A</v>
      </c>
      <c r="V719" t="e">
        <f>IF(K719=2,"",_xlfn.IFNA(INDEX(drug_codes,MATCH(loaded!AW719,drug,0)),""))</f>
        <v>#N/A</v>
      </c>
      <c r="W719" t="e">
        <f>IF(K719=2,"",_xlfn.IFNA(INDEX(drug_codes,MATCH(loaded!AY719,drug,0)),""))</f>
        <v>#N/A</v>
      </c>
      <c r="X719" t="e">
        <f>IF(K719=2,"",_xlfn.IFNA(INDEX(drug_codes,MATCH(loaded!BA719,drug,0)),""))</f>
        <v>#N/A</v>
      </c>
      <c r="Y719" t="e">
        <f>INDEX(MTT_codes,MATCH(loaded!BC719,MTT,0))</f>
        <v>#N/A</v>
      </c>
      <c r="Z719" t="str">
        <f>_xlfn.IFNA(INDEX(MTT_codes,MATCH(loaded!BE719,MTT,0)),"")</f>
        <v/>
      </c>
      <c r="AA719" t="str">
        <f>_xlfn.IFNA(INDEX(MTT_codes,MATCH(loaded!BG719,MTT,0)),"")</f>
        <v/>
      </c>
      <c r="AB719" t="str">
        <f>_xlfn.IFNA(INDEX(MTT_codes,MATCH(loaded!BI719,MTT,0)),"")</f>
        <v/>
      </c>
      <c r="AC719" t="str">
        <f>_xlfn.IFNA(INDEX(MTT_codes,MATCH(loaded!BK719,MTT,0)),"")</f>
        <v/>
      </c>
      <c r="AD719" t="str">
        <f>_xlfn.IFNA(INDEX(MTT_codes,MATCH(loaded!BM719,MTT,0)),"")</f>
        <v/>
      </c>
      <c r="AE719" t="e">
        <f>INDEX(liv_ar_codes,MATCH(loaded!BO719,liv_ar,0))</f>
        <v>#N/A</v>
      </c>
      <c r="AF719" t="str">
        <f>_xlfn.IFNA(INDEX(MTT_codes,MATCH(loaded!BQ719,MTT,0)),"")</f>
        <v/>
      </c>
      <c r="AG719">
        <f>_xlfn.IFNA(INDEX(mental_codes,MATCH(loaded!BS719,mental,0)),9)</f>
        <v>9</v>
      </c>
    </row>
    <row r="720" spans="1:33" x14ac:dyDescent="0.25">
      <c r="A720">
        <f>loaded!C720</f>
        <v>0</v>
      </c>
      <c r="B720">
        <f>loaded!I720</f>
        <v>0</v>
      </c>
      <c r="C720">
        <f>IF(loaded!K720="Male",1,IF(loaded!K720="Female",2,9))</f>
        <v>9</v>
      </c>
      <c r="D720" s="8">
        <f>loaded!M720</f>
        <v>0</v>
      </c>
      <c r="E720" t="str">
        <f>LEFT(loaded!O720,3)</f>
        <v/>
      </c>
      <c r="F720" t="e">
        <f>INDEX(cntry_codes,MATCH(loaded!Q720,countries,0))</f>
        <v>#N/A</v>
      </c>
      <c r="G720" t="e">
        <f>INDEX(atsi_codes,MATCH(loaded!S720,atsi,0))</f>
        <v>#N/A</v>
      </c>
      <c r="H720" t="e">
        <f>INDEX(lang_codes,MATCH(loaded!U720,lang,0))</f>
        <v>#N/A</v>
      </c>
      <c r="I720" s="8">
        <f>loaded!W720</f>
        <v>0</v>
      </c>
      <c r="J720" t="e">
        <f>INDEX(us_acc_codes,MATCH(loaded!Y720,us_acc,0))</f>
        <v>#N/A</v>
      </c>
      <c r="K720" t="e">
        <f>INDEX(client_codes,MATCH(loaded!AA720,client,0))</f>
        <v>#N/A</v>
      </c>
      <c r="L720" t="e">
        <f>INDEX(src_ref_codes,MATCH(loaded!AC720,src_ref,0))</f>
        <v>#N/A</v>
      </c>
      <c r="M720" s="8">
        <f>loaded!AE720</f>
        <v>0</v>
      </c>
      <c r="N720" s="8">
        <f>loaded!AG720</f>
        <v>0</v>
      </c>
      <c r="O720" t="e">
        <f>INDEX(reces_codes,MATCH(loaded!AI720,reason,0))</f>
        <v>#N/A</v>
      </c>
      <c r="P720" t="e">
        <f>INDEX(TDS_codes,MATCH(loaded!AK720,TDS,0))</f>
        <v>#N/A</v>
      </c>
      <c r="Q720" t="e">
        <f>IF(K720=2,"",INDEX(method_codes,MATCH(loaded!AM720,method,0)))</f>
        <v>#N/A</v>
      </c>
      <c r="R720" t="e">
        <f>IF(K720=2,"",INDEX(inj_codes,MATCH(loaded!AO720,inj,0)))</f>
        <v>#N/A</v>
      </c>
      <c r="S720" t="e">
        <f>IF(K720=2,"",INDEX(drug_codes,MATCH(loaded!AQ720,drug,0)))</f>
        <v>#N/A</v>
      </c>
      <c r="T720" t="e">
        <f>IF(K720=2,"",_xlfn.IFNA(INDEX(drug_codes,MATCH(loaded!AS720,drug,0)),""))</f>
        <v>#N/A</v>
      </c>
      <c r="U720" t="e">
        <f>IF(K720=2,"",_xlfn.IFNA(INDEX(drug_codes,MATCH(loaded!AU720,drug,0)),""))</f>
        <v>#N/A</v>
      </c>
      <c r="V720" t="e">
        <f>IF(K720=2,"",_xlfn.IFNA(INDEX(drug_codes,MATCH(loaded!AW720,drug,0)),""))</f>
        <v>#N/A</v>
      </c>
      <c r="W720" t="e">
        <f>IF(K720=2,"",_xlfn.IFNA(INDEX(drug_codes,MATCH(loaded!AY720,drug,0)),""))</f>
        <v>#N/A</v>
      </c>
      <c r="X720" t="e">
        <f>IF(K720=2,"",_xlfn.IFNA(INDEX(drug_codes,MATCH(loaded!BA720,drug,0)),""))</f>
        <v>#N/A</v>
      </c>
      <c r="Y720" t="e">
        <f>INDEX(MTT_codes,MATCH(loaded!BC720,MTT,0))</f>
        <v>#N/A</v>
      </c>
      <c r="Z720" t="str">
        <f>_xlfn.IFNA(INDEX(MTT_codes,MATCH(loaded!BE720,MTT,0)),"")</f>
        <v/>
      </c>
      <c r="AA720" t="str">
        <f>_xlfn.IFNA(INDEX(MTT_codes,MATCH(loaded!BG720,MTT,0)),"")</f>
        <v/>
      </c>
      <c r="AB720" t="str">
        <f>_xlfn.IFNA(INDEX(MTT_codes,MATCH(loaded!BI720,MTT,0)),"")</f>
        <v/>
      </c>
      <c r="AC720" t="str">
        <f>_xlfn.IFNA(INDEX(MTT_codes,MATCH(loaded!BK720,MTT,0)),"")</f>
        <v/>
      </c>
      <c r="AD720" t="str">
        <f>_xlfn.IFNA(INDEX(MTT_codes,MATCH(loaded!BM720,MTT,0)),"")</f>
        <v/>
      </c>
      <c r="AE720" t="e">
        <f>INDEX(liv_ar_codes,MATCH(loaded!BO720,liv_ar,0))</f>
        <v>#N/A</v>
      </c>
      <c r="AF720" t="str">
        <f>_xlfn.IFNA(INDEX(MTT_codes,MATCH(loaded!BQ720,MTT,0)),"")</f>
        <v/>
      </c>
      <c r="AG720">
        <f>_xlfn.IFNA(INDEX(mental_codes,MATCH(loaded!BS720,mental,0)),9)</f>
        <v>9</v>
      </c>
    </row>
    <row r="721" spans="1:33" x14ac:dyDescent="0.25">
      <c r="A721">
        <f>loaded!C721</f>
        <v>0</v>
      </c>
      <c r="B721">
        <f>loaded!I721</f>
        <v>0</v>
      </c>
      <c r="C721">
        <f>IF(loaded!K721="Male",1,IF(loaded!K721="Female",2,9))</f>
        <v>9</v>
      </c>
      <c r="D721" s="8">
        <f>loaded!M721</f>
        <v>0</v>
      </c>
      <c r="E721" t="str">
        <f>LEFT(loaded!O721,3)</f>
        <v/>
      </c>
      <c r="F721" t="e">
        <f>INDEX(cntry_codes,MATCH(loaded!Q721,countries,0))</f>
        <v>#N/A</v>
      </c>
      <c r="G721" t="e">
        <f>INDEX(atsi_codes,MATCH(loaded!S721,atsi,0))</f>
        <v>#N/A</v>
      </c>
      <c r="H721" t="e">
        <f>INDEX(lang_codes,MATCH(loaded!U721,lang,0))</f>
        <v>#N/A</v>
      </c>
      <c r="I721" s="8">
        <f>loaded!W721</f>
        <v>0</v>
      </c>
      <c r="J721" t="e">
        <f>INDEX(us_acc_codes,MATCH(loaded!Y721,us_acc,0))</f>
        <v>#N/A</v>
      </c>
      <c r="K721" t="e">
        <f>INDEX(client_codes,MATCH(loaded!AA721,client,0))</f>
        <v>#N/A</v>
      </c>
      <c r="L721" t="e">
        <f>INDEX(src_ref_codes,MATCH(loaded!AC721,src_ref,0))</f>
        <v>#N/A</v>
      </c>
      <c r="M721" s="8">
        <f>loaded!AE721</f>
        <v>0</v>
      </c>
      <c r="N721" s="8">
        <f>loaded!AG721</f>
        <v>0</v>
      </c>
      <c r="O721" t="e">
        <f>INDEX(reces_codes,MATCH(loaded!AI721,reason,0))</f>
        <v>#N/A</v>
      </c>
      <c r="P721" t="e">
        <f>INDEX(TDS_codes,MATCH(loaded!AK721,TDS,0))</f>
        <v>#N/A</v>
      </c>
      <c r="Q721" t="e">
        <f>IF(K721=2,"",INDEX(method_codes,MATCH(loaded!AM721,method,0)))</f>
        <v>#N/A</v>
      </c>
      <c r="R721" t="e">
        <f>IF(K721=2,"",INDEX(inj_codes,MATCH(loaded!AO721,inj,0)))</f>
        <v>#N/A</v>
      </c>
      <c r="S721" t="e">
        <f>IF(K721=2,"",INDEX(drug_codes,MATCH(loaded!AQ721,drug,0)))</f>
        <v>#N/A</v>
      </c>
      <c r="T721" t="e">
        <f>IF(K721=2,"",_xlfn.IFNA(INDEX(drug_codes,MATCH(loaded!AS721,drug,0)),""))</f>
        <v>#N/A</v>
      </c>
      <c r="U721" t="e">
        <f>IF(K721=2,"",_xlfn.IFNA(INDEX(drug_codes,MATCH(loaded!AU721,drug,0)),""))</f>
        <v>#N/A</v>
      </c>
      <c r="V721" t="e">
        <f>IF(K721=2,"",_xlfn.IFNA(INDEX(drug_codes,MATCH(loaded!AW721,drug,0)),""))</f>
        <v>#N/A</v>
      </c>
      <c r="W721" t="e">
        <f>IF(K721=2,"",_xlfn.IFNA(INDEX(drug_codes,MATCH(loaded!AY721,drug,0)),""))</f>
        <v>#N/A</v>
      </c>
      <c r="X721" t="e">
        <f>IF(K721=2,"",_xlfn.IFNA(INDEX(drug_codes,MATCH(loaded!BA721,drug,0)),""))</f>
        <v>#N/A</v>
      </c>
      <c r="Y721" t="e">
        <f>INDEX(MTT_codes,MATCH(loaded!BC721,MTT,0))</f>
        <v>#N/A</v>
      </c>
      <c r="Z721" t="str">
        <f>_xlfn.IFNA(INDEX(MTT_codes,MATCH(loaded!BE721,MTT,0)),"")</f>
        <v/>
      </c>
      <c r="AA721" t="str">
        <f>_xlfn.IFNA(INDEX(MTT_codes,MATCH(loaded!BG721,MTT,0)),"")</f>
        <v/>
      </c>
      <c r="AB721" t="str">
        <f>_xlfn.IFNA(INDEX(MTT_codes,MATCH(loaded!BI721,MTT,0)),"")</f>
        <v/>
      </c>
      <c r="AC721" t="str">
        <f>_xlfn.IFNA(INDEX(MTT_codes,MATCH(loaded!BK721,MTT,0)),"")</f>
        <v/>
      </c>
      <c r="AD721" t="str">
        <f>_xlfn.IFNA(INDEX(MTT_codes,MATCH(loaded!BM721,MTT,0)),"")</f>
        <v/>
      </c>
      <c r="AE721" t="e">
        <f>INDEX(liv_ar_codes,MATCH(loaded!BO721,liv_ar,0))</f>
        <v>#N/A</v>
      </c>
      <c r="AF721" t="str">
        <f>_xlfn.IFNA(INDEX(MTT_codes,MATCH(loaded!BQ721,MTT,0)),"")</f>
        <v/>
      </c>
      <c r="AG721">
        <f>_xlfn.IFNA(INDEX(mental_codes,MATCH(loaded!BS721,mental,0)),9)</f>
        <v>9</v>
      </c>
    </row>
    <row r="722" spans="1:33" x14ac:dyDescent="0.25">
      <c r="A722">
        <f>loaded!C722</f>
        <v>0</v>
      </c>
      <c r="B722">
        <f>loaded!I722</f>
        <v>0</v>
      </c>
      <c r="C722">
        <f>IF(loaded!K722="Male",1,IF(loaded!K722="Female",2,9))</f>
        <v>9</v>
      </c>
      <c r="D722" s="8">
        <f>loaded!M722</f>
        <v>0</v>
      </c>
      <c r="E722" t="str">
        <f>LEFT(loaded!O722,3)</f>
        <v/>
      </c>
      <c r="F722" t="e">
        <f>INDEX(cntry_codes,MATCH(loaded!Q722,countries,0))</f>
        <v>#N/A</v>
      </c>
      <c r="G722" t="e">
        <f>INDEX(atsi_codes,MATCH(loaded!S722,atsi,0))</f>
        <v>#N/A</v>
      </c>
      <c r="H722" t="e">
        <f>INDEX(lang_codes,MATCH(loaded!U722,lang,0))</f>
        <v>#N/A</v>
      </c>
      <c r="I722" s="8">
        <f>loaded!W722</f>
        <v>0</v>
      </c>
      <c r="J722" t="e">
        <f>INDEX(us_acc_codes,MATCH(loaded!Y722,us_acc,0))</f>
        <v>#N/A</v>
      </c>
      <c r="K722" t="e">
        <f>INDEX(client_codes,MATCH(loaded!AA722,client,0))</f>
        <v>#N/A</v>
      </c>
      <c r="L722" t="e">
        <f>INDEX(src_ref_codes,MATCH(loaded!AC722,src_ref,0))</f>
        <v>#N/A</v>
      </c>
      <c r="M722" s="8">
        <f>loaded!AE722</f>
        <v>0</v>
      </c>
      <c r="N722" s="8">
        <f>loaded!AG722</f>
        <v>0</v>
      </c>
      <c r="O722" t="e">
        <f>INDEX(reces_codes,MATCH(loaded!AI722,reason,0))</f>
        <v>#N/A</v>
      </c>
      <c r="P722" t="e">
        <f>INDEX(TDS_codes,MATCH(loaded!AK722,TDS,0))</f>
        <v>#N/A</v>
      </c>
      <c r="Q722" t="e">
        <f>IF(K722=2,"",INDEX(method_codes,MATCH(loaded!AM722,method,0)))</f>
        <v>#N/A</v>
      </c>
      <c r="R722" t="e">
        <f>IF(K722=2,"",INDEX(inj_codes,MATCH(loaded!AO722,inj,0)))</f>
        <v>#N/A</v>
      </c>
      <c r="S722" t="e">
        <f>IF(K722=2,"",INDEX(drug_codes,MATCH(loaded!AQ722,drug,0)))</f>
        <v>#N/A</v>
      </c>
      <c r="T722" t="e">
        <f>IF(K722=2,"",_xlfn.IFNA(INDEX(drug_codes,MATCH(loaded!AS722,drug,0)),""))</f>
        <v>#N/A</v>
      </c>
      <c r="U722" t="e">
        <f>IF(K722=2,"",_xlfn.IFNA(INDEX(drug_codes,MATCH(loaded!AU722,drug,0)),""))</f>
        <v>#N/A</v>
      </c>
      <c r="V722" t="e">
        <f>IF(K722=2,"",_xlfn.IFNA(INDEX(drug_codes,MATCH(loaded!AW722,drug,0)),""))</f>
        <v>#N/A</v>
      </c>
      <c r="W722" t="e">
        <f>IF(K722=2,"",_xlfn.IFNA(INDEX(drug_codes,MATCH(loaded!AY722,drug,0)),""))</f>
        <v>#N/A</v>
      </c>
      <c r="X722" t="e">
        <f>IF(K722=2,"",_xlfn.IFNA(INDEX(drug_codes,MATCH(loaded!BA722,drug,0)),""))</f>
        <v>#N/A</v>
      </c>
      <c r="Y722" t="e">
        <f>INDEX(MTT_codes,MATCH(loaded!BC722,MTT,0))</f>
        <v>#N/A</v>
      </c>
      <c r="Z722" t="str">
        <f>_xlfn.IFNA(INDEX(MTT_codes,MATCH(loaded!BE722,MTT,0)),"")</f>
        <v/>
      </c>
      <c r="AA722" t="str">
        <f>_xlfn.IFNA(INDEX(MTT_codes,MATCH(loaded!BG722,MTT,0)),"")</f>
        <v/>
      </c>
      <c r="AB722" t="str">
        <f>_xlfn.IFNA(INDEX(MTT_codes,MATCH(loaded!BI722,MTT,0)),"")</f>
        <v/>
      </c>
      <c r="AC722" t="str">
        <f>_xlfn.IFNA(INDEX(MTT_codes,MATCH(loaded!BK722,MTT,0)),"")</f>
        <v/>
      </c>
      <c r="AD722" t="str">
        <f>_xlfn.IFNA(INDEX(MTT_codes,MATCH(loaded!BM722,MTT,0)),"")</f>
        <v/>
      </c>
      <c r="AE722" t="e">
        <f>INDEX(liv_ar_codes,MATCH(loaded!BO722,liv_ar,0))</f>
        <v>#N/A</v>
      </c>
      <c r="AF722" t="str">
        <f>_xlfn.IFNA(INDEX(MTT_codes,MATCH(loaded!BQ722,MTT,0)),"")</f>
        <v/>
      </c>
      <c r="AG722">
        <f>_xlfn.IFNA(INDEX(mental_codes,MATCH(loaded!BS722,mental,0)),9)</f>
        <v>9</v>
      </c>
    </row>
    <row r="723" spans="1:33" x14ac:dyDescent="0.25">
      <c r="A723">
        <f>loaded!C723</f>
        <v>0</v>
      </c>
      <c r="B723">
        <f>loaded!I723</f>
        <v>0</v>
      </c>
      <c r="C723">
        <f>IF(loaded!K723="Male",1,IF(loaded!K723="Female",2,9))</f>
        <v>9</v>
      </c>
      <c r="D723" s="8">
        <f>loaded!M723</f>
        <v>0</v>
      </c>
      <c r="E723" t="str">
        <f>LEFT(loaded!O723,3)</f>
        <v/>
      </c>
      <c r="F723" t="e">
        <f>INDEX(cntry_codes,MATCH(loaded!Q723,countries,0))</f>
        <v>#N/A</v>
      </c>
      <c r="G723" t="e">
        <f>INDEX(atsi_codes,MATCH(loaded!S723,atsi,0))</f>
        <v>#N/A</v>
      </c>
      <c r="H723" t="e">
        <f>INDEX(lang_codes,MATCH(loaded!U723,lang,0))</f>
        <v>#N/A</v>
      </c>
      <c r="I723" s="8">
        <f>loaded!W723</f>
        <v>0</v>
      </c>
      <c r="J723" t="e">
        <f>INDEX(us_acc_codes,MATCH(loaded!Y723,us_acc,0))</f>
        <v>#N/A</v>
      </c>
      <c r="K723" t="e">
        <f>INDEX(client_codes,MATCH(loaded!AA723,client,0))</f>
        <v>#N/A</v>
      </c>
      <c r="L723" t="e">
        <f>INDEX(src_ref_codes,MATCH(loaded!AC723,src_ref,0))</f>
        <v>#N/A</v>
      </c>
      <c r="M723" s="8">
        <f>loaded!AE723</f>
        <v>0</v>
      </c>
      <c r="N723" s="8">
        <f>loaded!AG723</f>
        <v>0</v>
      </c>
      <c r="O723" t="e">
        <f>INDEX(reces_codes,MATCH(loaded!AI723,reason,0))</f>
        <v>#N/A</v>
      </c>
      <c r="P723" t="e">
        <f>INDEX(TDS_codes,MATCH(loaded!AK723,TDS,0))</f>
        <v>#N/A</v>
      </c>
      <c r="Q723" t="e">
        <f>IF(K723=2,"",INDEX(method_codes,MATCH(loaded!AM723,method,0)))</f>
        <v>#N/A</v>
      </c>
      <c r="R723" t="e">
        <f>IF(K723=2,"",INDEX(inj_codes,MATCH(loaded!AO723,inj,0)))</f>
        <v>#N/A</v>
      </c>
      <c r="S723" t="e">
        <f>IF(K723=2,"",INDEX(drug_codes,MATCH(loaded!AQ723,drug,0)))</f>
        <v>#N/A</v>
      </c>
      <c r="T723" t="e">
        <f>IF(K723=2,"",_xlfn.IFNA(INDEX(drug_codes,MATCH(loaded!AS723,drug,0)),""))</f>
        <v>#N/A</v>
      </c>
      <c r="U723" t="e">
        <f>IF(K723=2,"",_xlfn.IFNA(INDEX(drug_codes,MATCH(loaded!AU723,drug,0)),""))</f>
        <v>#N/A</v>
      </c>
      <c r="V723" t="e">
        <f>IF(K723=2,"",_xlfn.IFNA(INDEX(drug_codes,MATCH(loaded!AW723,drug,0)),""))</f>
        <v>#N/A</v>
      </c>
      <c r="W723" t="e">
        <f>IF(K723=2,"",_xlfn.IFNA(INDEX(drug_codes,MATCH(loaded!AY723,drug,0)),""))</f>
        <v>#N/A</v>
      </c>
      <c r="X723" t="e">
        <f>IF(K723=2,"",_xlfn.IFNA(INDEX(drug_codes,MATCH(loaded!BA723,drug,0)),""))</f>
        <v>#N/A</v>
      </c>
      <c r="Y723" t="e">
        <f>INDEX(MTT_codes,MATCH(loaded!BC723,MTT,0))</f>
        <v>#N/A</v>
      </c>
      <c r="Z723" t="str">
        <f>_xlfn.IFNA(INDEX(MTT_codes,MATCH(loaded!BE723,MTT,0)),"")</f>
        <v/>
      </c>
      <c r="AA723" t="str">
        <f>_xlfn.IFNA(INDEX(MTT_codes,MATCH(loaded!BG723,MTT,0)),"")</f>
        <v/>
      </c>
      <c r="AB723" t="str">
        <f>_xlfn.IFNA(INDEX(MTT_codes,MATCH(loaded!BI723,MTT,0)),"")</f>
        <v/>
      </c>
      <c r="AC723" t="str">
        <f>_xlfn.IFNA(INDEX(MTT_codes,MATCH(loaded!BK723,MTT,0)),"")</f>
        <v/>
      </c>
      <c r="AD723" t="str">
        <f>_xlfn.IFNA(INDEX(MTT_codes,MATCH(loaded!BM723,MTT,0)),"")</f>
        <v/>
      </c>
      <c r="AE723" t="e">
        <f>INDEX(liv_ar_codes,MATCH(loaded!BO723,liv_ar,0))</f>
        <v>#N/A</v>
      </c>
      <c r="AF723" t="str">
        <f>_xlfn.IFNA(INDEX(MTT_codes,MATCH(loaded!BQ723,MTT,0)),"")</f>
        <v/>
      </c>
      <c r="AG723">
        <f>_xlfn.IFNA(INDEX(mental_codes,MATCH(loaded!BS723,mental,0)),9)</f>
        <v>9</v>
      </c>
    </row>
    <row r="724" spans="1:33" x14ac:dyDescent="0.25">
      <c r="A724">
        <f>loaded!C724</f>
        <v>0</v>
      </c>
      <c r="B724">
        <f>loaded!I724</f>
        <v>0</v>
      </c>
      <c r="C724">
        <f>IF(loaded!K724="Male",1,IF(loaded!K724="Female",2,9))</f>
        <v>9</v>
      </c>
      <c r="D724" s="8">
        <f>loaded!M724</f>
        <v>0</v>
      </c>
      <c r="E724" t="str">
        <f>LEFT(loaded!O724,3)</f>
        <v/>
      </c>
      <c r="F724" t="e">
        <f>INDEX(cntry_codes,MATCH(loaded!Q724,countries,0))</f>
        <v>#N/A</v>
      </c>
      <c r="G724" t="e">
        <f>INDEX(atsi_codes,MATCH(loaded!S724,atsi,0))</f>
        <v>#N/A</v>
      </c>
      <c r="H724" t="e">
        <f>INDEX(lang_codes,MATCH(loaded!U724,lang,0))</f>
        <v>#N/A</v>
      </c>
      <c r="I724" s="8">
        <f>loaded!W724</f>
        <v>0</v>
      </c>
      <c r="J724" t="e">
        <f>INDEX(us_acc_codes,MATCH(loaded!Y724,us_acc,0))</f>
        <v>#N/A</v>
      </c>
      <c r="K724" t="e">
        <f>INDEX(client_codes,MATCH(loaded!AA724,client,0))</f>
        <v>#N/A</v>
      </c>
      <c r="L724" t="e">
        <f>INDEX(src_ref_codes,MATCH(loaded!AC724,src_ref,0))</f>
        <v>#N/A</v>
      </c>
      <c r="M724" s="8">
        <f>loaded!AE724</f>
        <v>0</v>
      </c>
      <c r="N724" s="8">
        <f>loaded!AG724</f>
        <v>0</v>
      </c>
      <c r="O724" t="e">
        <f>INDEX(reces_codes,MATCH(loaded!AI724,reason,0))</f>
        <v>#N/A</v>
      </c>
      <c r="P724" t="e">
        <f>INDEX(TDS_codes,MATCH(loaded!AK724,TDS,0))</f>
        <v>#N/A</v>
      </c>
      <c r="Q724" t="e">
        <f>IF(K724=2,"",INDEX(method_codes,MATCH(loaded!AM724,method,0)))</f>
        <v>#N/A</v>
      </c>
      <c r="R724" t="e">
        <f>IF(K724=2,"",INDEX(inj_codes,MATCH(loaded!AO724,inj,0)))</f>
        <v>#N/A</v>
      </c>
      <c r="S724" t="e">
        <f>IF(K724=2,"",INDEX(drug_codes,MATCH(loaded!AQ724,drug,0)))</f>
        <v>#N/A</v>
      </c>
      <c r="T724" t="e">
        <f>IF(K724=2,"",_xlfn.IFNA(INDEX(drug_codes,MATCH(loaded!AS724,drug,0)),""))</f>
        <v>#N/A</v>
      </c>
      <c r="U724" t="e">
        <f>IF(K724=2,"",_xlfn.IFNA(INDEX(drug_codes,MATCH(loaded!AU724,drug,0)),""))</f>
        <v>#N/A</v>
      </c>
      <c r="V724" t="e">
        <f>IF(K724=2,"",_xlfn.IFNA(INDEX(drug_codes,MATCH(loaded!AW724,drug,0)),""))</f>
        <v>#N/A</v>
      </c>
      <c r="W724" t="e">
        <f>IF(K724=2,"",_xlfn.IFNA(INDEX(drug_codes,MATCH(loaded!AY724,drug,0)),""))</f>
        <v>#N/A</v>
      </c>
      <c r="X724" t="e">
        <f>IF(K724=2,"",_xlfn.IFNA(INDEX(drug_codes,MATCH(loaded!BA724,drug,0)),""))</f>
        <v>#N/A</v>
      </c>
      <c r="Y724" t="e">
        <f>INDEX(MTT_codes,MATCH(loaded!BC724,MTT,0))</f>
        <v>#N/A</v>
      </c>
      <c r="Z724" t="str">
        <f>_xlfn.IFNA(INDEX(MTT_codes,MATCH(loaded!BE724,MTT,0)),"")</f>
        <v/>
      </c>
      <c r="AA724" t="str">
        <f>_xlfn.IFNA(INDEX(MTT_codes,MATCH(loaded!BG724,MTT,0)),"")</f>
        <v/>
      </c>
      <c r="AB724" t="str">
        <f>_xlfn.IFNA(INDEX(MTT_codes,MATCH(loaded!BI724,MTT,0)),"")</f>
        <v/>
      </c>
      <c r="AC724" t="str">
        <f>_xlfn.IFNA(INDEX(MTT_codes,MATCH(loaded!BK724,MTT,0)),"")</f>
        <v/>
      </c>
      <c r="AD724" t="str">
        <f>_xlfn.IFNA(INDEX(MTT_codes,MATCH(loaded!BM724,MTT,0)),"")</f>
        <v/>
      </c>
      <c r="AE724" t="e">
        <f>INDEX(liv_ar_codes,MATCH(loaded!BO724,liv_ar,0))</f>
        <v>#N/A</v>
      </c>
      <c r="AF724" t="str">
        <f>_xlfn.IFNA(INDEX(MTT_codes,MATCH(loaded!BQ724,MTT,0)),"")</f>
        <v/>
      </c>
      <c r="AG724">
        <f>_xlfn.IFNA(INDEX(mental_codes,MATCH(loaded!BS724,mental,0)),9)</f>
        <v>9</v>
      </c>
    </row>
    <row r="725" spans="1:33" x14ac:dyDescent="0.25">
      <c r="A725">
        <f>loaded!C725</f>
        <v>0</v>
      </c>
      <c r="B725">
        <f>loaded!I725</f>
        <v>0</v>
      </c>
      <c r="C725">
        <f>IF(loaded!K725="Male",1,IF(loaded!K725="Female",2,9))</f>
        <v>9</v>
      </c>
      <c r="D725" s="8">
        <f>loaded!M725</f>
        <v>0</v>
      </c>
      <c r="E725" t="str">
        <f>LEFT(loaded!O725,3)</f>
        <v/>
      </c>
      <c r="F725" t="e">
        <f>INDEX(cntry_codes,MATCH(loaded!Q725,countries,0))</f>
        <v>#N/A</v>
      </c>
      <c r="G725" t="e">
        <f>INDEX(atsi_codes,MATCH(loaded!S725,atsi,0))</f>
        <v>#N/A</v>
      </c>
      <c r="H725" t="e">
        <f>INDEX(lang_codes,MATCH(loaded!U725,lang,0))</f>
        <v>#N/A</v>
      </c>
      <c r="I725" s="8">
        <f>loaded!W725</f>
        <v>0</v>
      </c>
      <c r="J725" t="e">
        <f>INDEX(us_acc_codes,MATCH(loaded!Y725,us_acc,0))</f>
        <v>#N/A</v>
      </c>
      <c r="K725" t="e">
        <f>INDEX(client_codes,MATCH(loaded!AA725,client,0))</f>
        <v>#N/A</v>
      </c>
      <c r="L725" t="e">
        <f>INDEX(src_ref_codes,MATCH(loaded!AC725,src_ref,0))</f>
        <v>#N/A</v>
      </c>
      <c r="M725" s="8">
        <f>loaded!AE725</f>
        <v>0</v>
      </c>
      <c r="N725" s="8">
        <f>loaded!AG725</f>
        <v>0</v>
      </c>
      <c r="O725" t="e">
        <f>INDEX(reces_codes,MATCH(loaded!AI725,reason,0))</f>
        <v>#N/A</v>
      </c>
      <c r="P725" t="e">
        <f>INDEX(TDS_codes,MATCH(loaded!AK725,TDS,0))</f>
        <v>#N/A</v>
      </c>
      <c r="Q725" t="e">
        <f>IF(K725=2,"",INDEX(method_codes,MATCH(loaded!AM725,method,0)))</f>
        <v>#N/A</v>
      </c>
      <c r="R725" t="e">
        <f>IF(K725=2,"",INDEX(inj_codes,MATCH(loaded!AO725,inj,0)))</f>
        <v>#N/A</v>
      </c>
      <c r="S725" t="e">
        <f>IF(K725=2,"",INDEX(drug_codes,MATCH(loaded!AQ725,drug,0)))</f>
        <v>#N/A</v>
      </c>
      <c r="T725" t="e">
        <f>IF(K725=2,"",_xlfn.IFNA(INDEX(drug_codes,MATCH(loaded!AS725,drug,0)),""))</f>
        <v>#N/A</v>
      </c>
      <c r="U725" t="e">
        <f>IF(K725=2,"",_xlfn.IFNA(INDEX(drug_codes,MATCH(loaded!AU725,drug,0)),""))</f>
        <v>#N/A</v>
      </c>
      <c r="V725" t="e">
        <f>IF(K725=2,"",_xlfn.IFNA(INDEX(drug_codes,MATCH(loaded!AW725,drug,0)),""))</f>
        <v>#N/A</v>
      </c>
      <c r="W725" t="e">
        <f>IF(K725=2,"",_xlfn.IFNA(INDEX(drug_codes,MATCH(loaded!AY725,drug,0)),""))</f>
        <v>#N/A</v>
      </c>
      <c r="X725" t="e">
        <f>IF(K725=2,"",_xlfn.IFNA(INDEX(drug_codes,MATCH(loaded!BA725,drug,0)),""))</f>
        <v>#N/A</v>
      </c>
      <c r="Y725" t="e">
        <f>INDEX(MTT_codes,MATCH(loaded!BC725,MTT,0))</f>
        <v>#N/A</v>
      </c>
      <c r="Z725" t="str">
        <f>_xlfn.IFNA(INDEX(MTT_codes,MATCH(loaded!BE725,MTT,0)),"")</f>
        <v/>
      </c>
      <c r="AA725" t="str">
        <f>_xlfn.IFNA(INDEX(MTT_codes,MATCH(loaded!BG725,MTT,0)),"")</f>
        <v/>
      </c>
      <c r="AB725" t="str">
        <f>_xlfn.IFNA(INDEX(MTT_codes,MATCH(loaded!BI725,MTT,0)),"")</f>
        <v/>
      </c>
      <c r="AC725" t="str">
        <f>_xlfn.IFNA(INDEX(MTT_codes,MATCH(loaded!BK725,MTT,0)),"")</f>
        <v/>
      </c>
      <c r="AD725" t="str">
        <f>_xlfn.IFNA(INDEX(MTT_codes,MATCH(loaded!BM725,MTT,0)),"")</f>
        <v/>
      </c>
      <c r="AE725" t="e">
        <f>INDEX(liv_ar_codes,MATCH(loaded!BO725,liv_ar,0))</f>
        <v>#N/A</v>
      </c>
      <c r="AF725" t="str">
        <f>_xlfn.IFNA(INDEX(MTT_codes,MATCH(loaded!BQ725,MTT,0)),"")</f>
        <v/>
      </c>
      <c r="AG725">
        <f>_xlfn.IFNA(INDEX(mental_codes,MATCH(loaded!BS725,mental,0)),9)</f>
        <v>9</v>
      </c>
    </row>
    <row r="726" spans="1:33" x14ac:dyDescent="0.25">
      <c r="A726">
        <f>loaded!C726</f>
        <v>0</v>
      </c>
      <c r="B726">
        <f>loaded!I726</f>
        <v>0</v>
      </c>
      <c r="C726">
        <f>IF(loaded!K726="Male",1,IF(loaded!K726="Female",2,9))</f>
        <v>9</v>
      </c>
      <c r="D726" s="8">
        <f>loaded!M726</f>
        <v>0</v>
      </c>
      <c r="E726" t="str">
        <f>LEFT(loaded!O726,3)</f>
        <v/>
      </c>
      <c r="F726" t="e">
        <f>INDEX(cntry_codes,MATCH(loaded!Q726,countries,0))</f>
        <v>#N/A</v>
      </c>
      <c r="G726" t="e">
        <f>INDEX(atsi_codes,MATCH(loaded!S726,atsi,0))</f>
        <v>#N/A</v>
      </c>
      <c r="H726" t="e">
        <f>INDEX(lang_codes,MATCH(loaded!U726,lang,0))</f>
        <v>#N/A</v>
      </c>
      <c r="I726" s="8">
        <f>loaded!W726</f>
        <v>0</v>
      </c>
      <c r="J726" t="e">
        <f>INDEX(us_acc_codes,MATCH(loaded!Y726,us_acc,0))</f>
        <v>#N/A</v>
      </c>
      <c r="K726" t="e">
        <f>INDEX(client_codes,MATCH(loaded!AA726,client,0))</f>
        <v>#N/A</v>
      </c>
      <c r="L726" t="e">
        <f>INDEX(src_ref_codes,MATCH(loaded!AC726,src_ref,0))</f>
        <v>#N/A</v>
      </c>
      <c r="M726" s="8">
        <f>loaded!AE726</f>
        <v>0</v>
      </c>
      <c r="N726" s="8">
        <f>loaded!AG726</f>
        <v>0</v>
      </c>
      <c r="O726" t="e">
        <f>INDEX(reces_codes,MATCH(loaded!AI726,reason,0))</f>
        <v>#N/A</v>
      </c>
      <c r="P726" t="e">
        <f>INDEX(TDS_codes,MATCH(loaded!AK726,TDS,0))</f>
        <v>#N/A</v>
      </c>
      <c r="Q726" t="e">
        <f>IF(K726=2,"",INDEX(method_codes,MATCH(loaded!AM726,method,0)))</f>
        <v>#N/A</v>
      </c>
      <c r="R726" t="e">
        <f>IF(K726=2,"",INDEX(inj_codes,MATCH(loaded!AO726,inj,0)))</f>
        <v>#N/A</v>
      </c>
      <c r="S726" t="e">
        <f>IF(K726=2,"",INDEX(drug_codes,MATCH(loaded!AQ726,drug,0)))</f>
        <v>#N/A</v>
      </c>
      <c r="T726" t="e">
        <f>IF(K726=2,"",_xlfn.IFNA(INDEX(drug_codes,MATCH(loaded!AS726,drug,0)),""))</f>
        <v>#N/A</v>
      </c>
      <c r="U726" t="e">
        <f>IF(K726=2,"",_xlfn.IFNA(INDEX(drug_codes,MATCH(loaded!AU726,drug,0)),""))</f>
        <v>#N/A</v>
      </c>
      <c r="V726" t="e">
        <f>IF(K726=2,"",_xlfn.IFNA(INDEX(drug_codes,MATCH(loaded!AW726,drug,0)),""))</f>
        <v>#N/A</v>
      </c>
      <c r="W726" t="e">
        <f>IF(K726=2,"",_xlfn.IFNA(INDEX(drug_codes,MATCH(loaded!AY726,drug,0)),""))</f>
        <v>#N/A</v>
      </c>
      <c r="X726" t="e">
        <f>IF(K726=2,"",_xlfn.IFNA(INDEX(drug_codes,MATCH(loaded!BA726,drug,0)),""))</f>
        <v>#N/A</v>
      </c>
      <c r="Y726" t="e">
        <f>INDEX(MTT_codes,MATCH(loaded!BC726,MTT,0))</f>
        <v>#N/A</v>
      </c>
      <c r="Z726" t="str">
        <f>_xlfn.IFNA(INDEX(MTT_codes,MATCH(loaded!BE726,MTT,0)),"")</f>
        <v/>
      </c>
      <c r="AA726" t="str">
        <f>_xlfn.IFNA(INDEX(MTT_codes,MATCH(loaded!BG726,MTT,0)),"")</f>
        <v/>
      </c>
      <c r="AB726" t="str">
        <f>_xlfn.IFNA(INDEX(MTT_codes,MATCH(loaded!BI726,MTT,0)),"")</f>
        <v/>
      </c>
      <c r="AC726" t="str">
        <f>_xlfn.IFNA(INDEX(MTT_codes,MATCH(loaded!BK726,MTT,0)),"")</f>
        <v/>
      </c>
      <c r="AD726" t="str">
        <f>_xlfn.IFNA(INDEX(MTT_codes,MATCH(loaded!BM726,MTT,0)),"")</f>
        <v/>
      </c>
      <c r="AE726" t="e">
        <f>INDEX(liv_ar_codes,MATCH(loaded!BO726,liv_ar,0))</f>
        <v>#N/A</v>
      </c>
      <c r="AF726" t="str">
        <f>_xlfn.IFNA(INDEX(MTT_codes,MATCH(loaded!BQ726,MTT,0)),"")</f>
        <v/>
      </c>
      <c r="AG726">
        <f>_xlfn.IFNA(INDEX(mental_codes,MATCH(loaded!BS726,mental,0)),9)</f>
        <v>9</v>
      </c>
    </row>
    <row r="727" spans="1:33" x14ac:dyDescent="0.25">
      <c r="A727">
        <f>loaded!C727</f>
        <v>0</v>
      </c>
      <c r="B727">
        <f>loaded!I727</f>
        <v>0</v>
      </c>
      <c r="C727">
        <f>IF(loaded!K727="Male",1,IF(loaded!K727="Female",2,9))</f>
        <v>9</v>
      </c>
      <c r="D727" s="8">
        <f>loaded!M727</f>
        <v>0</v>
      </c>
      <c r="E727" t="str">
        <f>LEFT(loaded!O727,3)</f>
        <v/>
      </c>
      <c r="F727" t="e">
        <f>INDEX(cntry_codes,MATCH(loaded!Q727,countries,0))</f>
        <v>#N/A</v>
      </c>
      <c r="G727" t="e">
        <f>INDEX(atsi_codes,MATCH(loaded!S727,atsi,0))</f>
        <v>#N/A</v>
      </c>
      <c r="H727" t="e">
        <f>INDEX(lang_codes,MATCH(loaded!U727,lang,0))</f>
        <v>#N/A</v>
      </c>
      <c r="I727" s="8">
        <f>loaded!W727</f>
        <v>0</v>
      </c>
      <c r="J727" t="e">
        <f>INDEX(us_acc_codes,MATCH(loaded!Y727,us_acc,0))</f>
        <v>#N/A</v>
      </c>
      <c r="K727" t="e">
        <f>INDEX(client_codes,MATCH(loaded!AA727,client,0))</f>
        <v>#N/A</v>
      </c>
      <c r="L727" t="e">
        <f>INDEX(src_ref_codes,MATCH(loaded!AC727,src_ref,0))</f>
        <v>#N/A</v>
      </c>
      <c r="M727" s="8">
        <f>loaded!AE727</f>
        <v>0</v>
      </c>
      <c r="N727" s="8">
        <f>loaded!AG727</f>
        <v>0</v>
      </c>
      <c r="O727" t="e">
        <f>INDEX(reces_codes,MATCH(loaded!AI727,reason,0))</f>
        <v>#N/A</v>
      </c>
      <c r="P727" t="e">
        <f>INDEX(TDS_codes,MATCH(loaded!AK727,TDS,0))</f>
        <v>#N/A</v>
      </c>
      <c r="Q727" t="e">
        <f>IF(K727=2,"",INDEX(method_codes,MATCH(loaded!AM727,method,0)))</f>
        <v>#N/A</v>
      </c>
      <c r="R727" t="e">
        <f>IF(K727=2,"",INDEX(inj_codes,MATCH(loaded!AO727,inj,0)))</f>
        <v>#N/A</v>
      </c>
      <c r="S727" t="e">
        <f>IF(K727=2,"",INDEX(drug_codes,MATCH(loaded!AQ727,drug,0)))</f>
        <v>#N/A</v>
      </c>
      <c r="T727" t="e">
        <f>IF(K727=2,"",_xlfn.IFNA(INDEX(drug_codes,MATCH(loaded!AS727,drug,0)),""))</f>
        <v>#N/A</v>
      </c>
      <c r="U727" t="e">
        <f>IF(K727=2,"",_xlfn.IFNA(INDEX(drug_codes,MATCH(loaded!AU727,drug,0)),""))</f>
        <v>#N/A</v>
      </c>
      <c r="V727" t="e">
        <f>IF(K727=2,"",_xlfn.IFNA(INDEX(drug_codes,MATCH(loaded!AW727,drug,0)),""))</f>
        <v>#N/A</v>
      </c>
      <c r="W727" t="e">
        <f>IF(K727=2,"",_xlfn.IFNA(INDEX(drug_codes,MATCH(loaded!AY727,drug,0)),""))</f>
        <v>#N/A</v>
      </c>
      <c r="X727" t="e">
        <f>IF(K727=2,"",_xlfn.IFNA(INDEX(drug_codes,MATCH(loaded!BA727,drug,0)),""))</f>
        <v>#N/A</v>
      </c>
      <c r="Y727" t="e">
        <f>INDEX(MTT_codes,MATCH(loaded!BC727,MTT,0))</f>
        <v>#N/A</v>
      </c>
      <c r="Z727" t="str">
        <f>_xlfn.IFNA(INDEX(MTT_codes,MATCH(loaded!BE727,MTT,0)),"")</f>
        <v/>
      </c>
      <c r="AA727" t="str">
        <f>_xlfn.IFNA(INDEX(MTT_codes,MATCH(loaded!BG727,MTT,0)),"")</f>
        <v/>
      </c>
      <c r="AB727" t="str">
        <f>_xlfn.IFNA(INDEX(MTT_codes,MATCH(loaded!BI727,MTT,0)),"")</f>
        <v/>
      </c>
      <c r="AC727" t="str">
        <f>_xlfn.IFNA(INDEX(MTT_codes,MATCH(loaded!BK727,MTT,0)),"")</f>
        <v/>
      </c>
      <c r="AD727" t="str">
        <f>_xlfn.IFNA(INDEX(MTT_codes,MATCH(loaded!BM727,MTT,0)),"")</f>
        <v/>
      </c>
      <c r="AE727" t="e">
        <f>INDEX(liv_ar_codes,MATCH(loaded!BO727,liv_ar,0))</f>
        <v>#N/A</v>
      </c>
      <c r="AF727" t="str">
        <f>_xlfn.IFNA(INDEX(MTT_codes,MATCH(loaded!BQ727,MTT,0)),"")</f>
        <v/>
      </c>
      <c r="AG727">
        <f>_xlfn.IFNA(INDEX(mental_codes,MATCH(loaded!BS727,mental,0)),9)</f>
        <v>9</v>
      </c>
    </row>
    <row r="728" spans="1:33" x14ac:dyDescent="0.25">
      <c r="A728">
        <f>loaded!C728</f>
        <v>0</v>
      </c>
      <c r="B728">
        <f>loaded!I728</f>
        <v>0</v>
      </c>
      <c r="C728">
        <f>IF(loaded!K728="Male",1,IF(loaded!K728="Female",2,9))</f>
        <v>9</v>
      </c>
      <c r="D728" s="8">
        <f>loaded!M728</f>
        <v>0</v>
      </c>
      <c r="E728" t="str">
        <f>LEFT(loaded!O728,3)</f>
        <v/>
      </c>
      <c r="F728" t="e">
        <f>INDEX(cntry_codes,MATCH(loaded!Q728,countries,0))</f>
        <v>#N/A</v>
      </c>
      <c r="G728" t="e">
        <f>INDEX(atsi_codes,MATCH(loaded!S728,atsi,0))</f>
        <v>#N/A</v>
      </c>
      <c r="H728" t="e">
        <f>INDEX(lang_codes,MATCH(loaded!U728,lang,0))</f>
        <v>#N/A</v>
      </c>
      <c r="I728" s="8">
        <f>loaded!W728</f>
        <v>0</v>
      </c>
      <c r="J728" t="e">
        <f>INDEX(us_acc_codes,MATCH(loaded!Y728,us_acc,0))</f>
        <v>#N/A</v>
      </c>
      <c r="K728" t="e">
        <f>INDEX(client_codes,MATCH(loaded!AA728,client,0))</f>
        <v>#N/A</v>
      </c>
      <c r="L728" t="e">
        <f>INDEX(src_ref_codes,MATCH(loaded!AC728,src_ref,0))</f>
        <v>#N/A</v>
      </c>
      <c r="M728" s="8">
        <f>loaded!AE728</f>
        <v>0</v>
      </c>
      <c r="N728" s="8">
        <f>loaded!AG728</f>
        <v>0</v>
      </c>
      <c r="O728" t="e">
        <f>INDEX(reces_codes,MATCH(loaded!AI728,reason,0))</f>
        <v>#N/A</v>
      </c>
      <c r="P728" t="e">
        <f>INDEX(TDS_codes,MATCH(loaded!AK728,TDS,0))</f>
        <v>#N/A</v>
      </c>
      <c r="Q728" t="e">
        <f>IF(K728=2,"",INDEX(method_codes,MATCH(loaded!AM728,method,0)))</f>
        <v>#N/A</v>
      </c>
      <c r="R728" t="e">
        <f>IF(K728=2,"",INDEX(inj_codes,MATCH(loaded!AO728,inj,0)))</f>
        <v>#N/A</v>
      </c>
      <c r="S728" t="e">
        <f>IF(K728=2,"",INDEX(drug_codes,MATCH(loaded!AQ728,drug,0)))</f>
        <v>#N/A</v>
      </c>
      <c r="T728" t="e">
        <f>IF(K728=2,"",_xlfn.IFNA(INDEX(drug_codes,MATCH(loaded!AS728,drug,0)),""))</f>
        <v>#N/A</v>
      </c>
      <c r="U728" t="e">
        <f>IF(K728=2,"",_xlfn.IFNA(INDEX(drug_codes,MATCH(loaded!AU728,drug,0)),""))</f>
        <v>#N/A</v>
      </c>
      <c r="V728" t="e">
        <f>IF(K728=2,"",_xlfn.IFNA(INDEX(drug_codes,MATCH(loaded!AW728,drug,0)),""))</f>
        <v>#N/A</v>
      </c>
      <c r="W728" t="e">
        <f>IF(K728=2,"",_xlfn.IFNA(INDEX(drug_codes,MATCH(loaded!AY728,drug,0)),""))</f>
        <v>#N/A</v>
      </c>
      <c r="X728" t="e">
        <f>IF(K728=2,"",_xlfn.IFNA(INDEX(drug_codes,MATCH(loaded!BA728,drug,0)),""))</f>
        <v>#N/A</v>
      </c>
      <c r="Y728" t="e">
        <f>INDEX(MTT_codes,MATCH(loaded!BC728,MTT,0))</f>
        <v>#N/A</v>
      </c>
      <c r="Z728" t="str">
        <f>_xlfn.IFNA(INDEX(MTT_codes,MATCH(loaded!BE728,MTT,0)),"")</f>
        <v/>
      </c>
      <c r="AA728" t="str">
        <f>_xlfn.IFNA(INDEX(MTT_codes,MATCH(loaded!BG728,MTT,0)),"")</f>
        <v/>
      </c>
      <c r="AB728" t="str">
        <f>_xlfn.IFNA(INDEX(MTT_codes,MATCH(loaded!BI728,MTT,0)),"")</f>
        <v/>
      </c>
      <c r="AC728" t="str">
        <f>_xlfn.IFNA(INDEX(MTT_codes,MATCH(loaded!BK728,MTT,0)),"")</f>
        <v/>
      </c>
      <c r="AD728" t="str">
        <f>_xlfn.IFNA(INDEX(MTT_codes,MATCH(loaded!BM728,MTT,0)),"")</f>
        <v/>
      </c>
      <c r="AE728" t="e">
        <f>INDEX(liv_ar_codes,MATCH(loaded!BO728,liv_ar,0))</f>
        <v>#N/A</v>
      </c>
      <c r="AF728" t="str">
        <f>_xlfn.IFNA(INDEX(MTT_codes,MATCH(loaded!BQ728,MTT,0)),"")</f>
        <v/>
      </c>
      <c r="AG728">
        <f>_xlfn.IFNA(INDEX(mental_codes,MATCH(loaded!BS728,mental,0)),9)</f>
        <v>9</v>
      </c>
    </row>
    <row r="729" spans="1:33" x14ac:dyDescent="0.25">
      <c r="A729">
        <f>loaded!C729</f>
        <v>0</v>
      </c>
      <c r="B729">
        <f>loaded!I729</f>
        <v>0</v>
      </c>
      <c r="C729">
        <f>IF(loaded!K729="Male",1,IF(loaded!K729="Female",2,9))</f>
        <v>9</v>
      </c>
      <c r="D729" s="8">
        <f>loaded!M729</f>
        <v>0</v>
      </c>
      <c r="E729" t="str">
        <f>LEFT(loaded!O729,3)</f>
        <v/>
      </c>
      <c r="F729" t="e">
        <f>INDEX(cntry_codes,MATCH(loaded!Q729,countries,0))</f>
        <v>#N/A</v>
      </c>
      <c r="G729" t="e">
        <f>INDEX(atsi_codes,MATCH(loaded!S729,atsi,0))</f>
        <v>#N/A</v>
      </c>
      <c r="H729" t="e">
        <f>INDEX(lang_codes,MATCH(loaded!U729,lang,0))</f>
        <v>#N/A</v>
      </c>
      <c r="I729" s="8">
        <f>loaded!W729</f>
        <v>0</v>
      </c>
      <c r="J729" t="e">
        <f>INDEX(us_acc_codes,MATCH(loaded!Y729,us_acc,0))</f>
        <v>#N/A</v>
      </c>
      <c r="K729" t="e">
        <f>INDEX(client_codes,MATCH(loaded!AA729,client,0))</f>
        <v>#N/A</v>
      </c>
      <c r="L729" t="e">
        <f>INDEX(src_ref_codes,MATCH(loaded!AC729,src_ref,0))</f>
        <v>#N/A</v>
      </c>
      <c r="M729" s="8">
        <f>loaded!AE729</f>
        <v>0</v>
      </c>
      <c r="N729" s="8">
        <f>loaded!AG729</f>
        <v>0</v>
      </c>
      <c r="O729" t="e">
        <f>INDEX(reces_codes,MATCH(loaded!AI729,reason,0))</f>
        <v>#N/A</v>
      </c>
      <c r="P729" t="e">
        <f>INDEX(TDS_codes,MATCH(loaded!AK729,TDS,0))</f>
        <v>#N/A</v>
      </c>
      <c r="Q729" t="e">
        <f>IF(K729=2,"",INDEX(method_codes,MATCH(loaded!AM729,method,0)))</f>
        <v>#N/A</v>
      </c>
      <c r="R729" t="e">
        <f>IF(K729=2,"",INDEX(inj_codes,MATCH(loaded!AO729,inj,0)))</f>
        <v>#N/A</v>
      </c>
      <c r="S729" t="e">
        <f>IF(K729=2,"",INDEX(drug_codes,MATCH(loaded!AQ729,drug,0)))</f>
        <v>#N/A</v>
      </c>
      <c r="T729" t="e">
        <f>IF(K729=2,"",_xlfn.IFNA(INDEX(drug_codes,MATCH(loaded!AS729,drug,0)),""))</f>
        <v>#N/A</v>
      </c>
      <c r="U729" t="e">
        <f>IF(K729=2,"",_xlfn.IFNA(INDEX(drug_codes,MATCH(loaded!AU729,drug,0)),""))</f>
        <v>#N/A</v>
      </c>
      <c r="V729" t="e">
        <f>IF(K729=2,"",_xlfn.IFNA(INDEX(drug_codes,MATCH(loaded!AW729,drug,0)),""))</f>
        <v>#N/A</v>
      </c>
      <c r="W729" t="e">
        <f>IF(K729=2,"",_xlfn.IFNA(INDEX(drug_codes,MATCH(loaded!AY729,drug,0)),""))</f>
        <v>#N/A</v>
      </c>
      <c r="X729" t="e">
        <f>IF(K729=2,"",_xlfn.IFNA(INDEX(drug_codes,MATCH(loaded!BA729,drug,0)),""))</f>
        <v>#N/A</v>
      </c>
      <c r="Y729" t="e">
        <f>INDEX(MTT_codes,MATCH(loaded!BC729,MTT,0))</f>
        <v>#N/A</v>
      </c>
      <c r="Z729" t="str">
        <f>_xlfn.IFNA(INDEX(MTT_codes,MATCH(loaded!BE729,MTT,0)),"")</f>
        <v/>
      </c>
      <c r="AA729" t="str">
        <f>_xlfn.IFNA(INDEX(MTT_codes,MATCH(loaded!BG729,MTT,0)),"")</f>
        <v/>
      </c>
      <c r="AB729" t="str">
        <f>_xlfn.IFNA(INDEX(MTT_codes,MATCH(loaded!BI729,MTT,0)),"")</f>
        <v/>
      </c>
      <c r="AC729" t="str">
        <f>_xlfn.IFNA(INDEX(MTT_codes,MATCH(loaded!BK729,MTT,0)),"")</f>
        <v/>
      </c>
      <c r="AD729" t="str">
        <f>_xlfn.IFNA(INDEX(MTT_codes,MATCH(loaded!BM729,MTT,0)),"")</f>
        <v/>
      </c>
      <c r="AE729" t="e">
        <f>INDEX(liv_ar_codes,MATCH(loaded!BO729,liv_ar,0))</f>
        <v>#N/A</v>
      </c>
      <c r="AF729" t="str">
        <f>_xlfn.IFNA(INDEX(MTT_codes,MATCH(loaded!BQ729,MTT,0)),"")</f>
        <v/>
      </c>
      <c r="AG729">
        <f>_xlfn.IFNA(INDEX(mental_codes,MATCH(loaded!BS729,mental,0)),9)</f>
        <v>9</v>
      </c>
    </row>
    <row r="730" spans="1:33" x14ac:dyDescent="0.25">
      <c r="A730">
        <f>loaded!C730</f>
        <v>0</v>
      </c>
      <c r="B730">
        <f>loaded!I730</f>
        <v>0</v>
      </c>
      <c r="C730">
        <f>IF(loaded!K730="Male",1,IF(loaded!K730="Female",2,9))</f>
        <v>9</v>
      </c>
      <c r="D730" s="8">
        <f>loaded!M730</f>
        <v>0</v>
      </c>
      <c r="E730" t="str">
        <f>LEFT(loaded!O730,3)</f>
        <v/>
      </c>
      <c r="F730" t="e">
        <f>INDEX(cntry_codes,MATCH(loaded!Q730,countries,0))</f>
        <v>#N/A</v>
      </c>
      <c r="G730" t="e">
        <f>INDEX(atsi_codes,MATCH(loaded!S730,atsi,0))</f>
        <v>#N/A</v>
      </c>
      <c r="H730" t="e">
        <f>INDEX(lang_codes,MATCH(loaded!U730,lang,0))</f>
        <v>#N/A</v>
      </c>
      <c r="I730" s="8">
        <f>loaded!W730</f>
        <v>0</v>
      </c>
      <c r="J730" t="e">
        <f>INDEX(us_acc_codes,MATCH(loaded!Y730,us_acc,0))</f>
        <v>#N/A</v>
      </c>
      <c r="K730" t="e">
        <f>INDEX(client_codes,MATCH(loaded!AA730,client,0))</f>
        <v>#N/A</v>
      </c>
      <c r="L730" t="e">
        <f>INDEX(src_ref_codes,MATCH(loaded!AC730,src_ref,0))</f>
        <v>#N/A</v>
      </c>
      <c r="M730" s="8">
        <f>loaded!AE730</f>
        <v>0</v>
      </c>
      <c r="N730" s="8">
        <f>loaded!AG730</f>
        <v>0</v>
      </c>
      <c r="O730" t="e">
        <f>INDEX(reces_codes,MATCH(loaded!AI730,reason,0))</f>
        <v>#N/A</v>
      </c>
      <c r="P730" t="e">
        <f>INDEX(TDS_codes,MATCH(loaded!AK730,TDS,0))</f>
        <v>#N/A</v>
      </c>
      <c r="Q730" t="e">
        <f>IF(K730=2,"",INDEX(method_codes,MATCH(loaded!AM730,method,0)))</f>
        <v>#N/A</v>
      </c>
      <c r="R730" t="e">
        <f>IF(K730=2,"",INDEX(inj_codes,MATCH(loaded!AO730,inj,0)))</f>
        <v>#N/A</v>
      </c>
      <c r="S730" t="e">
        <f>IF(K730=2,"",INDEX(drug_codes,MATCH(loaded!AQ730,drug,0)))</f>
        <v>#N/A</v>
      </c>
      <c r="T730" t="e">
        <f>IF(K730=2,"",_xlfn.IFNA(INDEX(drug_codes,MATCH(loaded!AS730,drug,0)),""))</f>
        <v>#N/A</v>
      </c>
      <c r="U730" t="e">
        <f>IF(K730=2,"",_xlfn.IFNA(INDEX(drug_codes,MATCH(loaded!AU730,drug,0)),""))</f>
        <v>#N/A</v>
      </c>
      <c r="V730" t="e">
        <f>IF(K730=2,"",_xlfn.IFNA(INDEX(drug_codes,MATCH(loaded!AW730,drug,0)),""))</f>
        <v>#N/A</v>
      </c>
      <c r="W730" t="e">
        <f>IF(K730=2,"",_xlfn.IFNA(INDEX(drug_codes,MATCH(loaded!AY730,drug,0)),""))</f>
        <v>#N/A</v>
      </c>
      <c r="X730" t="e">
        <f>IF(K730=2,"",_xlfn.IFNA(INDEX(drug_codes,MATCH(loaded!BA730,drug,0)),""))</f>
        <v>#N/A</v>
      </c>
      <c r="Y730" t="e">
        <f>INDEX(MTT_codes,MATCH(loaded!BC730,MTT,0))</f>
        <v>#N/A</v>
      </c>
      <c r="Z730" t="str">
        <f>_xlfn.IFNA(INDEX(MTT_codes,MATCH(loaded!BE730,MTT,0)),"")</f>
        <v/>
      </c>
      <c r="AA730" t="str">
        <f>_xlfn.IFNA(INDEX(MTT_codes,MATCH(loaded!BG730,MTT,0)),"")</f>
        <v/>
      </c>
      <c r="AB730" t="str">
        <f>_xlfn.IFNA(INDEX(MTT_codes,MATCH(loaded!BI730,MTT,0)),"")</f>
        <v/>
      </c>
      <c r="AC730" t="str">
        <f>_xlfn.IFNA(INDEX(MTT_codes,MATCH(loaded!BK730,MTT,0)),"")</f>
        <v/>
      </c>
      <c r="AD730" t="str">
        <f>_xlfn.IFNA(INDEX(MTT_codes,MATCH(loaded!BM730,MTT,0)),"")</f>
        <v/>
      </c>
      <c r="AE730" t="e">
        <f>INDEX(liv_ar_codes,MATCH(loaded!BO730,liv_ar,0))</f>
        <v>#N/A</v>
      </c>
      <c r="AF730" t="str">
        <f>_xlfn.IFNA(INDEX(MTT_codes,MATCH(loaded!BQ730,MTT,0)),"")</f>
        <v/>
      </c>
      <c r="AG730">
        <f>_xlfn.IFNA(INDEX(mental_codes,MATCH(loaded!BS730,mental,0)),9)</f>
        <v>9</v>
      </c>
    </row>
    <row r="731" spans="1:33" x14ac:dyDescent="0.25">
      <c r="A731">
        <f>loaded!C731</f>
        <v>0</v>
      </c>
      <c r="B731">
        <f>loaded!I731</f>
        <v>0</v>
      </c>
      <c r="C731">
        <f>IF(loaded!K731="Male",1,IF(loaded!K731="Female",2,9))</f>
        <v>9</v>
      </c>
      <c r="D731" s="8">
        <f>loaded!M731</f>
        <v>0</v>
      </c>
      <c r="E731" t="str">
        <f>LEFT(loaded!O731,3)</f>
        <v/>
      </c>
      <c r="F731" t="e">
        <f>INDEX(cntry_codes,MATCH(loaded!Q731,countries,0))</f>
        <v>#N/A</v>
      </c>
      <c r="G731" t="e">
        <f>INDEX(atsi_codes,MATCH(loaded!S731,atsi,0))</f>
        <v>#N/A</v>
      </c>
      <c r="H731" t="e">
        <f>INDEX(lang_codes,MATCH(loaded!U731,lang,0))</f>
        <v>#N/A</v>
      </c>
      <c r="I731" s="8">
        <f>loaded!W731</f>
        <v>0</v>
      </c>
      <c r="J731" t="e">
        <f>INDEX(us_acc_codes,MATCH(loaded!Y731,us_acc,0))</f>
        <v>#N/A</v>
      </c>
      <c r="K731" t="e">
        <f>INDEX(client_codes,MATCH(loaded!AA731,client,0))</f>
        <v>#N/A</v>
      </c>
      <c r="L731" t="e">
        <f>INDEX(src_ref_codes,MATCH(loaded!AC731,src_ref,0))</f>
        <v>#N/A</v>
      </c>
      <c r="M731" s="8">
        <f>loaded!AE731</f>
        <v>0</v>
      </c>
      <c r="N731" s="8">
        <f>loaded!AG731</f>
        <v>0</v>
      </c>
      <c r="O731" t="e">
        <f>INDEX(reces_codes,MATCH(loaded!AI731,reason,0))</f>
        <v>#N/A</v>
      </c>
      <c r="P731" t="e">
        <f>INDEX(TDS_codes,MATCH(loaded!AK731,TDS,0))</f>
        <v>#N/A</v>
      </c>
      <c r="Q731" t="e">
        <f>IF(K731=2,"",INDEX(method_codes,MATCH(loaded!AM731,method,0)))</f>
        <v>#N/A</v>
      </c>
      <c r="R731" t="e">
        <f>IF(K731=2,"",INDEX(inj_codes,MATCH(loaded!AO731,inj,0)))</f>
        <v>#N/A</v>
      </c>
      <c r="S731" t="e">
        <f>IF(K731=2,"",INDEX(drug_codes,MATCH(loaded!AQ731,drug,0)))</f>
        <v>#N/A</v>
      </c>
      <c r="T731" t="e">
        <f>IF(K731=2,"",_xlfn.IFNA(INDEX(drug_codes,MATCH(loaded!AS731,drug,0)),""))</f>
        <v>#N/A</v>
      </c>
      <c r="U731" t="e">
        <f>IF(K731=2,"",_xlfn.IFNA(INDEX(drug_codes,MATCH(loaded!AU731,drug,0)),""))</f>
        <v>#N/A</v>
      </c>
      <c r="V731" t="e">
        <f>IF(K731=2,"",_xlfn.IFNA(INDEX(drug_codes,MATCH(loaded!AW731,drug,0)),""))</f>
        <v>#N/A</v>
      </c>
      <c r="W731" t="e">
        <f>IF(K731=2,"",_xlfn.IFNA(INDEX(drug_codes,MATCH(loaded!AY731,drug,0)),""))</f>
        <v>#N/A</v>
      </c>
      <c r="X731" t="e">
        <f>IF(K731=2,"",_xlfn.IFNA(INDEX(drug_codes,MATCH(loaded!BA731,drug,0)),""))</f>
        <v>#N/A</v>
      </c>
      <c r="Y731" t="e">
        <f>INDEX(MTT_codes,MATCH(loaded!BC731,MTT,0))</f>
        <v>#N/A</v>
      </c>
      <c r="Z731" t="str">
        <f>_xlfn.IFNA(INDEX(MTT_codes,MATCH(loaded!BE731,MTT,0)),"")</f>
        <v/>
      </c>
      <c r="AA731" t="str">
        <f>_xlfn.IFNA(INDEX(MTT_codes,MATCH(loaded!BG731,MTT,0)),"")</f>
        <v/>
      </c>
      <c r="AB731" t="str">
        <f>_xlfn.IFNA(INDEX(MTT_codes,MATCH(loaded!BI731,MTT,0)),"")</f>
        <v/>
      </c>
      <c r="AC731" t="str">
        <f>_xlfn.IFNA(INDEX(MTT_codes,MATCH(loaded!BK731,MTT,0)),"")</f>
        <v/>
      </c>
      <c r="AD731" t="str">
        <f>_xlfn.IFNA(INDEX(MTT_codes,MATCH(loaded!BM731,MTT,0)),"")</f>
        <v/>
      </c>
      <c r="AE731" t="e">
        <f>INDEX(liv_ar_codes,MATCH(loaded!BO731,liv_ar,0))</f>
        <v>#N/A</v>
      </c>
      <c r="AF731" t="str">
        <f>_xlfn.IFNA(INDEX(MTT_codes,MATCH(loaded!BQ731,MTT,0)),"")</f>
        <v/>
      </c>
      <c r="AG731">
        <f>_xlfn.IFNA(INDEX(mental_codes,MATCH(loaded!BS731,mental,0)),9)</f>
        <v>9</v>
      </c>
    </row>
    <row r="732" spans="1:33" x14ac:dyDescent="0.25">
      <c r="A732">
        <f>loaded!C732</f>
        <v>0</v>
      </c>
      <c r="B732">
        <f>loaded!I732</f>
        <v>0</v>
      </c>
      <c r="C732">
        <f>IF(loaded!K732="Male",1,IF(loaded!K732="Female",2,9))</f>
        <v>9</v>
      </c>
      <c r="D732" s="8">
        <f>loaded!M732</f>
        <v>0</v>
      </c>
      <c r="E732" t="str">
        <f>LEFT(loaded!O732,3)</f>
        <v/>
      </c>
      <c r="F732" t="e">
        <f>INDEX(cntry_codes,MATCH(loaded!Q732,countries,0))</f>
        <v>#N/A</v>
      </c>
      <c r="G732" t="e">
        <f>INDEX(atsi_codes,MATCH(loaded!S732,atsi,0))</f>
        <v>#N/A</v>
      </c>
      <c r="H732" t="e">
        <f>INDEX(lang_codes,MATCH(loaded!U732,lang,0))</f>
        <v>#N/A</v>
      </c>
      <c r="I732" s="8">
        <f>loaded!W732</f>
        <v>0</v>
      </c>
      <c r="J732" t="e">
        <f>INDEX(us_acc_codes,MATCH(loaded!Y732,us_acc,0))</f>
        <v>#N/A</v>
      </c>
      <c r="K732" t="e">
        <f>INDEX(client_codes,MATCH(loaded!AA732,client,0))</f>
        <v>#N/A</v>
      </c>
      <c r="L732" t="e">
        <f>INDEX(src_ref_codes,MATCH(loaded!AC732,src_ref,0))</f>
        <v>#N/A</v>
      </c>
      <c r="M732" s="8">
        <f>loaded!AE732</f>
        <v>0</v>
      </c>
      <c r="N732" s="8">
        <f>loaded!AG732</f>
        <v>0</v>
      </c>
      <c r="O732" t="e">
        <f>INDEX(reces_codes,MATCH(loaded!AI732,reason,0))</f>
        <v>#N/A</v>
      </c>
      <c r="P732" t="e">
        <f>INDEX(TDS_codes,MATCH(loaded!AK732,TDS,0))</f>
        <v>#N/A</v>
      </c>
      <c r="Q732" t="e">
        <f>IF(K732=2,"",INDEX(method_codes,MATCH(loaded!AM732,method,0)))</f>
        <v>#N/A</v>
      </c>
      <c r="R732" t="e">
        <f>IF(K732=2,"",INDEX(inj_codes,MATCH(loaded!AO732,inj,0)))</f>
        <v>#N/A</v>
      </c>
      <c r="S732" t="e">
        <f>IF(K732=2,"",INDEX(drug_codes,MATCH(loaded!AQ732,drug,0)))</f>
        <v>#N/A</v>
      </c>
      <c r="T732" t="e">
        <f>IF(K732=2,"",_xlfn.IFNA(INDEX(drug_codes,MATCH(loaded!AS732,drug,0)),""))</f>
        <v>#N/A</v>
      </c>
      <c r="U732" t="e">
        <f>IF(K732=2,"",_xlfn.IFNA(INDEX(drug_codes,MATCH(loaded!AU732,drug,0)),""))</f>
        <v>#N/A</v>
      </c>
      <c r="V732" t="e">
        <f>IF(K732=2,"",_xlfn.IFNA(INDEX(drug_codes,MATCH(loaded!AW732,drug,0)),""))</f>
        <v>#N/A</v>
      </c>
      <c r="W732" t="e">
        <f>IF(K732=2,"",_xlfn.IFNA(INDEX(drug_codes,MATCH(loaded!AY732,drug,0)),""))</f>
        <v>#N/A</v>
      </c>
      <c r="X732" t="e">
        <f>IF(K732=2,"",_xlfn.IFNA(INDEX(drug_codes,MATCH(loaded!BA732,drug,0)),""))</f>
        <v>#N/A</v>
      </c>
      <c r="Y732" t="e">
        <f>INDEX(MTT_codes,MATCH(loaded!BC732,MTT,0))</f>
        <v>#N/A</v>
      </c>
      <c r="Z732" t="str">
        <f>_xlfn.IFNA(INDEX(MTT_codes,MATCH(loaded!BE732,MTT,0)),"")</f>
        <v/>
      </c>
      <c r="AA732" t="str">
        <f>_xlfn.IFNA(INDEX(MTT_codes,MATCH(loaded!BG732,MTT,0)),"")</f>
        <v/>
      </c>
      <c r="AB732" t="str">
        <f>_xlfn.IFNA(INDEX(MTT_codes,MATCH(loaded!BI732,MTT,0)),"")</f>
        <v/>
      </c>
      <c r="AC732" t="str">
        <f>_xlfn.IFNA(INDEX(MTT_codes,MATCH(loaded!BK732,MTT,0)),"")</f>
        <v/>
      </c>
      <c r="AD732" t="str">
        <f>_xlfn.IFNA(INDEX(MTT_codes,MATCH(loaded!BM732,MTT,0)),"")</f>
        <v/>
      </c>
      <c r="AE732" t="e">
        <f>INDEX(liv_ar_codes,MATCH(loaded!BO732,liv_ar,0))</f>
        <v>#N/A</v>
      </c>
      <c r="AF732" t="str">
        <f>_xlfn.IFNA(INDEX(MTT_codes,MATCH(loaded!BQ732,MTT,0)),"")</f>
        <v/>
      </c>
      <c r="AG732">
        <f>_xlfn.IFNA(INDEX(mental_codes,MATCH(loaded!BS732,mental,0)),9)</f>
        <v>9</v>
      </c>
    </row>
    <row r="733" spans="1:33" x14ac:dyDescent="0.25">
      <c r="A733">
        <f>loaded!C733</f>
        <v>0</v>
      </c>
      <c r="B733">
        <f>loaded!I733</f>
        <v>0</v>
      </c>
      <c r="C733">
        <f>IF(loaded!K733="Male",1,IF(loaded!K733="Female",2,9))</f>
        <v>9</v>
      </c>
      <c r="D733" s="8">
        <f>loaded!M733</f>
        <v>0</v>
      </c>
      <c r="E733" t="str">
        <f>LEFT(loaded!O733,3)</f>
        <v/>
      </c>
      <c r="F733" t="e">
        <f>INDEX(cntry_codes,MATCH(loaded!Q733,countries,0))</f>
        <v>#N/A</v>
      </c>
      <c r="G733" t="e">
        <f>INDEX(atsi_codes,MATCH(loaded!S733,atsi,0))</f>
        <v>#N/A</v>
      </c>
      <c r="H733" t="e">
        <f>INDEX(lang_codes,MATCH(loaded!U733,lang,0))</f>
        <v>#N/A</v>
      </c>
      <c r="I733" s="8">
        <f>loaded!W733</f>
        <v>0</v>
      </c>
      <c r="J733" t="e">
        <f>INDEX(us_acc_codes,MATCH(loaded!Y733,us_acc,0))</f>
        <v>#N/A</v>
      </c>
      <c r="K733" t="e">
        <f>INDEX(client_codes,MATCH(loaded!AA733,client,0))</f>
        <v>#N/A</v>
      </c>
      <c r="L733" t="e">
        <f>INDEX(src_ref_codes,MATCH(loaded!AC733,src_ref,0))</f>
        <v>#N/A</v>
      </c>
      <c r="M733" s="8">
        <f>loaded!AE733</f>
        <v>0</v>
      </c>
      <c r="N733" s="8">
        <f>loaded!AG733</f>
        <v>0</v>
      </c>
      <c r="O733" t="e">
        <f>INDEX(reces_codes,MATCH(loaded!AI733,reason,0))</f>
        <v>#N/A</v>
      </c>
      <c r="P733" t="e">
        <f>INDEX(TDS_codes,MATCH(loaded!AK733,TDS,0))</f>
        <v>#N/A</v>
      </c>
      <c r="Q733" t="e">
        <f>IF(K733=2,"",INDEX(method_codes,MATCH(loaded!AM733,method,0)))</f>
        <v>#N/A</v>
      </c>
      <c r="R733" t="e">
        <f>IF(K733=2,"",INDEX(inj_codes,MATCH(loaded!AO733,inj,0)))</f>
        <v>#N/A</v>
      </c>
      <c r="S733" t="e">
        <f>IF(K733=2,"",INDEX(drug_codes,MATCH(loaded!AQ733,drug,0)))</f>
        <v>#N/A</v>
      </c>
      <c r="T733" t="e">
        <f>IF(K733=2,"",_xlfn.IFNA(INDEX(drug_codes,MATCH(loaded!AS733,drug,0)),""))</f>
        <v>#N/A</v>
      </c>
      <c r="U733" t="e">
        <f>IF(K733=2,"",_xlfn.IFNA(INDEX(drug_codes,MATCH(loaded!AU733,drug,0)),""))</f>
        <v>#N/A</v>
      </c>
      <c r="V733" t="e">
        <f>IF(K733=2,"",_xlfn.IFNA(INDEX(drug_codes,MATCH(loaded!AW733,drug,0)),""))</f>
        <v>#N/A</v>
      </c>
      <c r="W733" t="e">
        <f>IF(K733=2,"",_xlfn.IFNA(INDEX(drug_codes,MATCH(loaded!AY733,drug,0)),""))</f>
        <v>#N/A</v>
      </c>
      <c r="X733" t="e">
        <f>IF(K733=2,"",_xlfn.IFNA(INDEX(drug_codes,MATCH(loaded!BA733,drug,0)),""))</f>
        <v>#N/A</v>
      </c>
      <c r="Y733" t="e">
        <f>INDEX(MTT_codes,MATCH(loaded!BC733,MTT,0))</f>
        <v>#N/A</v>
      </c>
      <c r="Z733" t="str">
        <f>_xlfn.IFNA(INDEX(MTT_codes,MATCH(loaded!BE733,MTT,0)),"")</f>
        <v/>
      </c>
      <c r="AA733" t="str">
        <f>_xlfn.IFNA(INDEX(MTT_codes,MATCH(loaded!BG733,MTT,0)),"")</f>
        <v/>
      </c>
      <c r="AB733" t="str">
        <f>_xlfn.IFNA(INDEX(MTT_codes,MATCH(loaded!BI733,MTT,0)),"")</f>
        <v/>
      </c>
      <c r="AC733" t="str">
        <f>_xlfn.IFNA(INDEX(MTT_codes,MATCH(loaded!BK733,MTT,0)),"")</f>
        <v/>
      </c>
      <c r="AD733" t="str">
        <f>_xlfn.IFNA(INDEX(MTT_codes,MATCH(loaded!BM733,MTT,0)),"")</f>
        <v/>
      </c>
      <c r="AE733" t="e">
        <f>INDEX(liv_ar_codes,MATCH(loaded!BO733,liv_ar,0))</f>
        <v>#N/A</v>
      </c>
      <c r="AF733" t="str">
        <f>_xlfn.IFNA(INDEX(MTT_codes,MATCH(loaded!BQ733,MTT,0)),"")</f>
        <v/>
      </c>
      <c r="AG733">
        <f>_xlfn.IFNA(INDEX(mental_codes,MATCH(loaded!BS733,mental,0)),9)</f>
        <v>9</v>
      </c>
    </row>
    <row r="734" spans="1:33" x14ac:dyDescent="0.25">
      <c r="A734">
        <f>loaded!C734</f>
        <v>0</v>
      </c>
      <c r="B734">
        <f>loaded!I734</f>
        <v>0</v>
      </c>
      <c r="C734">
        <f>IF(loaded!K734="Male",1,IF(loaded!K734="Female",2,9))</f>
        <v>9</v>
      </c>
      <c r="D734" s="8">
        <f>loaded!M734</f>
        <v>0</v>
      </c>
      <c r="E734" t="str">
        <f>LEFT(loaded!O734,3)</f>
        <v/>
      </c>
      <c r="F734" t="e">
        <f>INDEX(cntry_codes,MATCH(loaded!Q734,countries,0))</f>
        <v>#N/A</v>
      </c>
      <c r="G734" t="e">
        <f>INDEX(atsi_codes,MATCH(loaded!S734,atsi,0))</f>
        <v>#N/A</v>
      </c>
      <c r="H734" t="e">
        <f>INDEX(lang_codes,MATCH(loaded!U734,lang,0))</f>
        <v>#N/A</v>
      </c>
      <c r="I734" s="8">
        <f>loaded!W734</f>
        <v>0</v>
      </c>
      <c r="J734" t="e">
        <f>INDEX(us_acc_codes,MATCH(loaded!Y734,us_acc,0))</f>
        <v>#N/A</v>
      </c>
      <c r="K734" t="e">
        <f>INDEX(client_codes,MATCH(loaded!AA734,client,0))</f>
        <v>#N/A</v>
      </c>
      <c r="L734" t="e">
        <f>INDEX(src_ref_codes,MATCH(loaded!AC734,src_ref,0))</f>
        <v>#N/A</v>
      </c>
      <c r="M734" s="8">
        <f>loaded!AE734</f>
        <v>0</v>
      </c>
      <c r="N734" s="8">
        <f>loaded!AG734</f>
        <v>0</v>
      </c>
      <c r="O734" t="e">
        <f>INDEX(reces_codes,MATCH(loaded!AI734,reason,0))</f>
        <v>#N/A</v>
      </c>
      <c r="P734" t="e">
        <f>INDEX(TDS_codes,MATCH(loaded!AK734,TDS,0))</f>
        <v>#N/A</v>
      </c>
      <c r="Q734" t="e">
        <f>IF(K734=2,"",INDEX(method_codes,MATCH(loaded!AM734,method,0)))</f>
        <v>#N/A</v>
      </c>
      <c r="R734" t="e">
        <f>IF(K734=2,"",INDEX(inj_codes,MATCH(loaded!AO734,inj,0)))</f>
        <v>#N/A</v>
      </c>
      <c r="S734" t="e">
        <f>IF(K734=2,"",INDEX(drug_codes,MATCH(loaded!AQ734,drug,0)))</f>
        <v>#N/A</v>
      </c>
      <c r="T734" t="e">
        <f>IF(K734=2,"",_xlfn.IFNA(INDEX(drug_codes,MATCH(loaded!AS734,drug,0)),""))</f>
        <v>#N/A</v>
      </c>
      <c r="U734" t="e">
        <f>IF(K734=2,"",_xlfn.IFNA(INDEX(drug_codes,MATCH(loaded!AU734,drug,0)),""))</f>
        <v>#N/A</v>
      </c>
      <c r="V734" t="e">
        <f>IF(K734=2,"",_xlfn.IFNA(INDEX(drug_codes,MATCH(loaded!AW734,drug,0)),""))</f>
        <v>#N/A</v>
      </c>
      <c r="W734" t="e">
        <f>IF(K734=2,"",_xlfn.IFNA(INDEX(drug_codes,MATCH(loaded!AY734,drug,0)),""))</f>
        <v>#N/A</v>
      </c>
      <c r="X734" t="e">
        <f>IF(K734=2,"",_xlfn.IFNA(INDEX(drug_codes,MATCH(loaded!BA734,drug,0)),""))</f>
        <v>#N/A</v>
      </c>
      <c r="Y734" t="e">
        <f>INDEX(MTT_codes,MATCH(loaded!BC734,MTT,0))</f>
        <v>#N/A</v>
      </c>
      <c r="Z734" t="str">
        <f>_xlfn.IFNA(INDEX(MTT_codes,MATCH(loaded!BE734,MTT,0)),"")</f>
        <v/>
      </c>
      <c r="AA734" t="str">
        <f>_xlfn.IFNA(INDEX(MTT_codes,MATCH(loaded!BG734,MTT,0)),"")</f>
        <v/>
      </c>
      <c r="AB734" t="str">
        <f>_xlfn.IFNA(INDEX(MTT_codes,MATCH(loaded!BI734,MTT,0)),"")</f>
        <v/>
      </c>
      <c r="AC734" t="str">
        <f>_xlfn.IFNA(INDEX(MTT_codes,MATCH(loaded!BK734,MTT,0)),"")</f>
        <v/>
      </c>
      <c r="AD734" t="str">
        <f>_xlfn.IFNA(INDEX(MTT_codes,MATCH(loaded!BM734,MTT,0)),"")</f>
        <v/>
      </c>
      <c r="AE734" t="e">
        <f>INDEX(liv_ar_codes,MATCH(loaded!BO734,liv_ar,0))</f>
        <v>#N/A</v>
      </c>
      <c r="AF734" t="str">
        <f>_xlfn.IFNA(INDEX(MTT_codes,MATCH(loaded!BQ734,MTT,0)),"")</f>
        <v/>
      </c>
      <c r="AG734">
        <f>_xlfn.IFNA(INDEX(mental_codes,MATCH(loaded!BS734,mental,0)),9)</f>
        <v>9</v>
      </c>
    </row>
    <row r="735" spans="1:33" x14ac:dyDescent="0.25">
      <c r="A735">
        <f>loaded!C735</f>
        <v>0</v>
      </c>
      <c r="B735">
        <f>loaded!I735</f>
        <v>0</v>
      </c>
      <c r="C735">
        <f>IF(loaded!K735="Male",1,IF(loaded!K735="Female",2,9))</f>
        <v>9</v>
      </c>
      <c r="D735" s="8">
        <f>loaded!M735</f>
        <v>0</v>
      </c>
      <c r="E735" t="str">
        <f>LEFT(loaded!O735,3)</f>
        <v/>
      </c>
      <c r="F735" t="e">
        <f>INDEX(cntry_codes,MATCH(loaded!Q735,countries,0))</f>
        <v>#N/A</v>
      </c>
      <c r="G735" t="e">
        <f>INDEX(atsi_codes,MATCH(loaded!S735,atsi,0))</f>
        <v>#N/A</v>
      </c>
      <c r="H735" t="e">
        <f>INDEX(lang_codes,MATCH(loaded!U735,lang,0))</f>
        <v>#N/A</v>
      </c>
      <c r="I735" s="8">
        <f>loaded!W735</f>
        <v>0</v>
      </c>
      <c r="J735" t="e">
        <f>INDEX(us_acc_codes,MATCH(loaded!Y735,us_acc,0))</f>
        <v>#N/A</v>
      </c>
      <c r="K735" t="e">
        <f>INDEX(client_codes,MATCH(loaded!AA735,client,0))</f>
        <v>#N/A</v>
      </c>
      <c r="L735" t="e">
        <f>INDEX(src_ref_codes,MATCH(loaded!AC735,src_ref,0))</f>
        <v>#N/A</v>
      </c>
      <c r="M735" s="8">
        <f>loaded!AE735</f>
        <v>0</v>
      </c>
      <c r="N735" s="8">
        <f>loaded!AG735</f>
        <v>0</v>
      </c>
      <c r="O735" t="e">
        <f>INDEX(reces_codes,MATCH(loaded!AI735,reason,0))</f>
        <v>#N/A</v>
      </c>
      <c r="P735" t="e">
        <f>INDEX(TDS_codes,MATCH(loaded!AK735,TDS,0))</f>
        <v>#N/A</v>
      </c>
      <c r="Q735" t="e">
        <f>IF(K735=2,"",INDEX(method_codes,MATCH(loaded!AM735,method,0)))</f>
        <v>#N/A</v>
      </c>
      <c r="R735" t="e">
        <f>IF(K735=2,"",INDEX(inj_codes,MATCH(loaded!AO735,inj,0)))</f>
        <v>#N/A</v>
      </c>
      <c r="S735" t="e">
        <f>IF(K735=2,"",INDEX(drug_codes,MATCH(loaded!AQ735,drug,0)))</f>
        <v>#N/A</v>
      </c>
      <c r="T735" t="e">
        <f>IF(K735=2,"",_xlfn.IFNA(INDEX(drug_codes,MATCH(loaded!AS735,drug,0)),""))</f>
        <v>#N/A</v>
      </c>
      <c r="U735" t="e">
        <f>IF(K735=2,"",_xlfn.IFNA(INDEX(drug_codes,MATCH(loaded!AU735,drug,0)),""))</f>
        <v>#N/A</v>
      </c>
      <c r="V735" t="e">
        <f>IF(K735=2,"",_xlfn.IFNA(INDEX(drug_codes,MATCH(loaded!AW735,drug,0)),""))</f>
        <v>#N/A</v>
      </c>
      <c r="W735" t="e">
        <f>IF(K735=2,"",_xlfn.IFNA(INDEX(drug_codes,MATCH(loaded!AY735,drug,0)),""))</f>
        <v>#N/A</v>
      </c>
      <c r="X735" t="e">
        <f>IF(K735=2,"",_xlfn.IFNA(INDEX(drug_codes,MATCH(loaded!BA735,drug,0)),""))</f>
        <v>#N/A</v>
      </c>
      <c r="Y735" t="e">
        <f>INDEX(MTT_codes,MATCH(loaded!BC735,MTT,0))</f>
        <v>#N/A</v>
      </c>
      <c r="Z735" t="str">
        <f>_xlfn.IFNA(INDEX(MTT_codes,MATCH(loaded!BE735,MTT,0)),"")</f>
        <v/>
      </c>
      <c r="AA735" t="str">
        <f>_xlfn.IFNA(INDEX(MTT_codes,MATCH(loaded!BG735,MTT,0)),"")</f>
        <v/>
      </c>
      <c r="AB735" t="str">
        <f>_xlfn.IFNA(INDEX(MTT_codes,MATCH(loaded!BI735,MTT,0)),"")</f>
        <v/>
      </c>
      <c r="AC735" t="str">
        <f>_xlfn.IFNA(INDEX(MTT_codes,MATCH(loaded!BK735,MTT,0)),"")</f>
        <v/>
      </c>
      <c r="AD735" t="str">
        <f>_xlfn.IFNA(INDEX(MTT_codes,MATCH(loaded!BM735,MTT,0)),"")</f>
        <v/>
      </c>
      <c r="AE735" t="e">
        <f>INDEX(liv_ar_codes,MATCH(loaded!BO735,liv_ar,0))</f>
        <v>#N/A</v>
      </c>
      <c r="AF735" t="str">
        <f>_xlfn.IFNA(INDEX(MTT_codes,MATCH(loaded!BQ735,MTT,0)),"")</f>
        <v/>
      </c>
      <c r="AG735">
        <f>_xlfn.IFNA(INDEX(mental_codes,MATCH(loaded!BS735,mental,0)),9)</f>
        <v>9</v>
      </c>
    </row>
    <row r="736" spans="1:33" x14ac:dyDescent="0.25">
      <c r="A736">
        <f>loaded!C736</f>
        <v>0</v>
      </c>
      <c r="B736">
        <f>loaded!I736</f>
        <v>0</v>
      </c>
      <c r="C736">
        <f>IF(loaded!K736="Male",1,IF(loaded!K736="Female",2,9))</f>
        <v>9</v>
      </c>
      <c r="D736" s="8">
        <f>loaded!M736</f>
        <v>0</v>
      </c>
      <c r="E736" t="str">
        <f>LEFT(loaded!O736,3)</f>
        <v/>
      </c>
      <c r="F736" t="e">
        <f>INDEX(cntry_codes,MATCH(loaded!Q736,countries,0))</f>
        <v>#N/A</v>
      </c>
      <c r="G736" t="e">
        <f>INDEX(atsi_codes,MATCH(loaded!S736,atsi,0))</f>
        <v>#N/A</v>
      </c>
      <c r="H736" t="e">
        <f>INDEX(lang_codes,MATCH(loaded!U736,lang,0))</f>
        <v>#N/A</v>
      </c>
      <c r="I736" s="8">
        <f>loaded!W736</f>
        <v>0</v>
      </c>
      <c r="J736" t="e">
        <f>INDEX(us_acc_codes,MATCH(loaded!Y736,us_acc,0))</f>
        <v>#N/A</v>
      </c>
      <c r="K736" t="e">
        <f>INDEX(client_codes,MATCH(loaded!AA736,client,0))</f>
        <v>#N/A</v>
      </c>
      <c r="L736" t="e">
        <f>INDEX(src_ref_codes,MATCH(loaded!AC736,src_ref,0))</f>
        <v>#N/A</v>
      </c>
      <c r="M736" s="8">
        <f>loaded!AE736</f>
        <v>0</v>
      </c>
      <c r="N736" s="8">
        <f>loaded!AG736</f>
        <v>0</v>
      </c>
      <c r="O736" t="e">
        <f>INDEX(reces_codes,MATCH(loaded!AI736,reason,0))</f>
        <v>#N/A</v>
      </c>
      <c r="P736" t="e">
        <f>INDEX(TDS_codes,MATCH(loaded!AK736,TDS,0))</f>
        <v>#N/A</v>
      </c>
      <c r="Q736" t="e">
        <f>IF(K736=2,"",INDEX(method_codes,MATCH(loaded!AM736,method,0)))</f>
        <v>#N/A</v>
      </c>
      <c r="R736" t="e">
        <f>IF(K736=2,"",INDEX(inj_codes,MATCH(loaded!AO736,inj,0)))</f>
        <v>#N/A</v>
      </c>
      <c r="S736" t="e">
        <f>IF(K736=2,"",INDEX(drug_codes,MATCH(loaded!AQ736,drug,0)))</f>
        <v>#N/A</v>
      </c>
      <c r="T736" t="e">
        <f>IF(K736=2,"",_xlfn.IFNA(INDEX(drug_codes,MATCH(loaded!AS736,drug,0)),""))</f>
        <v>#N/A</v>
      </c>
      <c r="U736" t="e">
        <f>IF(K736=2,"",_xlfn.IFNA(INDEX(drug_codes,MATCH(loaded!AU736,drug,0)),""))</f>
        <v>#N/A</v>
      </c>
      <c r="V736" t="e">
        <f>IF(K736=2,"",_xlfn.IFNA(INDEX(drug_codes,MATCH(loaded!AW736,drug,0)),""))</f>
        <v>#N/A</v>
      </c>
      <c r="W736" t="e">
        <f>IF(K736=2,"",_xlfn.IFNA(INDEX(drug_codes,MATCH(loaded!AY736,drug,0)),""))</f>
        <v>#N/A</v>
      </c>
      <c r="X736" t="e">
        <f>IF(K736=2,"",_xlfn.IFNA(INDEX(drug_codes,MATCH(loaded!BA736,drug,0)),""))</f>
        <v>#N/A</v>
      </c>
      <c r="Y736" t="e">
        <f>INDEX(MTT_codes,MATCH(loaded!BC736,MTT,0))</f>
        <v>#N/A</v>
      </c>
      <c r="Z736" t="str">
        <f>_xlfn.IFNA(INDEX(MTT_codes,MATCH(loaded!BE736,MTT,0)),"")</f>
        <v/>
      </c>
      <c r="AA736" t="str">
        <f>_xlfn.IFNA(INDEX(MTT_codes,MATCH(loaded!BG736,MTT,0)),"")</f>
        <v/>
      </c>
      <c r="AB736" t="str">
        <f>_xlfn.IFNA(INDEX(MTT_codes,MATCH(loaded!BI736,MTT,0)),"")</f>
        <v/>
      </c>
      <c r="AC736" t="str">
        <f>_xlfn.IFNA(INDEX(MTT_codes,MATCH(loaded!BK736,MTT,0)),"")</f>
        <v/>
      </c>
      <c r="AD736" t="str">
        <f>_xlfn.IFNA(INDEX(MTT_codes,MATCH(loaded!BM736,MTT,0)),"")</f>
        <v/>
      </c>
      <c r="AE736" t="e">
        <f>INDEX(liv_ar_codes,MATCH(loaded!BO736,liv_ar,0))</f>
        <v>#N/A</v>
      </c>
      <c r="AF736" t="str">
        <f>_xlfn.IFNA(INDEX(MTT_codes,MATCH(loaded!BQ736,MTT,0)),"")</f>
        <v/>
      </c>
      <c r="AG736">
        <f>_xlfn.IFNA(INDEX(mental_codes,MATCH(loaded!BS736,mental,0)),9)</f>
        <v>9</v>
      </c>
    </row>
    <row r="737" spans="1:33" x14ac:dyDescent="0.25">
      <c r="A737">
        <f>loaded!C737</f>
        <v>0</v>
      </c>
      <c r="B737">
        <f>loaded!I737</f>
        <v>0</v>
      </c>
      <c r="C737">
        <f>IF(loaded!K737="Male",1,IF(loaded!K737="Female",2,9))</f>
        <v>9</v>
      </c>
      <c r="D737" s="8">
        <f>loaded!M737</f>
        <v>0</v>
      </c>
      <c r="E737" t="str">
        <f>LEFT(loaded!O737,3)</f>
        <v/>
      </c>
      <c r="F737" t="e">
        <f>INDEX(cntry_codes,MATCH(loaded!Q737,countries,0))</f>
        <v>#N/A</v>
      </c>
      <c r="G737" t="e">
        <f>INDEX(atsi_codes,MATCH(loaded!S737,atsi,0))</f>
        <v>#N/A</v>
      </c>
      <c r="H737" t="e">
        <f>INDEX(lang_codes,MATCH(loaded!U737,lang,0))</f>
        <v>#N/A</v>
      </c>
      <c r="I737" s="8">
        <f>loaded!W737</f>
        <v>0</v>
      </c>
      <c r="J737" t="e">
        <f>INDEX(us_acc_codes,MATCH(loaded!Y737,us_acc,0))</f>
        <v>#N/A</v>
      </c>
      <c r="K737" t="e">
        <f>INDEX(client_codes,MATCH(loaded!AA737,client,0))</f>
        <v>#N/A</v>
      </c>
      <c r="L737" t="e">
        <f>INDEX(src_ref_codes,MATCH(loaded!AC737,src_ref,0))</f>
        <v>#N/A</v>
      </c>
      <c r="M737" s="8">
        <f>loaded!AE737</f>
        <v>0</v>
      </c>
      <c r="N737" s="8">
        <f>loaded!AG737</f>
        <v>0</v>
      </c>
      <c r="O737" t="e">
        <f>INDEX(reces_codes,MATCH(loaded!AI737,reason,0))</f>
        <v>#N/A</v>
      </c>
      <c r="P737" t="e">
        <f>INDEX(TDS_codes,MATCH(loaded!AK737,TDS,0))</f>
        <v>#N/A</v>
      </c>
      <c r="Q737" t="e">
        <f>IF(K737=2,"",INDEX(method_codes,MATCH(loaded!AM737,method,0)))</f>
        <v>#N/A</v>
      </c>
      <c r="R737" t="e">
        <f>IF(K737=2,"",INDEX(inj_codes,MATCH(loaded!AO737,inj,0)))</f>
        <v>#N/A</v>
      </c>
      <c r="S737" t="e">
        <f>IF(K737=2,"",INDEX(drug_codes,MATCH(loaded!AQ737,drug,0)))</f>
        <v>#N/A</v>
      </c>
      <c r="T737" t="e">
        <f>IF(K737=2,"",_xlfn.IFNA(INDEX(drug_codes,MATCH(loaded!AS737,drug,0)),""))</f>
        <v>#N/A</v>
      </c>
      <c r="U737" t="e">
        <f>IF(K737=2,"",_xlfn.IFNA(INDEX(drug_codes,MATCH(loaded!AU737,drug,0)),""))</f>
        <v>#N/A</v>
      </c>
      <c r="V737" t="e">
        <f>IF(K737=2,"",_xlfn.IFNA(INDEX(drug_codes,MATCH(loaded!AW737,drug,0)),""))</f>
        <v>#N/A</v>
      </c>
      <c r="W737" t="e">
        <f>IF(K737=2,"",_xlfn.IFNA(INDEX(drug_codes,MATCH(loaded!AY737,drug,0)),""))</f>
        <v>#N/A</v>
      </c>
      <c r="X737" t="e">
        <f>IF(K737=2,"",_xlfn.IFNA(INDEX(drug_codes,MATCH(loaded!BA737,drug,0)),""))</f>
        <v>#N/A</v>
      </c>
      <c r="Y737" t="e">
        <f>INDEX(MTT_codes,MATCH(loaded!BC737,MTT,0))</f>
        <v>#N/A</v>
      </c>
      <c r="Z737" t="str">
        <f>_xlfn.IFNA(INDEX(MTT_codes,MATCH(loaded!BE737,MTT,0)),"")</f>
        <v/>
      </c>
      <c r="AA737" t="str">
        <f>_xlfn.IFNA(INDEX(MTT_codes,MATCH(loaded!BG737,MTT,0)),"")</f>
        <v/>
      </c>
      <c r="AB737" t="str">
        <f>_xlfn.IFNA(INDEX(MTT_codes,MATCH(loaded!BI737,MTT,0)),"")</f>
        <v/>
      </c>
      <c r="AC737" t="str">
        <f>_xlfn.IFNA(INDEX(MTT_codes,MATCH(loaded!BK737,MTT,0)),"")</f>
        <v/>
      </c>
      <c r="AD737" t="str">
        <f>_xlfn.IFNA(INDEX(MTT_codes,MATCH(loaded!BM737,MTT,0)),"")</f>
        <v/>
      </c>
      <c r="AE737" t="e">
        <f>INDEX(liv_ar_codes,MATCH(loaded!BO737,liv_ar,0))</f>
        <v>#N/A</v>
      </c>
      <c r="AF737" t="str">
        <f>_xlfn.IFNA(INDEX(MTT_codes,MATCH(loaded!BQ737,MTT,0)),"")</f>
        <v/>
      </c>
      <c r="AG737">
        <f>_xlfn.IFNA(INDEX(mental_codes,MATCH(loaded!BS737,mental,0)),9)</f>
        <v>9</v>
      </c>
    </row>
    <row r="738" spans="1:33" x14ac:dyDescent="0.25">
      <c r="A738">
        <f>loaded!C738</f>
        <v>0</v>
      </c>
      <c r="B738">
        <f>loaded!I738</f>
        <v>0</v>
      </c>
      <c r="C738">
        <f>IF(loaded!K738="Male",1,IF(loaded!K738="Female",2,9))</f>
        <v>9</v>
      </c>
      <c r="D738" s="8">
        <f>loaded!M738</f>
        <v>0</v>
      </c>
      <c r="E738" t="str">
        <f>LEFT(loaded!O738,3)</f>
        <v/>
      </c>
      <c r="F738" t="e">
        <f>INDEX(cntry_codes,MATCH(loaded!Q738,countries,0))</f>
        <v>#N/A</v>
      </c>
      <c r="G738" t="e">
        <f>INDEX(atsi_codes,MATCH(loaded!S738,atsi,0))</f>
        <v>#N/A</v>
      </c>
      <c r="H738" t="e">
        <f>INDEX(lang_codes,MATCH(loaded!U738,lang,0))</f>
        <v>#N/A</v>
      </c>
      <c r="I738" s="8">
        <f>loaded!W738</f>
        <v>0</v>
      </c>
      <c r="J738" t="e">
        <f>INDEX(us_acc_codes,MATCH(loaded!Y738,us_acc,0))</f>
        <v>#N/A</v>
      </c>
      <c r="K738" t="e">
        <f>INDEX(client_codes,MATCH(loaded!AA738,client,0))</f>
        <v>#N/A</v>
      </c>
      <c r="L738" t="e">
        <f>INDEX(src_ref_codes,MATCH(loaded!AC738,src_ref,0))</f>
        <v>#N/A</v>
      </c>
      <c r="M738" s="8">
        <f>loaded!AE738</f>
        <v>0</v>
      </c>
      <c r="N738" s="8">
        <f>loaded!AG738</f>
        <v>0</v>
      </c>
      <c r="O738" t="e">
        <f>INDEX(reces_codes,MATCH(loaded!AI738,reason,0))</f>
        <v>#N/A</v>
      </c>
      <c r="P738" t="e">
        <f>INDEX(TDS_codes,MATCH(loaded!AK738,TDS,0))</f>
        <v>#N/A</v>
      </c>
      <c r="Q738" t="e">
        <f>IF(K738=2,"",INDEX(method_codes,MATCH(loaded!AM738,method,0)))</f>
        <v>#N/A</v>
      </c>
      <c r="R738" t="e">
        <f>IF(K738=2,"",INDEX(inj_codes,MATCH(loaded!AO738,inj,0)))</f>
        <v>#N/A</v>
      </c>
      <c r="S738" t="e">
        <f>IF(K738=2,"",INDEX(drug_codes,MATCH(loaded!AQ738,drug,0)))</f>
        <v>#N/A</v>
      </c>
      <c r="T738" t="e">
        <f>IF(K738=2,"",_xlfn.IFNA(INDEX(drug_codes,MATCH(loaded!AS738,drug,0)),""))</f>
        <v>#N/A</v>
      </c>
      <c r="U738" t="e">
        <f>IF(K738=2,"",_xlfn.IFNA(INDEX(drug_codes,MATCH(loaded!AU738,drug,0)),""))</f>
        <v>#N/A</v>
      </c>
      <c r="V738" t="e">
        <f>IF(K738=2,"",_xlfn.IFNA(INDEX(drug_codes,MATCH(loaded!AW738,drug,0)),""))</f>
        <v>#N/A</v>
      </c>
      <c r="W738" t="e">
        <f>IF(K738=2,"",_xlfn.IFNA(INDEX(drug_codes,MATCH(loaded!AY738,drug,0)),""))</f>
        <v>#N/A</v>
      </c>
      <c r="X738" t="e">
        <f>IF(K738=2,"",_xlfn.IFNA(INDEX(drug_codes,MATCH(loaded!BA738,drug,0)),""))</f>
        <v>#N/A</v>
      </c>
      <c r="Y738" t="e">
        <f>INDEX(MTT_codes,MATCH(loaded!BC738,MTT,0))</f>
        <v>#N/A</v>
      </c>
      <c r="Z738" t="str">
        <f>_xlfn.IFNA(INDEX(MTT_codes,MATCH(loaded!BE738,MTT,0)),"")</f>
        <v/>
      </c>
      <c r="AA738" t="str">
        <f>_xlfn.IFNA(INDEX(MTT_codes,MATCH(loaded!BG738,MTT,0)),"")</f>
        <v/>
      </c>
      <c r="AB738" t="str">
        <f>_xlfn.IFNA(INDEX(MTT_codes,MATCH(loaded!BI738,MTT,0)),"")</f>
        <v/>
      </c>
      <c r="AC738" t="str">
        <f>_xlfn.IFNA(INDEX(MTT_codes,MATCH(loaded!BK738,MTT,0)),"")</f>
        <v/>
      </c>
      <c r="AD738" t="str">
        <f>_xlfn.IFNA(INDEX(MTT_codes,MATCH(loaded!BM738,MTT,0)),"")</f>
        <v/>
      </c>
      <c r="AE738" t="e">
        <f>INDEX(liv_ar_codes,MATCH(loaded!BO738,liv_ar,0))</f>
        <v>#N/A</v>
      </c>
      <c r="AF738" t="str">
        <f>_xlfn.IFNA(INDEX(MTT_codes,MATCH(loaded!BQ738,MTT,0)),"")</f>
        <v/>
      </c>
      <c r="AG738">
        <f>_xlfn.IFNA(INDEX(mental_codes,MATCH(loaded!BS738,mental,0)),9)</f>
        <v>9</v>
      </c>
    </row>
    <row r="739" spans="1:33" x14ac:dyDescent="0.25">
      <c r="A739">
        <f>loaded!C739</f>
        <v>0</v>
      </c>
      <c r="B739">
        <f>loaded!I739</f>
        <v>0</v>
      </c>
      <c r="C739">
        <f>IF(loaded!K739="Male",1,IF(loaded!K739="Female",2,9))</f>
        <v>9</v>
      </c>
      <c r="D739" s="8">
        <f>loaded!M739</f>
        <v>0</v>
      </c>
      <c r="E739" t="str">
        <f>LEFT(loaded!O739,3)</f>
        <v/>
      </c>
      <c r="F739" t="e">
        <f>INDEX(cntry_codes,MATCH(loaded!Q739,countries,0))</f>
        <v>#N/A</v>
      </c>
      <c r="G739" t="e">
        <f>INDEX(atsi_codes,MATCH(loaded!S739,atsi,0))</f>
        <v>#N/A</v>
      </c>
      <c r="H739" t="e">
        <f>INDEX(lang_codes,MATCH(loaded!U739,lang,0))</f>
        <v>#N/A</v>
      </c>
      <c r="I739" s="8">
        <f>loaded!W739</f>
        <v>0</v>
      </c>
      <c r="J739" t="e">
        <f>INDEX(us_acc_codes,MATCH(loaded!Y739,us_acc,0))</f>
        <v>#N/A</v>
      </c>
      <c r="K739" t="e">
        <f>INDEX(client_codes,MATCH(loaded!AA739,client,0))</f>
        <v>#N/A</v>
      </c>
      <c r="L739" t="e">
        <f>INDEX(src_ref_codes,MATCH(loaded!AC739,src_ref,0))</f>
        <v>#N/A</v>
      </c>
      <c r="M739" s="8">
        <f>loaded!AE739</f>
        <v>0</v>
      </c>
      <c r="N739" s="8">
        <f>loaded!AG739</f>
        <v>0</v>
      </c>
      <c r="O739" t="e">
        <f>INDEX(reces_codes,MATCH(loaded!AI739,reason,0))</f>
        <v>#N/A</v>
      </c>
      <c r="P739" t="e">
        <f>INDEX(TDS_codes,MATCH(loaded!AK739,TDS,0))</f>
        <v>#N/A</v>
      </c>
      <c r="Q739" t="e">
        <f>IF(K739=2,"",INDEX(method_codes,MATCH(loaded!AM739,method,0)))</f>
        <v>#N/A</v>
      </c>
      <c r="R739" t="e">
        <f>IF(K739=2,"",INDEX(inj_codes,MATCH(loaded!AO739,inj,0)))</f>
        <v>#N/A</v>
      </c>
      <c r="S739" t="e">
        <f>IF(K739=2,"",INDEX(drug_codes,MATCH(loaded!AQ739,drug,0)))</f>
        <v>#N/A</v>
      </c>
      <c r="T739" t="e">
        <f>IF(K739=2,"",_xlfn.IFNA(INDEX(drug_codes,MATCH(loaded!AS739,drug,0)),""))</f>
        <v>#N/A</v>
      </c>
      <c r="U739" t="e">
        <f>IF(K739=2,"",_xlfn.IFNA(INDEX(drug_codes,MATCH(loaded!AU739,drug,0)),""))</f>
        <v>#N/A</v>
      </c>
      <c r="V739" t="e">
        <f>IF(K739=2,"",_xlfn.IFNA(INDEX(drug_codes,MATCH(loaded!AW739,drug,0)),""))</f>
        <v>#N/A</v>
      </c>
      <c r="W739" t="e">
        <f>IF(K739=2,"",_xlfn.IFNA(INDEX(drug_codes,MATCH(loaded!AY739,drug,0)),""))</f>
        <v>#N/A</v>
      </c>
      <c r="X739" t="e">
        <f>IF(K739=2,"",_xlfn.IFNA(INDEX(drug_codes,MATCH(loaded!BA739,drug,0)),""))</f>
        <v>#N/A</v>
      </c>
      <c r="Y739" t="e">
        <f>INDEX(MTT_codes,MATCH(loaded!BC739,MTT,0))</f>
        <v>#N/A</v>
      </c>
      <c r="Z739" t="str">
        <f>_xlfn.IFNA(INDEX(MTT_codes,MATCH(loaded!BE739,MTT,0)),"")</f>
        <v/>
      </c>
      <c r="AA739" t="str">
        <f>_xlfn.IFNA(INDEX(MTT_codes,MATCH(loaded!BG739,MTT,0)),"")</f>
        <v/>
      </c>
      <c r="AB739" t="str">
        <f>_xlfn.IFNA(INDEX(MTT_codes,MATCH(loaded!BI739,MTT,0)),"")</f>
        <v/>
      </c>
      <c r="AC739" t="str">
        <f>_xlfn.IFNA(INDEX(MTT_codes,MATCH(loaded!BK739,MTT,0)),"")</f>
        <v/>
      </c>
      <c r="AD739" t="str">
        <f>_xlfn.IFNA(INDEX(MTT_codes,MATCH(loaded!BM739,MTT,0)),"")</f>
        <v/>
      </c>
      <c r="AE739" t="e">
        <f>INDEX(liv_ar_codes,MATCH(loaded!BO739,liv_ar,0))</f>
        <v>#N/A</v>
      </c>
      <c r="AF739" t="str">
        <f>_xlfn.IFNA(INDEX(MTT_codes,MATCH(loaded!BQ739,MTT,0)),"")</f>
        <v/>
      </c>
      <c r="AG739">
        <f>_xlfn.IFNA(INDEX(mental_codes,MATCH(loaded!BS739,mental,0)),9)</f>
        <v>9</v>
      </c>
    </row>
    <row r="740" spans="1:33" x14ac:dyDescent="0.25">
      <c r="A740">
        <f>loaded!C740</f>
        <v>0</v>
      </c>
      <c r="B740">
        <f>loaded!I740</f>
        <v>0</v>
      </c>
      <c r="C740">
        <f>IF(loaded!K740="Male",1,IF(loaded!K740="Female",2,9))</f>
        <v>9</v>
      </c>
      <c r="D740" s="8">
        <f>loaded!M740</f>
        <v>0</v>
      </c>
      <c r="E740" t="str">
        <f>LEFT(loaded!O740,3)</f>
        <v/>
      </c>
      <c r="F740" t="e">
        <f>INDEX(cntry_codes,MATCH(loaded!Q740,countries,0))</f>
        <v>#N/A</v>
      </c>
      <c r="G740" t="e">
        <f>INDEX(atsi_codes,MATCH(loaded!S740,atsi,0))</f>
        <v>#N/A</v>
      </c>
      <c r="H740" t="e">
        <f>INDEX(lang_codes,MATCH(loaded!U740,lang,0))</f>
        <v>#N/A</v>
      </c>
      <c r="I740" s="8">
        <f>loaded!W740</f>
        <v>0</v>
      </c>
      <c r="J740" t="e">
        <f>INDEX(us_acc_codes,MATCH(loaded!Y740,us_acc,0))</f>
        <v>#N/A</v>
      </c>
      <c r="K740" t="e">
        <f>INDEX(client_codes,MATCH(loaded!AA740,client,0))</f>
        <v>#N/A</v>
      </c>
      <c r="L740" t="e">
        <f>INDEX(src_ref_codes,MATCH(loaded!AC740,src_ref,0))</f>
        <v>#N/A</v>
      </c>
      <c r="M740" s="8">
        <f>loaded!AE740</f>
        <v>0</v>
      </c>
      <c r="N740" s="8">
        <f>loaded!AG740</f>
        <v>0</v>
      </c>
      <c r="O740" t="e">
        <f>INDEX(reces_codes,MATCH(loaded!AI740,reason,0))</f>
        <v>#N/A</v>
      </c>
      <c r="P740" t="e">
        <f>INDEX(TDS_codes,MATCH(loaded!AK740,TDS,0))</f>
        <v>#N/A</v>
      </c>
      <c r="Q740" t="e">
        <f>IF(K740=2,"",INDEX(method_codes,MATCH(loaded!AM740,method,0)))</f>
        <v>#N/A</v>
      </c>
      <c r="R740" t="e">
        <f>IF(K740=2,"",INDEX(inj_codes,MATCH(loaded!AO740,inj,0)))</f>
        <v>#N/A</v>
      </c>
      <c r="S740" t="e">
        <f>IF(K740=2,"",INDEX(drug_codes,MATCH(loaded!AQ740,drug,0)))</f>
        <v>#N/A</v>
      </c>
      <c r="T740" t="e">
        <f>IF(K740=2,"",_xlfn.IFNA(INDEX(drug_codes,MATCH(loaded!AS740,drug,0)),""))</f>
        <v>#N/A</v>
      </c>
      <c r="U740" t="e">
        <f>IF(K740=2,"",_xlfn.IFNA(INDEX(drug_codes,MATCH(loaded!AU740,drug,0)),""))</f>
        <v>#N/A</v>
      </c>
      <c r="V740" t="e">
        <f>IF(K740=2,"",_xlfn.IFNA(INDEX(drug_codes,MATCH(loaded!AW740,drug,0)),""))</f>
        <v>#N/A</v>
      </c>
      <c r="W740" t="e">
        <f>IF(K740=2,"",_xlfn.IFNA(INDEX(drug_codes,MATCH(loaded!AY740,drug,0)),""))</f>
        <v>#N/A</v>
      </c>
      <c r="X740" t="e">
        <f>IF(K740=2,"",_xlfn.IFNA(INDEX(drug_codes,MATCH(loaded!BA740,drug,0)),""))</f>
        <v>#N/A</v>
      </c>
      <c r="Y740" t="e">
        <f>INDEX(MTT_codes,MATCH(loaded!BC740,MTT,0))</f>
        <v>#N/A</v>
      </c>
      <c r="Z740" t="str">
        <f>_xlfn.IFNA(INDEX(MTT_codes,MATCH(loaded!BE740,MTT,0)),"")</f>
        <v/>
      </c>
      <c r="AA740" t="str">
        <f>_xlfn.IFNA(INDEX(MTT_codes,MATCH(loaded!BG740,MTT,0)),"")</f>
        <v/>
      </c>
      <c r="AB740" t="str">
        <f>_xlfn.IFNA(INDEX(MTT_codes,MATCH(loaded!BI740,MTT,0)),"")</f>
        <v/>
      </c>
      <c r="AC740" t="str">
        <f>_xlfn.IFNA(INDEX(MTT_codes,MATCH(loaded!BK740,MTT,0)),"")</f>
        <v/>
      </c>
      <c r="AD740" t="str">
        <f>_xlfn.IFNA(INDEX(MTT_codes,MATCH(loaded!BM740,MTT,0)),"")</f>
        <v/>
      </c>
      <c r="AE740" t="e">
        <f>INDEX(liv_ar_codes,MATCH(loaded!BO740,liv_ar,0))</f>
        <v>#N/A</v>
      </c>
      <c r="AF740" t="str">
        <f>_xlfn.IFNA(INDEX(MTT_codes,MATCH(loaded!BQ740,MTT,0)),"")</f>
        <v/>
      </c>
      <c r="AG740">
        <f>_xlfn.IFNA(INDEX(mental_codes,MATCH(loaded!BS740,mental,0)),9)</f>
        <v>9</v>
      </c>
    </row>
    <row r="741" spans="1:33" x14ac:dyDescent="0.25">
      <c r="A741">
        <f>loaded!C741</f>
        <v>0</v>
      </c>
      <c r="B741">
        <f>loaded!I741</f>
        <v>0</v>
      </c>
      <c r="C741">
        <f>IF(loaded!K741="Male",1,IF(loaded!K741="Female",2,9))</f>
        <v>9</v>
      </c>
      <c r="D741" s="8">
        <f>loaded!M741</f>
        <v>0</v>
      </c>
      <c r="E741" t="str">
        <f>LEFT(loaded!O741,3)</f>
        <v/>
      </c>
      <c r="F741" t="e">
        <f>INDEX(cntry_codes,MATCH(loaded!Q741,countries,0))</f>
        <v>#N/A</v>
      </c>
      <c r="G741" t="e">
        <f>INDEX(atsi_codes,MATCH(loaded!S741,atsi,0))</f>
        <v>#N/A</v>
      </c>
      <c r="H741" t="e">
        <f>INDEX(lang_codes,MATCH(loaded!U741,lang,0))</f>
        <v>#N/A</v>
      </c>
      <c r="I741" s="8">
        <f>loaded!W741</f>
        <v>0</v>
      </c>
      <c r="J741" t="e">
        <f>INDEX(us_acc_codes,MATCH(loaded!Y741,us_acc,0))</f>
        <v>#N/A</v>
      </c>
      <c r="K741" t="e">
        <f>INDEX(client_codes,MATCH(loaded!AA741,client,0))</f>
        <v>#N/A</v>
      </c>
      <c r="L741" t="e">
        <f>INDEX(src_ref_codes,MATCH(loaded!AC741,src_ref,0))</f>
        <v>#N/A</v>
      </c>
      <c r="M741" s="8">
        <f>loaded!AE741</f>
        <v>0</v>
      </c>
      <c r="N741" s="8">
        <f>loaded!AG741</f>
        <v>0</v>
      </c>
      <c r="O741" t="e">
        <f>INDEX(reces_codes,MATCH(loaded!AI741,reason,0))</f>
        <v>#N/A</v>
      </c>
      <c r="P741" t="e">
        <f>INDEX(TDS_codes,MATCH(loaded!AK741,TDS,0))</f>
        <v>#N/A</v>
      </c>
      <c r="Q741" t="e">
        <f>IF(K741=2,"",INDEX(method_codes,MATCH(loaded!AM741,method,0)))</f>
        <v>#N/A</v>
      </c>
      <c r="R741" t="e">
        <f>IF(K741=2,"",INDEX(inj_codes,MATCH(loaded!AO741,inj,0)))</f>
        <v>#N/A</v>
      </c>
      <c r="S741" t="e">
        <f>IF(K741=2,"",INDEX(drug_codes,MATCH(loaded!AQ741,drug,0)))</f>
        <v>#N/A</v>
      </c>
      <c r="T741" t="e">
        <f>IF(K741=2,"",_xlfn.IFNA(INDEX(drug_codes,MATCH(loaded!AS741,drug,0)),""))</f>
        <v>#N/A</v>
      </c>
      <c r="U741" t="e">
        <f>IF(K741=2,"",_xlfn.IFNA(INDEX(drug_codes,MATCH(loaded!AU741,drug,0)),""))</f>
        <v>#N/A</v>
      </c>
      <c r="V741" t="e">
        <f>IF(K741=2,"",_xlfn.IFNA(INDEX(drug_codes,MATCH(loaded!AW741,drug,0)),""))</f>
        <v>#N/A</v>
      </c>
      <c r="W741" t="e">
        <f>IF(K741=2,"",_xlfn.IFNA(INDEX(drug_codes,MATCH(loaded!AY741,drug,0)),""))</f>
        <v>#N/A</v>
      </c>
      <c r="X741" t="e">
        <f>IF(K741=2,"",_xlfn.IFNA(INDEX(drug_codes,MATCH(loaded!BA741,drug,0)),""))</f>
        <v>#N/A</v>
      </c>
      <c r="Y741" t="e">
        <f>INDEX(MTT_codes,MATCH(loaded!BC741,MTT,0))</f>
        <v>#N/A</v>
      </c>
      <c r="Z741" t="str">
        <f>_xlfn.IFNA(INDEX(MTT_codes,MATCH(loaded!BE741,MTT,0)),"")</f>
        <v/>
      </c>
      <c r="AA741" t="str">
        <f>_xlfn.IFNA(INDEX(MTT_codes,MATCH(loaded!BG741,MTT,0)),"")</f>
        <v/>
      </c>
      <c r="AB741" t="str">
        <f>_xlfn.IFNA(INDEX(MTT_codes,MATCH(loaded!BI741,MTT,0)),"")</f>
        <v/>
      </c>
      <c r="AC741" t="str">
        <f>_xlfn.IFNA(INDEX(MTT_codes,MATCH(loaded!BK741,MTT,0)),"")</f>
        <v/>
      </c>
      <c r="AD741" t="str">
        <f>_xlfn.IFNA(INDEX(MTT_codes,MATCH(loaded!BM741,MTT,0)),"")</f>
        <v/>
      </c>
      <c r="AE741" t="e">
        <f>INDEX(liv_ar_codes,MATCH(loaded!BO741,liv_ar,0))</f>
        <v>#N/A</v>
      </c>
      <c r="AF741" t="str">
        <f>_xlfn.IFNA(INDEX(MTT_codes,MATCH(loaded!BQ741,MTT,0)),"")</f>
        <v/>
      </c>
      <c r="AG741">
        <f>_xlfn.IFNA(INDEX(mental_codes,MATCH(loaded!BS741,mental,0)),9)</f>
        <v>9</v>
      </c>
    </row>
    <row r="742" spans="1:33" x14ac:dyDescent="0.25">
      <c r="A742">
        <f>loaded!C742</f>
        <v>0</v>
      </c>
      <c r="B742">
        <f>loaded!I742</f>
        <v>0</v>
      </c>
      <c r="C742">
        <f>IF(loaded!K742="Male",1,IF(loaded!K742="Female",2,9))</f>
        <v>9</v>
      </c>
      <c r="D742" s="8">
        <f>loaded!M742</f>
        <v>0</v>
      </c>
      <c r="E742" t="str">
        <f>LEFT(loaded!O742,3)</f>
        <v/>
      </c>
      <c r="F742" t="e">
        <f>INDEX(cntry_codes,MATCH(loaded!Q742,countries,0))</f>
        <v>#N/A</v>
      </c>
      <c r="G742" t="e">
        <f>INDEX(atsi_codes,MATCH(loaded!S742,atsi,0))</f>
        <v>#N/A</v>
      </c>
      <c r="H742" t="e">
        <f>INDEX(lang_codes,MATCH(loaded!U742,lang,0))</f>
        <v>#N/A</v>
      </c>
      <c r="I742" s="8">
        <f>loaded!W742</f>
        <v>0</v>
      </c>
      <c r="J742" t="e">
        <f>INDEX(us_acc_codes,MATCH(loaded!Y742,us_acc,0))</f>
        <v>#N/A</v>
      </c>
      <c r="K742" t="e">
        <f>INDEX(client_codes,MATCH(loaded!AA742,client,0))</f>
        <v>#N/A</v>
      </c>
      <c r="L742" t="e">
        <f>INDEX(src_ref_codes,MATCH(loaded!AC742,src_ref,0))</f>
        <v>#N/A</v>
      </c>
      <c r="M742" s="8">
        <f>loaded!AE742</f>
        <v>0</v>
      </c>
      <c r="N742" s="8">
        <f>loaded!AG742</f>
        <v>0</v>
      </c>
      <c r="O742" t="e">
        <f>INDEX(reces_codes,MATCH(loaded!AI742,reason,0))</f>
        <v>#N/A</v>
      </c>
      <c r="P742" t="e">
        <f>INDEX(TDS_codes,MATCH(loaded!AK742,TDS,0))</f>
        <v>#N/A</v>
      </c>
      <c r="Q742" t="e">
        <f>IF(K742=2,"",INDEX(method_codes,MATCH(loaded!AM742,method,0)))</f>
        <v>#N/A</v>
      </c>
      <c r="R742" t="e">
        <f>IF(K742=2,"",INDEX(inj_codes,MATCH(loaded!AO742,inj,0)))</f>
        <v>#N/A</v>
      </c>
      <c r="S742" t="e">
        <f>IF(K742=2,"",INDEX(drug_codes,MATCH(loaded!AQ742,drug,0)))</f>
        <v>#N/A</v>
      </c>
      <c r="T742" t="e">
        <f>IF(K742=2,"",_xlfn.IFNA(INDEX(drug_codes,MATCH(loaded!AS742,drug,0)),""))</f>
        <v>#N/A</v>
      </c>
      <c r="U742" t="e">
        <f>IF(K742=2,"",_xlfn.IFNA(INDEX(drug_codes,MATCH(loaded!AU742,drug,0)),""))</f>
        <v>#N/A</v>
      </c>
      <c r="V742" t="e">
        <f>IF(K742=2,"",_xlfn.IFNA(INDEX(drug_codes,MATCH(loaded!AW742,drug,0)),""))</f>
        <v>#N/A</v>
      </c>
      <c r="W742" t="e">
        <f>IF(K742=2,"",_xlfn.IFNA(INDEX(drug_codes,MATCH(loaded!AY742,drug,0)),""))</f>
        <v>#N/A</v>
      </c>
      <c r="X742" t="e">
        <f>IF(K742=2,"",_xlfn.IFNA(INDEX(drug_codes,MATCH(loaded!BA742,drug,0)),""))</f>
        <v>#N/A</v>
      </c>
      <c r="Y742" t="e">
        <f>INDEX(MTT_codes,MATCH(loaded!BC742,MTT,0))</f>
        <v>#N/A</v>
      </c>
      <c r="Z742" t="str">
        <f>_xlfn.IFNA(INDEX(MTT_codes,MATCH(loaded!BE742,MTT,0)),"")</f>
        <v/>
      </c>
      <c r="AA742" t="str">
        <f>_xlfn.IFNA(INDEX(MTT_codes,MATCH(loaded!BG742,MTT,0)),"")</f>
        <v/>
      </c>
      <c r="AB742" t="str">
        <f>_xlfn.IFNA(INDEX(MTT_codes,MATCH(loaded!BI742,MTT,0)),"")</f>
        <v/>
      </c>
      <c r="AC742" t="str">
        <f>_xlfn.IFNA(INDEX(MTT_codes,MATCH(loaded!BK742,MTT,0)),"")</f>
        <v/>
      </c>
      <c r="AD742" t="str">
        <f>_xlfn.IFNA(INDEX(MTT_codes,MATCH(loaded!BM742,MTT,0)),"")</f>
        <v/>
      </c>
      <c r="AE742" t="e">
        <f>INDEX(liv_ar_codes,MATCH(loaded!BO742,liv_ar,0))</f>
        <v>#N/A</v>
      </c>
      <c r="AF742" t="str">
        <f>_xlfn.IFNA(INDEX(MTT_codes,MATCH(loaded!BQ742,MTT,0)),"")</f>
        <v/>
      </c>
      <c r="AG742">
        <f>_xlfn.IFNA(INDEX(mental_codes,MATCH(loaded!BS742,mental,0)),9)</f>
        <v>9</v>
      </c>
    </row>
    <row r="743" spans="1:33" x14ac:dyDescent="0.25">
      <c r="A743">
        <f>loaded!C743</f>
        <v>0</v>
      </c>
      <c r="B743">
        <f>loaded!I743</f>
        <v>0</v>
      </c>
      <c r="C743">
        <f>IF(loaded!K743="Male",1,IF(loaded!K743="Female",2,9))</f>
        <v>9</v>
      </c>
      <c r="D743" s="8">
        <f>loaded!M743</f>
        <v>0</v>
      </c>
      <c r="E743" t="str">
        <f>LEFT(loaded!O743,3)</f>
        <v/>
      </c>
      <c r="F743" t="e">
        <f>INDEX(cntry_codes,MATCH(loaded!Q743,countries,0))</f>
        <v>#N/A</v>
      </c>
      <c r="G743" t="e">
        <f>INDEX(atsi_codes,MATCH(loaded!S743,atsi,0))</f>
        <v>#N/A</v>
      </c>
      <c r="H743" t="e">
        <f>INDEX(lang_codes,MATCH(loaded!U743,lang,0))</f>
        <v>#N/A</v>
      </c>
      <c r="I743" s="8">
        <f>loaded!W743</f>
        <v>0</v>
      </c>
      <c r="J743" t="e">
        <f>INDEX(us_acc_codes,MATCH(loaded!Y743,us_acc,0))</f>
        <v>#N/A</v>
      </c>
      <c r="K743" t="e">
        <f>INDEX(client_codes,MATCH(loaded!AA743,client,0))</f>
        <v>#N/A</v>
      </c>
      <c r="L743" t="e">
        <f>INDEX(src_ref_codes,MATCH(loaded!AC743,src_ref,0))</f>
        <v>#N/A</v>
      </c>
      <c r="M743" s="8">
        <f>loaded!AE743</f>
        <v>0</v>
      </c>
      <c r="N743" s="8">
        <f>loaded!AG743</f>
        <v>0</v>
      </c>
      <c r="O743" t="e">
        <f>INDEX(reces_codes,MATCH(loaded!AI743,reason,0))</f>
        <v>#N/A</v>
      </c>
      <c r="P743" t="e">
        <f>INDEX(TDS_codes,MATCH(loaded!AK743,TDS,0))</f>
        <v>#N/A</v>
      </c>
      <c r="Q743" t="e">
        <f>IF(K743=2,"",INDEX(method_codes,MATCH(loaded!AM743,method,0)))</f>
        <v>#N/A</v>
      </c>
      <c r="R743" t="e">
        <f>IF(K743=2,"",INDEX(inj_codes,MATCH(loaded!AO743,inj,0)))</f>
        <v>#N/A</v>
      </c>
      <c r="S743" t="e">
        <f>IF(K743=2,"",INDEX(drug_codes,MATCH(loaded!AQ743,drug,0)))</f>
        <v>#N/A</v>
      </c>
      <c r="T743" t="e">
        <f>IF(K743=2,"",_xlfn.IFNA(INDEX(drug_codes,MATCH(loaded!AS743,drug,0)),""))</f>
        <v>#N/A</v>
      </c>
      <c r="U743" t="e">
        <f>IF(K743=2,"",_xlfn.IFNA(INDEX(drug_codes,MATCH(loaded!AU743,drug,0)),""))</f>
        <v>#N/A</v>
      </c>
      <c r="V743" t="e">
        <f>IF(K743=2,"",_xlfn.IFNA(INDEX(drug_codes,MATCH(loaded!AW743,drug,0)),""))</f>
        <v>#N/A</v>
      </c>
      <c r="W743" t="e">
        <f>IF(K743=2,"",_xlfn.IFNA(INDEX(drug_codes,MATCH(loaded!AY743,drug,0)),""))</f>
        <v>#N/A</v>
      </c>
      <c r="X743" t="e">
        <f>IF(K743=2,"",_xlfn.IFNA(INDEX(drug_codes,MATCH(loaded!BA743,drug,0)),""))</f>
        <v>#N/A</v>
      </c>
      <c r="Y743" t="e">
        <f>INDEX(MTT_codes,MATCH(loaded!BC743,MTT,0))</f>
        <v>#N/A</v>
      </c>
      <c r="Z743" t="str">
        <f>_xlfn.IFNA(INDEX(MTT_codes,MATCH(loaded!BE743,MTT,0)),"")</f>
        <v/>
      </c>
      <c r="AA743" t="str">
        <f>_xlfn.IFNA(INDEX(MTT_codes,MATCH(loaded!BG743,MTT,0)),"")</f>
        <v/>
      </c>
      <c r="AB743" t="str">
        <f>_xlfn.IFNA(INDEX(MTT_codes,MATCH(loaded!BI743,MTT,0)),"")</f>
        <v/>
      </c>
      <c r="AC743" t="str">
        <f>_xlfn.IFNA(INDEX(MTT_codes,MATCH(loaded!BK743,MTT,0)),"")</f>
        <v/>
      </c>
      <c r="AD743" t="str">
        <f>_xlfn.IFNA(INDEX(MTT_codes,MATCH(loaded!BM743,MTT,0)),"")</f>
        <v/>
      </c>
      <c r="AE743" t="e">
        <f>INDEX(liv_ar_codes,MATCH(loaded!BO743,liv_ar,0))</f>
        <v>#N/A</v>
      </c>
      <c r="AF743" t="str">
        <f>_xlfn.IFNA(INDEX(MTT_codes,MATCH(loaded!BQ743,MTT,0)),"")</f>
        <v/>
      </c>
      <c r="AG743">
        <f>_xlfn.IFNA(INDEX(mental_codes,MATCH(loaded!BS743,mental,0)),9)</f>
        <v>9</v>
      </c>
    </row>
    <row r="744" spans="1:33" x14ac:dyDescent="0.25">
      <c r="A744">
        <f>loaded!C744</f>
        <v>0</v>
      </c>
      <c r="B744">
        <f>loaded!I744</f>
        <v>0</v>
      </c>
      <c r="C744">
        <f>IF(loaded!K744="Male",1,IF(loaded!K744="Female",2,9))</f>
        <v>9</v>
      </c>
      <c r="D744" s="8">
        <f>loaded!M744</f>
        <v>0</v>
      </c>
      <c r="E744" t="str">
        <f>LEFT(loaded!O744,3)</f>
        <v/>
      </c>
      <c r="F744" t="e">
        <f>INDEX(cntry_codes,MATCH(loaded!Q744,countries,0))</f>
        <v>#N/A</v>
      </c>
      <c r="G744" t="e">
        <f>INDEX(atsi_codes,MATCH(loaded!S744,atsi,0))</f>
        <v>#N/A</v>
      </c>
      <c r="H744" t="e">
        <f>INDEX(lang_codes,MATCH(loaded!U744,lang,0))</f>
        <v>#N/A</v>
      </c>
      <c r="I744" s="8">
        <f>loaded!W744</f>
        <v>0</v>
      </c>
      <c r="J744" t="e">
        <f>INDEX(us_acc_codes,MATCH(loaded!Y744,us_acc,0))</f>
        <v>#N/A</v>
      </c>
      <c r="K744" t="e">
        <f>INDEX(client_codes,MATCH(loaded!AA744,client,0))</f>
        <v>#N/A</v>
      </c>
      <c r="L744" t="e">
        <f>INDEX(src_ref_codes,MATCH(loaded!AC744,src_ref,0))</f>
        <v>#N/A</v>
      </c>
      <c r="M744" s="8">
        <f>loaded!AE744</f>
        <v>0</v>
      </c>
      <c r="N744" s="8">
        <f>loaded!AG744</f>
        <v>0</v>
      </c>
      <c r="O744" t="e">
        <f>INDEX(reces_codes,MATCH(loaded!AI744,reason,0))</f>
        <v>#N/A</v>
      </c>
      <c r="P744" t="e">
        <f>INDEX(TDS_codes,MATCH(loaded!AK744,TDS,0))</f>
        <v>#N/A</v>
      </c>
      <c r="Q744" t="e">
        <f>IF(K744=2,"",INDEX(method_codes,MATCH(loaded!AM744,method,0)))</f>
        <v>#N/A</v>
      </c>
      <c r="R744" t="e">
        <f>IF(K744=2,"",INDEX(inj_codes,MATCH(loaded!AO744,inj,0)))</f>
        <v>#N/A</v>
      </c>
      <c r="S744" t="e">
        <f>IF(K744=2,"",INDEX(drug_codes,MATCH(loaded!AQ744,drug,0)))</f>
        <v>#N/A</v>
      </c>
      <c r="T744" t="e">
        <f>IF(K744=2,"",_xlfn.IFNA(INDEX(drug_codes,MATCH(loaded!AS744,drug,0)),""))</f>
        <v>#N/A</v>
      </c>
      <c r="U744" t="e">
        <f>IF(K744=2,"",_xlfn.IFNA(INDEX(drug_codes,MATCH(loaded!AU744,drug,0)),""))</f>
        <v>#N/A</v>
      </c>
      <c r="V744" t="e">
        <f>IF(K744=2,"",_xlfn.IFNA(INDEX(drug_codes,MATCH(loaded!AW744,drug,0)),""))</f>
        <v>#N/A</v>
      </c>
      <c r="W744" t="e">
        <f>IF(K744=2,"",_xlfn.IFNA(INDEX(drug_codes,MATCH(loaded!AY744,drug,0)),""))</f>
        <v>#N/A</v>
      </c>
      <c r="X744" t="e">
        <f>IF(K744=2,"",_xlfn.IFNA(INDEX(drug_codes,MATCH(loaded!BA744,drug,0)),""))</f>
        <v>#N/A</v>
      </c>
      <c r="Y744" t="e">
        <f>INDEX(MTT_codes,MATCH(loaded!BC744,MTT,0))</f>
        <v>#N/A</v>
      </c>
      <c r="Z744" t="str">
        <f>_xlfn.IFNA(INDEX(MTT_codes,MATCH(loaded!BE744,MTT,0)),"")</f>
        <v/>
      </c>
      <c r="AA744" t="str">
        <f>_xlfn.IFNA(INDEX(MTT_codes,MATCH(loaded!BG744,MTT,0)),"")</f>
        <v/>
      </c>
      <c r="AB744" t="str">
        <f>_xlfn.IFNA(INDEX(MTT_codes,MATCH(loaded!BI744,MTT,0)),"")</f>
        <v/>
      </c>
      <c r="AC744" t="str">
        <f>_xlfn.IFNA(INDEX(MTT_codes,MATCH(loaded!BK744,MTT,0)),"")</f>
        <v/>
      </c>
      <c r="AD744" t="str">
        <f>_xlfn.IFNA(INDEX(MTT_codes,MATCH(loaded!BM744,MTT,0)),"")</f>
        <v/>
      </c>
      <c r="AE744" t="e">
        <f>INDEX(liv_ar_codes,MATCH(loaded!BO744,liv_ar,0))</f>
        <v>#N/A</v>
      </c>
      <c r="AF744" t="str">
        <f>_xlfn.IFNA(INDEX(MTT_codes,MATCH(loaded!BQ744,MTT,0)),"")</f>
        <v/>
      </c>
      <c r="AG744">
        <f>_xlfn.IFNA(INDEX(mental_codes,MATCH(loaded!BS744,mental,0)),9)</f>
        <v>9</v>
      </c>
    </row>
    <row r="745" spans="1:33" x14ac:dyDescent="0.25">
      <c r="A745">
        <f>loaded!C745</f>
        <v>0</v>
      </c>
      <c r="B745">
        <f>loaded!I745</f>
        <v>0</v>
      </c>
      <c r="C745">
        <f>IF(loaded!K745="Male",1,IF(loaded!K745="Female",2,9))</f>
        <v>9</v>
      </c>
      <c r="D745" s="8">
        <f>loaded!M745</f>
        <v>0</v>
      </c>
      <c r="E745" t="str">
        <f>LEFT(loaded!O745,3)</f>
        <v/>
      </c>
      <c r="F745" t="e">
        <f>INDEX(cntry_codes,MATCH(loaded!Q745,countries,0))</f>
        <v>#N/A</v>
      </c>
      <c r="G745" t="e">
        <f>INDEX(atsi_codes,MATCH(loaded!S745,atsi,0))</f>
        <v>#N/A</v>
      </c>
      <c r="H745" t="e">
        <f>INDEX(lang_codes,MATCH(loaded!U745,lang,0))</f>
        <v>#N/A</v>
      </c>
      <c r="I745" s="8">
        <f>loaded!W745</f>
        <v>0</v>
      </c>
      <c r="J745" t="e">
        <f>INDEX(us_acc_codes,MATCH(loaded!Y745,us_acc,0))</f>
        <v>#N/A</v>
      </c>
      <c r="K745" t="e">
        <f>INDEX(client_codes,MATCH(loaded!AA745,client,0))</f>
        <v>#N/A</v>
      </c>
      <c r="L745" t="e">
        <f>INDEX(src_ref_codes,MATCH(loaded!AC745,src_ref,0))</f>
        <v>#N/A</v>
      </c>
      <c r="M745" s="8">
        <f>loaded!AE745</f>
        <v>0</v>
      </c>
      <c r="N745" s="8">
        <f>loaded!AG745</f>
        <v>0</v>
      </c>
      <c r="O745" t="e">
        <f>INDEX(reces_codes,MATCH(loaded!AI745,reason,0))</f>
        <v>#N/A</v>
      </c>
      <c r="P745" t="e">
        <f>INDEX(TDS_codes,MATCH(loaded!AK745,TDS,0))</f>
        <v>#N/A</v>
      </c>
      <c r="Q745" t="e">
        <f>IF(K745=2,"",INDEX(method_codes,MATCH(loaded!AM745,method,0)))</f>
        <v>#N/A</v>
      </c>
      <c r="R745" t="e">
        <f>IF(K745=2,"",INDEX(inj_codes,MATCH(loaded!AO745,inj,0)))</f>
        <v>#N/A</v>
      </c>
      <c r="S745" t="e">
        <f>IF(K745=2,"",INDEX(drug_codes,MATCH(loaded!AQ745,drug,0)))</f>
        <v>#N/A</v>
      </c>
      <c r="T745" t="e">
        <f>IF(K745=2,"",_xlfn.IFNA(INDEX(drug_codes,MATCH(loaded!AS745,drug,0)),""))</f>
        <v>#N/A</v>
      </c>
      <c r="U745" t="e">
        <f>IF(K745=2,"",_xlfn.IFNA(INDEX(drug_codes,MATCH(loaded!AU745,drug,0)),""))</f>
        <v>#N/A</v>
      </c>
      <c r="V745" t="e">
        <f>IF(K745=2,"",_xlfn.IFNA(INDEX(drug_codes,MATCH(loaded!AW745,drug,0)),""))</f>
        <v>#N/A</v>
      </c>
      <c r="W745" t="e">
        <f>IF(K745=2,"",_xlfn.IFNA(INDEX(drug_codes,MATCH(loaded!AY745,drug,0)),""))</f>
        <v>#N/A</v>
      </c>
      <c r="X745" t="e">
        <f>IF(K745=2,"",_xlfn.IFNA(INDEX(drug_codes,MATCH(loaded!BA745,drug,0)),""))</f>
        <v>#N/A</v>
      </c>
      <c r="Y745" t="e">
        <f>INDEX(MTT_codes,MATCH(loaded!BC745,MTT,0))</f>
        <v>#N/A</v>
      </c>
      <c r="Z745" t="str">
        <f>_xlfn.IFNA(INDEX(MTT_codes,MATCH(loaded!BE745,MTT,0)),"")</f>
        <v/>
      </c>
      <c r="AA745" t="str">
        <f>_xlfn.IFNA(INDEX(MTT_codes,MATCH(loaded!BG745,MTT,0)),"")</f>
        <v/>
      </c>
      <c r="AB745" t="str">
        <f>_xlfn.IFNA(INDEX(MTT_codes,MATCH(loaded!BI745,MTT,0)),"")</f>
        <v/>
      </c>
      <c r="AC745" t="str">
        <f>_xlfn.IFNA(INDEX(MTT_codes,MATCH(loaded!BK745,MTT,0)),"")</f>
        <v/>
      </c>
      <c r="AD745" t="str">
        <f>_xlfn.IFNA(INDEX(MTT_codes,MATCH(loaded!BM745,MTT,0)),"")</f>
        <v/>
      </c>
      <c r="AE745" t="e">
        <f>INDEX(liv_ar_codes,MATCH(loaded!BO745,liv_ar,0))</f>
        <v>#N/A</v>
      </c>
      <c r="AF745" t="str">
        <f>_xlfn.IFNA(INDEX(MTT_codes,MATCH(loaded!BQ745,MTT,0)),"")</f>
        <v/>
      </c>
      <c r="AG745">
        <f>_xlfn.IFNA(INDEX(mental_codes,MATCH(loaded!BS745,mental,0)),9)</f>
        <v>9</v>
      </c>
    </row>
    <row r="746" spans="1:33" x14ac:dyDescent="0.25">
      <c r="A746">
        <f>loaded!C746</f>
        <v>0</v>
      </c>
      <c r="B746">
        <f>loaded!I746</f>
        <v>0</v>
      </c>
      <c r="C746">
        <f>IF(loaded!K746="Male",1,IF(loaded!K746="Female",2,9))</f>
        <v>9</v>
      </c>
      <c r="D746" s="8">
        <f>loaded!M746</f>
        <v>0</v>
      </c>
      <c r="E746" t="str">
        <f>LEFT(loaded!O746,3)</f>
        <v/>
      </c>
      <c r="F746" t="e">
        <f>INDEX(cntry_codes,MATCH(loaded!Q746,countries,0))</f>
        <v>#N/A</v>
      </c>
      <c r="G746" t="e">
        <f>INDEX(atsi_codes,MATCH(loaded!S746,atsi,0))</f>
        <v>#N/A</v>
      </c>
      <c r="H746" t="e">
        <f>INDEX(lang_codes,MATCH(loaded!U746,lang,0))</f>
        <v>#N/A</v>
      </c>
      <c r="I746" s="8">
        <f>loaded!W746</f>
        <v>0</v>
      </c>
      <c r="J746" t="e">
        <f>INDEX(us_acc_codes,MATCH(loaded!Y746,us_acc,0))</f>
        <v>#N/A</v>
      </c>
      <c r="K746" t="e">
        <f>INDEX(client_codes,MATCH(loaded!AA746,client,0))</f>
        <v>#N/A</v>
      </c>
      <c r="L746" t="e">
        <f>INDEX(src_ref_codes,MATCH(loaded!AC746,src_ref,0))</f>
        <v>#N/A</v>
      </c>
      <c r="M746" s="8">
        <f>loaded!AE746</f>
        <v>0</v>
      </c>
      <c r="N746" s="8">
        <f>loaded!AG746</f>
        <v>0</v>
      </c>
      <c r="O746" t="e">
        <f>INDEX(reces_codes,MATCH(loaded!AI746,reason,0))</f>
        <v>#N/A</v>
      </c>
      <c r="P746" t="e">
        <f>INDEX(TDS_codes,MATCH(loaded!AK746,TDS,0))</f>
        <v>#N/A</v>
      </c>
      <c r="Q746" t="e">
        <f>IF(K746=2,"",INDEX(method_codes,MATCH(loaded!AM746,method,0)))</f>
        <v>#N/A</v>
      </c>
      <c r="R746" t="e">
        <f>IF(K746=2,"",INDEX(inj_codes,MATCH(loaded!AO746,inj,0)))</f>
        <v>#N/A</v>
      </c>
      <c r="S746" t="e">
        <f>IF(K746=2,"",INDEX(drug_codes,MATCH(loaded!AQ746,drug,0)))</f>
        <v>#N/A</v>
      </c>
      <c r="T746" t="e">
        <f>IF(K746=2,"",_xlfn.IFNA(INDEX(drug_codes,MATCH(loaded!AS746,drug,0)),""))</f>
        <v>#N/A</v>
      </c>
      <c r="U746" t="e">
        <f>IF(K746=2,"",_xlfn.IFNA(INDEX(drug_codes,MATCH(loaded!AU746,drug,0)),""))</f>
        <v>#N/A</v>
      </c>
      <c r="V746" t="e">
        <f>IF(K746=2,"",_xlfn.IFNA(INDEX(drug_codes,MATCH(loaded!AW746,drug,0)),""))</f>
        <v>#N/A</v>
      </c>
      <c r="W746" t="e">
        <f>IF(K746=2,"",_xlfn.IFNA(INDEX(drug_codes,MATCH(loaded!AY746,drug,0)),""))</f>
        <v>#N/A</v>
      </c>
      <c r="X746" t="e">
        <f>IF(K746=2,"",_xlfn.IFNA(INDEX(drug_codes,MATCH(loaded!BA746,drug,0)),""))</f>
        <v>#N/A</v>
      </c>
      <c r="Y746" t="e">
        <f>INDEX(MTT_codes,MATCH(loaded!BC746,MTT,0))</f>
        <v>#N/A</v>
      </c>
      <c r="Z746" t="str">
        <f>_xlfn.IFNA(INDEX(MTT_codes,MATCH(loaded!BE746,MTT,0)),"")</f>
        <v/>
      </c>
      <c r="AA746" t="str">
        <f>_xlfn.IFNA(INDEX(MTT_codes,MATCH(loaded!BG746,MTT,0)),"")</f>
        <v/>
      </c>
      <c r="AB746" t="str">
        <f>_xlfn.IFNA(INDEX(MTT_codes,MATCH(loaded!BI746,MTT,0)),"")</f>
        <v/>
      </c>
      <c r="AC746" t="str">
        <f>_xlfn.IFNA(INDEX(MTT_codes,MATCH(loaded!BK746,MTT,0)),"")</f>
        <v/>
      </c>
      <c r="AD746" t="str">
        <f>_xlfn.IFNA(INDEX(MTT_codes,MATCH(loaded!BM746,MTT,0)),"")</f>
        <v/>
      </c>
      <c r="AE746" t="e">
        <f>INDEX(liv_ar_codes,MATCH(loaded!BO746,liv_ar,0))</f>
        <v>#N/A</v>
      </c>
      <c r="AF746" t="str">
        <f>_xlfn.IFNA(INDEX(MTT_codes,MATCH(loaded!BQ746,MTT,0)),"")</f>
        <v/>
      </c>
      <c r="AG746">
        <f>_xlfn.IFNA(INDEX(mental_codes,MATCH(loaded!BS746,mental,0)),9)</f>
        <v>9</v>
      </c>
    </row>
    <row r="747" spans="1:33" x14ac:dyDescent="0.25">
      <c r="A747">
        <f>loaded!C747</f>
        <v>0</v>
      </c>
      <c r="B747">
        <f>loaded!I747</f>
        <v>0</v>
      </c>
      <c r="C747">
        <f>IF(loaded!K747="Male",1,IF(loaded!K747="Female",2,9))</f>
        <v>9</v>
      </c>
      <c r="D747" s="8">
        <f>loaded!M747</f>
        <v>0</v>
      </c>
      <c r="E747" t="str">
        <f>LEFT(loaded!O747,3)</f>
        <v/>
      </c>
      <c r="F747" t="e">
        <f>INDEX(cntry_codes,MATCH(loaded!Q747,countries,0))</f>
        <v>#N/A</v>
      </c>
      <c r="G747" t="e">
        <f>INDEX(atsi_codes,MATCH(loaded!S747,atsi,0))</f>
        <v>#N/A</v>
      </c>
      <c r="H747" t="e">
        <f>INDEX(lang_codes,MATCH(loaded!U747,lang,0))</f>
        <v>#N/A</v>
      </c>
      <c r="I747" s="8">
        <f>loaded!W747</f>
        <v>0</v>
      </c>
      <c r="J747" t="e">
        <f>INDEX(us_acc_codes,MATCH(loaded!Y747,us_acc,0))</f>
        <v>#N/A</v>
      </c>
      <c r="K747" t="e">
        <f>INDEX(client_codes,MATCH(loaded!AA747,client,0))</f>
        <v>#N/A</v>
      </c>
      <c r="L747" t="e">
        <f>INDEX(src_ref_codes,MATCH(loaded!AC747,src_ref,0))</f>
        <v>#N/A</v>
      </c>
      <c r="M747" s="8">
        <f>loaded!AE747</f>
        <v>0</v>
      </c>
      <c r="N747" s="8">
        <f>loaded!AG747</f>
        <v>0</v>
      </c>
      <c r="O747" t="e">
        <f>INDEX(reces_codes,MATCH(loaded!AI747,reason,0))</f>
        <v>#N/A</v>
      </c>
      <c r="P747" t="e">
        <f>INDEX(TDS_codes,MATCH(loaded!AK747,TDS,0))</f>
        <v>#N/A</v>
      </c>
      <c r="Q747" t="e">
        <f>IF(K747=2,"",INDEX(method_codes,MATCH(loaded!AM747,method,0)))</f>
        <v>#N/A</v>
      </c>
      <c r="R747" t="e">
        <f>IF(K747=2,"",INDEX(inj_codes,MATCH(loaded!AO747,inj,0)))</f>
        <v>#N/A</v>
      </c>
      <c r="S747" t="e">
        <f>IF(K747=2,"",INDEX(drug_codes,MATCH(loaded!AQ747,drug,0)))</f>
        <v>#N/A</v>
      </c>
      <c r="T747" t="e">
        <f>IF(K747=2,"",_xlfn.IFNA(INDEX(drug_codes,MATCH(loaded!AS747,drug,0)),""))</f>
        <v>#N/A</v>
      </c>
      <c r="U747" t="e">
        <f>IF(K747=2,"",_xlfn.IFNA(INDEX(drug_codes,MATCH(loaded!AU747,drug,0)),""))</f>
        <v>#N/A</v>
      </c>
      <c r="V747" t="e">
        <f>IF(K747=2,"",_xlfn.IFNA(INDEX(drug_codes,MATCH(loaded!AW747,drug,0)),""))</f>
        <v>#N/A</v>
      </c>
      <c r="W747" t="e">
        <f>IF(K747=2,"",_xlfn.IFNA(INDEX(drug_codes,MATCH(loaded!AY747,drug,0)),""))</f>
        <v>#N/A</v>
      </c>
      <c r="X747" t="e">
        <f>IF(K747=2,"",_xlfn.IFNA(INDEX(drug_codes,MATCH(loaded!BA747,drug,0)),""))</f>
        <v>#N/A</v>
      </c>
      <c r="Y747" t="e">
        <f>INDEX(MTT_codes,MATCH(loaded!BC747,MTT,0))</f>
        <v>#N/A</v>
      </c>
      <c r="Z747" t="str">
        <f>_xlfn.IFNA(INDEX(MTT_codes,MATCH(loaded!BE747,MTT,0)),"")</f>
        <v/>
      </c>
      <c r="AA747" t="str">
        <f>_xlfn.IFNA(INDEX(MTT_codes,MATCH(loaded!BG747,MTT,0)),"")</f>
        <v/>
      </c>
      <c r="AB747" t="str">
        <f>_xlfn.IFNA(INDEX(MTT_codes,MATCH(loaded!BI747,MTT,0)),"")</f>
        <v/>
      </c>
      <c r="AC747" t="str">
        <f>_xlfn.IFNA(INDEX(MTT_codes,MATCH(loaded!BK747,MTT,0)),"")</f>
        <v/>
      </c>
      <c r="AD747" t="str">
        <f>_xlfn.IFNA(INDEX(MTT_codes,MATCH(loaded!BM747,MTT,0)),"")</f>
        <v/>
      </c>
      <c r="AE747" t="e">
        <f>INDEX(liv_ar_codes,MATCH(loaded!BO747,liv_ar,0))</f>
        <v>#N/A</v>
      </c>
      <c r="AF747" t="str">
        <f>_xlfn.IFNA(INDEX(MTT_codes,MATCH(loaded!BQ747,MTT,0)),"")</f>
        <v/>
      </c>
      <c r="AG747">
        <f>_xlfn.IFNA(INDEX(mental_codes,MATCH(loaded!BS747,mental,0)),9)</f>
        <v>9</v>
      </c>
    </row>
    <row r="748" spans="1:33" x14ac:dyDescent="0.25">
      <c r="A748">
        <f>loaded!C748</f>
        <v>0</v>
      </c>
      <c r="B748">
        <f>loaded!I748</f>
        <v>0</v>
      </c>
      <c r="C748">
        <f>IF(loaded!K748="Male",1,IF(loaded!K748="Female",2,9))</f>
        <v>9</v>
      </c>
      <c r="D748" s="8">
        <f>loaded!M748</f>
        <v>0</v>
      </c>
      <c r="E748" t="str">
        <f>LEFT(loaded!O748,3)</f>
        <v/>
      </c>
      <c r="F748" t="e">
        <f>INDEX(cntry_codes,MATCH(loaded!Q748,countries,0))</f>
        <v>#N/A</v>
      </c>
      <c r="G748" t="e">
        <f>INDEX(atsi_codes,MATCH(loaded!S748,atsi,0))</f>
        <v>#N/A</v>
      </c>
      <c r="H748" t="e">
        <f>INDEX(lang_codes,MATCH(loaded!U748,lang,0))</f>
        <v>#N/A</v>
      </c>
      <c r="I748" s="8">
        <f>loaded!W748</f>
        <v>0</v>
      </c>
      <c r="J748" t="e">
        <f>INDEX(us_acc_codes,MATCH(loaded!Y748,us_acc,0))</f>
        <v>#N/A</v>
      </c>
      <c r="K748" t="e">
        <f>INDEX(client_codes,MATCH(loaded!AA748,client,0))</f>
        <v>#N/A</v>
      </c>
      <c r="L748" t="e">
        <f>INDEX(src_ref_codes,MATCH(loaded!AC748,src_ref,0))</f>
        <v>#N/A</v>
      </c>
      <c r="M748" s="8">
        <f>loaded!AE748</f>
        <v>0</v>
      </c>
      <c r="N748" s="8">
        <f>loaded!AG748</f>
        <v>0</v>
      </c>
      <c r="O748" t="e">
        <f>INDEX(reces_codes,MATCH(loaded!AI748,reason,0))</f>
        <v>#N/A</v>
      </c>
      <c r="P748" t="e">
        <f>INDEX(TDS_codes,MATCH(loaded!AK748,TDS,0))</f>
        <v>#N/A</v>
      </c>
      <c r="Q748" t="e">
        <f>IF(K748=2,"",INDEX(method_codes,MATCH(loaded!AM748,method,0)))</f>
        <v>#N/A</v>
      </c>
      <c r="R748" t="e">
        <f>IF(K748=2,"",INDEX(inj_codes,MATCH(loaded!AO748,inj,0)))</f>
        <v>#N/A</v>
      </c>
      <c r="S748" t="e">
        <f>IF(K748=2,"",INDEX(drug_codes,MATCH(loaded!AQ748,drug,0)))</f>
        <v>#N/A</v>
      </c>
      <c r="T748" t="e">
        <f>IF(K748=2,"",_xlfn.IFNA(INDEX(drug_codes,MATCH(loaded!AS748,drug,0)),""))</f>
        <v>#N/A</v>
      </c>
      <c r="U748" t="e">
        <f>IF(K748=2,"",_xlfn.IFNA(INDEX(drug_codes,MATCH(loaded!AU748,drug,0)),""))</f>
        <v>#N/A</v>
      </c>
      <c r="V748" t="e">
        <f>IF(K748=2,"",_xlfn.IFNA(INDEX(drug_codes,MATCH(loaded!AW748,drug,0)),""))</f>
        <v>#N/A</v>
      </c>
      <c r="W748" t="e">
        <f>IF(K748=2,"",_xlfn.IFNA(INDEX(drug_codes,MATCH(loaded!AY748,drug,0)),""))</f>
        <v>#N/A</v>
      </c>
      <c r="X748" t="e">
        <f>IF(K748=2,"",_xlfn.IFNA(INDEX(drug_codes,MATCH(loaded!BA748,drug,0)),""))</f>
        <v>#N/A</v>
      </c>
      <c r="Y748" t="e">
        <f>INDEX(MTT_codes,MATCH(loaded!BC748,MTT,0))</f>
        <v>#N/A</v>
      </c>
      <c r="Z748" t="str">
        <f>_xlfn.IFNA(INDEX(MTT_codes,MATCH(loaded!BE748,MTT,0)),"")</f>
        <v/>
      </c>
      <c r="AA748" t="str">
        <f>_xlfn.IFNA(INDEX(MTT_codes,MATCH(loaded!BG748,MTT,0)),"")</f>
        <v/>
      </c>
      <c r="AB748" t="str">
        <f>_xlfn.IFNA(INDEX(MTT_codes,MATCH(loaded!BI748,MTT,0)),"")</f>
        <v/>
      </c>
      <c r="AC748" t="str">
        <f>_xlfn.IFNA(INDEX(MTT_codes,MATCH(loaded!BK748,MTT,0)),"")</f>
        <v/>
      </c>
      <c r="AD748" t="str">
        <f>_xlfn.IFNA(INDEX(MTT_codes,MATCH(loaded!BM748,MTT,0)),"")</f>
        <v/>
      </c>
      <c r="AE748" t="e">
        <f>INDEX(liv_ar_codes,MATCH(loaded!BO748,liv_ar,0))</f>
        <v>#N/A</v>
      </c>
      <c r="AF748" t="str">
        <f>_xlfn.IFNA(INDEX(MTT_codes,MATCH(loaded!BQ748,MTT,0)),"")</f>
        <v/>
      </c>
      <c r="AG748">
        <f>_xlfn.IFNA(INDEX(mental_codes,MATCH(loaded!BS748,mental,0)),9)</f>
        <v>9</v>
      </c>
    </row>
    <row r="749" spans="1:33" x14ac:dyDescent="0.25">
      <c r="A749">
        <f>loaded!C749</f>
        <v>0</v>
      </c>
      <c r="B749">
        <f>loaded!I749</f>
        <v>0</v>
      </c>
      <c r="C749">
        <f>IF(loaded!K749="Male",1,IF(loaded!K749="Female",2,9))</f>
        <v>9</v>
      </c>
      <c r="D749" s="8">
        <f>loaded!M749</f>
        <v>0</v>
      </c>
      <c r="E749" t="str">
        <f>LEFT(loaded!O749,3)</f>
        <v/>
      </c>
      <c r="F749" t="e">
        <f>INDEX(cntry_codes,MATCH(loaded!Q749,countries,0))</f>
        <v>#N/A</v>
      </c>
      <c r="G749" t="e">
        <f>INDEX(atsi_codes,MATCH(loaded!S749,atsi,0))</f>
        <v>#N/A</v>
      </c>
      <c r="H749" t="e">
        <f>INDEX(lang_codes,MATCH(loaded!U749,lang,0))</f>
        <v>#N/A</v>
      </c>
      <c r="I749" s="8">
        <f>loaded!W749</f>
        <v>0</v>
      </c>
      <c r="J749" t="e">
        <f>INDEX(us_acc_codes,MATCH(loaded!Y749,us_acc,0))</f>
        <v>#N/A</v>
      </c>
      <c r="K749" t="e">
        <f>INDEX(client_codes,MATCH(loaded!AA749,client,0))</f>
        <v>#N/A</v>
      </c>
      <c r="L749" t="e">
        <f>INDEX(src_ref_codes,MATCH(loaded!AC749,src_ref,0))</f>
        <v>#N/A</v>
      </c>
      <c r="M749" s="8">
        <f>loaded!AE749</f>
        <v>0</v>
      </c>
      <c r="N749" s="8">
        <f>loaded!AG749</f>
        <v>0</v>
      </c>
      <c r="O749" t="e">
        <f>INDEX(reces_codes,MATCH(loaded!AI749,reason,0))</f>
        <v>#N/A</v>
      </c>
      <c r="P749" t="e">
        <f>INDEX(TDS_codes,MATCH(loaded!AK749,TDS,0))</f>
        <v>#N/A</v>
      </c>
      <c r="Q749" t="e">
        <f>IF(K749=2,"",INDEX(method_codes,MATCH(loaded!AM749,method,0)))</f>
        <v>#N/A</v>
      </c>
      <c r="R749" t="e">
        <f>IF(K749=2,"",INDEX(inj_codes,MATCH(loaded!AO749,inj,0)))</f>
        <v>#N/A</v>
      </c>
      <c r="S749" t="e">
        <f>IF(K749=2,"",INDEX(drug_codes,MATCH(loaded!AQ749,drug,0)))</f>
        <v>#N/A</v>
      </c>
      <c r="T749" t="e">
        <f>IF(K749=2,"",_xlfn.IFNA(INDEX(drug_codes,MATCH(loaded!AS749,drug,0)),""))</f>
        <v>#N/A</v>
      </c>
      <c r="U749" t="e">
        <f>IF(K749=2,"",_xlfn.IFNA(INDEX(drug_codes,MATCH(loaded!AU749,drug,0)),""))</f>
        <v>#N/A</v>
      </c>
      <c r="V749" t="e">
        <f>IF(K749=2,"",_xlfn.IFNA(INDEX(drug_codes,MATCH(loaded!AW749,drug,0)),""))</f>
        <v>#N/A</v>
      </c>
      <c r="W749" t="e">
        <f>IF(K749=2,"",_xlfn.IFNA(INDEX(drug_codes,MATCH(loaded!AY749,drug,0)),""))</f>
        <v>#N/A</v>
      </c>
      <c r="X749" t="e">
        <f>IF(K749=2,"",_xlfn.IFNA(INDEX(drug_codes,MATCH(loaded!BA749,drug,0)),""))</f>
        <v>#N/A</v>
      </c>
      <c r="Y749" t="e">
        <f>INDEX(MTT_codes,MATCH(loaded!BC749,MTT,0))</f>
        <v>#N/A</v>
      </c>
      <c r="Z749" t="str">
        <f>_xlfn.IFNA(INDEX(MTT_codes,MATCH(loaded!BE749,MTT,0)),"")</f>
        <v/>
      </c>
      <c r="AA749" t="str">
        <f>_xlfn.IFNA(INDEX(MTT_codes,MATCH(loaded!BG749,MTT,0)),"")</f>
        <v/>
      </c>
      <c r="AB749" t="str">
        <f>_xlfn.IFNA(INDEX(MTT_codes,MATCH(loaded!BI749,MTT,0)),"")</f>
        <v/>
      </c>
      <c r="AC749" t="str">
        <f>_xlfn.IFNA(INDEX(MTT_codes,MATCH(loaded!BK749,MTT,0)),"")</f>
        <v/>
      </c>
      <c r="AD749" t="str">
        <f>_xlfn.IFNA(INDEX(MTT_codes,MATCH(loaded!BM749,MTT,0)),"")</f>
        <v/>
      </c>
      <c r="AE749" t="e">
        <f>INDEX(liv_ar_codes,MATCH(loaded!BO749,liv_ar,0))</f>
        <v>#N/A</v>
      </c>
      <c r="AF749" t="str">
        <f>_xlfn.IFNA(INDEX(MTT_codes,MATCH(loaded!BQ749,MTT,0)),"")</f>
        <v/>
      </c>
      <c r="AG749">
        <f>_xlfn.IFNA(INDEX(mental_codes,MATCH(loaded!BS749,mental,0)),9)</f>
        <v>9</v>
      </c>
    </row>
    <row r="750" spans="1:33" x14ac:dyDescent="0.25">
      <c r="A750">
        <f>loaded!C750</f>
        <v>0</v>
      </c>
      <c r="B750">
        <f>loaded!I750</f>
        <v>0</v>
      </c>
      <c r="C750">
        <f>IF(loaded!K750="Male",1,IF(loaded!K750="Female",2,9))</f>
        <v>9</v>
      </c>
      <c r="D750" s="8">
        <f>loaded!M750</f>
        <v>0</v>
      </c>
      <c r="E750" t="str">
        <f>LEFT(loaded!O750,3)</f>
        <v/>
      </c>
      <c r="F750" t="e">
        <f>INDEX(cntry_codes,MATCH(loaded!Q750,countries,0))</f>
        <v>#N/A</v>
      </c>
      <c r="G750" t="e">
        <f>INDEX(atsi_codes,MATCH(loaded!S750,atsi,0))</f>
        <v>#N/A</v>
      </c>
      <c r="H750" t="e">
        <f>INDEX(lang_codes,MATCH(loaded!U750,lang,0))</f>
        <v>#N/A</v>
      </c>
      <c r="I750" s="8">
        <f>loaded!W750</f>
        <v>0</v>
      </c>
      <c r="J750" t="e">
        <f>INDEX(us_acc_codes,MATCH(loaded!Y750,us_acc,0))</f>
        <v>#N/A</v>
      </c>
      <c r="K750" t="e">
        <f>INDEX(client_codes,MATCH(loaded!AA750,client,0))</f>
        <v>#N/A</v>
      </c>
      <c r="L750" t="e">
        <f>INDEX(src_ref_codes,MATCH(loaded!AC750,src_ref,0))</f>
        <v>#N/A</v>
      </c>
      <c r="M750" s="8">
        <f>loaded!AE750</f>
        <v>0</v>
      </c>
      <c r="N750" s="8">
        <f>loaded!AG750</f>
        <v>0</v>
      </c>
      <c r="O750" t="e">
        <f>INDEX(reces_codes,MATCH(loaded!AI750,reason,0))</f>
        <v>#N/A</v>
      </c>
      <c r="P750" t="e">
        <f>INDEX(TDS_codes,MATCH(loaded!AK750,TDS,0))</f>
        <v>#N/A</v>
      </c>
      <c r="Q750" t="e">
        <f>IF(K750=2,"",INDEX(method_codes,MATCH(loaded!AM750,method,0)))</f>
        <v>#N/A</v>
      </c>
      <c r="R750" t="e">
        <f>IF(K750=2,"",INDEX(inj_codes,MATCH(loaded!AO750,inj,0)))</f>
        <v>#N/A</v>
      </c>
      <c r="S750" t="e">
        <f>IF(K750=2,"",INDEX(drug_codes,MATCH(loaded!AQ750,drug,0)))</f>
        <v>#N/A</v>
      </c>
      <c r="T750" t="e">
        <f>IF(K750=2,"",_xlfn.IFNA(INDEX(drug_codes,MATCH(loaded!AS750,drug,0)),""))</f>
        <v>#N/A</v>
      </c>
      <c r="U750" t="e">
        <f>IF(K750=2,"",_xlfn.IFNA(INDEX(drug_codes,MATCH(loaded!AU750,drug,0)),""))</f>
        <v>#N/A</v>
      </c>
      <c r="V750" t="e">
        <f>IF(K750=2,"",_xlfn.IFNA(INDEX(drug_codes,MATCH(loaded!AW750,drug,0)),""))</f>
        <v>#N/A</v>
      </c>
      <c r="W750" t="e">
        <f>IF(K750=2,"",_xlfn.IFNA(INDEX(drug_codes,MATCH(loaded!AY750,drug,0)),""))</f>
        <v>#N/A</v>
      </c>
      <c r="X750" t="e">
        <f>IF(K750=2,"",_xlfn.IFNA(INDEX(drug_codes,MATCH(loaded!BA750,drug,0)),""))</f>
        <v>#N/A</v>
      </c>
      <c r="Y750" t="e">
        <f>INDEX(MTT_codes,MATCH(loaded!BC750,MTT,0))</f>
        <v>#N/A</v>
      </c>
      <c r="Z750" t="str">
        <f>_xlfn.IFNA(INDEX(MTT_codes,MATCH(loaded!BE750,MTT,0)),"")</f>
        <v/>
      </c>
      <c r="AA750" t="str">
        <f>_xlfn.IFNA(INDEX(MTT_codes,MATCH(loaded!BG750,MTT,0)),"")</f>
        <v/>
      </c>
      <c r="AB750" t="str">
        <f>_xlfn.IFNA(INDEX(MTT_codes,MATCH(loaded!BI750,MTT,0)),"")</f>
        <v/>
      </c>
      <c r="AC750" t="str">
        <f>_xlfn.IFNA(INDEX(MTT_codes,MATCH(loaded!BK750,MTT,0)),"")</f>
        <v/>
      </c>
      <c r="AD750" t="str">
        <f>_xlfn.IFNA(INDEX(MTT_codes,MATCH(loaded!BM750,MTT,0)),"")</f>
        <v/>
      </c>
      <c r="AE750" t="e">
        <f>INDEX(liv_ar_codes,MATCH(loaded!BO750,liv_ar,0))</f>
        <v>#N/A</v>
      </c>
      <c r="AF750" t="str">
        <f>_xlfn.IFNA(INDEX(MTT_codes,MATCH(loaded!BQ750,MTT,0)),"")</f>
        <v/>
      </c>
      <c r="AG750">
        <f>_xlfn.IFNA(INDEX(mental_codes,MATCH(loaded!BS750,mental,0)),9)</f>
        <v>9</v>
      </c>
    </row>
    <row r="751" spans="1:33" x14ac:dyDescent="0.25">
      <c r="A751">
        <f>loaded!C751</f>
        <v>0</v>
      </c>
      <c r="B751">
        <f>loaded!I751</f>
        <v>0</v>
      </c>
      <c r="C751">
        <f>IF(loaded!K751="Male",1,IF(loaded!K751="Female",2,9))</f>
        <v>9</v>
      </c>
      <c r="D751" s="8">
        <f>loaded!M751</f>
        <v>0</v>
      </c>
      <c r="E751" t="str">
        <f>LEFT(loaded!O751,3)</f>
        <v/>
      </c>
      <c r="F751" t="e">
        <f>INDEX(cntry_codes,MATCH(loaded!Q751,countries,0))</f>
        <v>#N/A</v>
      </c>
      <c r="G751" t="e">
        <f>INDEX(atsi_codes,MATCH(loaded!S751,atsi,0))</f>
        <v>#N/A</v>
      </c>
      <c r="H751" t="e">
        <f>INDEX(lang_codes,MATCH(loaded!U751,lang,0))</f>
        <v>#N/A</v>
      </c>
      <c r="I751" s="8">
        <f>loaded!W751</f>
        <v>0</v>
      </c>
      <c r="J751" t="e">
        <f>INDEX(us_acc_codes,MATCH(loaded!Y751,us_acc,0))</f>
        <v>#N/A</v>
      </c>
      <c r="K751" t="e">
        <f>INDEX(client_codes,MATCH(loaded!AA751,client,0))</f>
        <v>#N/A</v>
      </c>
      <c r="L751" t="e">
        <f>INDEX(src_ref_codes,MATCH(loaded!AC751,src_ref,0))</f>
        <v>#N/A</v>
      </c>
      <c r="M751" s="8">
        <f>loaded!AE751</f>
        <v>0</v>
      </c>
      <c r="N751" s="8">
        <f>loaded!AG751</f>
        <v>0</v>
      </c>
      <c r="O751" t="e">
        <f>INDEX(reces_codes,MATCH(loaded!AI751,reason,0))</f>
        <v>#N/A</v>
      </c>
      <c r="P751" t="e">
        <f>INDEX(TDS_codes,MATCH(loaded!AK751,TDS,0))</f>
        <v>#N/A</v>
      </c>
      <c r="Q751" t="e">
        <f>IF(K751=2,"",INDEX(method_codes,MATCH(loaded!AM751,method,0)))</f>
        <v>#N/A</v>
      </c>
      <c r="R751" t="e">
        <f>IF(K751=2,"",INDEX(inj_codes,MATCH(loaded!AO751,inj,0)))</f>
        <v>#N/A</v>
      </c>
      <c r="S751" t="e">
        <f>IF(K751=2,"",INDEX(drug_codes,MATCH(loaded!AQ751,drug,0)))</f>
        <v>#N/A</v>
      </c>
      <c r="T751" t="e">
        <f>IF(K751=2,"",_xlfn.IFNA(INDEX(drug_codes,MATCH(loaded!AS751,drug,0)),""))</f>
        <v>#N/A</v>
      </c>
      <c r="U751" t="e">
        <f>IF(K751=2,"",_xlfn.IFNA(INDEX(drug_codes,MATCH(loaded!AU751,drug,0)),""))</f>
        <v>#N/A</v>
      </c>
      <c r="V751" t="e">
        <f>IF(K751=2,"",_xlfn.IFNA(INDEX(drug_codes,MATCH(loaded!AW751,drug,0)),""))</f>
        <v>#N/A</v>
      </c>
      <c r="W751" t="e">
        <f>IF(K751=2,"",_xlfn.IFNA(INDEX(drug_codes,MATCH(loaded!AY751,drug,0)),""))</f>
        <v>#N/A</v>
      </c>
      <c r="X751" t="e">
        <f>IF(K751=2,"",_xlfn.IFNA(INDEX(drug_codes,MATCH(loaded!BA751,drug,0)),""))</f>
        <v>#N/A</v>
      </c>
      <c r="Y751" t="e">
        <f>INDEX(MTT_codes,MATCH(loaded!BC751,MTT,0))</f>
        <v>#N/A</v>
      </c>
      <c r="Z751" t="str">
        <f>_xlfn.IFNA(INDEX(MTT_codes,MATCH(loaded!BE751,MTT,0)),"")</f>
        <v/>
      </c>
      <c r="AA751" t="str">
        <f>_xlfn.IFNA(INDEX(MTT_codes,MATCH(loaded!BG751,MTT,0)),"")</f>
        <v/>
      </c>
      <c r="AB751" t="str">
        <f>_xlfn.IFNA(INDEX(MTT_codes,MATCH(loaded!BI751,MTT,0)),"")</f>
        <v/>
      </c>
      <c r="AC751" t="str">
        <f>_xlfn.IFNA(INDEX(MTT_codes,MATCH(loaded!BK751,MTT,0)),"")</f>
        <v/>
      </c>
      <c r="AD751" t="str">
        <f>_xlfn.IFNA(INDEX(MTT_codes,MATCH(loaded!BM751,MTT,0)),"")</f>
        <v/>
      </c>
      <c r="AE751" t="e">
        <f>INDEX(liv_ar_codes,MATCH(loaded!BO751,liv_ar,0))</f>
        <v>#N/A</v>
      </c>
      <c r="AF751" t="str">
        <f>_xlfn.IFNA(INDEX(MTT_codes,MATCH(loaded!BQ751,MTT,0)),"")</f>
        <v/>
      </c>
      <c r="AG751">
        <f>_xlfn.IFNA(INDEX(mental_codes,MATCH(loaded!BS751,mental,0)),9)</f>
        <v>9</v>
      </c>
    </row>
    <row r="752" spans="1:33" x14ac:dyDescent="0.25">
      <c r="A752">
        <f>loaded!C752</f>
        <v>0</v>
      </c>
      <c r="B752">
        <f>loaded!I752</f>
        <v>0</v>
      </c>
      <c r="C752">
        <f>IF(loaded!K752="Male",1,IF(loaded!K752="Female",2,9))</f>
        <v>9</v>
      </c>
      <c r="D752" s="8">
        <f>loaded!M752</f>
        <v>0</v>
      </c>
      <c r="E752" t="str">
        <f>LEFT(loaded!O752,3)</f>
        <v/>
      </c>
      <c r="F752" t="e">
        <f>INDEX(cntry_codes,MATCH(loaded!Q752,countries,0))</f>
        <v>#N/A</v>
      </c>
      <c r="G752" t="e">
        <f>INDEX(atsi_codes,MATCH(loaded!S752,atsi,0))</f>
        <v>#N/A</v>
      </c>
      <c r="H752" t="e">
        <f>INDEX(lang_codes,MATCH(loaded!U752,lang,0))</f>
        <v>#N/A</v>
      </c>
      <c r="I752" s="8">
        <f>loaded!W752</f>
        <v>0</v>
      </c>
      <c r="J752" t="e">
        <f>INDEX(us_acc_codes,MATCH(loaded!Y752,us_acc,0))</f>
        <v>#N/A</v>
      </c>
      <c r="K752" t="e">
        <f>INDEX(client_codes,MATCH(loaded!AA752,client,0))</f>
        <v>#N/A</v>
      </c>
      <c r="L752" t="e">
        <f>INDEX(src_ref_codes,MATCH(loaded!AC752,src_ref,0))</f>
        <v>#N/A</v>
      </c>
      <c r="M752" s="8">
        <f>loaded!AE752</f>
        <v>0</v>
      </c>
      <c r="N752" s="8">
        <f>loaded!AG752</f>
        <v>0</v>
      </c>
      <c r="O752" t="e">
        <f>INDEX(reces_codes,MATCH(loaded!AI752,reason,0))</f>
        <v>#N/A</v>
      </c>
      <c r="P752" t="e">
        <f>INDEX(TDS_codes,MATCH(loaded!AK752,TDS,0))</f>
        <v>#N/A</v>
      </c>
      <c r="Q752" t="e">
        <f>IF(K752=2,"",INDEX(method_codes,MATCH(loaded!AM752,method,0)))</f>
        <v>#N/A</v>
      </c>
      <c r="R752" t="e">
        <f>IF(K752=2,"",INDEX(inj_codes,MATCH(loaded!AO752,inj,0)))</f>
        <v>#N/A</v>
      </c>
      <c r="S752" t="e">
        <f>IF(K752=2,"",INDEX(drug_codes,MATCH(loaded!AQ752,drug,0)))</f>
        <v>#N/A</v>
      </c>
      <c r="T752" t="e">
        <f>IF(K752=2,"",_xlfn.IFNA(INDEX(drug_codes,MATCH(loaded!AS752,drug,0)),""))</f>
        <v>#N/A</v>
      </c>
      <c r="U752" t="e">
        <f>IF(K752=2,"",_xlfn.IFNA(INDEX(drug_codes,MATCH(loaded!AU752,drug,0)),""))</f>
        <v>#N/A</v>
      </c>
      <c r="V752" t="e">
        <f>IF(K752=2,"",_xlfn.IFNA(INDEX(drug_codes,MATCH(loaded!AW752,drug,0)),""))</f>
        <v>#N/A</v>
      </c>
      <c r="W752" t="e">
        <f>IF(K752=2,"",_xlfn.IFNA(INDEX(drug_codes,MATCH(loaded!AY752,drug,0)),""))</f>
        <v>#N/A</v>
      </c>
      <c r="X752" t="e">
        <f>IF(K752=2,"",_xlfn.IFNA(INDEX(drug_codes,MATCH(loaded!BA752,drug,0)),""))</f>
        <v>#N/A</v>
      </c>
      <c r="Y752" t="e">
        <f>INDEX(MTT_codes,MATCH(loaded!BC752,MTT,0))</f>
        <v>#N/A</v>
      </c>
      <c r="Z752" t="str">
        <f>_xlfn.IFNA(INDEX(MTT_codes,MATCH(loaded!BE752,MTT,0)),"")</f>
        <v/>
      </c>
      <c r="AA752" t="str">
        <f>_xlfn.IFNA(INDEX(MTT_codes,MATCH(loaded!BG752,MTT,0)),"")</f>
        <v/>
      </c>
      <c r="AB752" t="str">
        <f>_xlfn.IFNA(INDEX(MTT_codes,MATCH(loaded!BI752,MTT,0)),"")</f>
        <v/>
      </c>
      <c r="AC752" t="str">
        <f>_xlfn.IFNA(INDEX(MTT_codes,MATCH(loaded!BK752,MTT,0)),"")</f>
        <v/>
      </c>
      <c r="AD752" t="str">
        <f>_xlfn.IFNA(INDEX(MTT_codes,MATCH(loaded!BM752,MTT,0)),"")</f>
        <v/>
      </c>
      <c r="AE752" t="e">
        <f>INDEX(liv_ar_codes,MATCH(loaded!BO752,liv_ar,0))</f>
        <v>#N/A</v>
      </c>
      <c r="AF752" t="str">
        <f>_xlfn.IFNA(INDEX(MTT_codes,MATCH(loaded!BQ752,MTT,0)),"")</f>
        <v/>
      </c>
      <c r="AG752">
        <f>_xlfn.IFNA(INDEX(mental_codes,MATCH(loaded!BS752,mental,0)),9)</f>
        <v>9</v>
      </c>
    </row>
    <row r="753" spans="1:33" x14ac:dyDescent="0.25">
      <c r="A753">
        <f>loaded!C753</f>
        <v>0</v>
      </c>
      <c r="B753">
        <f>loaded!I753</f>
        <v>0</v>
      </c>
      <c r="C753">
        <f>IF(loaded!K753="Male",1,IF(loaded!K753="Female",2,9))</f>
        <v>9</v>
      </c>
      <c r="D753" s="8">
        <f>loaded!M753</f>
        <v>0</v>
      </c>
      <c r="E753" t="str">
        <f>LEFT(loaded!O753,3)</f>
        <v/>
      </c>
      <c r="F753" t="e">
        <f>INDEX(cntry_codes,MATCH(loaded!Q753,countries,0))</f>
        <v>#N/A</v>
      </c>
      <c r="G753" t="e">
        <f>INDEX(atsi_codes,MATCH(loaded!S753,atsi,0))</f>
        <v>#N/A</v>
      </c>
      <c r="H753" t="e">
        <f>INDEX(lang_codes,MATCH(loaded!U753,lang,0))</f>
        <v>#N/A</v>
      </c>
      <c r="I753" s="8">
        <f>loaded!W753</f>
        <v>0</v>
      </c>
      <c r="J753" t="e">
        <f>INDEX(us_acc_codes,MATCH(loaded!Y753,us_acc,0))</f>
        <v>#N/A</v>
      </c>
      <c r="K753" t="e">
        <f>INDEX(client_codes,MATCH(loaded!AA753,client,0))</f>
        <v>#N/A</v>
      </c>
      <c r="L753" t="e">
        <f>INDEX(src_ref_codes,MATCH(loaded!AC753,src_ref,0))</f>
        <v>#N/A</v>
      </c>
      <c r="M753" s="8">
        <f>loaded!AE753</f>
        <v>0</v>
      </c>
      <c r="N753" s="8">
        <f>loaded!AG753</f>
        <v>0</v>
      </c>
      <c r="O753" t="e">
        <f>INDEX(reces_codes,MATCH(loaded!AI753,reason,0))</f>
        <v>#N/A</v>
      </c>
      <c r="P753" t="e">
        <f>INDEX(TDS_codes,MATCH(loaded!AK753,TDS,0))</f>
        <v>#N/A</v>
      </c>
      <c r="Q753" t="e">
        <f>IF(K753=2,"",INDEX(method_codes,MATCH(loaded!AM753,method,0)))</f>
        <v>#N/A</v>
      </c>
      <c r="R753" t="e">
        <f>IF(K753=2,"",INDEX(inj_codes,MATCH(loaded!AO753,inj,0)))</f>
        <v>#N/A</v>
      </c>
      <c r="S753" t="e">
        <f>IF(K753=2,"",INDEX(drug_codes,MATCH(loaded!AQ753,drug,0)))</f>
        <v>#N/A</v>
      </c>
      <c r="T753" t="e">
        <f>IF(K753=2,"",_xlfn.IFNA(INDEX(drug_codes,MATCH(loaded!AS753,drug,0)),""))</f>
        <v>#N/A</v>
      </c>
      <c r="U753" t="e">
        <f>IF(K753=2,"",_xlfn.IFNA(INDEX(drug_codes,MATCH(loaded!AU753,drug,0)),""))</f>
        <v>#N/A</v>
      </c>
      <c r="V753" t="e">
        <f>IF(K753=2,"",_xlfn.IFNA(INDEX(drug_codes,MATCH(loaded!AW753,drug,0)),""))</f>
        <v>#N/A</v>
      </c>
      <c r="W753" t="e">
        <f>IF(K753=2,"",_xlfn.IFNA(INDEX(drug_codes,MATCH(loaded!AY753,drug,0)),""))</f>
        <v>#N/A</v>
      </c>
      <c r="X753" t="e">
        <f>IF(K753=2,"",_xlfn.IFNA(INDEX(drug_codes,MATCH(loaded!BA753,drug,0)),""))</f>
        <v>#N/A</v>
      </c>
      <c r="Y753" t="e">
        <f>INDEX(MTT_codes,MATCH(loaded!BC753,MTT,0))</f>
        <v>#N/A</v>
      </c>
      <c r="Z753" t="str">
        <f>_xlfn.IFNA(INDEX(MTT_codes,MATCH(loaded!BE753,MTT,0)),"")</f>
        <v/>
      </c>
      <c r="AA753" t="str">
        <f>_xlfn.IFNA(INDEX(MTT_codes,MATCH(loaded!BG753,MTT,0)),"")</f>
        <v/>
      </c>
      <c r="AB753" t="str">
        <f>_xlfn.IFNA(INDEX(MTT_codes,MATCH(loaded!BI753,MTT,0)),"")</f>
        <v/>
      </c>
      <c r="AC753" t="str">
        <f>_xlfn.IFNA(INDEX(MTT_codes,MATCH(loaded!BK753,MTT,0)),"")</f>
        <v/>
      </c>
      <c r="AD753" t="str">
        <f>_xlfn.IFNA(INDEX(MTT_codes,MATCH(loaded!BM753,MTT,0)),"")</f>
        <v/>
      </c>
      <c r="AE753" t="e">
        <f>INDEX(liv_ar_codes,MATCH(loaded!BO753,liv_ar,0))</f>
        <v>#N/A</v>
      </c>
      <c r="AF753" t="str">
        <f>_xlfn.IFNA(INDEX(MTT_codes,MATCH(loaded!BQ753,MTT,0)),"")</f>
        <v/>
      </c>
      <c r="AG753">
        <f>_xlfn.IFNA(INDEX(mental_codes,MATCH(loaded!BS753,mental,0)),9)</f>
        <v>9</v>
      </c>
    </row>
    <row r="754" spans="1:33" x14ac:dyDescent="0.25">
      <c r="A754">
        <f>loaded!C754</f>
        <v>0</v>
      </c>
      <c r="B754">
        <f>loaded!I754</f>
        <v>0</v>
      </c>
      <c r="C754">
        <f>IF(loaded!K754="Male",1,IF(loaded!K754="Female",2,9))</f>
        <v>9</v>
      </c>
      <c r="D754" s="8">
        <f>loaded!M754</f>
        <v>0</v>
      </c>
      <c r="E754" t="str">
        <f>LEFT(loaded!O754,3)</f>
        <v/>
      </c>
      <c r="F754" t="e">
        <f>INDEX(cntry_codes,MATCH(loaded!Q754,countries,0))</f>
        <v>#N/A</v>
      </c>
      <c r="G754" t="e">
        <f>INDEX(atsi_codes,MATCH(loaded!S754,atsi,0))</f>
        <v>#N/A</v>
      </c>
      <c r="H754" t="e">
        <f>INDEX(lang_codes,MATCH(loaded!U754,lang,0))</f>
        <v>#N/A</v>
      </c>
      <c r="I754" s="8">
        <f>loaded!W754</f>
        <v>0</v>
      </c>
      <c r="J754" t="e">
        <f>INDEX(us_acc_codes,MATCH(loaded!Y754,us_acc,0))</f>
        <v>#N/A</v>
      </c>
      <c r="K754" t="e">
        <f>INDEX(client_codes,MATCH(loaded!AA754,client,0))</f>
        <v>#N/A</v>
      </c>
      <c r="L754" t="e">
        <f>INDEX(src_ref_codes,MATCH(loaded!AC754,src_ref,0))</f>
        <v>#N/A</v>
      </c>
      <c r="M754" s="8">
        <f>loaded!AE754</f>
        <v>0</v>
      </c>
      <c r="N754" s="8">
        <f>loaded!AG754</f>
        <v>0</v>
      </c>
      <c r="O754" t="e">
        <f>INDEX(reces_codes,MATCH(loaded!AI754,reason,0))</f>
        <v>#N/A</v>
      </c>
      <c r="P754" t="e">
        <f>INDEX(TDS_codes,MATCH(loaded!AK754,TDS,0))</f>
        <v>#N/A</v>
      </c>
      <c r="Q754" t="e">
        <f>IF(K754=2,"",INDEX(method_codes,MATCH(loaded!AM754,method,0)))</f>
        <v>#N/A</v>
      </c>
      <c r="R754" t="e">
        <f>IF(K754=2,"",INDEX(inj_codes,MATCH(loaded!AO754,inj,0)))</f>
        <v>#N/A</v>
      </c>
      <c r="S754" t="e">
        <f>IF(K754=2,"",INDEX(drug_codes,MATCH(loaded!AQ754,drug,0)))</f>
        <v>#N/A</v>
      </c>
      <c r="T754" t="e">
        <f>IF(K754=2,"",_xlfn.IFNA(INDEX(drug_codes,MATCH(loaded!AS754,drug,0)),""))</f>
        <v>#N/A</v>
      </c>
      <c r="U754" t="e">
        <f>IF(K754=2,"",_xlfn.IFNA(INDEX(drug_codes,MATCH(loaded!AU754,drug,0)),""))</f>
        <v>#N/A</v>
      </c>
      <c r="V754" t="e">
        <f>IF(K754=2,"",_xlfn.IFNA(INDEX(drug_codes,MATCH(loaded!AW754,drug,0)),""))</f>
        <v>#N/A</v>
      </c>
      <c r="W754" t="e">
        <f>IF(K754=2,"",_xlfn.IFNA(INDEX(drug_codes,MATCH(loaded!AY754,drug,0)),""))</f>
        <v>#N/A</v>
      </c>
      <c r="X754" t="e">
        <f>IF(K754=2,"",_xlfn.IFNA(INDEX(drug_codes,MATCH(loaded!BA754,drug,0)),""))</f>
        <v>#N/A</v>
      </c>
      <c r="Y754" t="e">
        <f>INDEX(MTT_codes,MATCH(loaded!BC754,MTT,0))</f>
        <v>#N/A</v>
      </c>
      <c r="Z754" t="str">
        <f>_xlfn.IFNA(INDEX(MTT_codes,MATCH(loaded!BE754,MTT,0)),"")</f>
        <v/>
      </c>
      <c r="AA754" t="str">
        <f>_xlfn.IFNA(INDEX(MTT_codes,MATCH(loaded!BG754,MTT,0)),"")</f>
        <v/>
      </c>
      <c r="AB754" t="str">
        <f>_xlfn.IFNA(INDEX(MTT_codes,MATCH(loaded!BI754,MTT,0)),"")</f>
        <v/>
      </c>
      <c r="AC754" t="str">
        <f>_xlfn.IFNA(INDEX(MTT_codes,MATCH(loaded!BK754,MTT,0)),"")</f>
        <v/>
      </c>
      <c r="AD754" t="str">
        <f>_xlfn.IFNA(INDEX(MTT_codes,MATCH(loaded!BM754,MTT,0)),"")</f>
        <v/>
      </c>
      <c r="AE754" t="e">
        <f>INDEX(liv_ar_codes,MATCH(loaded!BO754,liv_ar,0))</f>
        <v>#N/A</v>
      </c>
      <c r="AF754" t="str">
        <f>_xlfn.IFNA(INDEX(MTT_codes,MATCH(loaded!BQ754,MTT,0)),"")</f>
        <v/>
      </c>
      <c r="AG754">
        <f>_xlfn.IFNA(INDEX(mental_codes,MATCH(loaded!BS754,mental,0)),9)</f>
        <v>9</v>
      </c>
    </row>
    <row r="755" spans="1:33" x14ac:dyDescent="0.25">
      <c r="A755">
        <f>loaded!C755</f>
        <v>0</v>
      </c>
      <c r="B755">
        <f>loaded!I755</f>
        <v>0</v>
      </c>
      <c r="C755">
        <f>IF(loaded!K755="Male",1,IF(loaded!K755="Female",2,9))</f>
        <v>9</v>
      </c>
      <c r="D755" s="8">
        <f>loaded!M755</f>
        <v>0</v>
      </c>
      <c r="E755" t="str">
        <f>LEFT(loaded!O755,3)</f>
        <v/>
      </c>
      <c r="F755" t="e">
        <f>INDEX(cntry_codes,MATCH(loaded!Q755,countries,0))</f>
        <v>#N/A</v>
      </c>
      <c r="G755" t="e">
        <f>INDEX(atsi_codes,MATCH(loaded!S755,atsi,0))</f>
        <v>#N/A</v>
      </c>
      <c r="H755" t="e">
        <f>INDEX(lang_codes,MATCH(loaded!U755,lang,0))</f>
        <v>#N/A</v>
      </c>
      <c r="I755" s="8">
        <f>loaded!W755</f>
        <v>0</v>
      </c>
      <c r="J755" t="e">
        <f>INDEX(us_acc_codes,MATCH(loaded!Y755,us_acc,0))</f>
        <v>#N/A</v>
      </c>
      <c r="K755" t="e">
        <f>INDEX(client_codes,MATCH(loaded!AA755,client,0))</f>
        <v>#N/A</v>
      </c>
      <c r="L755" t="e">
        <f>INDEX(src_ref_codes,MATCH(loaded!AC755,src_ref,0))</f>
        <v>#N/A</v>
      </c>
      <c r="M755" s="8">
        <f>loaded!AE755</f>
        <v>0</v>
      </c>
      <c r="N755" s="8">
        <f>loaded!AG755</f>
        <v>0</v>
      </c>
      <c r="O755" t="e">
        <f>INDEX(reces_codes,MATCH(loaded!AI755,reason,0))</f>
        <v>#N/A</v>
      </c>
      <c r="P755" t="e">
        <f>INDEX(TDS_codes,MATCH(loaded!AK755,TDS,0))</f>
        <v>#N/A</v>
      </c>
      <c r="Q755" t="e">
        <f>IF(K755=2,"",INDEX(method_codes,MATCH(loaded!AM755,method,0)))</f>
        <v>#N/A</v>
      </c>
      <c r="R755" t="e">
        <f>IF(K755=2,"",INDEX(inj_codes,MATCH(loaded!AO755,inj,0)))</f>
        <v>#N/A</v>
      </c>
      <c r="S755" t="e">
        <f>IF(K755=2,"",INDEX(drug_codes,MATCH(loaded!AQ755,drug,0)))</f>
        <v>#N/A</v>
      </c>
      <c r="T755" t="e">
        <f>IF(K755=2,"",_xlfn.IFNA(INDEX(drug_codes,MATCH(loaded!AS755,drug,0)),""))</f>
        <v>#N/A</v>
      </c>
      <c r="U755" t="e">
        <f>IF(K755=2,"",_xlfn.IFNA(INDEX(drug_codes,MATCH(loaded!AU755,drug,0)),""))</f>
        <v>#N/A</v>
      </c>
      <c r="V755" t="e">
        <f>IF(K755=2,"",_xlfn.IFNA(INDEX(drug_codes,MATCH(loaded!AW755,drug,0)),""))</f>
        <v>#N/A</v>
      </c>
      <c r="W755" t="e">
        <f>IF(K755=2,"",_xlfn.IFNA(INDEX(drug_codes,MATCH(loaded!AY755,drug,0)),""))</f>
        <v>#N/A</v>
      </c>
      <c r="X755" t="e">
        <f>IF(K755=2,"",_xlfn.IFNA(INDEX(drug_codes,MATCH(loaded!BA755,drug,0)),""))</f>
        <v>#N/A</v>
      </c>
      <c r="Y755" t="e">
        <f>INDEX(MTT_codes,MATCH(loaded!BC755,MTT,0))</f>
        <v>#N/A</v>
      </c>
      <c r="Z755" t="str">
        <f>_xlfn.IFNA(INDEX(MTT_codes,MATCH(loaded!BE755,MTT,0)),"")</f>
        <v/>
      </c>
      <c r="AA755" t="str">
        <f>_xlfn.IFNA(INDEX(MTT_codes,MATCH(loaded!BG755,MTT,0)),"")</f>
        <v/>
      </c>
      <c r="AB755" t="str">
        <f>_xlfn.IFNA(INDEX(MTT_codes,MATCH(loaded!BI755,MTT,0)),"")</f>
        <v/>
      </c>
      <c r="AC755" t="str">
        <f>_xlfn.IFNA(INDEX(MTT_codes,MATCH(loaded!BK755,MTT,0)),"")</f>
        <v/>
      </c>
      <c r="AD755" t="str">
        <f>_xlfn.IFNA(INDEX(MTT_codes,MATCH(loaded!BM755,MTT,0)),"")</f>
        <v/>
      </c>
      <c r="AE755" t="e">
        <f>INDEX(liv_ar_codes,MATCH(loaded!BO755,liv_ar,0))</f>
        <v>#N/A</v>
      </c>
      <c r="AF755" t="str">
        <f>_xlfn.IFNA(INDEX(MTT_codes,MATCH(loaded!BQ755,MTT,0)),"")</f>
        <v/>
      </c>
      <c r="AG755">
        <f>_xlfn.IFNA(INDEX(mental_codes,MATCH(loaded!BS755,mental,0)),9)</f>
        <v>9</v>
      </c>
    </row>
    <row r="756" spans="1:33" x14ac:dyDescent="0.25">
      <c r="A756">
        <f>loaded!C756</f>
        <v>0</v>
      </c>
      <c r="B756">
        <f>loaded!I756</f>
        <v>0</v>
      </c>
      <c r="C756">
        <f>IF(loaded!K756="Male",1,IF(loaded!K756="Female",2,9))</f>
        <v>9</v>
      </c>
      <c r="D756" s="8">
        <f>loaded!M756</f>
        <v>0</v>
      </c>
      <c r="E756" t="str">
        <f>LEFT(loaded!O756,3)</f>
        <v/>
      </c>
      <c r="F756" t="e">
        <f>INDEX(cntry_codes,MATCH(loaded!Q756,countries,0))</f>
        <v>#N/A</v>
      </c>
      <c r="G756" t="e">
        <f>INDEX(atsi_codes,MATCH(loaded!S756,atsi,0))</f>
        <v>#N/A</v>
      </c>
      <c r="H756" t="e">
        <f>INDEX(lang_codes,MATCH(loaded!U756,lang,0))</f>
        <v>#N/A</v>
      </c>
      <c r="I756" s="8">
        <f>loaded!W756</f>
        <v>0</v>
      </c>
      <c r="J756" t="e">
        <f>INDEX(us_acc_codes,MATCH(loaded!Y756,us_acc,0))</f>
        <v>#N/A</v>
      </c>
      <c r="K756" t="e">
        <f>INDEX(client_codes,MATCH(loaded!AA756,client,0))</f>
        <v>#N/A</v>
      </c>
      <c r="L756" t="e">
        <f>INDEX(src_ref_codes,MATCH(loaded!AC756,src_ref,0))</f>
        <v>#N/A</v>
      </c>
      <c r="M756" s="8">
        <f>loaded!AE756</f>
        <v>0</v>
      </c>
      <c r="N756" s="8">
        <f>loaded!AG756</f>
        <v>0</v>
      </c>
      <c r="O756" t="e">
        <f>INDEX(reces_codes,MATCH(loaded!AI756,reason,0))</f>
        <v>#N/A</v>
      </c>
      <c r="P756" t="e">
        <f>INDEX(TDS_codes,MATCH(loaded!AK756,TDS,0))</f>
        <v>#N/A</v>
      </c>
      <c r="Q756" t="e">
        <f>IF(K756=2,"",INDEX(method_codes,MATCH(loaded!AM756,method,0)))</f>
        <v>#N/A</v>
      </c>
      <c r="R756" t="e">
        <f>IF(K756=2,"",INDEX(inj_codes,MATCH(loaded!AO756,inj,0)))</f>
        <v>#N/A</v>
      </c>
      <c r="S756" t="e">
        <f>IF(K756=2,"",INDEX(drug_codes,MATCH(loaded!AQ756,drug,0)))</f>
        <v>#N/A</v>
      </c>
      <c r="T756" t="e">
        <f>IF(K756=2,"",_xlfn.IFNA(INDEX(drug_codes,MATCH(loaded!AS756,drug,0)),""))</f>
        <v>#N/A</v>
      </c>
      <c r="U756" t="e">
        <f>IF(K756=2,"",_xlfn.IFNA(INDEX(drug_codes,MATCH(loaded!AU756,drug,0)),""))</f>
        <v>#N/A</v>
      </c>
      <c r="V756" t="e">
        <f>IF(K756=2,"",_xlfn.IFNA(INDEX(drug_codes,MATCH(loaded!AW756,drug,0)),""))</f>
        <v>#N/A</v>
      </c>
      <c r="W756" t="e">
        <f>IF(K756=2,"",_xlfn.IFNA(INDEX(drug_codes,MATCH(loaded!AY756,drug,0)),""))</f>
        <v>#N/A</v>
      </c>
      <c r="X756" t="e">
        <f>IF(K756=2,"",_xlfn.IFNA(INDEX(drug_codes,MATCH(loaded!BA756,drug,0)),""))</f>
        <v>#N/A</v>
      </c>
      <c r="Y756" t="e">
        <f>INDEX(MTT_codes,MATCH(loaded!BC756,MTT,0))</f>
        <v>#N/A</v>
      </c>
      <c r="Z756" t="str">
        <f>_xlfn.IFNA(INDEX(MTT_codes,MATCH(loaded!BE756,MTT,0)),"")</f>
        <v/>
      </c>
      <c r="AA756" t="str">
        <f>_xlfn.IFNA(INDEX(MTT_codes,MATCH(loaded!BG756,MTT,0)),"")</f>
        <v/>
      </c>
      <c r="AB756" t="str">
        <f>_xlfn.IFNA(INDEX(MTT_codes,MATCH(loaded!BI756,MTT,0)),"")</f>
        <v/>
      </c>
      <c r="AC756" t="str">
        <f>_xlfn.IFNA(INDEX(MTT_codes,MATCH(loaded!BK756,MTT,0)),"")</f>
        <v/>
      </c>
      <c r="AD756" t="str">
        <f>_xlfn.IFNA(INDEX(MTT_codes,MATCH(loaded!BM756,MTT,0)),"")</f>
        <v/>
      </c>
      <c r="AE756" t="e">
        <f>INDEX(liv_ar_codes,MATCH(loaded!BO756,liv_ar,0))</f>
        <v>#N/A</v>
      </c>
      <c r="AF756" t="str">
        <f>_xlfn.IFNA(INDEX(MTT_codes,MATCH(loaded!BQ756,MTT,0)),"")</f>
        <v/>
      </c>
      <c r="AG756">
        <f>_xlfn.IFNA(INDEX(mental_codes,MATCH(loaded!BS756,mental,0)),9)</f>
        <v>9</v>
      </c>
    </row>
    <row r="757" spans="1:33" x14ac:dyDescent="0.25">
      <c r="A757">
        <f>loaded!C757</f>
        <v>0</v>
      </c>
      <c r="B757">
        <f>loaded!I757</f>
        <v>0</v>
      </c>
      <c r="C757">
        <f>IF(loaded!K757="Male",1,IF(loaded!K757="Female",2,9))</f>
        <v>9</v>
      </c>
      <c r="D757" s="8">
        <f>loaded!M757</f>
        <v>0</v>
      </c>
      <c r="E757" t="str">
        <f>LEFT(loaded!O757,3)</f>
        <v/>
      </c>
      <c r="F757" t="e">
        <f>INDEX(cntry_codes,MATCH(loaded!Q757,countries,0))</f>
        <v>#N/A</v>
      </c>
      <c r="G757" t="e">
        <f>INDEX(atsi_codes,MATCH(loaded!S757,atsi,0))</f>
        <v>#N/A</v>
      </c>
      <c r="H757" t="e">
        <f>INDEX(lang_codes,MATCH(loaded!U757,lang,0))</f>
        <v>#N/A</v>
      </c>
      <c r="I757" s="8">
        <f>loaded!W757</f>
        <v>0</v>
      </c>
      <c r="J757" t="e">
        <f>INDEX(us_acc_codes,MATCH(loaded!Y757,us_acc,0))</f>
        <v>#N/A</v>
      </c>
      <c r="K757" t="e">
        <f>INDEX(client_codes,MATCH(loaded!AA757,client,0))</f>
        <v>#N/A</v>
      </c>
      <c r="L757" t="e">
        <f>INDEX(src_ref_codes,MATCH(loaded!AC757,src_ref,0))</f>
        <v>#N/A</v>
      </c>
      <c r="M757" s="8">
        <f>loaded!AE757</f>
        <v>0</v>
      </c>
      <c r="N757" s="8">
        <f>loaded!AG757</f>
        <v>0</v>
      </c>
      <c r="O757" t="e">
        <f>INDEX(reces_codes,MATCH(loaded!AI757,reason,0))</f>
        <v>#N/A</v>
      </c>
      <c r="P757" t="e">
        <f>INDEX(TDS_codes,MATCH(loaded!AK757,TDS,0))</f>
        <v>#N/A</v>
      </c>
      <c r="Q757" t="e">
        <f>IF(K757=2,"",INDEX(method_codes,MATCH(loaded!AM757,method,0)))</f>
        <v>#N/A</v>
      </c>
      <c r="R757" t="e">
        <f>IF(K757=2,"",INDEX(inj_codes,MATCH(loaded!AO757,inj,0)))</f>
        <v>#N/A</v>
      </c>
      <c r="S757" t="e">
        <f>IF(K757=2,"",INDEX(drug_codes,MATCH(loaded!AQ757,drug,0)))</f>
        <v>#N/A</v>
      </c>
      <c r="T757" t="e">
        <f>IF(K757=2,"",_xlfn.IFNA(INDEX(drug_codes,MATCH(loaded!AS757,drug,0)),""))</f>
        <v>#N/A</v>
      </c>
      <c r="U757" t="e">
        <f>IF(K757=2,"",_xlfn.IFNA(INDEX(drug_codes,MATCH(loaded!AU757,drug,0)),""))</f>
        <v>#N/A</v>
      </c>
      <c r="V757" t="e">
        <f>IF(K757=2,"",_xlfn.IFNA(INDEX(drug_codes,MATCH(loaded!AW757,drug,0)),""))</f>
        <v>#N/A</v>
      </c>
      <c r="W757" t="e">
        <f>IF(K757=2,"",_xlfn.IFNA(INDEX(drug_codes,MATCH(loaded!AY757,drug,0)),""))</f>
        <v>#N/A</v>
      </c>
      <c r="X757" t="e">
        <f>IF(K757=2,"",_xlfn.IFNA(INDEX(drug_codes,MATCH(loaded!BA757,drug,0)),""))</f>
        <v>#N/A</v>
      </c>
      <c r="Y757" t="e">
        <f>INDEX(MTT_codes,MATCH(loaded!BC757,MTT,0))</f>
        <v>#N/A</v>
      </c>
      <c r="Z757" t="str">
        <f>_xlfn.IFNA(INDEX(MTT_codes,MATCH(loaded!BE757,MTT,0)),"")</f>
        <v/>
      </c>
      <c r="AA757" t="str">
        <f>_xlfn.IFNA(INDEX(MTT_codes,MATCH(loaded!BG757,MTT,0)),"")</f>
        <v/>
      </c>
      <c r="AB757" t="str">
        <f>_xlfn.IFNA(INDEX(MTT_codes,MATCH(loaded!BI757,MTT,0)),"")</f>
        <v/>
      </c>
      <c r="AC757" t="str">
        <f>_xlfn.IFNA(INDEX(MTT_codes,MATCH(loaded!BK757,MTT,0)),"")</f>
        <v/>
      </c>
      <c r="AD757" t="str">
        <f>_xlfn.IFNA(INDEX(MTT_codes,MATCH(loaded!BM757,MTT,0)),"")</f>
        <v/>
      </c>
      <c r="AE757" t="e">
        <f>INDEX(liv_ar_codes,MATCH(loaded!BO757,liv_ar,0))</f>
        <v>#N/A</v>
      </c>
      <c r="AF757" t="str">
        <f>_xlfn.IFNA(INDEX(MTT_codes,MATCH(loaded!BQ757,MTT,0)),"")</f>
        <v/>
      </c>
      <c r="AG757">
        <f>_xlfn.IFNA(INDEX(mental_codes,MATCH(loaded!BS757,mental,0)),9)</f>
        <v>9</v>
      </c>
    </row>
    <row r="758" spans="1:33" x14ac:dyDescent="0.25">
      <c r="A758">
        <f>loaded!C758</f>
        <v>0</v>
      </c>
      <c r="B758">
        <f>loaded!I758</f>
        <v>0</v>
      </c>
      <c r="C758">
        <f>IF(loaded!K758="Male",1,IF(loaded!K758="Female",2,9))</f>
        <v>9</v>
      </c>
      <c r="D758" s="8">
        <f>loaded!M758</f>
        <v>0</v>
      </c>
      <c r="E758" t="str">
        <f>LEFT(loaded!O758,3)</f>
        <v/>
      </c>
      <c r="F758" t="e">
        <f>INDEX(cntry_codes,MATCH(loaded!Q758,countries,0))</f>
        <v>#N/A</v>
      </c>
      <c r="G758" t="e">
        <f>INDEX(atsi_codes,MATCH(loaded!S758,atsi,0))</f>
        <v>#N/A</v>
      </c>
      <c r="H758" t="e">
        <f>INDEX(lang_codes,MATCH(loaded!U758,lang,0))</f>
        <v>#N/A</v>
      </c>
      <c r="I758" s="8">
        <f>loaded!W758</f>
        <v>0</v>
      </c>
      <c r="J758" t="e">
        <f>INDEX(us_acc_codes,MATCH(loaded!Y758,us_acc,0))</f>
        <v>#N/A</v>
      </c>
      <c r="K758" t="e">
        <f>INDEX(client_codes,MATCH(loaded!AA758,client,0))</f>
        <v>#N/A</v>
      </c>
      <c r="L758" t="e">
        <f>INDEX(src_ref_codes,MATCH(loaded!AC758,src_ref,0))</f>
        <v>#N/A</v>
      </c>
      <c r="M758" s="8">
        <f>loaded!AE758</f>
        <v>0</v>
      </c>
      <c r="N758" s="8">
        <f>loaded!AG758</f>
        <v>0</v>
      </c>
      <c r="O758" t="e">
        <f>INDEX(reces_codes,MATCH(loaded!AI758,reason,0))</f>
        <v>#N/A</v>
      </c>
      <c r="P758" t="e">
        <f>INDEX(TDS_codes,MATCH(loaded!AK758,TDS,0))</f>
        <v>#N/A</v>
      </c>
      <c r="Q758" t="e">
        <f>IF(K758=2,"",INDEX(method_codes,MATCH(loaded!AM758,method,0)))</f>
        <v>#N/A</v>
      </c>
      <c r="R758" t="e">
        <f>IF(K758=2,"",INDEX(inj_codes,MATCH(loaded!AO758,inj,0)))</f>
        <v>#N/A</v>
      </c>
      <c r="S758" t="e">
        <f>IF(K758=2,"",INDEX(drug_codes,MATCH(loaded!AQ758,drug,0)))</f>
        <v>#N/A</v>
      </c>
      <c r="T758" t="e">
        <f>IF(K758=2,"",_xlfn.IFNA(INDEX(drug_codes,MATCH(loaded!AS758,drug,0)),""))</f>
        <v>#N/A</v>
      </c>
      <c r="U758" t="e">
        <f>IF(K758=2,"",_xlfn.IFNA(INDEX(drug_codes,MATCH(loaded!AU758,drug,0)),""))</f>
        <v>#N/A</v>
      </c>
      <c r="V758" t="e">
        <f>IF(K758=2,"",_xlfn.IFNA(INDEX(drug_codes,MATCH(loaded!AW758,drug,0)),""))</f>
        <v>#N/A</v>
      </c>
      <c r="W758" t="e">
        <f>IF(K758=2,"",_xlfn.IFNA(INDEX(drug_codes,MATCH(loaded!AY758,drug,0)),""))</f>
        <v>#N/A</v>
      </c>
      <c r="X758" t="e">
        <f>IF(K758=2,"",_xlfn.IFNA(INDEX(drug_codes,MATCH(loaded!BA758,drug,0)),""))</f>
        <v>#N/A</v>
      </c>
      <c r="Y758" t="e">
        <f>INDEX(MTT_codes,MATCH(loaded!BC758,MTT,0))</f>
        <v>#N/A</v>
      </c>
      <c r="Z758" t="str">
        <f>_xlfn.IFNA(INDEX(MTT_codes,MATCH(loaded!BE758,MTT,0)),"")</f>
        <v/>
      </c>
      <c r="AA758" t="str">
        <f>_xlfn.IFNA(INDEX(MTT_codes,MATCH(loaded!BG758,MTT,0)),"")</f>
        <v/>
      </c>
      <c r="AB758" t="str">
        <f>_xlfn.IFNA(INDEX(MTT_codes,MATCH(loaded!BI758,MTT,0)),"")</f>
        <v/>
      </c>
      <c r="AC758" t="str">
        <f>_xlfn.IFNA(INDEX(MTT_codes,MATCH(loaded!BK758,MTT,0)),"")</f>
        <v/>
      </c>
      <c r="AD758" t="str">
        <f>_xlfn.IFNA(INDEX(MTT_codes,MATCH(loaded!BM758,MTT,0)),"")</f>
        <v/>
      </c>
      <c r="AE758" t="e">
        <f>INDEX(liv_ar_codes,MATCH(loaded!BO758,liv_ar,0))</f>
        <v>#N/A</v>
      </c>
      <c r="AF758" t="str">
        <f>_xlfn.IFNA(INDEX(MTT_codes,MATCH(loaded!BQ758,MTT,0)),"")</f>
        <v/>
      </c>
      <c r="AG758">
        <f>_xlfn.IFNA(INDEX(mental_codes,MATCH(loaded!BS758,mental,0)),9)</f>
        <v>9</v>
      </c>
    </row>
    <row r="759" spans="1:33" x14ac:dyDescent="0.25">
      <c r="A759">
        <f>loaded!C759</f>
        <v>0</v>
      </c>
      <c r="B759">
        <f>loaded!I759</f>
        <v>0</v>
      </c>
      <c r="C759">
        <f>IF(loaded!K759="Male",1,IF(loaded!K759="Female",2,9))</f>
        <v>9</v>
      </c>
      <c r="D759" s="8">
        <f>loaded!M759</f>
        <v>0</v>
      </c>
      <c r="E759" t="str">
        <f>LEFT(loaded!O759,3)</f>
        <v/>
      </c>
      <c r="F759" t="e">
        <f>INDEX(cntry_codes,MATCH(loaded!Q759,countries,0))</f>
        <v>#N/A</v>
      </c>
      <c r="G759" t="e">
        <f>INDEX(atsi_codes,MATCH(loaded!S759,atsi,0))</f>
        <v>#N/A</v>
      </c>
      <c r="H759" t="e">
        <f>INDEX(lang_codes,MATCH(loaded!U759,lang,0))</f>
        <v>#N/A</v>
      </c>
      <c r="I759" s="8">
        <f>loaded!W759</f>
        <v>0</v>
      </c>
      <c r="J759" t="e">
        <f>INDEX(us_acc_codes,MATCH(loaded!Y759,us_acc,0))</f>
        <v>#N/A</v>
      </c>
      <c r="K759" t="e">
        <f>INDEX(client_codes,MATCH(loaded!AA759,client,0))</f>
        <v>#N/A</v>
      </c>
      <c r="L759" t="e">
        <f>INDEX(src_ref_codes,MATCH(loaded!AC759,src_ref,0))</f>
        <v>#N/A</v>
      </c>
      <c r="M759" s="8">
        <f>loaded!AE759</f>
        <v>0</v>
      </c>
      <c r="N759" s="8">
        <f>loaded!AG759</f>
        <v>0</v>
      </c>
      <c r="O759" t="e">
        <f>INDEX(reces_codes,MATCH(loaded!AI759,reason,0))</f>
        <v>#N/A</v>
      </c>
      <c r="P759" t="e">
        <f>INDEX(TDS_codes,MATCH(loaded!AK759,TDS,0))</f>
        <v>#N/A</v>
      </c>
      <c r="Q759" t="e">
        <f>IF(K759=2,"",INDEX(method_codes,MATCH(loaded!AM759,method,0)))</f>
        <v>#N/A</v>
      </c>
      <c r="R759" t="e">
        <f>IF(K759=2,"",INDEX(inj_codes,MATCH(loaded!AO759,inj,0)))</f>
        <v>#N/A</v>
      </c>
      <c r="S759" t="e">
        <f>IF(K759=2,"",INDEX(drug_codes,MATCH(loaded!AQ759,drug,0)))</f>
        <v>#N/A</v>
      </c>
      <c r="T759" t="e">
        <f>IF(K759=2,"",_xlfn.IFNA(INDEX(drug_codes,MATCH(loaded!AS759,drug,0)),""))</f>
        <v>#N/A</v>
      </c>
      <c r="U759" t="e">
        <f>IF(K759=2,"",_xlfn.IFNA(INDEX(drug_codes,MATCH(loaded!AU759,drug,0)),""))</f>
        <v>#N/A</v>
      </c>
      <c r="V759" t="e">
        <f>IF(K759=2,"",_xlfn.IFNA(INDEX(drug_codes,MATCH(loaded!AW759,drug,0)),""))</f>
        <v>#N/A</v>
      </c>
      <c r="W759" t="e">
        <f>IF(K759=2,"",_xlfn.IFNA(INDEX(drug_codes,MATCH(loaded!AY759,drug,0)),""))</f>
        <v>#N/A</v>
      </c>
      <c r="X759" t="e">
        <f>IF(K759=2,"",_xlfn.IFNA(INDEX(drug_codes,MATCH(loaded!BA759,drug,0)),""))</f>
        <v>#N/A</v>
      </c>
      <c r="Y759" t="e">
        <f>INDEX(MTT_codes,MATCH(loaded!BC759,MTT,0))</f>
        <v>#N/A</v>
      </c>
      <c r="Z759" t="str">
        <f>_xlfn.IFNA(INDEX(MTT_codes,MATCH(loaded!BE759,MTT,0)),"")</f>
        <v/>
      </c>
      <c r="AA759" t="str">
        <f>_xlfn.IFNA(INDEX(MTT_codes,MATCH(loaded!BG759,MTT,0)),"")</f>
        <v/>
      </c>
      <c r="AB759" t="str">
        <f>_xlfn.IFNA(INDEX(MTT_codes,MATCH(loaded!BI759,MTT,0)),"")</f>
        <v/>
      </c>
      <c r="AC759" t="str">
        <f>_xlfn.IFNA(INDEX(MTT_codes,MATCH(loaded!BK759,MTT,0)),"")</f>
        <v/>
      </c>
      <c r="AD759" t="str">
        <f>_xlfn.IFNA(INDEX(MTT_codes,MATCH(loaded!BM759,MTT,0)),"")</f>
        <v/>
      </c>
      <c r="AE759" t="e">
        <f>INDEX(liv_ar_codes,MATCH(loaded!BO759,liv_ar,0))</f>
        <v>#N/A</v>
      </c>
      <c r="AF759" t="str">
        <f>_xlfn.IFNA(INDEX(MTT_codes,MATCH(loaded!BQ759,MTT,0)),"")</f>
        <v/>
      </c>
      <c r="AG759">
        <f>_xlfn.IFNA(INDEX(mental_codes,MATCH(loaded!BS759,mental,0)),9)</f>
        <v>9</v>
      </c>
    </row>
    <row r="760" spans="1:33" x14ac:dyDescent="0.25">
      <c r="A760">
        <f>loaded!C760</f>
        <v>0</v>
      </c>
      <c r="B760">
        <f>loaded!I760</f>
        <v>0</v>
      </c>
      <c r="C760">
        <f>IF(loaded!K760="Male",1,IF(loaded!K760="Female",2,9))</f>
        <v>9</v>
      </c>
      <c r="D760" s="8">
        <f>loaded!M760</f>
        <v>0</v>
      </c>
      <c r="E760" t="str">
        <f>LEFT(loaded!O760,3)</f>
        <v/>
      </c>
      <c r="F760" t="e">
        <f>INDEX(cntry_codes,MATCH(loaded!Q760,countries,0))</f>
        <v>#N/A</v>
      </c>
      <c r="G760" t="e">
        <f>INDEX(atsi_codes,MATCH(loaded!S760,atsi,0))</f>
        <v>#N/A</v>
      </c>
      <c r="H760" t="e">
        <f>INDEX(lang_codes,MATCH(loaded!U760,lang,0))</f>
        <v>#N/A</v>
      </c>
      <c r="I760" s="8">
        <f>loaded!W760</f>
        <v>0</v>
      </c>
      <c r="J760" t="e">
        <f>INDEX(us_acc_codes,MATCH(loaded!Y760,us_acc,0))</f>
        <v>#N/A</v>
      </c>
      <c r="K760" t="e">
        <f>INDEX(client_codes,MATCH(loaded!AA760,client,0))</f>
        <v>#N/A</v>
      </c>
      <c r="L760" t="e">
        <f>INDEX(src_ref_codes,MATCH(loaded!AC760,src_ref,0))</f>
        <v>#N/A</v>
      </c>
      <c r="M760" s="8">
        <f>loaded!AE760</f>
        <v>0</v>
      </c>
      <c r="N760" s="8">
        <f>loaded!AG760</f>
        <v>0</v>
      </c>
      <c r="O760" t="e">
        <f>INDEX(reces_codes,MATCH(loaded!AI760,reason,0))</f>
        <v>#N/A</v>
      </c>
      <c r="P760" t="e">
        <f>INDEX(TDS_codes,MATCH(loaded!AK760,TDS,0))</f>
        <v>#N/A</v>
      </c>
      <c r="Q760" t="e">
        <f>IF(K760=2,"",INDEX(method_codes,MATCH(loaded!AM760,method,0)))</f>
        <v>#N/A</v>
      </c>
      <c r="R760" t="e">
        <f>IF(K760=2,"",INDEX(inj_codes,MATCH(loaded!AO760,inj,0)))</f>
        <v>#N/A</v>
      </c>
      <c r="S760" t="e">
        <f>IF(K760=2,"",INDEX(drug_codes,MATCH(loaded!AQ760,drug,0)))</f>
        <v>#N/A</v>
      </c>
      <c r="T760" t="e">
        <f>IF(K760=2,"",_xlfn.IFNA(INDEX(drug_codes,MATCH(loaded!AS760,drug,0)),""))</f>
        <v>#N/A</v>
      </c>
      <c r="U760" t="e">
        <f>IF(K760=2,"",_xlfn.IFNA(INDEX(drug_codes,MATCH(loaded!AU760,drug,0)),""))</f>
        <v>#N/A</v>
      </c>
      <c r="V760" t="e">
        <f>IF(K760=2,"",_xlfn.IFNA(INDEX(drug_codes,MATCH(loaded!AW760,drug,0)),""))</f>
        <v>#N/A</v>
      </c>
      <c r="W760" t="e">
        <f>IF(K760=2,"",_xlfn.IFNA(INDEX(drug_codes,MATCH(loaded!AY760,drug,0)),""))</f>
        <v>#N/A</v>
      </c>
      <c r="X760" t="e">
        <f>IF(K760=2,"",_xlfn.IFNA(INDEX(drug_codes,MATCH(loaded!BA760,drug,0)),""))</f>
        <v>#N/A</v>
      </c>
      <c r="Y760" t="e">
        <f>INDEX(MTT_codes,MATCH(loaded!BC760,MTT,0))</f>
        <v>#N/A</v>
      </c>
      <c r="Z760" t="str">
        <f>_xlfn.IFNA(INDEX(MTT_codes,MATCH(loaded!BE760,MTT,0)),"")</f>
        <v/>
      </c>
      <c r="AA760" t="str">
        <f>_xlfn.IFNA(INDEX(MTT_codes,MATCH(loaded!BG760,MTT,0)),"")</f>
        <v/>
      </c>
      <c r="AB760" t="str">
        <f>_xlfn.IFNA(INDEX(MTT_codes,MATCH(loaded!BI760,MTT,0)),"")</f>
        <v/>
      </c>
      <c r="AC760" t="str">
        <f>_xlfn.IFNA(INDEX(MTT_codes,MATCH(loaded!BK760,MTT,0)),"")</f>
        <v/>
      </c>
      <c r="AD760" t="str">
        <f>_xlfn.IFNA(INDEX(MTT_codes,MATCH(loaded!BM760,MTT,0)),"")</f>
        <v/>
      </c>
      <c r="AE760" t="e">
        <f>INDEX(liv_ar_codes,MATCH(loaded!BO760,liv_ar,0))</f>
        <v>#N/A</v>
      </c>
      <c r="AF760" t="str">
        <f>_xlfn.IFNA(INDEX(MTT_codes,MATCH(loaded!BQ760,MTT,0)),"")</f>
        <v/>
      </c>
      <c r="AG760">
        <f>_xlfn.IFNA(INDEX(mental_codes,MATCH(loaded!BS760,mental,0)),9)</f>
        <v>9</v>
      </c>
    </row>
    <row r="761" spans="1:33" x14ac:dyDescent="0.25">
      <c r="A761">
        <f>loaded!C761</f>
        <v>0</v>
      </c>
      <c r="B761">
        <f>loaded!I761</f>
        <v>0</v>
      </c>
      <c r="C761">
        <f>IF(loaded!K761="Male",1,IF(loaded!K761="Female",2,9))</f>
        <v>9</v>
      </c>
      <c r="D761" s="8">
        <f>loaded!M761</f>
        <v>0</v>
      </c>
      <c r="E761" t="str">
        <f>LEFT(loaded!O761,3)</f>
        <v/>
      </c>
      <c r="F761" t="e">
        <f>INDEX(cntry_codes,MATCH(loaded!Q761,countries,0))</f>
        <v>#N/A</v>
      </c>
      <c r="G761" t="e">
        <f>INDEX(atsi_codes,MATCH(loaded!S761,atsi,0))</f>
        <v>#N/A</v>
      </c>
      <c r="H761" t="e">
        <f>INDEX(lang_codes,MATCH(loaded!U761,lang,0))</f>
        <v>#N/A</v>
      </c>
      <c r="I761" s="8">
        <f>loaded!W761</f>
        <v>0</v>
      </c>
      <c r="J761" t="e">
        <f>INDEX(us_acc_codes,MATCH(loaded!Y761,us_acc,0))</f>
        <v>#N/A</v>
      </c>
      <c r="K761" t="e">
        <f>INDEX(client_codes,MATCH(loaded!AA761,client,0))</f>
        <v>#N/A</v>
      </c>
      <c r="L761" t="e">
        <f>INDEX(src_ref_codes,MATCH(loaded!AC761,src_ref,0))</f>
        <v>#N/A</v>
      </c>
      <c r="M761" s="8">
        <f>loaded!AE761</f>
        <v>0</v>
      </c>
      <c r="N761" s="8">
        <f>loaded!AG761</f>
        <v>0</v>
      </c>
      <c r="O761" t="e">
        <f>INDEX(reces_codes,MATCH(loaded!AI761,reason,0))</f>
        <v>#N/A</v>
      </c>
      <c r="P761" t="e">
        <f>INDEX(TDS_codes,MATCH(loaded!AK761,TDS,0))</f>
        <v>#N/A</v>
      </c>
      <c r="Q761" t="e">
        <f>IF(K761=2,"",INDEX(method_codes,MATCH(loaded!AM761,method,0)))</f>
        <v>#N/A</v>
      </c>
      <c r="R761" t="e">
        <f>IF(K761=2,"",INDEX(inj_codes,MATCH(loaded!AO761,inj,0)))</f>
        <v>#N/A</v>
      </c>
      <c r="S761" t="e">
        <f>IF(K761=2,"",INDEX(drug_codes,MATCH(loaded!AQ761,drug,0)))</f>
        <v>#N/A</v>
      </c>
      <c r="T761" t="e">
        <f>IF(K761=2,"",_xlfn.IFNA(INDEX(drug_codes,MATCH(loaded!AS761,drug,0)),""))</f>
        <v>#N/A</v>
      </c>
      <c r="U761" t="e">
        <f>IF(K761=2,"",_xlfn.IFNA(INDEX(drug_codes,MATCH(loaded!AU761,drug,0)),""))</f>
        <v>#N/A</v>
      </c>
      <c r="V761" t="e">
        <f>IF(K761=2,"",_xlfn.IFNA(INDEX(drug_codes,MATCH(loaded!AW761,drug,0)),""))</f>
        <v>#N/A</v>
      </c>
      <c r="W761" t="e">
        <f>IF(K761=2,"",_xlfn.IFNA(INDEX(drug_codes,MATCH(loaded!AY761,drug,0)),""))</f>
        <v>#N/A</v>
      </c>
      <c r="X761" t="e">
        <f>IF(K761=2,"",_xlfn.IFNA(INDEX(drug_codes,MATCH(loaded!BA761,drug,0)),""))</f>
        <v>#N/A</v>
      </c>
      <c r="Y761" t="e">
        <f>INDEX(MTT_codes,MATCH(loaded!BC761,MTT,0))</f>
        <v>#N/A</v>
      </c>
      <c r="Z761" t="str">
        <f>_xlfn.IFNA(INDEX(MTT_codes,MATCH(loaded!BE761,MTT,0)),"")</f>
        <v/>
      </c>
      <c r="AA761" t="str">
        <f>_xlfn.IFNA(INDEX(MTT_codes,MATCH(loaded!BG761,MTT,0)),"")</f>
        <v/>
      </c>
      <c r="AB761" t="str">
        <f>_xlfn.IFNA(INDEX(MTT_codes,MATCH(loaded!BI761,MTT,0)),"")</f>
        <v/>
      </c>
      <c r="AC761" t="str">
        <f>_xlfn.IFNA(INDEX(MTT_codes,MATCH(loaded!BK761,MTT,0)),"")</f>
        <v/>
      </c>
      <c r="AD761" t="str">
        <f>_xlfn.IFNA(INDEX(MTT_codes,MATCH(loaded!BM761,MTT,0)),"")</f>
        <v/>
      </c>
      <c r="AE761" t="e">
        <f>INDEX(liv_ar_codes,MATCH(loaded!BO761,liv_ar,0))</f>
        <v>#N/A</v>
      </c>
      <c r="AF761" t="str">
        <f>_xlfn.IFNA(INDEX(MTT_codes,MATCH(loaded!BQ761,MTT,0)),"")</f>
        <v/>
      </c>
      <c r="AG761">
        <f>_xlfn.IFNA(INDEX(mental_codes,MATCH(loaded!BS761,mental,0)),9)</f>
        <v>9</v>
      </c>
    </row>
    <row r="762" spans="1:33" x14ac:dyDescent="0.25">
      <c r="A762">
        <f>loaded!C762</f>
        <v>0</v>
      </c>
      <c r="B762">
        <f>loaded!I762</f>
        <v>0</v>
      </c>
      <c r="C762">
        <f>IF(loaded!K762="Male",1,IF(loaded!K762="Female",2,9))</f>
        <v>9</v>
      </c>
      <c r="D762" s="8">
        <f>loaded!M762</f>
        <v>0</v>
      </c>
      <c r="E762" t="str">
        <f>LEFT(loaded!O762,3)</f>
        <v/>
      </c>
      <c r="F762" t="e">
        <f>INDEX(cntry_codes,MATCH(loaded!Q762,countries,0))</f>
        <v>#N/A</v>
      </c>
      <c r="G762" t="e">
        <f>INDEX(atsi_codes,MATCH(loaded!S762,atsi,0))</f>
        <v>#N/A</v>
      </c>
      <c r="H762" t="e">
        <f>INDEX(lang_codes,MATCH(loaded!U762,lang,0))</f>
        <v>#N/A</v>
      </c>
      <c r="I762" s="8">
        <f>loaded!W762</f>
        <v>0</v>
      </c>
      <c r="J762" t="e">
        <f>INDEX(us_acc_codes,MATCH(loaded!Y762,us_acc,0))</f>
        <v>#N/A</v>
      </c>
      <c r="K762" t="e">
        <f>INDEX(client_codes,MATCH(loaded!AA762,client,0))</f>
        <v>#N/A</v>
      </c>
      <c r="L762" t="e">
        <f>INDEX(src_ref_codes,MATCH(loaded!AC762,src_ref,0))</f>
        <v>#N/A</v>
      </c>
      <c r="M762" s="8">
        <f>loaded!AE762</f>
        <v>0</v>
      </c>
      <c r="N762" s="8">
        <f>loaded!AG762</f>
        <v>0</v>
      </c>
      <c r="O762" t="e">
        <f>INDEX(reces_codes,MATCH(loaded!AI762,reason,0))</f>
        <v>#N/A</v>
      </c>
      <c r="P762" t="e">
        <f>INDEX(TDS_codes,MATCH(loaded!AK762,TDS,0))</f>
        <v>#N/A</v>
      </c>
      <c r="Q762" t="e">
        <f>IF(K762=2,"",INDEX(method_codes,MATCH(loaded!AM762,method,0)))</f>
        <v>#N/A</v>
      </c>
      <c r="R762" t="e">
        <f>IF(K762=2,"",INDEX(inj_codes,MATCH(loaded!AO762,inj,0)))</f>
        <v>#N/A</v>
      </c>
      <c r="S762" t="e">
        <f>IF(K762=2,"",INDEX(drug_codes,MATCH(loaded!AQ762,drug,0)))</f>
        <v>#N/A</v>
      </c>
      <c r="T762" t="e">
        <f>IF(K762=2,"",_xlfn.IFNA(INDEX(drug_codes,MATCH(loaded!AS762,drug,0)),""))</f>
        <v>#N/A</v>
      </c>
      <c r="U762" t="e">
        <f>IF(K762=2,"",_xlfn.IFNA(INDEX(drug_codes,MATCH(loaded!AU762,drug,0)),""))</f>
        <v>#N/A</v>
      </c>
      <c r="V762" t="e">
        <f>IF(K762=2,"",_xlfn.IFNA(INDEX(drug_codes,MATCH(loaded!AW762,drug,0)),""))</f>
        <v>#N/A</v>
      </c>
      <c r="W762" t="e">
        <f>IF(K762=2,"",_xlfn.IFNA(INDEX(drug_codes,MATCH(loaded!AY762,drug,0)),""))</f>
        <v>#N/A</v>
      </c>
      <c r="X762" t="e">
        <f>IF(K762=2,"",_xlfn.IFNA(INDEX(drug_codes,MATCH(loaded!BA762,drug,0)),""))</f>
        <v>#N/A</v>
      </c>
      <c r="Y762" t="e">
        <f>INDEX(MTT_codes,MATCH(loaded!BC762,MTT,0))</f>
        <v>#N/A</v>
      </c>
      <c r="Z762" t="str">
        <f>_xlfn.IFNA(INDEX(MTT_codes,MATCH(loaded!BE762,MTT,0)),"")</f>
        <v/>
      </c>
      <c r="AA762" t="str">
        <f>_xlfn.IFNA(INDEX(MTT_codes,MATCH(loaded!BG762,MTT,0)),"")</f>
        <v/>
      </c>
      <c r="AB762" t="str">
        <f>_xlfn.IFNA(INDEX(MTT_codes,MATCH(loaded!BI762,MTT,0)),"")</f>
        <v/>
      </c>
      <c r="AC762" t="str">
        <f>_xlfn.IFNA(INDEX(MTT_codes,MATCH(loaded!BK762,MTT,0)),"")</f>
        <v/>
      </c>
      <c r="AD762" t="str">
        <f>_xlfn.IFNA(INDEX(MTT_codes,MATCH(loaded!BM762,MTT,0)),"")</f>
        <v/>
      </c>
      <c r="AE762" t="e">
        <f>INDEX(liv_ar_codes,MATCH(loaded!BO762,liv_ar,0))</f>
        <v>#N/A</v>
      </c>
      <c r="AF762" t="str">
        <f>_xlfn.IFNA(INDEX(MTT_codes,MATCH(loaded!BQ762,MTT,0)),"")</f>
        <v/>
      </c>
      <c r="AG762">
        <f>_xlfn.IFNA(INDEX(mental_codes,MATCH(loaded!BS762,mental,0)),9)</f>
        <v>9</v>
      </c>
    </row>
    <row r="763" spans="1:33" x14ac:dyDescent="0.25">
      <c r="A763">
        <f>loaded!C763</f>
        <v>0</v>
      </c>
      <c r="B763">
        <f>loaded!I763</f>
        <v>0</v>
      </c>
      <c r="C763">
        <f>IF(loaded!K763="Male",1,IF(loaded!K763="Female",2,9))</f>
        <v>9</v>
      </c>
      <c r="D763" s="8">
        <f>loaded!M763</f>
        <v>0</v>
      </c>
      <c r="E763" t="str">
        <f>LEFT(loaded!O763,3)</f>
        <v/>
      </c>
      <c r="F763" t="e">
        <f>INDEX(cntry_codes,MATCH(loaded!Q763,countries,0))</f>
        <v>#N/A</v>
      </c>
      <c r="G763" t="e">
        <f>INDEX(atsi_codes,MATCH(loaded!S763,atsi,0))</f>
        <v>#N/A</v>
      </c>
      <c r="H763" t="e">
        <f>INDEX(lang_codes,MATCH(loaded!U763,lang,0))</f>
        <v>#N/A</v>
      </c>
      <c r="I763" s="8">
        <f>loaded!W763</f>
        <v>0</v>
      </c>
      <c r="J763" t="e">
        <f>INDEX(us_acc_codes,MATCH(loaded!Y763,us_acc,0))</f>
        <v>#N/A</v>
      </c>
      <c r="K763" t="e">
        <f>INDEX(client_codes,MATCH(loaded!AA763,client,0))</f>
        <v>#N/A</v>
      </c>
      <c r="L763" t="e">
        <f>INDEX(src_ref_codes,MATCH(loaded!AC763,src_ref,0))</f>
        <v>#N/A</v>
      </c>
      <c r="M763" s="8">
        <f>loaded!AE763</f>
        <v>0</v>
      </c>
      <c r="N763" s="8">
        <f>loaded!AG763</f>
        <v>0</v>
      </c>
      <c r="O763" t="e">
        <f>INDEX(reces_codes,MATCH(loaded!AI763,reason,0))</f>
        <v>#N/A</v>
      </c>
      <c r="P763" t="e">
        <f>INDEX(TDS_codes,MATCH(loaded!AK763,TDS,0))</f>
        <v>#N/A</v>
      </c>
      <c r="Q763" t="e">
        <f>IF(K763=2,"",INDEX(method_codes,MATCH(loaded!AM763,method,0)))</f>
        <v>#N/A</v>
      </c>
      <c r="R763" t="e">
        <f>IF(K763=2,"",INDEX(inj_codes,MATCH(loaded!AO763,inj,0)))</f>
        <v>#N/A</v>
      </c>
      <c r="S763" t="e">
        <f>IF(K763=2,"",INDEX(drug_codes,MATCH(loaded!AQ763,drug,0)))</f>
        <v>#N/A</v>
      </c>
      <c r="T763" t="e">
        <f>IF(K763=2,"",_xlfn.IFNA(INDEX(drug_codes,MATCH(loaded!AS763,drug,0)),""))</f>
        <v>#N/A</v>
      </c>
      <c r="U763" t="e">
        <f>IF(K763=2,"",_xlfn.IFNA(INDEX(drug_codes,MATCH(loaded!AU763,drug,0)),""))</f>
        <v>#N/A</v>
      </c>
      <c r="V763" t="e">
        <f>IF(K763=2,"",_xlfn.IFNA(INDEX(drug_codes,MATCH(loaded!AW763,drug,0)),""))</f>
        <v>#N/A</v>
      </c>
      <c r="W763" t="e">
        <f>IF(K763=2,"",_xlfn.IFNA(INDEX(drug_codes,MATCH(loaded!AY763,drug,0)),""))</f>
        <v>#N/A</v>
      </c>
      <c r="X763" t="e">
        <f>IF(K763=2,"",_xlfn.IFNA(INDEX(drug_codes,MATCH(loaded!BA763,drug,0)),""))</f>
        <v>#N/A</v>
      </c>
      <c r="Y763" t="e">
        <f>INDEX(MTT_codes,MATCH(loaded!BC763,MTT,0))</f>
        <v>#N/A</v>
      </c>
      <c r="Z763" t="str">
        <f>_xlfn.IFNA(INDEX(MTT_codes,MATCH(loaded!BE763,MTT,0)),"")</f>
        <v/>
      </c>
      <c r="AA763" t="str">
        <f>_xlfn.IFNA(INDEX(MTT_codes,MATCH(loaded!BG763,MTT,0)),"")</f>
        <v/>
      </c>
      <c r="AB763" t="str">
        <f>_xlfn.IFNA(INDEX(MTT_codes,MATCH(loaded!BI763,MTT,0)),"")</f>
        <v/>
      </c>
      <c r="AC763" t="str">
        <f>_xlfn.IFNA(INDEX(MTT_codes,MATCH(loaded!BK763,MTT,0)),"")</f>
        <v/>
      </c>
      <c r="AD763" t="str">
        <f>_xlfn.IFNA(INDEX(MTT_codes,MATCH(loaded!BM763,MTT,0)),"")</f>
        <v/>
      </c>
      <c r="AE763" t="e">
        <f>INDEX(liv_ar_codes,MATCH(loaded!BO763,liv_ar,0))</f>
        <v>#N/A</v>
      </c>
      <c r="AF763" t="str">
        <f>_xlfn.IFNA(INDEX(MTT_codes,MATCH(loaded!BQ763,MTT,0)),"")</f>
        <v/>
      </c>
      <c r="AG763">
        <f>_xlfn.IFNA(INDEX(mental_codes,MATCH(loaded!BS763,mental,0)),9)</f>
        <v>9</v>
      </c>
    </row>
    <row r="764" spans="1:33" x14ac:dyDescent="0.25">
      <c r="A764">
        <f>loaded!C764</f>
        <v>0</v>
      </c>
      <c r="B764">
        <f>loaded!I764</f>
        <v>0</v>
      </c>
      <c r="C764">
        <f>IF(loaded!K764="Male",1,IF(loaded!K764="Female",2,9))</f>
        <v>9</v>
      </c>
      <c r="D764" s="8">
        <f>loaded!M764</f>
        <v>0</v>
      </c>
      <c r="E764" t="str">
        <f>LEFT(loaded!O764,3)</f>
        <v/>
      </c>
      <c r="F764" t="e">
        <f>INDEX(cntry_codes,MATCH(loaded!Q764,countries,0))</f>
        <v>#N/A</v>
      </c>
      <c r="G764" t="e">
        <f>INDEX(atsi_codes,MATCH(loaded!S764,atsi,0))</f>
        <v>#N/A</v>
      </c>
      <c r="H764" t="e">
        <f>INDEX(lang_codes,MATCH(loaded!U764,lang,0))</f>
        <v>#N/A</v>
      </c>
      <c r="I764" s="8">
        <f>loaded!W764</f>
        <v>0</v>
      </c>
      <c r="J764" t="e">
        <f>INDEX(us_acc_codes,MATCH(loaded!Y764,us_acc,0))</f>
        <v>#N/A</v>
      </c>
      <c r="K764" t="e">
        <f>INDEX(client_codes,MATCH(loaded!AA764,client,0))</f>
        <v>#N/A</v>
      </c>
      <c r="L764" t="e">
        <f>INDEX(src_ref_codes,MATCH(loaded!AC764,src_ref,0))</f>
        <v>#N/A</v>
      </c>
      <c r="M764" s="8">
        <f>loaded!AE764</f>
        <v>0</v>
      </c>
      <c r="N764" s="8">
        <f>loaded!AG764</f>
        <v>0</v>
      </c>
      <c r="O764" t="e">
        <f>INDEX(reces_codes,MATCH(loaded!AI764,reason,0))</f>
        <v>#N/A</v>
      </c>
      <c r="P764" t="e">
        <f>INDEX(TDS_codes,MATCH(loaded!AK764,TDS,0))</f>
        <v>#N/A</v>
      </c>
      <c r="Q764" t="e">
        <f>IF(K764=2,"",INDEX(method_codes,MATCH(loaded!AM764,method,0)))</f>
        <v>#N/A</v>
      </c>
      <c r="R764" t="e">
        <f>IF(K764=2,"",INDEX(inj_codes,MATCH(loaded!AO764,inj,0)))</f>
        <v>#N/A</v>
      </c>
      <c r="S764" t="e">
        <f>IF(K764=2,"",INDEX(drug_codes,MATCH(loaded!AQ764,drug,0)))</f>
        <v>#N/A</v>
      </c>
      <c r="T764" t="e">
        <f>IF(K764=2,"",_xlfn.IFNA(INDEX(drug_codes,MATCH(loaded!AS764,drug,0)),""))</f>
        <v>#N/A</v>
      </c>
      <c r="U764" t="e">
        <f>IF(K764=2,"",_xlfn.IFNA(INDEX(drug_codes,MATCH(loaded!AU764,drug,0)),""))</f>
        <v>#N/A</v>
      </c>
      <c r="V764" t="e">
        <f>IF(K764=2,"",_xlfn.IFNA(INDEX(drug_codes,MATCH(loaded!AW764,drug,0)),""))</f>
        <v>#N/A</v>
      </c>
      <c r="W764" t="e">
        <f>IF(K764=2,"",_xlfn.IFNA(INDEX(drug_codes,MATCH(loaded!AY764,drug,0)),""))</f>
        <v>#N/A</v>
      </c>
      <c r="X764" t="e">
        <f>IF(K764=2,"",_xlfn.IFNA(INDEX(drug_codes,MATCH(loaded!BA764,drug,0)),""))</f>
        <v>#N/A</v>
      </c>
      <c r="Y764" t="e">
        <f>INDEX(MTT_codes,MATCH(loaded!BC764,MTT,0))</f>
        <v>#N/A</v>
      </c>
      <c r="Z764" t="str">
        <f>_xlfn.IFNA(INDEX(MTT_codes,MATCH(loaded!BE764,MTT,0)),"")</f>
        <v/>
      </c>
      <c r="AA764" t="str">
        <f>_xlfn.IFNA(INDEX(MTT_codes,MATCH(loaded!BG764,MTT,0)),"")</f>
        <v/>
      </c>
      <c r="AB764" t="str">
        <f>_xlfn.IFNA(INDEX(MTT_codes,MATCH(loaded!BI764,MTT,0)),"")</f>
        <v/>
      </c>
      <c r="AC764" t="str">
        <f>_xlfn.IFNA(INDEX(MTT_codes,MATCH(loaded!BK764,MTT,0)),"")</f>
        <v/>
      </c>
      <c r="AD764" t="str">
        <f>_xlfn.IFNA(INDEX(MTT_codes,MATCH(loaded!BM764,MTT,0)),"")</f>
        <v/>
      </c>
      <c r="AE764" t="e">
        <f>INDEX(liv_ar_codes,MATCH(loaded!BO764,liv_ar,0))</f>
        <v>#N/A</v>
      </c>
      <c r="AF764" t="str">
        <f>_xlfn.IFNA(INDEX(MTT_codes,MATCH(loaded!BQ764,MTT,0)),"")</f>
        <v/>
      </c>
      <c r="AG764">
        <f>_xlfn.IFNA(INDEX(mental_codes,MATCH(loaded!BS764,mental,0)),9)</f>
        <v>9</v>
      </c>
    </row>
    <row r="765" spans="1:33" x14ac:dyDescent="0.25">
      <c r="A765">
        <f>loaded!C765</f>
        <v>0</v>
      </c>
      <c r="B765">
        <f>loaded!I765</f>
        <v>0</v>
      </c>
      <c r="C765">
        <f>IF(loaded!K765="Male",1,IF(loaded!K765="Female",2,9))</f>
        <v>9</v>
      </c>
      <c r="D765" s="8">
        <f>loaded!M765</f>
        <v>0</v>
      </c>
      <c r="E765" t="str">
        <f>LEFT(loaded!O765,3)</f>
        <v/>
      </c>
      <c r="F765" t="e">
        <f>INDEX(cntry_codes,MATCH(loaded!Q765,countries,0))</f>
        <v>#N/A</v>
      </c>
      <c r="G765" t="e">
        <f>INDEX(atsi_codes,MATCH(loaded!S765,atsi,0))</f>
        <v>#N/A</v>
      </c>
      <c r="H765" t="e">
        <f>INDEX(lang_codes,MATCH(loaded!U765,lang,0))</f>
        <v>#N/A</v>
      </c>
      <c r="I765" s="8">
        <f>loaded!W765</f>
        <v>0</v>
      </c>
      <c r="J765" t="e">
        <f>INDEX(us_acc_codes,MATCH(loaded!Y765,us_acc,0))</f>
        <v>#N/A</v>
      </c>
      <c r="K765" t="e">
        <f>INDEX(client_codes,MATCH(loaded!AA765,client,0))</f>
        <v>#N/A</v>
      </c>
      <c r="L765" t="e">
        <f>INDEX(src_ref_codes,MATCH(loaded!AC765,src_ref,0))</f>
        <v>#N/A</v>
      </c>
      <c r="M765" s="8">
        <f>loaded!AE765</f>
        <v>0</v>
      </c>
      <c r="N765" s="8">
        <f>loaded!AG765</f>
        <v>0</v>
      </c>
      <c r="O765" t="e">
        <f>INDEX(reces_codes,MATCH(loaded!AI765,reason,0))</f>
        <v>#N/A</v>
      </c>
      <c r="P765" t="e">
        <f>INDEX(TDS_codes,MATCH(loaded!AK765,TDS,0))</f>
        <v>#N/A</v>
      </c>
      <c r="Q765" t="e">
        <f>IF(K765=2,"",INDEX(method_codes,MATCH(loaded!AM765,method,0)))</f>
        <v>#N/A</v>
      </c>
      <c r="R765" t="e">
        <f>IF(K765=2,"",INDEX(inj_codes,MATCH(loaded!AO765,inj,0)))</f>
        <v>#N/A</v>
      </c>
      <c r="S765" t="e">
        <f>IF(K765=2,"",INDEX(drug_codes,MATCH(loaded!AQ765,drug,0)))</f>
        <v>#N/A</v>
      </c>
      <c r="T765" t="e">
        <f>IF(K765=2,"",_xlfn.IFNA(INDEX(drug_codes,MATCH(loaded!AS765,drug,0)),""))</f>
        <v>#N/A</v>
      </c>
      <c r="U765" t="e">
        <f>IF(K765=2,"",_xlfn.IFNA(INDEX(drug_codes,MATCH(loaded!AU765,drug,0)),""))</f>
        <v>#N/A</v>
      </c>
      <c r="V765" t="e">
        <f>IF(K765=2,"",_xlfn.IFNA(INDEX(drug_codes,MATCH(loaded!AW765,drug,0)),""))</f>
        <v>#N/A</v>
      </c>
      <c r="W765" t="e">
        <f>IF(K765=2,"",_xlfn.IFNA(INDEX(drug_codes,MATCH(loaded!AY765,drug,0)),""))</f>
        <v>#N/A</v>
      </c>
      <c r="X765" t="e">
        <f>IF(K765=2,"",_xlfn.IFNA(INDEX(drug_codes,MATCH(loaded!BA765,drug,0)),""))</f>
        <v>#N/A</v>
      </c>
      <c r="Y765" t="e">
        <f>INDEX(MTT_codes,MATCH(loaded!BC765,MTT,0))</f>
        <v>#N/A</v>
      </c>
      <c r="Z765" t="str">
        <f>_xlfn.IFNA(INDEX(MTT_codes,MATCH(loaded!BE765,MTT,0)),"")</f>
        <v/>
      </c>
      <c r="AA765" t="str">
        <f>_xlfn.IFNA(INDEX(MTT_codes,MATCH(loaded!BG765,MTT,0)),"")</f>
        <v/>
      </c>
      <c r="AB765" t="str">
        <f>_xlfn.IFNA(INDEX(MTT_codes,MATCH(loaded!BI765,MTT,0)),"")</f>
        <v/>
      </c>
      <c r="AC765" t="str">
        <f>_xlfn.IFNA(INDEX(MTT_codes,MATCH(loaded!BK765,MTT,0)),"")</f>
        <v/>
      </c>
      <c r="AD765" t="str">
        <f>_xlfn.IFNA(INDEX(MTT_codes,MATCH(loaded!BM765,MTT,0)),"")</f>
        <v/>
      </c>
      <c r="AE765" t="e">
        <f>INDEX(liv_ar_codes,MATCH(loaded!BO765,liv_ar,0))</f>
        <v>#N/A</v>
      </c>
      <c r="AF765" t="str">
        <f>_xlfn.IFNA(INDEX(MTT_codes,MATCH(loaded!BQ765,MTT,0)),"")</f>
        <v/>
      </c>
      <c r="AG765">
        <f>_xlfn.IFNA(INDEX(mental_codes,MATCH(loaded!BS765,mental,0)),9)</f>
        <v>9</v>
      </c>
    </row>
    <row r="766" spans="1:33" x14ac:dyDescent="0.25">
      <c r="A766">
        <f>loaded!C766</f>
        <v>0</v>
      </c>
      <c r="B766">
        <f>loaded!I766</f>
        <v>0</v>
      </c>
      <c r="C766">
        <f>IF(loaded!K766="Male",1,IF(loaded!K766="Female",2,9))</f>
        <v>9</v>
      </c>
      <c r="D766" s="8">
        <f>loaded!M766</f>
        <v>0</v>
      </c>
      <c r="E766" t="str">
        <f>LEFT(loaded!O766,3)</f>
        <v/>
      </c>
      <c r="F766" t="e">
        <f>INDEX(cntry_codes,MATCH(loaded!Q766,countries,0))</f>
        <v>#N/A</v>
      </c>
      <c r="G766" t="e">
        <f>INDEX(atsi_codes,MATCH(loaded!S766,atsi,0))</f>
        <v>#N/A</v>
      </c>
      <c r="H766" t="e">
        <f>INDEX(lang_codes,MATCH(loaded!U766,lang,0))</f>
        <v>#N/A</v>
      </c>
      <c r="I766" s="8">
        <f>loaded!W766</f>
        <v>0</v>
      </c>
      <c r="J766" t="e">
        <f>INDEX(us_acc_codes,MATCH(loaded!Y766,us_acc,0))</f>
        <v>#N/A</v>
      </c>
      <c r="K766" t="e">
        <f>INDEX(client_codes,MATCH(loaded!AA766,client,0))</f>
        <v>#N/A</v>
      </c>
      <c r="L766" t="e">
        <f>INDEX(src_ref_codes,MATCH(loaded!AC766,src_ref,0))</f>
        <v>#N/A</v>
      </c>
      <c r="M766" s="8">
        <f>loaded!AE766</f>
        <v>0</v>
      </c>
      <c r="N766" s="8">
        <f>loaded!AG766</f>
        <v>0</v>
      </c>
      <c r="O766" t="e">
        <f>INDEX(reces_codes,MATCH(loaded!AI766,reason,0))</f>
        <v>#N/A</v>
      </c>
      <c r="P766" t="e">
        <f>INDEX(TDS_codes,MATCH(loaded!AK766,TDS,0))</f>
        <v>#N/A</v>
      </c>
      <c r="Q766" t="e">
        <f>IF(K766=2,"",INDEX(method_codes,MATCH(loaded!AM766,method,0)))</f>
        <v>#N/A</v>
      </c>
      <c r="R766" t="e">
        <f>IF(K766=2,"",INDEX(inj_codes,MATCH(loaded!AO766,inj,0)))</f>
        <v>#N/A</v>
      </c>
      <c r="S766" t="e">
        <f>IF(K766=2,"",INDEX(drug_codes,MATCH(loaded!AQ766,drug,0)))</f>
        <v>#N/A</v>
      </c>
      <c r="T766" t="e">
        <f>IF(K766=2,"",_xlfn.IFNA(INDEX(drug_codes,MATCH(loaded!AS766,drug,0)),""))</f>
        <v>#N/A</v>
      </c>
      <c r="U766" t="e">
        <f>IF(K766=2,"",_xlfn.IFNA(INDEX(drug_codes,MATCH(loaded!AU766,drug,0)),""))</f>
        <v>#N/A</v>
      </c>
      <c r="V766" t="e">
        <f>IF(K766=2,"",_xlfn.IFNA(INDEX(drug_codes,MATCH(loaded!AW766,drug,0)),""))</f>
        <v>#N/A</v>
      </c>
      <c r="W766" t="e">
        <f>IF(K766=2,"",_xlfn.IFNA(INDEX(drug_codes,MATCH(loaded!AY766,drug,0)),""))</f>
        <v>#N/A</v>
      </c>
      <c r="X766" t="e">
        <f>IF(K766=2,"",_xlfn.IFNA(INDEX(drug_codes,MATCH(loaded!BA766,drug,0)),""))</f>
        <v>#N/A</v>
      </c>
      <c r="Y766" t="e">
        <f>INDEX(MTT_codes,MATCH(loaded!BC766,MTT,0))</f>
        <v>#N/A</v>
      </c>
      <c r="Z766" t="str">
        <f>_xlfn.IFNA(INDEX(MTT_codes,MATCH(loaded!BE766,MTT,0)),"")</f>
        <v/>
      </c>
      <c r="AA766" t="str">
        <f>_xlfn.IFNA(INDEX(MTT_codes,MATCH(loaded!BG766,MTT,0)),"")</f>
        <v/>
      </c>
      <c r="AB766" t="str">
        <f>_xlfn.IFNA(INDEX(MTT_codes,MATCH(loaded!BI766,MTT,0)),"")</f>
        <v/>
      </c>
      <c r="AC766" t="str">
        <f>_xlfn.IFNA(INDEX(MTT_codes,MATCH(loaded!BK766,MTT,0)),"")</f>
        <v/>
      </c>
      <c r="AD766" t="str">
        <f>_xlfn.IFNA(INDEX(MTT_codes,MATCH(loaded!BM766,MTT,0)),"")</f>
        <v/>
      </c>
      <c r="AE766" t="e">
        <f>INDEX(liv_ar_codes,MATCH(loaded!BO766,liv_ar,0))</f>
        <v>#N/A</v>
      </c>
      <c r="AF766" t="str">
        <f>_xlfn.IFNA(INDEX(MTT_codes,MATCH(loaded!BQ766,MTT,0)),"")</f>
        <v/>
      </c>
      <c r="AG766">
        <f>_xlfn.IFNA(INDEX(mental_codes,MATCH(loaded!BS766,mental,0)),9)</f>
        <v>9</v>
      </c>
    </row>
    <row r="767" spans="1:33" x14ac:dyDescent="0.25">
      <c r="A767">
        <f>loaded!C767</f>
        <v>0</v>
      </c>
      <c r="B767">
        <f>loaded!I767</f>
        <v>0</v>
      </c>
      <c r="C767">
        <f>IF(loaded!K767="Male",1,IF(loaded!K767="Female",2,9))</f>
        <v>9</v>
      </c>
      <c r="D767" s="8">
        <f>loaded!M767</f>
        <v>0</v>
      </c>
      <c r="E767" t="str">
        <f>LEFT(loaded!O767,3)</f>
        <v/>
      </c>
      <c r="F767" t="e">
        <f>INDEX(cntry_codes,MATCH(loaded!Q767,countries,0))</f>
        <v>#N/A</v>
      </c>
      <c r="G767" t="e">
        <f>INDEX(atsi_codes,MATCH(loaded!S767,atsi,0))</f>
        <v>#N/A</v>
      </c>
      <c r="H767" t="e">
        <f>INDEX(lang_codes,MATCH(loaded!U767,lang,0))</f>
        <v>#N/A</v>
      </c>
      <c r="I767" s="8">
        <f>loaded!W767</f>
        <v>0</v>
      </c>
      <c r="J767" t="e">
        <f>INDEX(us_acc_codes,MATCH(loaded!Y767,us_acc,0))</f>
        <v>#N/A</v>
      </c>
      <c r="K767" t="e">
        <f>INDEX(client_codes,MATCH(loaded!AA767,client,0))</f>
        <v>#N/A</v>
      </c>
      <c r="L767" t="e">
        <f>INDEX(src_ref_codes,MATCH(loaded!AC767,src_ref,0))</f>
        <v>#N/A</v>
      </c>
      <c r="M767" s="8">
        <f>loaded!AE767</f>
        <v>0</v>
      </c>
      <c r="N767" s="8">
        <f>loaded!AG767</f>
        <v>0</v>
      </c>
      <c r="O767" t="e">
        <f>INDEX(reces_codes,MATCH(loaded!AI767,reason,0))</f>
        <v>#N/A</v>
      </c>
      <c r="P767" t="e">
        <f>INDEX(TDS_codes,MATCH(loaded!AK767,TDS,0))</f>
        <v>#N/A</v>
      </c>
      <c r="Q767" t="e">
        <f>IF(K767=2,"",INDEX(method_codes,MATCH(loaded!AM767,method,0)))</f>
        <v>#N/A</v>
      </c>
      <c r="R767" t="e">
        <f>IF(K767=2,"",INDEX(inj_codes,MATCH(loaded!AO767,inj,0)))</f>
        <v>#N/A</v>
      </c>
      <c r="S767" t="e">
        <f>IF(K767=2,"",INDEX(drug_codes,MATCH(loaded!AQ767,drug,0)))</f>
        <v>#N/A</v>
      </c>
      <c r="T767" t="e">
        <f>IF(K767=2,"",_xlfn.IFNA(INDEX(drug_codes,MATCH(loaded!AS767,drug,0)),""))</f>
        <v>#N/A</v>
      </c>
      <c r="U767" t="e">
        <f>IF(K767=2,"",_xlfn.IFNA(INDEX(drug_codes,MATCH(loaded!AU767,drug,0)),""))</f>
        <v>#N/A</v>
      </c>
      <c r="V767" t="e">
        <f>IF(K767=2,"",_xlfn.IFNA(INDEX(drug_codes,MATCH(loaded!AW767,drug,0)),""))</f>
        <v>#N/A</v>
      </c>
      <c r="W767" t="e">
        <f>IF(K767=2,"",_xlfn.IFNA(INDEX(drug_codes,MATCH(loaded!AY767,drug,0)),""))</f>
        <v>#N/A</v>
      </c>
      <c r="X767" t="e">
        <f>IF(K767=2,"",_xlfn.IFNA(INDEX(drug_codes,MATCH(loaded!BA767,drug,0)),""))</f>
        <v>#N/A</v>
      </c>
      <c r="Y767" t="e">
        <f>INDEX(MTT_codes,MATCH(loaded!BC767,MTT,0))</f>
        <v>#N/A</v>
      </c>
      <c r="Z767" t="str">
        <f>_xlfn.IFNA(INDEX(MTT_codes,MATCH(loaded!BE767,MTT,0)),"")</f>
        <v/>
      </c>
      <c r="AA767" t="str">
        <f>_xlfn.IFNA(INDEX(MTT_codes,MATCH(loaded!BG767,MTT,0)),"")</f>
        <v/>
      </c>
      <c r="AB767" t="str">
        <f>_xlfn.IFNA(INDEX(MTT_codes,MATCH(loaded!BI767,MTT,0)),"")</f>
        <v/>
      </c>
      <c r="AC767" t="str">
        <f>_xlfn.IFNA(INDEX(MTT_codes,MATCH(loaded!BK767,MTT,0)),"")</f>
        <v/>
      </c>
      <c r="AD767" t="str">
        <f>_xlfn.IFNA(INDEX(MTT_codes,MATCH(loaded!BM767,MTT,0)),"")</f>
        <v/>
      </c>
      <c r="AE767" t="e">
        <f>INDEX(liv_ar_codes,MATCH(loaded!BO767,liv_ar,0))</f>
        <v>#N/A</v>
      </c>
      <c r="AF767" t="str">
        <f>_xlfn.IFNA(INDEX(MTT_codes,MATCH(loaded!BQ767,MTT,0)),"")</f>
        <v/>
      </c>
      <c r="AG767">
        <f>_xlfn.IFNA(INDEX(mental_codes,MATCH(loaded!BS767,mental,0)),9)</f>
        <v>9</v>
      </c>
    </row>
    <row r="768" spans="1:33" x14ac:dyDescent="0.25">
      <c r="A768">
        <f>loaded!C768</f>
        <v>0</v>
      </c>
      <c r="B768">
        <f>loaded!I768</f>
        <v>0</v>
      </c>
      <c r="C768">
        <f>IF(loaded!K768="Male",1,IF(loaded!K768="Female",2,9))</f>
        <v>9</v>
      </c>
      <c r="D768" s="8">
        <f>loaded!M768</f>
        <v>0</v>
      </c>
      <c r="E768" t="str">
        <f>LEFT(loaded!O768,3)</f>
        <v/>
      </c>
      <c r="F768" t="e">
        <f>INDEX(cntry_codes,MATCH(loaded!Q768,countries,0))</f>
        <v>#N/A</v>
      </c>
      <c r="G768" t="e">
        <f>INDEX(atsi_codes,MATCH(loaded!S768,atsi,0))</f>
        <v>#N/A</v>
      </c>
      <c r="H768" t="e">
        <f>INDEX(lang_codes,MATCH(loaded!U768,lang,0))</f>
        <v>#N/A</v>
      </c>
      <c r="I768" s="8">
        <f>loaded!W768</f>
        <v>0</v>
      </c>
      <c r="J768" t="e">
        <f>INDEX(us_acc_codes,MATCH(loaded!Y768,us_acc,0))</f>
        <v>#N/A</v>
      </c>
      <c r="K768" t="e">
        <f>INDEX(client_codes,MATCH(loaded!AA768,client,0))</f>
        <v>#N/A</v>
      </c>
      <c r="L768" t="e">
        <f>INDEX(src_ref_codes,MATCH(loaded!AC768,src_ref,0))</f>
        <v>#N/A</v>
      </c>
      <c r="M768" s="8">
        <f>loaded!AE768</f>
        <v>0</v>
      </c>
      <c r="N768" s="8">
        <f>loaded!AG768</f>
        <v>0</v>
      </c>
      <c r="O768" t="e">
        <f>INDEX(reces_codes,MATCH(loaded!AI768,reason,0))</f>
        <v>#N/A</v>
      </c>
      <c r="P768" t="e">
        <f>INDEX(TDS_codes,MATCH(loaded!AK768,TDS,0))</f>
        <v>#N/A</v>
      </c>
      <c r="Q768" t="e">
        <f>IF(K768=2,"",INDEX(method_codes,MATCH(loaded!AM768,method,0)))</f>
        <v>#N/A</v>
      </c>
      <c r="R768" t="e">
        <f>IF(K768=2,"",INDEX(inj_codes,MATCH(loaded!AO768,inj,0)))</f>
        <v>#N/A</v>
      </c>
      <c r="S768" t="e">
        <f>IF(K768=2,"",INDEX(drug_codes,MATCH(loaded!AQ768,drug,0)))</f>
        <v>#N/A</v>
      </c>
      <c r="T768" t="e">
        <f>IF(K768=2,"",_xlfn.IFNA(INDEX(drug_codes,MATCH(loaded!AS768,drug,0)),""))</f>
        <v>#N/A</v>
      </c>
      <c r="U768" t="e">
        <f>IF(K768=2,"",_xlfn.IFNA(INDEX(drug_codes,MATCH(loaded!AU768,drug,0)),""))</f>
        <v>#N/A</v>
      </c>
      <c r="V768" t="e">
        <f>IF(K768=2,"",_xlfn.IFNA(INDEX(drug_codes,MATCH(loaded!AW768,drug,0)),""))</f>
        <v>#N/A</v>
      </c>
      <c r="W768" t="e">
        <f>IF(K768=2,"",_xlfn.IFNA(INDEX(drug_codes,MATCH(loaded!AY768,drug,0)),""))</f>
        <v>#N/A</v>
      </c>
      <c r="X768" t="e">
        <f>IF(K768=2,"",_xlfn.IFNA(INDEX(drug_codes,MATCH(loaded!BA768,drug,0)),""))</f>
        <v>#N/A</v>
      </c>
      <c r="Y768" t="e">
        <f>INDEX(MTT_codes,MATCH(loaded!BC768,MTT,0))</f>
        <v>#N/A</v>
      </c>
      <c r="Z768" t="str">
        <f>_xlfn.IFNA(INDEX(MTT_codes,MATCH(loaded!BE768,MTT,0)),"")</f>
        <v/>
      </c>
      <c r="AA768" t="str">
        <f>_xlfn.IFNA(INDEX(MTT_codes,MATCH(loaded!BG768,MTT,0)),"")</f>
        <v/>
      </c>
      <c r="AB768" t="str">
        <f>_xlfn.IFNA(INDEX(MTT_codes,MATCH(loaded!BI768,MTT,0)),"")</f>
        <v/>
      </c>
      <c r="AC768" t="str">
        <f>_xlfn.IFNA(INDEX(MTT_codes,MATCH(loaded!BK768,MTT,0)),"")</f>
        <v/>
      </c>
      <c r="AD768" t="str">
        <f>_xlfn.IFNA(INDEX(MTT_codes,MATCH(loaded!BM768,MTT,0)),"")</f>
        <v/>
      </c>
      <c r="AE768" t="e">
        <f>INDEX(liv_ar_codes,MATCH(loaded!BO768,liv_ar,0))</f>
        <v>#N/A</v>
      </c>
      <c r="AF768" t="str">
        <f>_xlfn.IFNA(INDEX(MTT_codes,MATCH(loaded!BQ768,MTT,0)),"")</f>
        <v/>
      </c>
      <c r="AG768">
        <f>_xlfn.IFNA(INDEX(mental_codes,MATCH(loaded!BS768,mental,0)),9)</f>
        <v>9</v>
      </c>
    </row>
    <row r="769" spans="1:33" x14ac:dyDescent="0.25">
      <c r="A769">
        <f>loaded!C769</f>
        <v>0</v>
      </c>
      <c r="B769">
        <f>loaded!I769</f>
        <v>0</v>
      </c>
      <c r="C769">
        <f>IF(loaded!K769="Male",1,IF(loaded!K769="Female",2,9))</f>
        <v>9</v>
      </c>
      <c r="D769" s="8">
        <f>loaded!M769</f>
        <v>0</v>
      </c>
      <c r="E769" t="str">
        <f>LEFT(loaded!O769,3)</f>
        <v/>
      </c>
      <c r="F769" t="e">
        <f>INDEX(cntry_codes,MATCH(loaded!Q769,countries,0))</f>
        <v>#N/A</v>
      </c>
      <c r="G769" t="e">
        <f>INDEX(atsi_codes,MATCH(loaded!S769,atsi,0))</f>
        <v>#N/A</v>
      </c>
      <c r="H769" t="e">
        <f>INDEX(lang_codes,MATCH(loaded!U769,lang,0))</f>
        <v>#N/A</v>
      </c>
      <c r="I769" s="8">
        <f>loaded!W769</f>
        <v>0</v>
      </c>
      <c r="J769" t="e">
        <f>INDEX(us_acc_codes,MATCH(loaded!Y769,us_acc,0))</f>
        <v>#N/A</v>
      </c>
      <c r="K769" t="e">
        <f>INDEX(client_codes,MATCH(loaded!AA769,client,0))</f>
        <v>#N/A</v>
      </c>
      <c r="L769" t="e">
        <f>INDEX(src_ref_codes,MATCH(loaded!AC769,src_ref,0))</f>
        <v>#N/A</v>
      </c>
      <c r="M769" s="8">
        <f>loaded!AE769</f>
        <v>0</v>
      </c>
      <c r="N769" s="8">
        <f>loaded!AG769</f>
        <v>0</v>
      </c>
      <c r="O769" t="e">
        <f>INDEX(reces_codes,MATCH(loaded!AI769,reason,0))</f>
        <v>#N/A</v>
      </c>
      <c r="P769" t="e">
        <f>INDEX(TDS_codes,MATCH(loaded!AK769,TDS,0))</f>
        <v>#N/A</v>
      </c>
      <c r="Q769" t="e">
        <f>IF(K769=2,"",INDEX(method_codes,MATCH(loaded!AM769,method,0)))</f>
        <v>#N/A</v>
      </c>
      <c r="R769" t="e">
        <f>IF(K769=2,"",INDEX(inj_codes,MATCH(loaded!AO769,inj,0)))</f>
        <v>#N/A</v>
      </c>
      <c r="S769" t="e">
        <f>IF(K769=2,"",INDEX(drug_codes,MATCH(loaded!AQ769,drug,0)))</f>
        <v>#N/A</v>
      </c>
      <c r="T769" t="e">
        <f>IF(K769=2,"",_xlfn.IFNA(INDEX(drug_codes,MATCH(loaded!AS769,drug,0)),""))</f>
        <v>#N/A</v>
      </c>
      <c r="U769" t="e">
        <f>IF(K769=2,"",_xlfn.IFNA(INDEX(drug_codes,MATCH(loaded!AU769,drug,0)),""))</f>
        <v>#N/A</v>
      </c>
      <c r="V769" t="e">
        <f>IF(K769=2,"",_xlfn.IFNA(INDEX(drug_codes,MATCH(loaded!AW769,drug,0)),""))</f>
        <v>#N/A</v>
      </c>
      <c r="W769" t="e">
        <f>IF(K769=2,"",_xlfn.IFNA(INDEX(drug_codes,MATCH(loaded!AY769,drug,0)),""))</f>
        <v>#N/A</v>
      </c>
      <c r="X769" t="e">
        <f>IF(K769=2,"",_xlfn.IFNA(INDEX(drug_codes,MATCH(loaded!BA769,drug,0)),""))</f>
        <v>#N/A</v>
      </c>
      <c r="Y769" t="e">
        <f>INDEX(MTT_codes,MATCH(loaded!BC769,MTT,0))</f>
        <v>#N/A</v>
      </c>
      <c r="Z769" t="str">
        <f>_xlfn.IFNA(INDEX(MTT_codes,MATCH(loaded!BE769,MTT,0)),"")</f>
        <v/>
      </c>
      <c r="AA769" t="str">
        <f>_xlfn.IFNA(INDEX(MTT_codes,MATCH(loaded!BG769,MTT,0)),"")</f>
        <v/>
      </c>
      <c r="AB769" t="str">
        <f>_xlfn.IFNA(INDEX(MTT_codes,MATCH(loaded!BI769,MTT,0)),"")</f>
        <v/>
      </c>
      <c r="AC769" t="str">
        <f>_xlfn.IFNA(INDEX(MTT_codes,MATCH(loaded!BK769,MTT,0)),"")</f>
        <v/>
      </c>
      <c r="AD769" t="str">
        <f>_xlfn.IFNA(INDEX(MTT_codes,MATCH(loaded!BM769,MTT,0)),"")</f>
        <v/>
      </c>
      <c r="AE769" t="e">
        <f>INDEX(liv_ar_codes,MATCH(loaded!BO769,liv_ar,0))</f>
        <v>#N/A</v>
      </c>
      <c r="AF769" t="str">
        <f>_xlfn.IFNA(INDEX(MTT_codes,MATCH(loaded!BQ769,MTT,0)),"")</f>
        <v/>
      </c>
      <c r="AG769">
        <f>_xlfn.IFNA(INDEX(mental_codes,MATCH(loaded!BS769,mental,0)),9)</f>
        <v>9</v>
      </c>
    </row>
    <row r="770" spans="1:33" x14ac:dyDescent="0.25">
      <c r="A770">
        <f>loaded!C770</f>
        <v>0</v>
      </c>
      <c r="B770">
        <f>loaded!I770</f>
        <v>0</v>
      </c>
      <c r="C770">
        <f>IF(loaded!K770="Male",1,IF(loaded!K770="Female",2,9))</f>
        <v>9</v>
      </c>
      <c r="D770" s="8">
        <f>loaded!M770</f>
        <v>0</v>
      </c>
      <c r="E770" t="str">
        <f>LEFT(loaded!O770,3)</f>
        <v/>
      </c>
      <c r="F770" t="e">
        <f>INDEX(cntry_codes,MATCH(loaded!Q770,countries,0))</f>
        <v>#N/A</v>
      </c>
      <c r="G770" t="e">
        <f>INDEX(atsi_codes,MATCH(loaded!S770,atsi,0))</f>
        <v>#N/A</v>
      </c>
      <c r="H770" t="e">
        <f>INDEX(lang_codes,MATCH(loaded!U770,lang,0))</f>
        <v>#N/A</v>
      </c>
      <c r="I770" s="8">
        <f>loaded!W770</f>
        <v>0</v>
      </c>
      <c r="J770" t="e">
        <f>INDEX(us_acc_codes,MATCH(loaded!Y770,us_acc,0))</f>
        <v>#N/A</v>
      </c>
      <c r="K770" t="e">
        <f>INDEX(client_codes,MATCH(loaded!AA770,client,0))</f>
        <v>#N/A</v>
      </c>
      <c r="L770" t="e">
        <f>INDEX(src_ref_codes,MATCH(loaded!AC770,src_ref,0))</f>
        <v>#N/A</v>
      </c>
      <c r="M770" s="8">
        <f>loaded!AE770</f>
        <v>0</v>
      </c>
      <c r="N770" s="8">
        <f>loaded!AG770</f>
        <v>0</v>
      </c>
      <c r="O770" t="e">
        <f>INDEX(reces_codes,MATCH(loaded!AI770,reason,0))</f>
        <v>#N/A</v>
      </c>
      <c r="P770" t="e">
        <f>INDEX(TDS_codes,MATCH(loaded!AK770,TDS,0))</f>
        <v>#N/A</v>
      </c>
      <c r="Q770" t="e">
        <f>IF(K770=2,"",INDEX(method_codes,MATCH(loaded!AM770,method,0)))</f>
        <v>#N/A</v>
      </c>
      <c r="R770" t="e">
        <f>IF(K770=2,"",INDEX(inj_codes,MATCH(loaded!AO770,inj,0)))</f>
        <v>#N/A</v>
      </c>
      <c r="S770" t="e">
        <f>IF(K770=2,"",INDEX(drug_codes,MATCH(loaded!AQ770,drug,0)))</f>
        <v>#N/A</v>
      </c>
      <c r="T770" t="e">
        <f>IF(K770=2,"",_xlfn.IFNA(INDEX(drug_codes,MATCH(loaded!AS770,drug,0)),""))</f>
        <v>#N/A</v>
      </c>
      <c r="U770" t="e">
        <f>IF(K770=2,"",_xlfn.IFNA(INDEX(drug_codes,MATCH(loaded!AU770,drug,0)),""))</f>
        <v>#N/A</v>
      </c>
      <c r="V770" t="e">
        <f>IF(K770=2,"",_xlfn.IFNA(INDEX(drug_codes,MATCH(loaded!AW770,drug,0)),""))</f>
        <v>#N/A</v>
      </c>
      <c r="W770" t="e">
        <f>IF(K770=2,"",_xlfn.IFNA(INDEX(drug_codes,MATCH(loaded!AY770,drug,0)),""))</f>
        <v>#N/A</v>
      </c>
      <c r="X770" t="e">
        <f>IF(K770=2,"",_xlfn.IFNA(INDEX(drug_codes,MATCH(loaded!BA770,drug,0)),""))</f>
        <v>#N/A</v>
      </c>
      <c r="Y770" t="e">
        <f>INDEX(MTT_codes,MATCH(loaded!BC770,MTT,0))</f>
        <v>#N/A</v>
      </c>
      <c r="Z770" t="str">
        <f>_xlfn.IFNA(INDEX(MTT_codes,MATCH(loaded!BE770,MTT,0)),"")</f>
        <v/>
      </c>
      <c r="AA770" t="str">
        <f>_xlfn.IFNA(INDEX(MTT_codes,MATCH(loaded!BG770,MTT,0)),"")</f>
        <v/>
      </c>
      <c r="AB770" t="str">
        <f>_xlfn.IFNA(INDEX(MTT_codes,MATCH(loaded!BI770,MTT,0)),"")</f>
        <v/>
      </c>
      <c r="AC770" t="str">
        <f>_xlfn.IFNA(INDEX(MTT_codes,MATCH(loaded!BK770,MTT,0)),"")</f>
        <v/>
      </c>
      <c r="AD770" t="str">
        <f>_xlfn.IFNA(INDEX(MTT_codes,MATCH(loaded!BM770,MTT,0)),"")</f>
        <v/>
      </c>
      <c r="AE770" t="e">
        <f>INDEX(liv_ar_codes,MATCH(loaded!BO770,liv_ar,0))</f>
        <v>#N/A</v>
      </c>
      <c r="AF770" t="str">
        <f>_xlfn.IFNA(INDEX(MTT_codes,MATCH(loaded!BQ770,MTT,0)),"")</f>
        <v/>
      </c>
      <c r="AG770">
        <f>_xlfn.IFNA(INDEX(mental_codes,MATCH(loaded!BS770,mental,0)),9)</f>
        <v>9</v>
      </c>
    </row>
    <row r="771" spans="1:33" x14ac:dyDescent="0.25">
      <c r="A771">
        <f>loaded!C771</f>
        <v>0</v>
      </c>
      <c r="B771">
        <f>loaded!I771</f>
        <v>0</v>
      </c>
      <c r="C771">
        <f>IF(loaded!K771="Male",1,IF(loaded!K771="Female",2,9))</f>
        <v>9</v>
      </c>
      <c r="D771" s="8">
        <f>loaded!M771</f>
        <v>0</v>
      </c>
      <c r="E771" t="str">
        <f>LEFT(loaded!O771,3)</f>
        <v/>
      </c>
      <c r="F771" t="e">
        <f>INDEX(cntry_codes,MATCH(loaded!Q771,countries,0))</f>
        <v>#N/A</v>
      </c>
      <c r="G771" t="e">
        <f>INDEX(atsi_codes,MATCH(loaded!S771,atsi,0))</f>
        <v>#N/A</v>
      </c>
      <c r="H771" t="e">
        <f>INDEX(lang_codes,MATCH(loaded!U771,lang,0))</f>
        <v>#N/A</v>
      </c>
      <c r="I771" s="8">
        <f>loaded!W771</f>
        <v>0</v>
      </c>
      <c r="J771" t="e">
        <f>INDEX(us_acc_codes,MATCH(loaded!Y771,us_acc,0))</f>
        <v>#N/A</v>
      </c>
      <c r="K771" t="e">
        <f>INDEX(client_codes,MATCH(loaded!AA771,client,0))</f>
        <v>#N/A</v>
      </c>
      <c r="L771" t="e">
        <f>INDEX(src_ref_codes,MATCH(loaded!AC771,src_ref,0))</f>
        <v>#N/A</v>
      </c>
      <c r="M771" s="8">
        <f>loaded!AE771</f>
        <v>0</v>
      </c>
      <c r="N771" s="8">
        <f>loaded!AG771</f>
        <v>0</v>
      </c>
      <c r="O771" t="e">
        <f>INDEX(reces_codes,MATCH(loaded!AI771,reason,0))</f>
        <v>#N/A</v>
      </c>
      <c r="P771" t="e">
        <f>INDEX(TDS_codes,MATCH(loaded!AK771,TDS,0))</f>
        <v>#N/A</v>
      </c>
      <c r="Q771" t="e">
        <f>IF(K771=2,"",INDEX(method_codes,MATCH(loaded!AM771,method,0)))</f>
        <v>#N/A</v>
      </c>
      <c r="R771" t="e">
        <f>IF(K771=2,"",INDEX(inj_codes,MATCH(loaded!AO771,inj,0)))</f>
        <v>#N/A</v>
      </c>
      <c r="S771" t="e">
        <f>IF(K771=2,"",INDEX(drug_codes,MATCH(loaded!AQ771,drug,0)))</f>
        <v>#N/A</v>
      </c>
      <c r="T771" t="e">
        <f>IF(K771=2,"",_xlfn.IFNA(INDEX(drug_codes,MATCH(loaded!AS771,drug,0)),""))</f>
        <v>#N/A</v>
      </c>
      <c r="U771" t="e">
        <f>IF(K771=2,"",_xlfn.IFNA(INDEX(drug_codes,MATCH(loaded!AU771,drug,0)),""))</f>
        <v>#N/A</v>
      </c>
      <c r="V771" t="e">
        <f>IF(K771=2,"",_xlfn.IFNA(INDEX(drug_codes,MATCH(loaded!AW771,drug,0)),""))</f>
        <v>#N/A</v>
      </c>
      <c r="W771" t="e">
        <f>IF(K771=2,"",_xlfn.IFNA(INDEX(drug_codes,MATCH(loaded!AY771,drug,0)),""))</f>
        <v>#N/A</v>
      </c>
      <c r="X771" t="e">
        <f>IF(K771=2,"",_xlfn.IFNA(INDEX(drug_codes,MATCH(loaded!BA771,drug,0)),""))</f>
        <v>#N/A</v>
      </c>
      <c r="Y771" t="e">
        <f>INDEX(MTT_codes,MATCH(loaded!BC771,MTT,0))</f>
        <v>#N/A</v>
      </c>
      <c r="Z771" t="str">
        <f>_xlfn.IFNA(INDEX(MTT_codes,MATCH(loaded!BE771,MTT,0)),"")</f>
        <v/>
      </c>
      <c r="AA771" t="str">
        <f>_xlfn.IFNA(INDEX(MTT_codes,MATCH(loaded!BG771,MTT,0)),"")</f>
        <v/>
      </c>
      <c r="AB771" t="str">
        <f>_xlfn.IFNA(INDEX(MTT_codes,MATCH(loaded!BI771,MTT,0)),"")</f>
        <v/>
      </c>
      <c r="AC771" t="str">
        <f>_xlfn.IFNA(INDEX(MTT_codes,MATCH(loaded!BK771,MTT,0)),"")</f>
        <v/>
      </c>
      <c r="AD771" t="str">
        <f>_xlfn.IFNA(INDEX(MTT_codes,MATCH(loaded!BM771,MTT,0)),"")</f>
        <v/>
      </c>
      <c r="AE771" t="e">
        <f>INDEX(liv_ar_codes,MATCH(loaded!BO771,liv_ar,0))</f>
        <v>#N/A</v>
      </c>
      <c r="AF771" t="str">
        <f>_xlfn.IFNA(INDEX(MTT_codes,MATCH(loaded!BQ771,MTT,0)),"")</f>
        <v/>
      </c>
      <c r="AG771">
        <f>_xlfn.IFNA(INDEX(mental_codes,MATCH(loaded!BS771,mental,0)),9)</f>
        <v>9</v>
      </c>
    </row>
    <row r="772" spans="1:33" x14ac:dyDescent="0.25">
      <c r="A772">
        <f>loaded!C772</f>
        <v>0</v>
      </c>
      <c r="B772">
        <f>loaded!I772</f>
        <v>0</v>
      </c>
      <c r="C772">
        <f>IF(loaded!K772="Male",1,IF(loaded!K772="Female",2,9))</f>
        <v>9</v>
      </c>
      <c r="D772" s="8">
        <f>loaded!M772</f>
        <v>0</v>
      </c>
      <c r="E772" t="str">
        <f>LEFT(loaded!O772,3)</f>
        <v/>
      </c>
      <c r="F772" t="e">
        <f>INDEX(cntry_codes,MATCH(loaded!Q772,countries,0))</f>
        <v>#N/A</v>
      </c>
      <c r="G772" t="e">
        <f>INDEX(atsi_codes,MATCH(loaded!S772,atsi,0))</f>
        <v>#N/A</v>
      </c>
      <c r="H772" t="e">
        <f>INDEX(lang_codes,MATCH(loaded!U772,lang,0))</f>
        <v>#N/A</v>
      </c>
      <c r="I772" s="8">
        <f>loaded!W772</f>
        <v>0</v>
      </c>
      <c r="J772" t="e">
        <f>INDEX(us_acc_codes,MATCH(loaded!Y772,us_acc,0))</f>
        <v>#N/A</v>
      </c>
      <c r="K772" t="e">
        <f>INDEX(client_codes,MATCH(loaded!AA772,client,0))</f>
        <v>#N/A</v>
      </c>
      <c r="L772" t="e">
        <f>INDEX(src_ref_codes,MATCH(loaded!AC772,src_ref,0))</f>
        <v>#N/A</v>
      </c>
      <c r="M772" s="8">
        <f>loaded!AE772</f>
        <v>0</v>
      </c>
      <c r="N772" s="8">
        <f>loaded!AG772</f>
        <v>0</v>
      </c>
      <c r="O772" t="e">
        <f>INDEX(reces_codes,MATCH(loaded!AI772,reason,0))</f>
        <v>#N/A</v>
      </c>
      <c r="P772" t="e">
        <f>INDEX(TDS_codes,MATCH(loaded!AK772,TDS,0))</f>
        <v>#N/A</v>
      </c>
      <c r="Q772" t="e">
        <f>IF(K772=2,"",INDEX(method_codes,MATCH(loaded!AM772,method,0)))</f>
        <v>#N/A</v>
      </c>
      <c r="R772" t="e">
        <f>IF(K772=2,"",INDEX(inj_codes,MATCH(loaded!AO772,inj,0)))</f>
        <v>#N/A</v>
      </c>
      <c r="S772" t="e">
        <f>IF(K772=2,"",INDEX(drug_codes,MATCH(loaded!AQ772,drug,0)))</f>
        <v>#N/A</v>
      </c>
      <c r="T772" t="e">
        <f>IF(K772=2,"",_xlfn.IFNA(INDEX(drug_codes,MATCH(loaded!AS772,drug,0)),""))</f>
        <v>#N/A</v>
      </c>
      <c r="U772" t="e">
        <f>IF(K772=2,"",_xlfn.IFNA(INDEX(drug_codes,MATCH(loaded!AU772,drug,0)),""))</f>
        <v>#N/A</v>
      </c>
      <c r="V772" t="e">
        <f>IF(K772=2,"",_xlfn.IFNA(INDEX(drug_codes,MATCH(loaded!AW772,drug,0)),""))</f>
        <v>#N/A</v>
      </c>
      <c r="W772" t="e">
        <f>IF(K772=2,"",_xlfn.IFNA(INDEX(drug_codes,MATCH(loaded!AY772,drug,0)),""))</f>
        <v>#N/A</v>
      </c>
      <c r="X772" t="e">
        <f>IF(K772=2,"",_xlfn.IFNA(INDEX(drug_codes,MATCH(loaded!BA772,drug,0)),""))</f>
        <v>#N/A</v>
      </c>
      <c r="Y772" t="e">
        <f>INDEX(MTT_codes,MATCH(loaded!BC772,MTT,0))</f>
        <v>#N/A</v>
      </c>
      <c r="Z772" t="str">
        <f>_xlfn.IFNA(INDEX(MTT_codes,MATCH(loaded!BE772,MTT,0)),"")</f>
        <v/>
      </c>
      <c r="AA772" t="str">
        <f>_xlfn.IFNA(INDEX(MTT_codes,MATCH(loaded!BG772,MTT,0)),"")</f>
        <v/>
      </c>
      <c r="AB772" t="str">
        <f>_xlfn.IFNA(INDEX(MTT_codes,MATCH(loaded!BI772,MTT,0)),"")</f>
        <v/>
      </c>
      <c r="AC772" t="str">
        <f>_xlfn.IFNA(INDEX(MTT_codes,MATCH(loaded!BK772,MTT,0)),"")</f>
        <v/>
      </c>
      <c r="AD772" t="str">
        <f>_xlfn.IFNA(INDEX(MTT_codes,MATCH(loaded!BM772,MTT,0)),"")</f>
        <v/>
      </c>
      <c r="AE772" t="e">
        <f>INDEX(liv_ar_codes,MATCH(loaded!BO772,liv_ar,0))</f>
        <v>#N/A</v>
      </c>
      <c r="AF772" t="str">
        <f>_xlfn.IFNA(INDEX(MTT_codes,MATCH(loaded!BQ772,MTT,0)),"")</f>
        <v/>
      </c>
      <c r="AG772">
        <f>_xlfn.IFNA(INDEX(mental_codes,MATCH(loaded!BS772,mental,0)),9)</f>
        <v>9</v>
      </c>
    </row>
    <row r="773" spans="1:33" x14ac:dyDescent="0.25">
      <c r="A773">
        <f>loaded!C773</f>
        <v>0</v>
      </c>
      <c r="B773">
        <f>loaded!I773</f>
        <v>0</v>
      </c>
      <c r="C773">
        <f>IF(loaded!K773="Male",1,IF(loaded!K773="Female",2,9))</f>
        <v>9</v>
      </c>
      <c r="D773" s="8">
        <f>loaded!M773</f>
        <v>0</v>
      </c>
      <c r="E773" t="str">
        <f>LEFT(loaded!O773,3)</f>
        <v/>
      </c>
      <c r="F773" t="e">
        <f>INDEX(cntry_codes,MATCH(loaded!Q773,countries,0))</f>
        <v>#N/A</v>
      </c>
      <c r="G773" t="e">
        <f>INDEX(atsi_codes,MATCH(loaded!S773,atsi,0))</f>
        <v>#N/A</v>
      </c>
      <c r="H773" t="e">
        <f>INDEX(lang_codes,MATCH(loaded!U773,lang,0))</f>
        <v>#N/A</v>
      </c>
      <c r="I773" s="8">
        <f>loaded!W773</f>
        <v>0</v>
      </c>
      <c r="J773" t="e">
        <f>INDEX(us_acc_codes,MATCH(loaded!Y773,us_acc,0))</f>
        <v>#N/A</v>
      </c>
      <c r="K773" t="e">
        <f>INDEX(client_codes,MATCH(loaded!AA773,client,0))</f>
        <v>#N/A</v>
      </c>
      <c r="L773" t="e">
        <f>INDEX(src_ref_codes,MATCH(loaded!AC773,src_ref,0))</f>
        <v>#N/A</v>
      </c>
      <c r="M773" s="8">
        <f>loaded!AE773</f>
        <v>0</v>
      </c>
      <c r="N773" s="8">
        <f>loaded!AG773</f>
        <v>0</v>
      </c>
      <c r="O773" t="e">
        <f>INDEX(reces_codes,MATCH(loaded!AI773,reason,0))</f>
        <v>#N/A</v>
      </c>
      <c r="P773" t="e">
        <f>INDEX(TDS_codes,MATCH(loaded!AK773,TDS,0))</f>
        <v>#N/A</v>
      </c>
      <c r="Q773" t="e">
        <f>IF(K773=2,"",INDEX(method_codes,MATCH(loaded!AM773,method,0)))</f>
        <v>#N/A</v>
      </c>
      <c r="R773" t="e">
        <f>IF(K773=2,"",INDEX(inj_codes,MATCH(loaded!AO773,inj,0)))</f>
        <v>#N/A</v>
      </c>
      <c r="S773" t="e">
        <f>IF(K773=2,"",INDEX(drug_codes,MATCH(loaded!AQ773,drug,0)))</f>
        <v>#N/A</v>
      </c>
      <c r="T773" t="e">
        <f>IF(K773=2,"",_xlfn.IFNA(INDEX(drug_codes,MATCH(loaded!AS773,drug,0)),""))</f>
        <v>#N/A</v>
      </c>
      <c r="U773" t="e">
        <f>IF(K773=2,"",_xlfn.IFNA(INDEX(drug_codes,MATCH(loaded!AU773,drug,0)),""))</f>
        <v>#N/A</v>
      </c>
      <c r="V773" t="e">
        <f>IF(K773=2,"",_xlfn.IFNA(INDEX(drug_codes,MATCH(loaded!AW773,drug,0)),""))</f>
        <v>#N/A</v>
      </c>
      <c r="W773" t="e">
        <f>IF(K773=2,"",_xlfn.IFNA(INDEX(drug_codes,MATCH(loaded!AY773,drug,0)),""))</f>
        <v>#N/A</v>
      </c>
      <c r="X773" t="e">
        <f>IF(K773=2,"",_xlfn.IFNA(INDEX(drug_codes,MATCH(loaded!BA773,drug,0)),""))</f>
        <v>#N/A</v>
      </c>
      <c r="Y773" t="e">
        <f>INDEX(MTT_codes,MATCH(loaded!BC773,MTT,0))</f>
        <v>#N/A</v>
      </c>
      <c r="Z773" t="str">
        <f>_xlfn.IFNA(INDEX(MTT_codes,MATCH(loaded!BE773,MTT,0)),"")</f>
        <v/>
      </c>
      <c r="AA773" t="str">
        <f>_xlfn.IFNA(INDEX(MTT_codes,MATCH(loaded!BG773,MTT,0)),"")</f>
        <v/>
      </c>
      <c r="AB773" t="str">
        <f>_xlfn.IFNA(INDEX(MTT_codes,MATCH(loaded!BI773,MTT,0)),"")</f>
        <v/>
      </c>
      <c r="AC773" t="str">
        <f>_xlfn.IFNA(INDEX(MTT_codes,MATCH(loaded!BK773,MTT,0)),"")</f>
        <v/>
      </c>
      <c r="AD773" t="str">
        <f>_xlfn.IFNA(INDEX(MTT_codes,MATCH(loaded!BM773,MTT,0)),"")</f>
        <v/>
      </c>
      <c r="AE773" t="e">
        <f>INDEX(liv_ar_codes,MATCH(loaded!BO773,liv_ar,0))</f>
        <v>#N/A</v>
      </c>
      <c r="AF773" t="str">
        <f>_xlfn.IFNA(INDEX(MTT_codes,MATCH(loaded!BQ773,MTT,0)),"")</f>
        <v/>
      </c>
      <c r="AG773">
        <f>_xlfn.IFNA(INDEX(mental_codes,MATCH(loaded!BS773,mental,0)),9)</f>
        <v>9</v>
      </c>
    </row>
    <row r="774" spans="1:33" x14ac:dyDescent="0.25">
      <c r="A774">
        <f>loaded!C774</f>
        <v>0</v>
      </c>
      <c r="B774">
        <f>loaded!I774</f>
        <v>0</v>
      </c>
      <c r="C774">
        <f>IF(loaded!K774="Male",1,IF(loaded!K774="Female",2,9))</f>
        <v>9</v>
      </c>
      <c r="D774" s="8">
        <f>loaded!M774</f>
        <v>0</v>
      </c>
      <c r="E774" t="str">
        <f>LEFT(loaded!O774,3)</f>
        <v/>
      </c>
      <c r="F774" t="e">
        <f>INDEX(cntry_codes,MATCH(loaded!Q774,countries,0))</f>
        <v>#N/A</v>
      </c>
      <c r="G774" t="e">
        <f>INDEX(atsi_codes,MATCH(loaded!S774,atsi,0))</f>
        <v>#N/A</v>
      </c>
      <c r="H774" t="e">
        <f>INDEX(lang_codes,MATCH(loaded!U774,lang,0))</f>
        <v>#N/A</v>
      </c>
      <c r="I774" s="8">
        <f>loaded!W774</f>
        <v>0</v>
      </c>
      <c r="J774" t="e">
        <f>INDEX(us_acc_codes,MATCH(loaded!Y774,us_acc,0))</f>
        <v>#N/A</v>
      </c>
      <c r="K774" t="e">
        <f>INDEX(client_codes,MATCH(loaded!AA774,client,0))</f>
        <v>#N/A</v>
      </c>
      <c r="L774" t="e">
        <f>INDEX(src_ref_codes,MATCH(loaded!AC774,src_ref,0))</f>
        <v>#N/A</v>
      </c>
      <c r="M774" s="8">
        <f>loaded!AE774</f>
        <v>0</v>
      </c>
      <c r="N774" s="8">
        <f>loaded!AG774</f>
        <v>0</v>
      </c>
      <c r="O774" t="e">
        <f>INDEX(reces_codes,MATCH(loaded!AI774,reason,0))</f>
        <v>#N/A</v>
      </c>
      <c r="P774" t="e">
        <f>INDEX(TDS_codes,MATCH(loaded!AK774,TDS,0))</f>
        <v>#N/A</v>
      </c>
      <c r="Q774" t="e">
        <f>IF(K774=2,"",INDEX(method_codes,MATCH(loaded!AM774,method,0)))</f>
        <v>#N/A</v>
      </c>
      <c r="R774" t="e">
        <f>IF(K774=2,"",INDEX(inj_codes,MATCH(loaded!AO774,inj,0)))</f>
        <v>#N/A</v>
      </c>
      <c r="S774" t="e">
        <f>IF(K774=2,"",INDEX(drug_codes,MATCH(loaded!AQ774,drug,0)))</f>
        <v>#N/A</v>
      </c>
      <c r="T774" t="e">
        <f>IF(K774=2,"",_xlfn.IFNA(INDEX(drug_codes,MATCH(loaded!AS774,drug,0)),""))</f>
        <v>#N/A</v>
      </c>
      <c r="U774" t="e">
        <f>IF(K774=2,"",_xlfn.IFNA(INDEX(drug_codes,MATCH(loaded!AU774,drug,0)),""))</f>
        <v>#N/A</v>
      </c>
      <c r="V774" t="e">
        <f>IF(K774=2,"",_xlfn.IFNA(INDEX(drug_codes,MATCH(loaded!AW774,drug,0)),""))</f>
        <v>#N/A</v>
      </c>
      <c r="W774" t="e">
        <f>IF(K774=2,"",_xlfn.IFNA(INDEX(drug_codes,MATCH(loaded!AY774,drug,0)),""))</f>
        <v>#N/A</v>
      </c>
      <c r="X774" t="e">
        <f>IF(K774=2,"",_xlfn.IFNA(INDEX(drug_codes,MATCH(loaded!BA774,drug,0)),""))</f>
        <v>#N/A</v>
      </c>
      <c r="Y774" t="e">
        <f>INDEX(MTT_codes,MATCH(loaded!BC774,MTT,0))</f>
        <v>#N/A</v>
      </c>
      <c r="Z774" t="str">
        <f>_xlfn.IFNA(INDEX(MTT_codes,MATCH(loaded!BE774,MTT,0)),"")</f>
        <v/>
      </c>
      <c r="AA774" t="str">
        <f>_xlfn.IFNA(INDEX(MTT_codes,MATCH(loaded!BG774,MTT,0)),"")</f>
        <v/>
      </c>
      <c r="AB774" t="str">
        <f>_xlfn.IFNA(INDEX(MTT_codes,MATCH(loaded!BI774,MTT,0)),"")</f>
        <v/>
      </c>
      <c r="AC774" t="str">
        <f>_xlfn.IFNA(INDEX(MTT_codes,MATCH(loaded!BK774,MTT,0)),"")</f>
        <v/>
      </c>
      <c r="AD774" t="str">
        <f>_xlfn.IFNA(INDEX(MTT_codes,MATCH(loaded!BM774,MTT,0)),"")</f>
        <v/>
      </c>
      <c r="AE774" t="e">
        <f>INDEX(liv_ar_codes,MATCH(loaded!BO774,liv_ar,0))</f>
        <v>#N/A</v>
      </c>
      <c r="AF774" t="str">
        <f>_xlfn.IFNA(INDEX(MTT_codes,MATCH(loaded!BQ774,MTT,0)),"")</f>
        <v/>
      </c>
      <c r="AG774">
        <f>_xlfn.IFNA(INDEX(mental_codes,MATCH(loaded!BS774,mental,0)),9)</f>
        <v>9</v>
      </c>
    </row>
    <row r="775" spans="1:33" x14ac:dyDescent="0.25">
      <c r="A775">
        <f>loaded!C775</f>
        <v>0</v>
      </c>
      <c r="B775">
        <f>loaded!I775</f>
        <v>0</v>
      </c>
      <c r="C775">
        <f>IF(loaded!K775="Male",1,IF(loaded!K775="Female",2,9))</f>
        <v>9</v>
      </c>
      <c r="D775" s="8">
        <f>loaded!M775</f>
        <v>0</v>
      </c>
      <c r="E775" t="str">
        <f>LEFT(loaded!O775,3)</f>
        <v/>
      </c>
      <c r="F775" t="e">
        <f>INDEX(cntry_codes,MATCH(loaded!Q775,countries,0))</f>
        <v>#N/A</v>
      </c>
      <c r="G775" t="e">
        <f>INDEX(atsi_codes,MATCH(loaded!S775,atsi,0))</f>
        <v>#N/A</v>
      </c>
      <c r="H775" t="e">
        <f>INDEX(lang_codes,MATCH(loaded!U775,lang,0))</f>
        <v>#N/A</v>
      </c>
      <c r="I775" s="8">
        <f>loaded!W775</f>
        <v>0</v>
      </c>
      <c r="J775" t="e">
        <f>INDEX(us_acc_codes,MATCH(loaded!Y775,us_acc,0))</f>
        <v>#N/A</v>
      </c>
      <c r="K775" t="e">
        <f>INDEX(client_codes,MATCH(loaded!AA775,client,0))</f>
        <v>#N/A</v>
      </c>
      <c r="L775" t="e">
        <f>INDEX(src_ref_codes,MATCH(loaded!AC775,src_ref,0))</f>
        <v>#N/A</v>
      </c>
      <c r="M775" s="8">
        <f>loaded!AE775</f>
        <v>0</v>
      </c>
      <c r="N775" s="8">
        <f>loaded!AG775</f>
        <v>0</v>
      </c>
      <c r="O775" t="e">
        <f>INDEX(reces_codes,MATCH(loaded!AI775,reason,0))</f>
        <v>#N/A</v>
      </c>
      <c r="P775" t="e">
        <f>INDEX(TDS_codes,MATCH(loaded!AK775,TDS,0))</f>
        <v>#N/A</v>
      </c>
      <c r="Q775" t="e">
        <f>IF(K775=2,"",INDEX(method_codes,MATCH(loaded!AM775,method,0)))</f>
        <v>#N/A</v>
      </c>
      <c r="R775" t="e">
        <f>IF(K775=2,"",INDEX(inj_codes,MATCH(loaded!AO775,inj,0)))</f>
        <v>#N/A</v>
      </c>
      <c r="S775" t="e">
        <f>IF(K775=2,"",INDEX(drug_codes,MATCH(loaded!AQ775,drug,0)))</f>
        <v>#N/A</v>
      </c>
      <c r="T775" t="e">
        <f>IF(K775=2,"",_xlfn.IFNA(INDEX(drug_codes,MATCH(loaded!AS775,drug,0)),""))</f>
        <v>#N/A</v>
      </c>
      <c r="U775" t="e">
        <f>IF(K775=2,"",_xlfn.IFNA(INDEX(drug_codes,MATCH(loaded!AU775,drug,0)),""))</f>
        <v>#N/A</v>
      </c>
      <c r="V775" t="e">
        <f>IF(K775=2,"",_xlfn.IFNA(INDEX(drug_codes,MATCH(loaded!AW775,drug,0)),""))</f>
        <v>#N/A</v>
      </c>
      <c r="W775" t="e">
        <f>IF(K775=2,"",_xlfn.IFNA(INDEX(drug_codes,MATCH(loaded!AY775,drug,0)),""))</f>
        <v>#N/A</v>
      </c>
      <c r="X775" t="e">
        <f>IF(K775=2,"",_xlfn.IFNA(INDEX(drug_codes,MATCH(loaded!BA775,drug,0)),""))</f>
        <v>#N/A</v>
      </c>
      <c r="Y775" t="e">
        <f>INDEX(MTT_codes,MATCH(loaded!BC775,MTT,0))</f>
        <v>#N/A</v>
      </c>
      <c r="Z775" t="str">
        <f>_xlfn.IFNA(INDEX(MTT_codes,MATCH(loaded!BE775,MTT,0)),"")</f>
        <v/>
      </c>
      <c r="AA775" t="str">
        <f>_xlfn.IFNA(INDEX(MTT_codes,MATCH(loaded!BG775,MTT,0)),"")</f>
        <v/>
      </c>
      <c r="AB775" t="str">
        <f>_xlfn.IFNA(INDEX(MTT_codes,MATCH(loaded!BI775,MTT,0)),"")</f>
        <v/>
      </c>
      <c r="AC775" t="str">
        <f>_xlfn.IFNA(INDEX(MTT_codes,MATCH(loaded!BK775,MTT,0)),"")</f>
        <v/>
      </c>
      <c r="AD775" t="str">
        <f>_xlfn.IFNA(INDEX(MTT_codes,MATCH(loaded!BM775,MTT,0)),"")</f>
        <v/>
      </c>
      <c r="AE775" t="e">
        <f>INDEX(liv_ar_codes,MATCH(loaded!BO775,liv_ar,0))</f>
        <v>#N/A</v>
      </c>
      <c r="AF775" t="str">
        <f>_xlfn.IFNA(INDEX(MTT_codes,MATCH(loaded!BQ775,MTT,0)),"")</f>
        <v/>
      </c>
      <c r="AG775">
        <f>_xlfn.IFNA(INDEX(mental_codes,MATCH(loaded!BS775,mental,0)),9)</f>
        <v>9</v>
      </c>
    </row>
    <row r="776" spans="1:33" x14ac:dyDescent="0.25">
      <c r="A776">
        <f>loaded!C776</f>
        <v>0</v>
      </c>
      <c r="B776">
        <f>loaded!I776</f>
        <v>0</v>
      </c>
      <c r="C776">
        <f>IF(loaded!K776="Male",1,IF(loaded!K776="Female",2,9))</f>
        <v>9</v>
      </c>
      <c r="D776" s="8">
        <f>loaded!M776</f>
        <v>0</v>
      </c>
      <c r="E776" t="str">
        <f>LEFT(loaded!O776,3)</f>
        <v/>
      </c>
      <c r="F776" t="e">
        <f>INDEX(cntry_codes,MATCH(loaded!Q776,countries,0))</f>
        <v>#N/A</v>
      </c>
      <c r="G776" t="e">
        <f>INDEX(atsi_codes,MATCH(loaded!S776,atsi,0))</f>
        <v>#N/A</v>
      </c>
      <c r="H776" t="e">
        <f>INDEX(lang_codes,MATCH(loaded!U776,lang,0))</f>
        <v>#N/A</v>
      </c>
      <c r="I776" s="8">
        <f>loaded!W776</f>
        <v>0</v>
      </c>
      <c r="J776" t="e">
        <f>INDEX(us_acc_codes,MATCH(loaded!Y776,us_acc,0))</f>
        <v>#N/A</v>
      </c>
      <c r="K776" t="e">
        <f>INDEX(client_codes,MATCH(loaded!AA776,client,0))</f>
        <v>#N/A</v>
      </c>
      <c r="L776" t="e">
        <f>INDEX(src_ref_codes,MATCH(loaded!AC776,src_ref,0))</f>
        <v>#N/A</v>
      </c>
      <c r="M776" s="8">
        <f>loaded!AE776</f>
        <v>0</v>
      </c>
      <c r="N776" s="8">
        <f>loaded!AG776</f>
        <v>0</v>
      </c>
      <c r="O776" t="e">
        <f>INDEX(reces_codes,MATCH(loaded!AI776,reason,0))</f>
        <v>#N/A</v>
      </c>
      <c r="P776" t="e">
        <f>INDEX(TDS_codes,MATCH(loaded!AK776,TDS,0))</f>
        <v>#N/A</v>
      </c>
      <c r="Q776" t="e">
        <f>IF(K776=2,"",INDEX(method_codes,MATCH(loaded!AM776,method,0)))</f>
        <v>#N/A</v>
      </c>
      <c r="R776" t="e">
        <f>IF(K776=2,"",INDEX(inj_codes,MATCH(loaded!AO776,inj,0)))</f>
        <v>#N/A</v>
      </c>
      <c r="S776" t="e">
        <f>IF(K776=2,"",INDEX(drug_codes,MATCH(loaded!AQ776,drug,0)))</f>
        <v>#N/A</v>
      </c>
      <c r="T776" t="e">
        <f>IF(K776=2,"",_xlfn.IFNA(INDEX(drug_codes,MATCH(loaded!AS776,drug,0)),""))</f>
        <v>#N/A</v>
      </c>
      <c r="U776" t="e">
        <f>IF(K776=2,"",_xlfn.IFNA(INDEX(drug_codes,MATCH(loaded!AU776,drug,0)),""))</f>
        <v>#N/A</v>
      </c>
      <c r="V776" t="e">
        <f>IF(K776=2,"",_xlfn.IFNA(INDEX(drug_codes,MATCH(loaded!AW776,drug,0)),""))</f>
        <v>#N/A</v>
      </c>
      <c r="W776" t="e">
        <f>IF(K776=2,"",_xlfn.IFNA(INDEX(drug_codes,MATCH(loaded!AY776,drug,0)),""))</f>
        <v>#N/A</v>
      </c>
      <c r="X776" t="e">
        <f>IF(K776=2,"",_xlfn.IFNA(INDEX(drug_codes,MATCH(loaded!BA776,drug,0)),""))</f>
        <v>#N/A</v>
      </c>
      <c r="Y776" t="e">
        <f>INDEX(MTT_codes,MATCH(loaded!BC776,MTT,0))</f>
        <v>#N/A</v>
      </c>
      <c r="Z776" t="str">
        <f>_xlfn.IFNA(INDEX(MTT_codes,MATCH(loaded!BE776,MTT,0)),"")</f>
        <v/>
      </c>
      <c r="AA776" t="str">
        <f>_xlfn.IFNA(INDEX(MTT_codes,MATCH(loaded!BG776,MTT,0)),"")</f>
        <v/>
      </c>
      <c r="AB776" t="str">
        <f>_xlfn.IFNA(INDEX(MTT_codes,MATCH(loaded!BI776,MTT,0)),"")</f>
        <v/>
      </c>
      <c r="AC776" t="str">
        <f>_xlfn.IFNA(INDEX(MTT_codes,MATCH(loaded!BK776,MTT,0)),"")</f>
        <v/>
      </c>
      <c r="AD776" t="str">
        <f>_xlfn.IFNA(INDEX(MTT_codes,MATCH(loaded!BM776,MTT,0)),"")</f>
        <v/>
      </c>
      <c r="AE776" t="e">
        <f>INDEX(liv_ar_codes,MATCH(loaded!BO776,liv_ar,0))</f>
        <v>#N/A</v>
      </c>
      <c r="AF776" t="str">
        <f>_xlfn.IFNA(INDEX(MTT_codes,MATCH(loaded!BQ776,MTT,0)),"")</f>
        <v/>
      </c>
      <c r="AG776">
        <f>_xlfn.IFNA(INDEX(mental_codes,MATCH(loaded!BS776,mental,0)),9)</f>
        <v>9</v>
      </c>
    </row>
    <row r="777" spans="1:33" x14ac:dyDescent="0.25">
      <c r="A777">
        <f>loaded!C777</f>
        <v>0</v>
      </c>
      <c r="B777">
        <f>loaded!I777</f>
        <v>0</v>
      </c>
      <c r="C777">
        <f>IF(loaded!K777="Male",1,IF(loaded!K777="Female",2,9))</f>
        <v>9</v>
      </c>
      <c r="D777" s="8">
        <f>loaded!M777</f>
        <v>0</v>
      </c>
      <c r="E777" t="str">
        <f>LEFT(loaded!O777,3)</f>
        <v/>
      </c>
      <c r="F777" t="e">
        <f>INDEX(cntry_codes,MATCH(loaded!Q777,countries,0))</f>
        <v>#N/A</v>
      </c>
      <c r="G777" t="e">
        <f>INDEX(atsi_codes,MATCH(loaded!S777,atsi,0))</f>
        <v>#N/A</v>
      </c>
      <c r="H777" t="e">
        <f>INDEX(lang_codes,MATCH(loaded!U777,lang,0))</f>
        <v>#N/A</v>
      </c>
      <c r="I777" s="8">
        <f>loaded!W777</f>
        <v>0</v>
      </c>
      <c r="J777" t="e">
        <f>INDEX(us_acc_codes,MATCH(loaded!Y777,us_acc,0))</f>
        <v>#N/A</v>
      </c>
      <c r="K777" t="e">
        <f>INDEX(client_codes,MATCH(loaded!AA777,client,0))</f>
        <v>#N/A</v>
      </c>
      <c r="L777" t="e">
        <f>INDEX(src_ref_codes,MATCH(loaded!AC777,src_ref,0))</f>
        <v>#N/A</v>
      </c>
      <c r="M777" s="8">
        <f>loaded!AE777</f>
        <v>0</v>
      </c>
      <c r="N777" s="8">
        <f>loaded!AG777</f>
        <v>0</v>
      </c>
      <c r="O777" t="e">
        <f>INDEX(reces_codes,MATCH(loaded!AI777,reason,0))</f>
        <v>#N/A</v>
      </c>
      <c r="P777" t="e">
        <f>INDEX(TDS_codes,MATCH(loaded!AK777,TDS,0))</f>
        <v>#N/A</v>
      </c>
      <c r="Q777" t="e">
        <f>IF(K777=2,"",INDEX(method_codes,MATCH(loaded!AM777,method,0)))</f>
        <v>#N/A</v>
      </c>
      <c r="R777" t="e">
        <f>IF(K777=2,"",INDEX(inj_codes,MATCH(loaded!AO777,inj,0)))</f>
        <v>#N/A</v>
      </c>
      <c r="S777" t="e">
        <f>IF(K777=2,"",INDEX(drug_codes,MATCH(loaded!AQ777,drug,0)))</f>
        <v>#N/A</v>
      </c>
      <c r="T777" t="e">
        <f>IF(K777=2,"",_xlfn.IFNA(INDEX(drug_codes,MATCH(loaded!AS777,drug,0)),""))</f>
        <v>#N/A</v>
      </c>
      <c r="U777" t="e">
        <f>IF(K777=2,"",_xlfn.IFNA(INDEX(drug_codes,MATCH(loaded!AU777,drug,0)),""))</f>
        <v>#N/A</v>
      </c>
      <c r="V777" t="e">
        <f>IF(K777=2,"",_xlfn.IFNA(INDEX(drug_codes,MATCH(loaded!AW777,drug,0)),""))</f>
        <v>#N/A</v>
      </c>
      <c r="W777" t="e">
        <f>IF(K777=2,"",_xlfn.IFNA(INDEX(drug_codes,MATCH(loaded!AY777,drug,0)),""))</f>
        <v>#N/A</v>
      </c>
      <c r="X777" t="e">
        <f>IF(K777=2,"",_xlfn.IFNA(INDEX(drug_codes,MATCH(loaded!BA777,drug,0)),""))</f>
        <v>#N/A</v>
      </c>
      <c r="Y777" t="e">
        <f>INDEX(MTT_codes,MATCH(loaded!BC777,MTT,0))</f>
        <v>#N/A</v>
      </c>
      <c r="Z777" t="str">
        <f>_xlfn.IFNA(INDEX(MTT_codes,MATCH(loaded!BE777,MTT,0)),"")</f>
        <v/>
      </c>
      <c r="AA777" t="str">
        <f>_xlfn.IFNA(INDEX(MTT_codes,MATCH(loaded!BG777,MTT,0)),"")</f>
        <v/>
      </c>
      <c r="AB777" t="str">
        <f>_xlfn.IFNA(INDEX(MTT_codes,MATCH(loaded!BI777,MTT,0)),"")</f>
        <v/>
      </c>
      <c r="AC777" t="str">
        <f>_xlfn.IFNA(INDEX(MTT_codes,MATCH(loaded!BK777,MTT,0)),"")</f>
        <v/>
      </c>
      <c r="AD777" t="str">
        <f>_xlfn.IFNA(INDEX(MTT_codes,MATCH(loaded!BM777,MTT,0)),"")</f>
        <v/>
      </c>
      <c r="AE777" t="e">
        <f>INDEX(liv_ar_codes,MATCH(loaded!BO777,liv_ar,0))</f>
        <v>#N/A</v>
      </c>
      <c r="AF777" t="str">
        <f>_xlfn.IFNA(INDEX(MTT_codes,MATCH(loaded!BQ777,MTT,0)),"")</f>
        <v/>
      </c>
      <c r="AG777">
        <f>_xlfn.IFNA(INDEX(mental_codes,MATCH(loaded!BS777,mental,0)),9)</f>
        <v>9</v>
      </c>
    </row>
    <row r="778" spans="1:33" x14ac:dyDescent="0.25">
      <c r="A778">
        <f>loaded!C778</f>
        <v>0</v>
      </c>
      <c r="B778">
        <f>loaded!I778</f>
        <v>0</v>
      </c>
      <c r="C778">
        <f>IF(loaded!K778="Male",1,IF(loaded!K778="Female",2,9))</f>
        <v>9</v>
      </c>
      <c r="D778" s="8">
        <f>loaded!M778</f>
        <v>0</v>
      </c>
      <c r="E778" t="str">
        <f>LEFT(loaded!O778,3)</f>
        <v/>
      </c>
      <c r="F778" t="e">
        <f>INDEX(cntry_codes,MATCH(loaded!Q778,countries,0))</f>
        <v>#N/A</v>
      </c>
      <c r="G778" t="e">
        <f>INDEX(atsi_codes,MATCH(loaded!S778,atsi,0))</f>
        <v>#N/A</v>
      </c>
      <c r="H778" t="e">
        <f>INDEX(lang_codes,MATCH(loaded!U778,lang,0))</f>
        <v>#N/A</v>
      </c>
      <c r="I778" s="8">
        <f>loaded!W778</f>
        <v>0</v>
      </c>
      <c r="J778" t="e">
        <f>INDEX(us_acc_codes,MATCH(loaded!Y778,us_acc,0))</f>
        <v>#N/A</v>
      </c>
      <c r="K778" t="e">
        <f>INDEX(client_codes,MATCH(loaded!AA778,client,0))</f>
        <v>#N/A</v>
      </c>
      <c r="L778" t="e">
        <f>INDEX(src_ref_codes,MATCH(loaded!AC778,src_ref,0))</f>
        <v>#N/A</v>
      </c>
      <c r="M778" s="8">
        <f>loaded!AE778</f>
        <v>0</v>
      </c>
      <c r="N778" s="8">
        <f>loaded!AG778</f>
        <v>0</v>
      </c>
      <c r="O778" t="e">
        <f>INDEX(reces_codes,MATCH(loaded!AI778,reason,0))</f>
        <v>#N/A</v>
      </c>
      <c r="P778" t="e">
        <f>INDEX(TDS_codes,MATCH(loaded!AK778,TDS,0))</f>
        <v>#N/A</v>
      </c>
      <c r="Q778" t="e">
        <f>IF(K778=2,"",INDEX(method_codes,MATCH(loaded!AM778,method,0)))</f>
        <v>#N/A</v>
      </c>
      <c r="R778" t="e">
        <f>IF(K778=2,"",INDEX(inj_codes,MATCH(loaded!AO778,inj,0)))</f>
        <v>#N/A</v>
      </c>
      <c r="S778" t="e">
        <f>IF(K778=2,"",INDEX(drug_codes,MATCH(loaded!AQ778,drug,0)))</f>
        <v>#N/A</v>
      </c>
      <c r="T778" t="e">
        <f>IF(K778=2,"",_xlfn.IFNA(INDEX(drug_codes,MATCH(loaded!AS778,drug,0)),""))</f>
        <v>#N/A</v>
      </c>
      <c r="U778" t="e">
        <f>IF(K778=2,"",_xlfn.IFNA(INDEX(drug_codes,MATCH(loaded!AU778,drug,0)),""))</f>
        <v>#N/A</v>
      </c>
      <c r="V778" t="e">
        <f>IF(K778=2,"",_xlfn.IFNA(INDEX(drug_codes,MATCH(loaded!AW778,drug,0)),""))</f>
        <v>#N/A</v>
      </c>
      <c r="W778" t="e">
        <f>IF(K778=2,"",_xlfn.IFNA(INDEX(drug_codes,MATCH(loaded!AY778,drug,0)),""))</f>
        <v>#N/A</v>
      </c>
      <c r="X778" t="e">
        <f>IF(K778=2,"",_xlfn.IFNA(INDEX(drug_codes,MATCH(loaded!BA778,drug,0)),""))</f>
        <v>#N/A</v>
      </c>
      <c r="Y778" t="e">
        <f>INDEX(MTT_codes,MATCH(loaded!BC778,MTT,0))</f>
        <v>#N/A</v>
      </c>
      <c r="Z778" t="str">
        <f>_xlfn.IFNA(INDEX(MTT_codes,MATCH(loaded!BE778,MTT,0)),"")</f>
        <v/>
      </c>
      <c r="AA778" t="str">
        <f>_xlfn.IFNA(INDEX(MTT_codes,MATCH(loaded!BG778,MTT,0)),"")</f>
        <v/>
      </c>
      <c r="AB778" t="str">
        <f>_xlfn.IFNA(INDEX(MTT_codes,MATCH(loaded!BI778,MTT,0)),"")</f>
        <v/>
      </c>
      <c r="AC778" t="str">
        <f>_xlfn.IFNA(INDEX(MTT_codes,MATCH(loaded!BK778,MTT,0)),"")</f>
        <v/>
      </c>
      <c r="AD778" t="str">
        <f>_xlfn.IFNA(INDEX(MTT_codes,MATCH(loaded!BM778,MTT,0)),"")</f>
        <v/>
      </c>
      <c r="AE778" t="e">
        <f>INDEX(liv_ar_codes,MATCH(loaded!BO778,liv_ar,0))</f>
        <v>#N/A</v>
      </c>
      <c r="AF778" t="str">
        <f>_xlfn.IFNA(INDEX(MTT_codes,MATCH(loaded!BQ778,MTT,0)),"")</f>
        <v/>
      </c>
      <c r="AG778">
        <f>_xlfn.IFNA(INDEX(mental_codes,MATCH(loaded!BS778,mental,0)),9)</f>
        <v>9</v>
      </c>
    </row>
    <row r="779" spans="1:33" x14ac:dyDescent="0.25">
      <c r="A779">
        <f>loaded!C779</f>
        <v>0</v>
      </c>
      <c r="B779">
        <f>loaded!I779</f>
        <v>0</v>
      </c>
      <c r="C779">
        <f>IF(loaded!K779="Male",1,IF(loaded!K779="Female",2,9))</f>
        <v>9</v>
      </c>
      <c r="D779" s="8">
        <f>loaded!M779</f>
        <v>0</v>
      </c>
      <c r="E779" t="str">
        <f>LEFT(loaded!O779,3)</f>
        <v/>
      </c>
      <c r="F779" t="e">
        <f>INDEX(cntry_codes,MATCH(loaded!Q779,countries,0))</f>
        <v>#N/A</v>
      </c>
      <c r="G779" t="e">
        <f>INDEX(atsi_codes,MATCH(loaded!S779,atsi,0))</f>
        <v>#N/A</v>
      </c>
      <c r="H779" t="e">
        <f>INDEX(lang_codes,MATCH(loaded!U779,lang,0))</f>
        <v>#N/A</v>
      </c>
      <c r="I779" s="8">
        <f>loaded!W779</f>
        <v>0</v>
      </c>
      <c r="J779" t="e">
        <f>INDEX(us_acc_codes,MATCH(loaded!Y779,us_acc,0))</f>
        <v>#N/A</v>
      </c>
      <c r="K779" t="e">
        <f>INDEX(client_codes,MATCH(loaded!AA779,client,0))</f>
        <v>#N/A</v>
      </c>
      <c r="L779" t="e">
        <f>INDEX(src_ref_codes,MATCH(loaded!AC779,src_ref,0))</f>
        <v>#N/A</v>
      </c>
      <c r="M779" s="8">
        <f>loaded!AE779</f>
        <v>0</v>
      </c>
      <c r="N779" s="8">
        <f>loaded!AG779</f>
        <v>0</v>
      </c>
      <c r="O779" t="e">
        <f>INDEX(reces_codes,MATCH(loaded!AI779,reason,0))</f>
        <v>#N/A</v>
      </c>
      <c r="P779" t="e">
        <f>INDEX(TDS_codes,MATCH(loaded!AK779,TDS,0))</f>
        <v>#N/A</v>
      </c>
      <c r="Q779" t="e">
        <f>IF(K779=2,"",INDEX(method_codes,MATCH(loaded!AM779,method,0)))</f>
        <v>#N/A</v>
      </c>
      <c r="R779" t="e">
        <f>IF(K779=2,"",INDEX(inj_codes,MATCH(loaded!AO779,inj,0)))</f>
        <v>#N/A</v>
      </c>
      <c r="S779" t="e">
        <f>IF(K779=2,"",INDEX(drug_codes,MATCH(loaded!AQ779,drug,0)))</f>
        <v>#N/A</v>
      </c>
      <c r="T779" t="e">
        <f>IF(K779=2,"",_xlfn.IFNA(INDEX(drug_codes,MATCH(loaded!AS779,drug,0)),""))</f>
        <v>#N/A</v>
      </c>
      <c r="U779" t="e">
        <f>IF(K779=2,"",_xlfn.IFNA(INDEX(drug_codes,MATCH(loaded!AU779,drug,0)),""))</f>
        <v>#N/A</v>
      </c>
      <c r="V779" t="e">
        <f>IF(K779=2,"",_xlfn.IFNA(INDEX(drug_codes,MATCH(loaded!AW779,drug,0)),""))</f>
        <v>#N/A</v>
      </c>
      <c r="W779" t="e">
        <f>IF(K779=2,"",_xlfn.IFNA(INDEX(drug_codes,MATCH(loaded!AY779,drug,0)),""))</f>
        <v>#N/A</v>
      </c>
      <c r="X779" t="e">
        <f>IF(K779=2,"",_xlfn.IFNA(INDEX(drug_codes,MATCH(loaded!BA779,drug,0)),""))</f>
        <v>#N/A</v>
      </c>
      <c r="Y779" t="e">
        <f>INDEX(MTT_codes,MATCH(loaded!BC779,MTT,0))</f>
        <v>#N/A</v>
      </c>
      <c r="Z779" t="str">
        <f>_xlfn.IFNA(INDEX(MTT_codes,MATCH(loaded!BE779,MTT,0)),"")</f>
        <v/>
      </c>
      <c r="AA779" t="str">
        <f>_xlfn.IFNA(INDEX(MTT_codes,MATCH(loaded!BG779,MTT,0)),"")</f>
        <v/>
      </c>
      <c r="AB779" t="str">
        <f>_xlfn.IFNA(INDEX(MTT_codes,MATCH(loaded!BI779,MTT,0)),"")</f>
        <v/>
      </c>
      <c r="AC779" t="str">
        <f>_xlfn.IFNA(INDEX(MTT_codes,MATCH(loaded!BK779,MTT,0)),"")</f>
        <v/>
      </c>
      <c r="AD779" t="str">
        <f>_xlfn.IFNA(INDEX(MTT_codes,MATCH(loaded!BM779,MTT,0)),"")</f>
        <v/>
      </c>
      <c r="AE779" t="e">
        <f>INDEX(liv_ar_codes,MATCH(loaded!BO779,liv_ar,0))</f>
        <v>#N/A</v>
      </c>
      <c r="AF779" t="str">
        <f>_xlfn.IFNA(INDEX(MTT_codes,MATCH(loaded!BQ779,MTT,0)),"")</f>
        <v/>
      </c>
      <c r="AG779">
        <f>_xlfn.IFNA(INDEX(mental_codes,MATCH(loaded!BS779,mental,0)),9)</f>
        <v>9</v>
      </c>
    </row>
    <row r="780" spans="1:33" x14ac:dyDescent="0.25">
      <c r="A780">
        <f>loaded!C780</f>
        <v>0</v>
      </c>
      <c r="B780">
        <f>loaded!I780</f>
        <v>0</v>
      </c>
      <c r="C780">
        <f>IF(loaded!K780="Male",1,IF(loaded!K780="Female",2,9))</f>
        <v>9</v>
      </c>
      <c r="D780" s="8">
        <f>loaded!M780</f>
        <v>0</v>
      </c>
      <c r="E780" t="str">
        <f>LEFT(loaded!O780,3)</f>
        <v/>
      </c>
      <c r="F780" t="e">
        <f>INDEX(cntry_codes,MATCH(loaded!Q780,countries,0))</f>
        <v>#N/A</v>
      </c>
      <c r="G780" t="e">
        <f>INDEX(atsi_codes,MATCH(loaded!S780,atsi,0))</f>
        <v>#N/A</v>
      </c>
      <c r="H780" t="e">
        <f>INDEX(lang_codes,MATCH(loaded!U780,lang,0))</f>
        <v>#N/A</v>
      </c>
      <c r="I780" s="8">
        <f>loaded!W780</f>
        <v>0</v>
      </c>
      <c r="J780" t="e">
        <f>INDEX(us_acc_codes,MATCH(loaded!Y780,us_acc,0))</f>
        <v>#N/A</v>
      </c>
      <c r="K780" t="e">
        <f>INDEX(client_codes,MATCH(loaded!AA780,client,0))</f>
        <v>#N/A</v>
      </c>
      <c r="L780" t="e">
        <f>INDEX(src_ref_codes,MATCH(loaded!AC780,src_ref,0))</f>
        <v>#N/A</v>
      </c>
      <c r="M780" s="8">
        <f>loaded!AE780</f>
        <v>0</v>
      </c>
      <c r="N780" s="8">
        <f>loaded!AG780</f>
        <v>0</v>
      </c>
      <c r="O780" t="e">
        <f>INDEX(reces_codes,MATCH(loaded!AI780,reason,0))</f>
        <v>#N/A</v>
      </c>
      <c r="P780" t="e">
        <f>INDEX(TDS_codes,MATCH(loaded!AK780,TDS,0))</f>
        <v>#N/A</v>
      </c>
      <c r="Q780" t="e">
        <f>IF(K780=2,"",INDEX(method_codes,MATCH(loaded!AM780,method,0)))</f>
        <v>#N/A</v>
      </c>
      <c r="R780" t="e">
        <f>IF(K780=2,"",INDEX(inj_codes,MATCH(loaded!AO780,inj,0)))</f>
        <v>#N/A</v>
      </c>
      <c r="S780" t="e">
        <f>IF(K780=2,"",INDEX(drug_codes,MATCH(loaded!AQ780,drug,0)))</f>
        <v>#N/A</v>
      </c>
      <c r="T780" t="e">
        <f>IF(K780=2,"",_xlfn.IFNA(INDEX(drug_codes,MATCH(loaded!AS780,drug,0)),""))</f>
        <v>#N/A</v>
      </c>
      <c r="U780" t="e">
        <f>IF(K780=2,"",_xlfn.IFNA(INDEX(drug_codes,MATCH(loaded!AU780,drug,0)),""))</f>
        <v>#N/A</v>
      </c>
      <c r="V780" t="e">
        <f>IF(K780=2,"",_xlfn.IFNA(INDEX(drug_codes,MATCH(loaded!AW780,drug,0)),""))</f>
        <v>#N/A</v>
      </c>
      <c r="W780" t="e">
        <f>IF(K780=2,"",_xlfn.IFNA(INDEX(drug_codes,MATCH(loaded!AY780,drug,0)),""))</f>
        <v>#N/A</v>
      </c>
      <c r="X780" t="e">
        <f>IF(K780=2,"",_xlfn.IFNA(INDEX(drug_codes,MATCH(loaded!BA780,drug,0)),""))</f>
        <v>#N/A</v>
      </c>
      <c r="Y780" t="e">
        <f>INDEX(MTT_codes,MATCH(loaded!BC780,MTT,0))</f>
        <v>#N/A</v>
      </c>
      <c r="Z780" t="str">
        <f>_xlfn.IFNA(INDEX(MTT_codes,MATCH(loaded!BE780,MTT,0)),"")</f>
        <v/>
      </c>
      <c r="AA780" t="str">
        <f>_xlfn.IFNA(INDEX(MTT_codes,MATCH(loaded!BG780,MTT,0)),"")</f>
        <v/>
      </c>
      <c r="AB780" t="str">
        <f>_xlfn.IFNA(INDEX(MTT_codes,MATCH(loaded!BI780,MTT,0)),"")</f>
        <v/>
      </c>
      <c r="AC780" t="str">
        <f>_xlfn.IFNA(INDEX(MTT_codes,MATCH(loaded!BK780,MTT,0)),"")</f>
        <v/>
      </c>
      <c r="AD780" t="str">
        <f>_xlfn.IFNA(INDEX(MTT_codes,MATCH(loaded!BM780,MTT,0)),"")</f>
        <v/>
      </c>
      <c r="AE780" t="e">
        <f>INDEX(liv_ar_codes,MATCH(loaded!BO780,liv_ar,0))</f>
        <v>#N/A</v>
      </c>
      <c r="AF780" t="str">
        <f>_xlfn.IFNA(INDEX(MTT_codes,MATCH(loaded!BQ780,MTT,0)),"")</f>
        <v/>
      </c>
      <c r="AG780">
        <f>_xlfn.IFNA(INDEX(mental_codes,MATCH(loaded!BS780,mental,0)),9)</f>
        <v>9</v>
      </c>
    </row>
    <row r="781" spans="1:33" x14ac:dyDescent="0.25">
      <c r="A781">
        <f>loaded!C781</f>
        <v>0</v>
      </c>
      <c r="B781">
        <f>loaded!I781</f>
        <v>0</v>
      </c>
      <c r="C781">
        <f>IF(loaded!K781="Male",1,IF(loaded!K781="Female",2,9))</f>
        <v>9</v>
      </c>
      <c r="D781" s="8">
        <f>loaded!M781</f>
        <v>0</v>
      </c>
      <c r="E781" t="str">
        <f>LEFT(loaded!O781,3)</f>
        <v/>
      </c>
      <c r="F781" t="e">
        <f>INDEX(cntry_codes,MATCH(loaded!Q781,countries,0))</f>
        <v>#N/A</v>
      </c>
      <c r="G781" t="e">
        <f>INDEX(atsi_codes,MATCH(loaded!S781,atsi,0))</f>
        <v>#N/A</v>
      </c>
      <c r="H781" t="e">
        <f>INDEX(lang_codes,MATCH(loaded!U781,lang,0))</f>
        <v>#N/A</v>
      </c>
      <c r="I781" s="8">
        <f>loaded!W781</f>
        <v>0</v>
      </c>
      <c r="J781" t="e">
        <f>INDEX(us_acc_codes,MATCH(loaded!Y781,us_acc,0))</f>
        <v>#N/A</v>
      </c>
      <c r="K781" t="e">
        <f>INDEX(client_codes,MATCH(loaded!AA781,client,0))</f>
        <v>#N/A</v>
      </c>
      <c r="L781" t="e">
        <f>INDEX(src_ref_codes,MATCH(loaded!AC781,src_ref,0))</f>
        <v>#N/A</v>
      </c>
      <c r="M781" s="8">
        <f>loaded!AE781</f>
        <v>0</v>
      </c>
      <c r="N781" s="8">
        <f>loaded!AG781</f>
        <v>0</v>
      </c>
      <c r="O781" t="e">
        <f>INDEX(reces_codes,MATCH(loaded!AI781,reason,0))</f>
        <v>#N/A</v>
      </c>
      <c r="P781" t="e">
        <f>INDEX(TDS_codes,MATCH(loaded!AK781,TDS,0))</f>
        <v>#N/A</v>
      </c>
      <c r="Q781" t="e">
        <f>IF(K781=2,"",INDEX(method_codes,MATCH(loaded!AM781,method,0)))</f>
        <v>#N/A</v>
      </c>
      <c r="R781" t="e">
        <f>IF(K781=2,"",INDEX(inj_codes,MATCH(loaded!AO781,inj,0)))</f>
        <v>#N/A</v>
      </c>
      <c r="S781" t="e">
        <f>IF(K781=2,"",INDEX(drug_codes,MATCH(loaded!AQ781,drug,0)))</f>
        <v>#N/A</v>
      </c>
      <c r="T781" t="e">
        <f>IF(K781=2,"",_xlfn.IFNA(INDEX(drug_codes,MATCH(loaded!AS781,drug,0)),""))</f>
        <v>#N/A</v>
      </c>
      <c r="U781" t="e">
        <f>IF(K781=2,"",_xlfn.IFNA(INDEX(drug_codes,MATCH(loaded!AU781,drug,0)),""))</f>
        <v>#N/A</v>
      </c>
      <c r="V781" t="e">
        <f>IF(K781=2,"",_xlfn.IFNA(INDEX(drug_codes,MATCH(loaded!AW781,drug,0)),""))</f>
        <v>#N/A</v>
      </c>
      <c r="W781" t="e">
        <f>IF(K781=2,"",_xlfn.IFNA(INDEX(drug_codes,MATCH(loaded!AY781,drug,0)),""))</f>
        <v>#N/A</v>
      </c>
      <c r="X781" t="e">
        <f>IF(K781=2,"",_xlfn.IFNA(INDEX(drug_codes,MATCH(loaded!BA781,drug,0)),""))</f>
        <v>#N/A</v>
      </c>
      <c r="Y781" t="e">
        <f>INDEX(MTT_codes,MATCH(loaded!BC781,MTT,0))</f>
        <v>#N/A</v>
      </c>
      <c r="Z781" t="str">
        <f>_xlfn.IFNA(INDEX(MTT_codes,MATCH(loaded!BE781,MTT,0)),"")</f>
        <v/>
      </c>
      <c r="AA781" t="str">
        <f>_xlfn.IFNA(INDEX(MTT_codes,MATCH(loaded!BG781,MTT,0)),"")</f>
        <v/>
      </c>
      <c r="AB781" t="str">
        <f>_xlfn.IFNA(INDEX(MTT_codes,MATCH(loaded!BI781,MTT,0)),"")</f>
        <v/>
      </c>
      <c r="AC781" t="str">
        <f>_xlfn.IFNA(INDEX(MTT_codes,MATCH(loaded!BK781,MTT,0)),"")</f>
        <v/>
      </c>
      <c r="AD781" t="str">
        <f>_xlfn.IFNA(INDEX(MTT_codes,MATCH(loaded!BM781,MTT,0)),"")</f>
        <v/>
      </c>
      <c r="AE781" t="e">
        <f>INDEX(liv_ar_codes,MATCH(loaded!BO781,liv_ar,0))</f>
        <v>#N/A</v>
      </c>
      <c r="AF781" t="str">
        <f>_xlfn.IFNA(INDEX(MTT_codes,MATCH(loaded!BQ781,MTT,0)),"")</f>
        <v/>
      </c>
      <c r="AG781">
        <f>_xlfn.IFNA(INDEX(mental_codes,MATCH(loaded!BS781,mental,0)),9)</f>
        <v>9</v>
      </c>
    </row>
    <row r="782" spans="1:33" x14ac:dyDescent="0.25">
      <c r="A782">
        <f>loaded!C782</f>
        <v>0</v>
      </c>
      <c r="B782">
        <f>loaded!I782</f>
        <v>0</v>
      </c>
      <c r="C782">
        <f>IF(loaded!K782="Male",1,IF(loaded!K782="Female",2,9))</f>
        <v>9</v>
      </c>
      <c r="D782" s="8">
        <f>loaded!M782</f>
        <v>0</v>
      </c>
      <c r="E782" t="str">
        <f>LEFT(loaded!O782,3)</f>
        <v/>
      </c>
      <c r="F782" t="e">
        <f>INDEX(cntry_codes,MATCH(loaded!Q782,countries,0))</f>
        <v>#N/A</v>
      </c>
      <c r="G782" t="e">
        <f>INDEX(atsi_codes,MATCH(loaded!S782,atsi,0))</f>
        <v>#N/A</v>
      </c>
      <c r="H782" t="e">
        <f>INDEX(lang_codes,MATCH(loaded!U782,lang,0))</f>
        <v>#N/A</v>
      </c>
      <c r="I782" s="8">
        <f>loaded!W782</f>
        <v>0</v>
      </c>
      <c r="J782" t="e">
        <f>INDEX(us_acc_codes,MATCH(loaded!Y782,us_acc,0))</f>
        <v>#N/A</v>
      </c>
      <c r="K782" t="e">
        <f>INDEX(client_codes,MATCH(loaded!AA782,client,0))</f>
        <v>#N/A</v>
      </c>
      <c r="L782" t="e">
        <f>INDEX(src_ref_codes,MATCH(loaded!AC782,src_ref,0))</f>
        <v>#N/A</v>
      </c>
      <c r="M782" s="8">
        <f>loaded!AE782</f>
        <v>0</v>
      </c>
      <c r="N782" s="8">
        <f>loaded!AG782</f>
        <v>0</v>
      </c>
      <c r="O782" t="e">
        <f>INDEX(reces_codes,MATCH(loaded!AI782,reason,0))</f>
        <v>#N/A</v>
      </c>
      <c r="P782" t="e">
        <f>INDEX(TDS_codes,MATCH(loaded!AK782,TDS,0))</f>
        <v>#N/A</v>
      </c>
      <c r="Q782" t="e">
        <f>IF(K782=2,"",INDEX(method_codes,MATCH(loaded!AM782,method,0)))</f>
        <v>#N/A</v>
      </c>
      <c r="R782" t="e">
        <f>IF(K782=2,"",INDEX(inj_codes,MATCH(loaded!AO782,inj,0)))</f>
        <v>#N/A</v>
      </c>
      <c r="S782" t="e">
        <f>IF(K782=2,"",INDEX(drug_codes,MATCH(loaded!AQ782,drug,0)))</f>
        <v>#N/A</v>
      </c>
      <c r="T782" t="e">
        <f>IF(K782=2,"",_xlfn.IFNA(INDEX(drug_codes,MATCH(loaded!AS782,drug,0)),""))</f>
        <v>#N/A</v>
      </c>
      <c r="U782" t="e">
        <f>IF(K782=2,"",_xlfn.IFNA(INDEX(drug_codes,MATCH(loaded!AU782,drug,0)),""))</f>
        <v>#N/A</v>
      </c>
      <c r="V782" t="e">
        <f>IF(K782=2,"",_xlfn.IFNA(INDEX(drug_codes,MATCH(loaded!AW782,drug,0)),""))</f>
        <v>#N/A</v>
      </c>
      <c r="W782" t="e">
        <f>IF(K782=2,"",_xlfn.IFNA(INDEX(drug_codes,MATCH(loaded!AY782,drug,0)),""))</f>
        <v>#N/A</v>
      </c>
      <c r="X782" t="e">
        <f>IF(K782=2,"",_xlfn.IFNA(INDEX(drug_codes,MATCH(loaded!BA782,drug,0)),""))</f>
        <v>#N/A</v>
      </c>
      <c r="Y782" t="e">
        <f>INDEX(MTT_codes,MATCH(loaded!BC782,MTT,0))</f>
        <v>#N/A</v>
      </c>
      <c r="Z782" t="str">
        <f>_xlfn.IFNA(INDEX(MTT_codes,MATCH(loaded!BE782,MTT,0)),"")</f>
        <v/>
      </c>
      <c r="AA782" t="str">
        <f>_xlfn.IFNA(INDEX(MTT_codes,MATCH(loaded!BG782,MTT,0)),"")</f>
        <v/>
      </c>
      <c r="AB782" t="str">
        <f>_xlfn.IFNA(INDEX(MTT_codes,MATCH(loaded!BI782,MTT,0)),"")</f>
        <v/>
      </c>
      <c r="AC782" t="str">
        <f>_xlfn.IFNA(INDEX(MTT_codes,MATCH(loaded!BK782,MTT,0)),"")</f>
        <v/>
      </c>
      <c r="AD782" t="str">
        <f>_xlfn.IFNA(INDEX(MTT_codes,MATCH(loaded!BM782,MTT,0)),"")</f>
        <v/>
      </c>
      <c r="AE782" t="e">
        <f>INDEX(liv_ar_codes,MATCH(loaded!BO782,liv_ar,0))</f>
        <v>#N/A</v>
      </c>
      <c r="AF782" t="str">
        <f>_xlfn.IFNA(INDEX(MTT_codes,MATCH(loaded!BQ782,MTT,0)),"")</f>
        <v/>
      </c>
      <c r="AG782">
        <f>_xlfn.IFNA(INDEX(mental_codes,MATCH(loaded!BS782,mental,0)),9)</f>
        <v>9</v>
      </c>
    </row>
    <row r="783" spans="1:33" x14ac:dyDescent="0.25">
      <c r="A783">
        <f>loaded!C783</f>
        <v>0</v>
      </c>
      <c r="B783">
        <f>loaded!I783</f>
        <v>0</v>
      </c>
      <c r="C783">
        <f>IF(loaded!K783="Male",1,IF(loaded!K783="Female",2,9))</f>
        <v>9</v>
      </c>
      <c r="D783" s="8">
        <f>loaded!M783</f>
        <v>0</v>
      </c>
      <c r="E783" t="str">
        <f>LEFT(loaded!O783,3)</f>
        <v/>
      </c>
      <c r="F783" t="e">
        <f>INDEX(cntry_codes,MATCH(loaded!Q783,countries,0))</f>
        <v>#N/A</v>
      </c>
      <c r="G783" t="e">
        <f>INDEX(atsi_codes,MATCH(loaded!S783,atsi,0))</f>
        <v>#N/A</v>
      </c>
      <c r="H783" t="e">
        <f>INDEX(lang_codes,MATCH(loaded!U783,lang,0))</f>
        <v>#N/A</v>
      </c>
      <c r="I783" s="8">
        <f>loaded!W783</f>
        <v>0</v>
      </c>
      <c r="J783" t="e">
        <f>INDEX(us_acc_codes,MATCH(loaded!Y783,us_acc,0))</f>
        <v>#N/A</v>
      </c>
      <c r="K783" t="e">
        <f>INDEX(client_codes,MATCH(loaded!AA783,client,0))</f>
        <v>#N/A</v>
      </c>
      <c r="L783" t="e">
        <f>INDEX(src_ref_codes,MATCH(loaded!AC783,src_ref,0))</f>
        <v>#N/A</v>
      </c>
      <c r="M783" s="8">
        <f>loaded!AE783</f>
        <v>0</v>
      </c>
      <c r="N783" s="8">
        <f>loaded!AG783</f>
        <v>0</v>
      </c>
      <c r="O783" t="e">
        <f>INDEX(reces_codes,MATCH(loaded!AI783,reason,0))</f>
        <v>#N/A</v>
      </c>
      <c r="P783" t="e">
        <f>INDEX(TDS_codes,MATCH(loaded!AK783,TDS,0))</f>
        <v>#N/A</v>
      </c>
      <c r="Q783" t="e">
        <f>IF(K783=2,"",INDEX(method_codes,MATCH(loaded!AM783,method,0)))</f>
        <v>#N/A</v>
      </c>
      <c r="R783" t="e">
        <f>IF(K783=2,"",INDEX(inj_codes,MATCH(loaded!AO783,inj,0)))</f>
        <v>#N/A</v>
      </c>
      <c r="S783" t="e">
        <f>IF(K783=2,"",INDEX(drug_codes,MATCH(loaded!AQ783,drug,0)))</f>
        <v>#N/A</v>
      </c>
      <c r="T783" t="e">
        <f>IF(K783=2,"",_xlfn.IFNA(INDEX(drug_codes,MATCH(loaded!AS783,drug,0)),""))</f>
        <v>#N/A</v>
      </c>
      <c r="U783" t="e">
        <f>IF(K783=2,"",_xlfn.IFNA(INDEX(drug_codes,MATCH(loaded!AU783,drug,0)),""))</f>
        <v>#N/A</v>
      </c>
      <c r="V783" t="e">
        <f>IF(K783=2,"",_xlfn.IFNA(INDEX(drug_codes,MATCH(loaded!AW783,drug,0)),""))</f>
        <v>#N/A</v>
      </c>
      <c r="W783" t="e">
        <f>IF(K783=2,"",_xlfn.IFNA(INDEX(drug_codes,MATCH(loaded!AY783,drug,0)),""))</f>
        <v>#N/A</v>
      </c>
      <c r="X783" t="e">
        <f>IF(K783=2,"",_xlfn.IFNA(INDEX(drug_codes,MATCH(loaded!BA783,drug,0)),""))</f>
        <v>#N/A</v>
      </c>
      <c r="Y783" t="e">
        <f>INDEX(MTT_codes,MATCH(loaded!BC783,MTT,0))</f>
        <v>#N/A</v>
      </c>
      <c r="Z783" t="str">
        <f>_xlfn.IFNA(INDEX(MTT_codes,MATCH(loaded!BE783,MTT,0)),"")</f>
        <v/>
      </c>
      <c r="AA783" t="str">
        <f>_xlfn.IFNA(INDEX(MTT_codes,MATCH(loaded!BG783,MTT,0)),"")</f>
        <v/>
      </c>
      <c r="AB783" t="str">
        <f>_xlfn.IFNA(INDEX(MTT_codes,MATCH(loaded!BI783,MTT,0)),"")</f>
        <v/>
      </c>
      <c r="AC783" t="str">
        <f>_xlfn.IFNA(INDEX(MTT_codes,MATCH(loaded!BK783,MTT,0)),"")</f>
        <v/>
      </c>
      <c r="AD783" t="str">
        <f>_xlfn.IFNA(INDEX(MTT_codes,MATCH(loaded!BM783,MTT,0)),"")</f>
        <v/>
      </c>
      <c r="AE783" t="e">
        <f>INDEX(liv_ar_codes,MATCH(loaded!BO783,liv_ar,0))</f>
        <v>#N/A</v>
      </c>
      <c r="AF783" t="str">
        <f>_xlfn.IFNA(INDEX(MTT_codes,MATCH(loaded!BQ783,MTT,0)),"")</f>
        <v/>
      </c>
      <c r="AG783">
        <f>_xlfn.IFNA(INDEX(mental_codes,MATCH(loaded!BS783,mental,0)),9)</f>
        <v>9</v>
      </c>
    </row>
    <row r="784" spans="1:33" x14ac:dyDescent="0.25">
      <c r="A784">
        <f>loaded!C784</f>
        <v>0</v>
      </c>
      <c r="B784">
        <f>loaded!I784</f>
        <v>0</v>
      </c>
      <c r="C784">
        <f>IF(loaded!K784="Male",1,IF(loaded!K784="Female",2,9))</f>
        <v>9</v>
      </c>
      <c r="D784" s="8">
        <f>loaded!M784</f>
        <v>0</v>
      </c>
      <c r="E784" t="str">
        <f>LEFT(loaded!O784,3)</f>
        <v/>
      </c>
      <c r="F784" t="e">
        <f>INDEX(cntry_codes,MATCH(loaded!Q784,countries,0))</f>
        <v>#N/A</v>
      </c>
      <c r="G784" t="e">
        <f>INDEX(atsi_codes,MATCH(loaded!S784,atsi,0))</f>
        <v>#N/A</v>
      </c>
      <c r="H784" t="e">
        <f>INDEX(lang_codes,MATCH(loaded!U784,lang,0))</f>
        <v>#N/A</v>
      </c>
      <c r="I784" s="8">
        <f>loaded!W784</f>
        <v>0</v>
      </c>
      <c r="J784" t="e">
        <f>INDEX(us_acc_codes,MATCH(loaded!Y784,us_acc,0))</f>
        <v>#N/A</v>
      </c>
      <c r="K784" t="e">
        <f>INDEX(client_codes,MATCH(loaded!AA784,client,0))</f>
        <v>#N/A</v>
      </c>
      <c r="L784" t="e">
        <f>INDEX(src_ref_codes,MATCH(loaded!AC784,src_ref,0))</f>
        <v>#N/A</v>
      </c>
      <c r="M784" s="8">
        <f>loaded!AE784</f>
        <v>0</v>
      </c>
      <c r="N784" s="8">
        <f>loaded!AG784</f>
        <v>0</v>
      </c>
      <c r="O784" t="e">
        <f>INDEX(reces_codes,MATCH(loaded!AI784,reason,0))</f>
        <v>#N/A</v>
      </c>
      <c r="P784" t="e">
        <f>INDEX(TDS_codes,MATCH(loaded!AK784,TDS,0))</f>
        <v>#N/A</v>
      </c>
      <c r="Q784" t="e">
        <f>IF(K784=2,"",INDEX(method_codes,MATCH(loaded!AM784,method,0)))</f>
        <v>#N/A</v>
      </c>
      <c r="R784" t="e">
        <f>IF(K784=2,"",INDEX(inj_codes,MATCH(loaded!AO784,inj,0)))</f>
        <v>#N/A</v>
      </c>
      <c r="S784" t="e">
        <f>IF(K784=2,"",INDEX(drug_codes,MATCH(loaded!AQ784,drug,0)))</f>
        <v>#N/A</v>
      </c>
      <c r="T784" t="e">
        <f>IF(K784=2,"",_xlfn.IFNA(INDEX(drug_codes,MATCH(loaded!AS784,drug,0)),""))</f>
        <v>#N/A</v>
      </c>
      <c r="U784" t="e">
        <f>IF(K784=2,"",_xlfn.IFNA(INDEX(drug_codes,MATCH(loaded!AU784,drug,0)),""))</f>
        <v>#N/A</v>
      </c>
      <c r="V784" t="e">
        <f>IF(K784=2,"",_xlfn.IFNA(INDEX(drug_codes,MATCH(loaded!AW784,drug,0)),""))</f>
        <v>#N/A</v>
      </c>
      <c r="W784" t="e">
        <f>IF(K784=2,"",_xlfn.IFNA(INDEX(drug_codes,MATCH(loaded!AY784,drug,0)),""))</f>
        <v>#N/A</v>
      </c>
      <c r="X784" t="e">
        <f>IF(K784=2,"",_xlfn.IFNA(INDEX(drug_codes,MATCH(loaded!BA784,drug,0)),""))</f>
        <v>#N/A</v>
      </c>
      <c r="Y784" t="e">
        <f>INDEX(MTT_codes,MATCH(loaded!BC784,MTT,0))</f>
        <v>#N/A</v>
      </c>
      <c r="Z784" t="str">
        <f>_xlfn.IFNA(INDEX(MTT_codes,MATCH(loaded!BE784,MTT,0)),"")</f>
        <v/>
      </c>
      <c r="AA784" t="str">
        <f>_xlfn.IFNA(INDEX(MTT_codes,MATCH(loaded!BG784,MTT,0)),"")</f>
        <v/>
      </c>
      <c r="AB784" t="str">
        <f>_xlfn.IFNA(INDEX(MTT_codes,MATCH(loaded!BI784,MTT,0)),"")</f>
        <v/>
      </c>
      <c r="AC784" t="str">
        <f>_xlfn.IFNA(INDEX(MTT_codes,MATCH(loaded!BK784,MTT,0)),"")</f>
        <v/>
      </c>
      <c r="AD784" t="str">
        <f>_xlfn.IFNA(INDEX(MTT_codes,MATCH(loaded!BM784,MTT,0)),"")</f>
        <v/>
      </c>
      <c r="AE784" t="e">
        <f>INDEX(liv_ar_codes,MATCH(loaded!BO784,liv_ar,0))</f>
        <v>#N/A</v>
      </c>
      <c r="AF784" t="str">
        <f>_xlfn.IFNA(INDEX(MTT_codes,MATCH(loaded!BQ784,MTT,0)),"")</f>
        <v/>
      </c>
      <c r="AG784">
        <f>_xlfn.IFNA(INDEX(mental_codes,MATCH(loaded!BS784,mental,0)),9)</f>
        <v>9</v>
      </c>
    </row>
    <row r="785" spans="1:33" x14ac:dyDescent="0.25">
      <c r="A785">
        <f>loaded!C785</f>
        <v>0</v>
      </c>
      <c r="B785">
        <f>loaded!I785</f>
        <v>0</v>
      </c>
      <c r="C785">
        <f>IF(loaded!K785="Male",1,IF(loaded!K785="Female",2,9))</f>
        <v>9</v>
      </c>
      <c r="D785" s="8">
        <f>loaded!M785</f>
        <v>0</v>
      </c>
      <c r="E785" t="str">
        <f>LEFT(loaded!O785,3)</f>
        <v/>
      </c>
      <c r="F785" t="e">
        <f>INDEX(cntry_codes,MATCH(loaded!Q785,countries,0))</f>
        <v>#N/A</v>
      </c>
      <c r="G785" t="e">
        <f>INDEX(atsi_codes,MATCH(loaded!S785,atsi,0))</f>
        <v>#N/A</v>
      </c>
      <c r="H785" t="e">
        <f>INDEX(lang_codes,MATCH(loaded!U785,lang,0))</f>
        <v>#N/A</v>
      </c>
      <c r="I785" s="8">
        <f>loaded!W785</f>
        <v>0</v>
      </c>
      <c r="J785" t="e">
        <f>INDEX(us_acc_codes,MATCH(loaded!Y785,us_acc,0))</f>
        <v>#N/A</v>
      </c>
      <c r="K785" t="e">
        <f>INDEX(client_codes,MATCH(loaded!AA785,client,0))</f>
        <v>#N/A</v>
      </c>
      <c r="L785" t="e">
        <f>INDEX(src_ref_codes,MATCH(loaded!AC785,src_ref,0))</f>
        <v>#N/A</v>
      </c>
      <c r="M785" s="8">
        <f>loaded!AE785</f>
        <v>0</v>
      </c>
      <c r="N785" s="8">
        <f>loaded!AG785</f>
        <v>0</v>
      </c>
      <c r="O785" t="e">
        <f>INDEX(reces_codes,MATCH(loaded!AI785,reason,0))</f>
        <v>#N/A</v>
      </c>
      <c r="P785" t="e">
        <f>INDEX(TDS_codes,MATCH(loaded!AK785,TDS,0))</f>
        <v>#N/A</v>
      </c>
      <c r="Q785" t="e">
        <f>IF(K785=2,"",INDEX(method_codes,MATCH(loaded!AM785,method,0)))</f>
        <v>#N/A</v>
      </c>
      <c r="R785" t="e">
        <f>IF(K785=2,"",INDEX(inj_codes,MATCH(loaded!AO785,inj,0)))</f>
        <v>#N/A</v>
      </c>
      <c r="S785" t="e">
        <f>IF(K785=2,"",INDEX(drug_codes,MATCH(loaded!AQ785,drug,0)))</f>
        <v>#N/A</v>
      </c>
      <c r="T785" t="e">
        <f>IF(K785=2,"",_xlfn.IFNA(INDEX(drug_codes,MATCH(loaded!AS785,drug,0)),""))</f>
        <v>#N/A</v>
      </c>
      <c r="U785" t="e">
        <f>IF(K785=2,"",_xlfn.IFNA(INDEX(drug_codes,MATCH(loaded!AU785,drug,0)),""))</f>
        <v>#N/A</v>
      </c>
      <c r="V785" t="e">
        <f>IF(K785=2,"",_xlfn.IFNA(INDEX(drug_codes,MATCH(loaded!AW785,drug,0)),""))</f>
        <v>#N/A</v>
      </c>
      <c r="W785" t="e">
        <f>IF(K785=2,"",_xlfn.IFNA(INDEX(drug_codes,MATCH(loaded!AY785,drug,0)),""))</f>
        <v>#N/A</v>
      </c>
      <c r="X785" t="e">
        <f>IF(K785=2,"",_xlfn.IFNA(INDEX(drug_codes,MATCH(loaded!BA785,drug,0)),""))</f>
        <v>#N/A</v>
      </c>
      <c r="Y785" t="e">
        <f>INDEX(MTT_codes,MATCH(loaded!BC785,MTT,0))</f>
        <v>#N/A</v>
      </c>
      <c r="Z785" t="str">
        <f>_xlfn.IFNA(INDEX(MTT_codes,MATCH(loaded!BE785,MTT,0)),"")</f>
        <v/>
      </c>
      <c r="AA785" t="str">
        <f>_xlfn.IFNA(INDEX(MTT_codes,MATCH(loaded!BG785,MTT,0)),"")</f>
        <v/>
      </c>
      <c r="AB785" t="str">
        <f>_xlfn.IFNA(INDEX(MTT_codes,MATCH(loaded!BI785,MTT,0)),"")</f>
        <v/>
      </c>
      <c r="AC785" t="str">
        <f>_xlfn.IFNA(INDEX(MTT_codes,MATCH(loaded!BK785,MTT,0)),"")</f>
        <v/>
      </c>
      <c r="AD785" t="str">
        <f>_xlfn.IFNA(INDEX(MTT_codes,MATCH(loaded!BM785,MTT,0)),"")</f>
        <v/>
      </c>
      <c r="AE785" t="e">
        <f>INDEX(liv_ar_codes,MATCH(loaded!BO785,liv_ar,0))</f>
        <v>#N/A</v>
      </c>
      <c r="AF785" t="str">
        <f>_xlfn.IFNA(INDEX(MTT_codes,MATCH(loaded!BQ785,MTT,0)),"")</f>
        <v/>
      </c>
      <c r="AG785">
        <f>_xlfn.IFNA(INDEX(mental_codes,MATCH(loaded!BS785,mental,0)),9)</f>
        <v>9</v>
      </c>
    </row>
    <row r="786" spans="1:33" x14ac:dyDescent="0.25">
      <c r="A786">
        <f>loaded!C786</f>
        <v>0</v>
      </c>
      <c r="B786">
        <f>loaded!I786</f>
        <v>0</v>
      </c>
      <c r="C786">
        <f>IF(loaded!K786="Male",1,IF(loaded!K786="Female",2,9))</f>
        <v>9</v>
      </c>
      <c r="D786" s="8">
        <f>loaded!M786</f>
        <v>0</v>
      </c>
      <c r="E786" t="str">
        <f>LEFT(loaded!O786,3)</f>
        <v/>
      </c>
      <c r="F786" t="e">
        <f>INDEX(cntry_codes,MATCH(loaded!Q786,countries,0))</f>
        <v>#N/A</v>
      </c>
      <c r="G786" t="e">
        <f>INDEX(atsi_codes,MATCH(loaded!S786,atsi,0))</f>
        <v>#N/A</v>
      </c>
      <c r="H786" t="e">
        <f>INDEX(lang_codes,MATCH(loaded!U786,lang,0))</f>
        <v>#N/A</v>
      </c>
      <c r="I786" s="8">
        <f>loaded!W786</f>
        <v>0</v>
      </c>
      <c r="J786" t="e">
        <f>INDEX(us_acc_codes,MATCH(loaded!Y786,us_acc,0))</f>
        <v>#N/A</v>
      </c>
      <c r="K786" t="e">
        <f>INDEX(client_codes,MATCH(loaded!AA786,client,0))</f>
        <v>#N/A</v>
      </c>
      <c r="L786" t="e">
        <f>INDEX(src_ref_codes,MATCH(loaded!AC786,src_ref,0))</f>
        <v>#N/A</v>
      </c>
      <c r="M786" s="8">
        <f>loaded!AE786</f>
        <v>0</v>
      </c>
      <c r="N786" s="8">
        <f>loaded!AG786</f>
        <v>0</v>
      </c>
      <c r="O786" t="e">
        <f>INDEX(reces_codes,MATCH(loaded!AI786,reason,0))</f>
        <v>#N/A</v>
      </c>
      <c r="P786" t="e">
        <f>INDEX(TDS_codes,MATCH(loaded!AK786,TDS,0))</f>
        <v>#N/A</v>
      </c>
      <c r="Q786" t="e">
        <f>IF(K786=2,"",INDEX(method_codes,MATCH(loaded!AM786,method,0)))</f>
        <v>#N/A</v>
      </c>
      <c r="R786" t="e">
        <f>IF(K786=2,"",INDEX(inj_codes,MATCH(loaded!AO786,inj,0)))</f>
        <v>#N/A</v>
      </c>
      <c r="S786" t="e">
        <f>IF(K786=2,"",INDEX(drug_codes,MATCH(loaded!AQ786,drug,0)))</f>
        <v>#N/A</v>
      </c>
      <c r="T786" t="e">
        <f>IF(K786=2,"",_xlfn.IFNA(INDEX(drug_codes,MATCH(loaded!AS786,drug,0)),""))</f>
        <v>#N/A</v>
      </c>
      <c r="U786" t="e">
        <f>IF(K786=2,"",_xlfn.IFNA(INDEX(drug_codes,MATCH(loaded!AU786,drug,0)),""))</f>
        <v>#N/A</v>
      </c>
      <c r="V786" t="e">
        <f>IF(K786=2,"",_xlfn.IFNA(INDEX(drug_codes,MATCH(loaded!AW786,drug,0)),""))</f>
        <v>#N/A</v>
      </c>
      <c r="W786" t="e">
        <f>IF(K786=2,"",_xlfn.IFNA(INDEX(drug_codes,MATCH(loaded!AY786,drug,0)),""))</f>
        <v>#N/A</v>
      </c>
      <c r="X786" t="e">
        <f>IF(K786=2,"",_xlfn.IFNA(INDEX(drug_codes,MATCH(loaded!BA786,drug,0)),""))</f>
        <v>#N/A</v>
      </c>
      <c r="Y786" t="e">
        <f>INDEX(MTT_codes,MATCH(loaded!BC786,MTT,0))</f>
        <v>#N/A</v>
      </c>
      <c r="Z786" t="str">
        <f>_xlfn.IFNA(INDEX(MTT_codes,MATCH(loaded!BE786,MTT,0)),"")</f>
        <v/>
      </c>
      <c r="AA786" t="str">
        <f>_xlfn.IFNA(INDEX(MTT_codes,MATCH(loaded!BG786,MTT,0)),"")</f>
        <v/>
      </c>
      <c r="AB786" t="str">
        <f>_xlfn.IFNA(INDEX(MTT_codes,MATCH(loaded!BI786,MTT,0)),"")</f>
        <v/>
      </c>
      <c r="AC786" t="str">
        <f>_xlfn.IFNA(INDEX(MTT_codes,MATCH(loaded!BK786,MTT,0)),"")</f>
        <v/>
      </c>
      <c r="AD786" t="str">
        <f>_xlfn.IFNA(INDEX(MTT_codes,MATCH(loaded!BM786,MTT,0)),"")</f>
        <v/>
      </c>
      <c r="AE786" t="e">
        <f>INDEX(liv_ar_codes,MATCH(loaded!BO786,liv_ar,0))</f>
        <v>#N/A</v>
      </c>
      <c r="AF786" t="str">
        <f>_xlfn.IFNA(INDEX(MTT_codes,MATCH(loaded!BQ786,MTT,0)),"")</f>
        <v/>
      </c>
      <c r="AG786">
        <f>_xlfn.IFNA(INDEX(mental_codes,MATCH(loaded!BS786,mental,0)),9)</f>
        <v>9</v>
      </c>
    </row>
    <row r="787" spans="1:33" x14ac:dyDescent="0.25">
      <c r="A787">
        <f>loaded!C787</f>
        <v>0</v>
      </c>
      <c r="B787">
        <f>loaded!I787</f>
        <v>0</v>
      </c>
      <c r="C787">
        <f>IF(loaded!K787="Male",1,IF(loaded!K787="Female",2,9))</f>
        <v>9</v>
      </c>
      <c r="D787" s="8">
        <f>loaded!M787</f>
        <v>0</v>
      </c>
      <c r="E787" t="str">
        <f>LEFT(loaded!O787,3)</f>
        <v/>
      </c>
      <c r="F787" t="e">
        <f>INDEX(cntry_codes,MATCH(loaded!Q787,countries,0))</f>
        <v>#N/A</v>
      </c>
      <c r="G787" t="e">
        <f>INDEX(atsi_codes,MATCH(loaded!S787,atsi,0))</f>
        <v>#N/A</v>
      </c>
      <c r="H787" t="e">
        <f>INDEX(lang_codes,MATCH(loaded!U787,lang,0))</f>
        <v>#N/A</v>
      </c>
      <c r="I787" s="8">
        <f>loaded!W787</f>
        <v>0</v>
      </c>
      <c r="J787" t="e">
        <f>INDEX(us_acc_codes,MATCH(loaded!Y787,us_acc,0))</f>
        <v>#N/A</v>
      </c>
      <c r="K787" t="e">
        <f>INDEX(client_codes,MATCH(loaded!AA787,client,0))</f>
        <v>#N/A</v>
      </c>
      <c r="L787" t="e">
        <f>INDEX(src_ref_codes,MATCH(loaded!AC787,src_ref,0))</f>
        <v>#N/A</v>
      </c>
      <c r="M787" s="8">
        <f>loaded!AE787</f>
        <v>0</v>
      </c>
      <c r="N787" s="8">
        <f>loaded!AG787</f>
        <v>0</v>
      </c>
      <c r="O787" t="e">
        <f>INDEX(reces_codes,MATCH(loaded!AI787,reason,0))</f>
        <v>#N/A</v>
      </c>
      <c r="P787" t="e">
        <f>INDEX(TDS_codes,MATCH(loaded!AK787,TDS,0))</f>
        <v>#N/A</v>
      </c>
      <c r="Q787" t="e">
        <f>IF(K787=2,"",INDEX(method_codes,MATCH(loaded!AM787,method,0)))</f>
        <v>#N/A</v>
      </c>
      <c r="R787" t="e">
        <f>IF(K787=2,"",INDEX(inj_codes,MATCH(loaded!AO787,inj,0)))</f>
        <v>#N/A</v>
      </c>
      <c r="S787" t="e">
        <f>IF(K787=2,"",INDEX(drug_codes,MATCH(loaded!AQ787,drug,0)))</f>
        <v>#N/A</v>
      </c>
      <c r="T787" t="e">
        <f>IF(K787=2,"",_xlfn.IFNA(INDEX(drug_codes,MATCH(loaded!AS787,drug,0)),""))</f>
        <v>#N/A</v>
      </c>
      <c r="U787" t="e">
        <f>IF(K787=2,"",_xlfn.IFNA(INDEX(drug_codes,MATCH(loaded!AU787,drug,0)),""))</f>
        <v>#N/A</v>
      </c>
      <c r="V787" t="e">
        <f>IF(K787=2,"",_xlfn.IFNA(INDEX(drug_codes,MATCH(loaded!AW787,drug,0)),""))</f>
        <v>#N/A</v>
      </c>
      <c r="W787" t="e">
        <f>IF(K787=2,"",_xlfn.IFNA(INDEX(drug_codes,MATCH(loaded!AY787,drug,0)),""))</f>
        <v>#N/A</v>
      </c>
      <c r="X787" t="e">
        <f>IF(K787=2,"",_xlfn.IFNA(INDEX(drug_codes,MATCH(loaded!BA787,drug,0)),""))</f>
        <v>#N/A</v>
      </c>
      <c r="Y787" t="e">
        <f>INDEX(MTT_codes,MATCH(loaded!BC787,MTT,0))</f>
        <v>#N/A</v>
      </c>
      <c r="Z787" t="str">
        <f>_xlfn.IFNA(INDEX(MTT_codes,MATCH(loaded!BE787,MTT,0)),"")</f>
        <v/>
      </c>
      <c r="AA787" t="str">
        <f>_xlfn.IFNA(INDEX(MTT_codes,MATCH(loaded!BG787,MTT,0)),"")</f>
        <v/>
      </c>
      <c r="AB787" t="str">
        <f>_xlfn.IFNA(INDEX(MTT_codes,MATCH(loaded!BI787,MTT,0)),"")</f>
        <v/>
      </c>
      <c r="AC787" t="str">
        <f>_xlfn.IFNA(INDEX(MTT_codes,MATCH(loaded!BK787,MTT,0)),"")</f>
        <v/>
      </c>
      <c r="AD787" t="str">
        <f>_xlfn.IFNA(INDEX(MTT_codes,MATCH(loaded!BM787,MTT,0)),"")</f>
        <v/>
      </c>
      <c r="AE787" t="e">
        <f>INDEX(liv_ar_codes,MATCH(loaded!BO787,liv_ar,0))</f>
        <v>#N/A</v>
      </c>
      <c r="AF787" t="str">
        <f>_xlfn.IFNA(INDEX(MTT_codes,MATCH(loaded!BQ787,MTT,0)),"")</f>
        <v/>
      </c>
      <c r="AG787">
        <f>_xlfn.IFNA(INDEX(mental_codes,MATCH(loaded!BS787,mental,0)),9)</f>
        <v>9</v>
      </c>
    </row>
    <row r="788" spans="1:33" x14ac:dyDescent="0.25">
      <c r="A788">
        <f>loaded!C788</f>
        <v>0</v>
      </c>
      <c r="B788">
        <f>loaded!I788</f>
        <v>0</v>
      </c>
      <c r="C788">
        <f>IF(loaded!K788="Male",1,IF(loaded!K788="Female",2,9))</f>
        <v>9</v>
      </c>
      <c r="D788" s="8">
        <f>loaded!M788</f>
        <v>0</v>
      </c>
      <c r="E788" t="str">
        <f>LEFT(loaded!O788,3)</f>
        <v/>
      </c>
      <c r="F788" t="e">
        <f>INDEX(cntry_codes,MATCH(loaded!Q788,countries,0))</f>
        <v>#N/A</v>
      </c>
      <c r="G788" t="e">
        <f>INDEX(atsi_codes,MATCH(loaded!S788,atsi,0))</f>
        <v>#N/A</v>
      </c>
      <c r="H788" t="e">
        <f>INDEX(lang_codes,MATCH(loaded!U788,lang,0))</f>
        <v>#N/A</v>
      </c>
      <c r="I788" s="8">
        <f>loaded!W788</f>
        <v>0</v>
      </c>
      <c r="J788" t="e">
        <f>INDEX(us_acc_codes,MATCH(loaded!Y788,us_acc,0))</f>
        <v>#N/A</v>
      </c>
      <c r="K788" t="e">
        <f>INDEX(client_codes,MATCH(loaded!AA788,client,0))</f>
        <v>#N/A</v>
      </c>
      <c r="L788" t="e">
        <f>INDEX(src_ref_codes,MATCH(loaded!AC788,src_ref,0))</f>
        <v>#N/A</v>
      </c>
      <c r="M788" s="8">
        <f>loaded!AE788</f>
        <v>0</v>
      </c>
      <c r="N788" s="8">
        <f>loaded!AG788</f>
        <v>0</v>
      </c>
      <c r="O788" t="e">
        <f>INDEX(reces_codes,MATCH(loaded!AI788,reason,0))</f>
        <v>#N/A</v>
      </c>
      <c r="P788" t="e">
        <f>INDEX(TDS_codes,MATCH(loaded!AK788,TDS,0))</f>
        <v>#N/A</v>
      </c>
      <c r="Q788" t="e">
        <f>IF(K788=2,"",INDEX(method_codes,MATCH(loaded!AM788,method,0)))</f>
        <v>#N/A</v>
      </c>
      <c r="R788" t="e">
        <f>IF(K788=2,"",INDEX(inj_codes,MATCH(loaded!AO788,inj,0)))</f>
        <v>#N/A</v>
      </c>
      <c r="S788" t="e">
        <f>IF(K788=2,"",INDEX(drug_codes,MATCH(loaded!AQ788,drug,0)))</f>
        <v>#N/A</v>
      </c>
      <c r="T788" t="e">
        <f>IF(K788=2,"",_xlfn.IFNA(INDEX(drug_codes,MATCH(loaded!AS788,drug,0)),""))</f>
        <v>#N/A</v>
      </c>
      <c r="U788" t="e">
        <f>IF(K788=2,"",_xlfn.IFNA(INDEX(drug_codes,MATCH(loaded!AU788,drug,0)),""))</f>
        <v>#N/A</v>
      </c>
      <c r="V788" t="e">
        <f>IF(K788=2,"",_xlfn.IFNA(INDEX(drug_codes,MATCH(loaded!AW788,drug,0)),""))</f>
        <v>#N/A</v>
      </c>
      <c r="W788" t="e">
        <f>IF(K788=2,"",_xlfn.IFNA(INDEX(drug_codes,MATCH(loaded!AY788,drug,0)),""))</f>
        <v>#N/A</v>
      </c>
      <c r="X788" t="e">
        <f>IF(K788=2,"",_xlfn.IFNA(INDEX(drug_codes,MATCH(loaded!BA788,drug,0)),""))</f>
        <v>#N/A</v>
      </c>
      <c r="Y788" t="e">
        <f>INDEX(MTT_codes,MATCH(loaded!BC788,MTT,0))</f>
        <v>#N/A</v>
      </c>
      <c r="Z788" t="str">
        <f>_xlfn.IFNA(INDEX(MTT_codes,MATCH(loaded!BE788,MTT,0)),"")</f>
        <v/>
      </c>
      <c r="AA788" t="str">
        <f>_xlfn.IFNA(INDEX(MTT_codes,MATCH(loaded!BG788,MTT,0)),"")</f>
        <v/>
      </c>
      <c r="AB788" t="str">
        <f>_xlfn.IFNA(INDEX(MTT_codes,MATCH(loaded!BI788,MTT,0)),"")</f>
        <v/>
      </c>
      <c r="AC788" t="str">
        <f>_xlfn.IFNA(INDEX(MTT_codes,MATCH(loaded!BK788,MTT,0)),"")</f>
        <v/>
      </c>
      <c r="AD788" t="str">
        <f>_xlfn.IFNA(INDEX(MTT_codes,MATCH(loaded!BM788,MTT,0)),"")</f>
        <v/>
      </c>
      <c r="AE788" t="e">
        <f>INDEX(liv_ar_codes,MATCH(loaded!BO788,liv_ar,0))</f>
        <v>#N/A</v>
      </c>
      <c r="AF788" t="str">
        <f>_xlfn.IFNA(INDEX(MTT_codes,MATCH(loaded!BQ788,MTT,0)),"")</f>
        <v/>
      </c>
      <c r="AG788">
        <f>_xlfn.IFNA(INDEX(mental_codes,MATCH(loaded!BS788,mental,0)),9)</f>
        <v>9</v>
      </c>
    </row>
    <row r="789" spans="1:33" x14ac:dyDescent="0.25">
      <c r="A789">
        <f>loaded!C789</f>
        <v>0</v>
      </c>
      <c r="B789">
        <f>loaded!I789</f>
        <v>0</v>
      </c>
      <c r="C789">
        <f>IF(loaded!K789="Male",1,IF(loaded!K789="Female",2,9))</f>
        <v>9</v>
      </c>
      <c r="D789" s="8">
        <f>loaded!M789</f>
        <v>0</v>
      </c>
      <c r="E789" t="str">
        <f>LEFT(loaded!O789,3)</f>
        <v/>
      </c>
      <c r="F789" t="e">
        <f>INDEX(cntry_codes,MATCH(loaded!Q789,countries,0))</f>
        <v>#N/A</v>
      </c>
      <c r="G789" t="e">
        <f>INDEX(atsi_codes,MATCH(loaded!S789,atsi,0))</f>
        <v>#N/A</v>
      </c>
      <c r="H789" t="e">
        <f>INDEX(lang_codes,MATCH(loaded!U789,lang,0))</f>
        <v>#N/A</v>
      </c>
      <c r="I789" s="8">
        <f>loaded!W789</f>
        <v>0</v>
      </c>
      <c r="J789" t="e">
        <f>INDEX(us_acc_codes,MATCH(loaded!Y789,us_acc,0))</f>
        <v>#N/A</v>
      </c>
      <c r="K789" t="e">
        <f>INDEX(client_codes,MATCH(loaded!AA789,client,0))</f>
        <v>#N/A</v>
      </c>
      <c r="L789" t="e">
        <f>INDEX(src_ref_codes,MATCH(loaded!AC789,src_ref,0))</f>
        <v>#N/A</v>
      </c>
      <c r="M789" s="8">
        <f>loaded!AE789</f>
        <v>0</v>
      </c>
      <c r="N789" s="8">
        <f>loaded!AG789</f>
        <v>0</v>
      </c>
      <c r="O789" t="e">
        <f>INDEX(reces_codes,MATCH(loaded!AI789,reason,0))</f>
        <v>#N/A</v>
      </c>
      <c r="P789" t="e">
        <f>INDEX(TDS_codes,MATCH(loaded!AK789,TDS,0))</f>
        <v>#N/A</v>
      </c>
      <c r="Q789" t="e">
        <f>IF(K789=2,"",INDEX(method_codes,MATCH(loaded!AM789,method,0)))</f>
        <v>#N/A</v>
      </c>
      <c r="R789" t="e">
        <f>IF(K789=2,"",INDEX(inj_codes,MATCH(loaded!AO789,inj,0)))</f>
        <v>#N/A</v>
      </c>
      <c r="S789" t="e">
        <f>IF(K789=2,"",INDEX(drug_codes,MATCH(loaded!AQ789,drug,0)))</f>
        <v>#N/A</v>
      </c>
      <c r="T789" t="e">
        <f>IF(K789=2,"",_xlfn.IFNA(INDEX(drug_codes,MATCH(loaded!AS789,drug,0)),""))</f>
        <v>#N/A</v>
      </c>
      <c r="U789" t="e">
        <f>IF(K789=2,"",_xlfn.IFNA(INDEX(drug_codes,MATCH(loaded!AU789,drug,0)),""))</f>
        <v>#N/A</v>
      </c>
      <c r="V789" t="e">
        <f>IF(K789=2,"",_xlfn.IFNA(INDEX(drug_codes,MATCH(loaded!AW789,drug,0)),""))</f>
        <v>#N/A</v>
      </c>
      <c r="W789" t="e">
        <f>IF(K789=2,"",_xlfn.IFNA(INDEX(drug_codes,MATCH(loaded!AY789,drug,0)),""))</f>
        <v>#N/A</v>
      </c>
      <c r="X789" t="e">
        <f>IF(K789=2,"",_xlfn.IFNA(INDEX(drug_codes,MATCH(loaded!BA789,drug,0)),""))</f>
        <v>#N/A</v>
      </c>
      <c r="Y789" t="e">
        <f>INDEX(MTT_codes,MATCH(loaded!BC789,MTT,0))</f>
        <v>#N/A</v>
      </c>
      <c r="Z789" t="str">
        <f>_xlfn.IFNA(INDEX(MTT_codes,MATCH(loaded!BE789,MTT,0)),"")</f>
        <v/>
      </c>
      <c r="AA789" t="str">
        <f>_xlfn.IFNA(INDEX(MTT_codes,MATCH(loaded!BG789,MTT,0)),"")</f>
        <v/>
      </c>
      <c r="AB789" t="str">
        <f>_xlfn.IFNA(INDEX(MTT_codes,MATCH(loaded!BI789,MTT,0)),"")</f>
        <v/>
      </c>
      <c r="AC789" t="str">
        <f>_xlfn.IFNA(INDEX(MTT_codes,MATCH(loaded!BK789,MTT,0)),"")</f>
        <v/>
      </c>
      <c r="AD789" t="str">
        <f>_xlfn.IFNA(INDEX(MTT_codes,MATCH(loaded!BM789,MTT,0)),"")</f>
        <v/>
      </c>
      <c r="AE789" t="e">
        <f>INDEX(liv_ar_codes,MATCH(loaded!BO789,liv_ar,0))</f>
        <v>#N/A</v>
      </c>
      <c r="AF789" t="str">
        <f>_xlfn.IFNA(INDEX(MTT_codes,MATCH(loaded!BQ789,MTT,0)),"")</f>
        <v/>
      </c>
      <c r="AG789">
        <f>_xlfn.IFNA(INDEX(mental_codes,MATCH(loaded!BS789,mental,0)),9)</f>
        <v>9</v>
      </c>
    </row>
    <row r="790" spans="1:33" x14ac:dyDescent="0.25">
      <c r="A790">
        <f>loaded!C790</f>
        <v>0</v>
      </c>
      <c r="B790">
        <f>loaded!I790</f>
        <v>0</v>
      </c>
      <c r="C790">
        <f>IF(loaded!K790="Male",1,IF(loaded!K790="Female",2,9))</f>
        <v>9</v>
      </c>
      <c r="D790" s="8">
        <f>loaded!M790</f>
        <v>0</v>
      </c>
      <c r="E790" t="str">
        <f>LEFT(loaded!O790,3)</f>
        <v/>
      </c>
      <c r="F790" t="e">
        <f>INDEX(cntry_codes,MATCH(loaded!Q790,countries,0))</f>
        <v>#N/A</v>
      </c>
      <c r="G790" t="e">
        <f>INDEX(atsi_codes,MATCH(loaded!S790,atsi,0))</f>
        <v>#N/A</v>
      </c>
      <c r="H790" t="e">
        <f>INDEX(lang_codes,MATCH(loaded!U790,lang,0))</f>
        <v>#N/A</v>
      </c>
      <c r="I790" s="8">
        <f>loaded!W790</f>
        <v>0</v>
      </c>
      <c r="J790" t="e">
        <f>INDEX(us_acc_codes,MATCH(loaded!Y790,us_acc,0))</f>
        <v>#N/A</v>
      </c>
      <c r="K790" t="e">
        <f>INDEX(client_codes,MATCH(loaded!AA790,client,0))</f>
        <v>#N/A</v>
      </c>
      <c r="L790" t="e">
        <f>INDEX(src_ref_codes,MATCH(loaded!AC790,src_ref,0))</f>
        <v>#N/A</v>
      </c>
      <c r="M790" s="8">
        <f>loaded!AE790</f>
        <v>0</v>
      </c>
      <c r="N790" s="8">
        <f>loaded!AG790</f>
        <v>0</v>
      </c>
      <c r="O790" t="e">
        <f>INDEX(reces_codes,MATCH(loaded!AI790,reason,0))</f>
        <v>#N/A</v>
      </c>
      <c r="P790" t="e">
        <f>INDEX(TDS_codes,MATCH(loaded!AK790,TDS,0))</f>
        <v>#N/A</v>
      </c>
      <c r="Q790" t="e">
        <f>IF(K790=2,"",INDEX(method_codes,MATCH(loaded!AM790,method,0)))</f>
        <v>#N/A</v>
      </c>
      <c r="R790" t="e">
        <f>IF(K790=2,"",INDEX(inj_codes,MATCH(loaded!AO790,inj,0)))</f>
        <v>#N/A</v>
      </c>
      <c r="S790" t="e">
        <f>IF(K790=2,"",INDEX(drug_codes,MATCH(loaded!AQ790,drug,0)))</f>
        <v>#N/A</v>
      </c>
      <c r="T790" t="e">
        <f>IF(K790=2,"",_xlfn.IFNA(INDEX(drug_codes,MATCH(loaded!AS790,drug,0)),""))</f>
        <v>#N/A</v>
      </c>
      <c r="U790" t="e">
        <f>IF(K790=2,"",_xlfn.IFNA(INDEX(drug_codes,MATCH(loaded!AU790,drug,0)),""))</f>
        <v>#N/A</v>
      </c>
      <c r="V790" t="e">
        <f>IF(K790=2,"",_xlfn.IFNA(INDEX(drug_codes,MATCH(loaded!AW790,drug,0)),""))</f>
        <v>#N/A</v>
      </c>
      <c r="W790" t="e">
        <f>IF(K790=2,"",_xlfn.IFNA(INDEX(drug_codes,MATCH(loaded!AY790,drug,0)),""))</f>
        <v>#N/A</v>
      </c>
      <c r="X790" t="e">
        <f>IF(K790=2,"",_xlfn.IFNA(INDEX(drug_codes,MATCH(loaded!BA790,drug,0)),""))</f>
        <v>#N/A</v>
      </c>
      <c r="Y790" t="e">
        <f>INDEX(MTT_codes,MATCH(loaded!BC790,MTT,0))</f>
        <v>#N/A</v>
      </c>
      <c r="Z790" t="str">
        <f>_xlfn.IFNA(INDEX(MTT_codes,MATCH(loaded!BE790,MTT,0)),"")</f>
        <v/>
      </c>
      <c r="AA790" t="str">
        <f>_xlfn.IFNA(INDEX(MTT_codes,MATCH(loaded!BG790,MTT,0)),"")</f>
        <v/>
      </c>
      <c r="AB790" t="str">
        <f>_xlfn.IFNA(INDEX(MTT_codes,MATCH(loaded!BI790,MTT,0)),"")</f>
        <v/>
      </c>
      <c r="AC790" t="str">
        <f>_xlfn.IFNA(INDEX(MTT_codes,MATCH(loaded!BK790,MTT,0)),"")</f>
        <v/>
      </c>
      <c r="AD790" t="str">
        <f>_xlfn.IFNA(INDEX(MTT_codes,MATCH(loaded!BM790,MTT,0)),"")</f>
        <v/>
      </c>
      <c r="AE790" t="e">
        <f>INDEX(liv_ar_codes,MATCH(loaded!BO790,liv_ar,0))</f>
        <v>#N/A</v>
      </c>
      <c r="AF790" t="str">
        <f>_xlfn.IFNA(INDEX(MTT_codes,MATCH(loaded!BQ790,MTT,0)),"")</f>
        <v/>
      </c>
      <c r="AG790">
        <f>_xlfn.IFNA(INDEX(mental_codes,MATCH(loaded!BS790,mental,0)),9)</f>
        <v>9</v>
      </c>
    </row>
    <row r="791" spans="1:33" x14ac:dyDescent="0.25">
      <c r="A791">
        <f>loaded!C791</f>
        <v>0</v>
      </c>
      <c r="B791">
        <f>loaded!I791</f>
        <v>0</v>
      </c>
      <c r="C791">
        <f>IF(loaded!K791="Male",1,IF(loaded!K791="Female",2,9))</f>
        <v>9</v>
      </c>
      <c r="D791" s="8">
        <f>loaded!M791</f>
        <v>0</v>
      </c>
      <c r="E791" t="str">
        <f>LEFT(loaded!O791,3)</f>
        <v/>
      </c>
      <c r="F791" t="e">
        <f>INDEX(cntry_codes,MATCH(loaded!Q791,countries,0))</f>
        <v>#N/A</v>
      </c>
      <c r="G791" t="e">
        <f>INDEX(atsi_codes,MATCH(loaded!S791,atsi,0))</f>
        <v>#N/A</v>
      </c>
      <c r="H791" t="e">
        <f>INDEX(lang_codes,MATCH(loaded!U791,lang,0))</f>
        <v>#N/A</v>
      </c>
      <c r="I791" s="8">
        <f>loaded!W791</f>
        <v>0</v>
      </c>
      <c r="J791" t="e">
        <f>INDEX(us_acc_codes,MATCH(loaded!Y791,us_acc,0))</f>
        <v>#N/A</v>
      </c>
      <c r="K791" t="e">
        <f>INDEX(client_codes,MATCH(loaded!AA791,client,0))</f>
        <v>#N/A</v>
      </c>
      <c r="L791" t="e">
        <f>INDEX(src_ref_codes,MATCH(loaded!AC791,src_ref,0))</f>
        <v>#N/A</v>
      </c>
      <c r="M791" s="8">
        <f>loaded!AE791</f>
        <v>0</v>
      </c>
      <c r="N791" s="8">
        <f>loaded!AG791</f>
        <v>0</v>
      </c>
      <c r="O791" t="e">
        <f>INDEX(reces_codes,MATCH(loaded!AI791,reason,0))</f>
        <v>#N/A</v>
      </c>
      <c r="P791" t="e">
        <f>INDEX(TDS_codes,MATCH(loaded!AK791,TDS,0))</f>
        <v>#N/A</v>
      </c>
      <c r="Q791" t="e">
        <f>IF(K791=2,"",INDEX(method_codes,MATCH(loaded!AM791,method,0)))</f>
        <v>#N/A</v>
      </c>
      <c r="R791" t="e">
        <f>IF(K791=2,"",INDEX(inj_codes,MATCH(loaded!AO791,inj,0)))</f>
        <v>#N/A</v>
      </c>
      <c r="S791" t="e">
        <f>IF(K791=2,"",INDEX(drug_codes,MATCH(loaded!AQ791,drug,0)))</f>
        <v>#N/A</v>
      </c>
      <c r="T791" t="e">
        <f>IF(K791=2,"",_xlfn.IFNA(INDEX(drug_codes,MATCH(loaded!AS791,drug,0)),""))</f>
        <v>#N/A</v>
      </c>
      <c r="U791" t="e">
        <f>IF(K791=2,"",_xlfn.IFNA(INDEX(drug_codes,MATCH(loaded!AU791,drug,0)),""))</f>
        <v>#N/A</v>
      </c>
      <c r="V791" t="e">
        <f>IF(K791=2,"",_xlfn.IFNA(INDEX(drug_codes,MATCH(loaded!AW791,drug,0)),""))</f>
        <v>#N/A</v>
      </c>
      <c r="W791" t="e">
        <f>IF(K791=2,"",_xlfn.IFNA(INDEX(drug_codes,MATCH(loaded!AY791,drug,0)),""))</f>
        <v>#N/A</v>
      </c>
      <c r="X791" t="e">
        <f>IF(K791=2,"",_xlfn.IFNA(INDEX(drug_codes,MATCH(loaded!BA791,drug,0)),""))</f>
        <v>#N/A</v>
      </c>
      <c r="Y791" t="e">
        <f>INDEX(MTT_codes,MATCH(loaded!BC791,MTT,0))</f>
        <v>#N/A</v>
      </c>
      <c r="Z791" t="str">
        <f>_xlfn.IFNA(INDEX(MTT_codes,MATCH(loaded!BE791,MTT,0)),"")</f>
        <v/>
      </c>
      <c r="AA791" t="str">
        <f>_xlfn.IFNA(INDEX(MTT_codes,MATCH(loaded!BG791,MTT,0)),"")</f>
        <v/>
      </c>
      <c r="AB791" t="str">
        <f>_xlfn.IFNA(INDEX(MTT_codes,MATCH(loaded!BI791,MTT,0)),"")</f>
        <v/>
      </c>
      <c r="AC791" t="str">
        <f>_xlfn.IFNA(INDEX(MTT_codes,MATCH(loaded!BK791,MTT,0)),"")</f>
        <v/>
      </c>
      <c r="AD791" t="str">
        <f>_xlfn.IFNA(INDEX(MTT_codes,MATCH(loaded!BM791,MTT,0)),"")</f>
        <v/>
      </c>
      <c r="AE791" t="e">
        <f>INDEX(liv_ar_codes,MATCH(loaded!BO791,liv_ar,0))</f>
        <v>#N/A</v>
      </c>
      <c r="AF791" t="str">
        <f>_xlfn.IFNA(INDEX(MTT_codes,MATCH(loaded!BQ791,MTT,0)),"")</f>
        <v/>
      </c>
      <c r="AG791">
        <f>_xlfn.IFNA(INDEX(mental_codes,MATCH(loaded!BS791,mental,0)),9)</f>
        <v>9</v>
      </c>
    </row>
    <row r="792" spans="1:33" x14ac:dyDescent="0.25">
      <c r="A792">
        <f>loaded!C792</f>
        <v>0</v>
      </c>
      <c r="B792">
        <f>loaded!I792</f>
        <v>0</v>
      </c>
      <c r="C792">
        <f>IF(loaded!K792="Male",1,IF(loaded!K792="Female",2,9))</f>
        <v>9</v>
      </c>
      <c r="D792" s="8">
        <f>loaded!M792</f>
        <v>0</v>
      </c>
      <c r="E792" t="str">
        <f>LEFT(loaded!O792,3)</f>
        <v/>
      </c>
      <c r="F792" t="e">
        <f>INDEX(cntry_codes,MATCH(loaded!Q792,countries,0))</f>
        <v>#N/A</v>
      </c>
      <c r="G792" t="e">
        <f>INDEX(atsi_codes,MATCH(loaded!S792,atsi,0))</f>
        <v>#N/A</v>
      </c>
      <c r="H792" t="e">
        <f>INDEX(lang_codes,MATCH(loaded!U792,lang,0))</f>
        <v>#N/A</v>
      </c>
      <c r="I792" s="8">
        <f>loaded!W792</f>
        <v>0</v>
      </c>
      <c r="J792" t="e">
        <f>INDEX(us_acc_codes,MATCH(loaded!Y792,us_acc,0))</f>
        <v>#N/A</v>
      </c>
      <c r="K792" t="e">
        <f>INDEX(client_codes,MATCH(loaded!AA792,client,0))</f>
        <v>#N/A</v>
      </c>
      <c r="L792" t="e">
        <f>INDEX(src_ref_codes,MATCH(loaded!AC792,src_ref,0))</f>
        <v>#N/A</v>
      </c>
      <c r="M792" s="8">
        <f>loaded!AE792</f>
        <v>0</v>
      </c>
      <c r="N792" s="8">
        <f>loaded!AG792</f>
        <v>0</v>
      </c>
      <c r="O792" t="e">
        <f>INDEX(reces_codes,MATCH(loaded!AI792,reason,0))</f>
        <v>#N/A</v>
      </c>
      <c r="P792" t="e">
        <f>INDEX(TDS_codes,MATCH(loaded!AK792,TDS,0))</f>
        <v>#N/A</v>
      </c>
      <c r="Q792" t="e">
        <f>IF(K792=2,"",INDEX(method_codes,MATCH(loaded!AM792,method,0)))</f>
        <v>#N/A</v>
      </c>
      <c r="R792" t="e">
        <f>IF(K792=2,"",INDEX(inj_codes,MATCH(loaded!AO792,inj,0)))</f>
        <v>#N/A</v>
      </c>
      <c r="S792" t="e">
        <f>IF(K792=2,"",INDEX(drug_codes,MATCH(loaded!AQ792,drug,0)))</f>
        <v>#N/A</v>
      </c>
      <c r="T792" t="e">
        <f>IF(K792=2,"",_xlfn.IFNA(INDEX(drug_codes,MATCH(loaded!AS792,drug,0)),""))</f>
        <v>#N/A</v>
      </c>
      <c r="U792" t="e">
        <f>IF(K792=2,"",_xlfn.IFNA(INDEX(drug_codes,MATCH(loaded!AU792,drug,0)),""))</f>
        <v>#N/A</v>
      </c>
      <c r="V792" t="e">
        <f>IF(K792=2,"",_xlfn.IFNA(INDEX(drug_codes,MATCH(loaded!AW792,drug,0)),""))</f>
        <v>#N/A</v>
      </c>
      <c r="W792" t="e">
        <f>IF(K792=2,"",_xlfn.IFNA(INDEX(drug_codes,MATCH(loaded!AY792,drug,0)),""))</f>
        <v>#N/A</v>
      </c>
      <c r="X792" t="e">
        <f>IF(K792=2,"",_xlfn.IFNA(INDEX(drug_codes,MATCH(loaded!BA792,drug,0)),""))</f>
        <v>#N/A</v>
      </c>
      <c r="Y792" t="e">
        <f>INDEX(MTT_codes,MATCH(loaded!BC792,MTT,0))</f>
        <v>#N/A</v>
      </c>
      <c r="Z792" t="str">
        <f>_xlfn.IFNA(INDEX(MTT_codes,MATCH(loaded!BE792,MTT,0)),"")</f>
        <v/>
      </c>
      <c r="AA792" t="str">
        <f>_xlfn.IFNA(INDEX(MTT_codes,MATCH(loaded!BG792,MTT,0)),"")</f>
        <v/>
      </c>
      <c r="AB792" t="str">
        <f>_xlfn.IFNA(INDEX(MTT_codes,MATCH(loaded!BI792,MTT,0)),"")</f>
        <v/>
      </c>
      <c r="AC792" t="str">
        <f>_xlfn.IFNA(INDEX(MTT_codes,MATCH(loaded!BK792,MTT,0)),"")</f>
        <v/>
      </c>
      <c r="AD792" t="str">
        <f>_xlfn.IFNA(INDEX(MTT_codes,MATCH(loaded!BM792,MTT,0)),"")</f>
        <v/>
      </c>
      <c r="AE792" t="e">
        <f>INDEX(liv_ar_codes,MATCH(loaded!BO792,liv_ar,0))</f>
        <v>#N/A</v>
      </c>
      <c r="AF792" t="str">
        <f>_xlfn.IFNA(INDEX(MTT_codes,MATCH(loaded!BQ792,MTT,0)),"")</f>
        <v/>
      </c>
      <c r="AG792">
        <f>_xlfn.IFNA(INDEX(mental_codes,MATCH(loaded!BS792,mental,0)),9)</f>
        <v>9</v>
      </c>
    </row>
    <row r="793" spans="1:33" x14ac:dyDescent="0.25">
      <c r="A793">
        <f>loaded!C793</f>
        <v>0</v>
      </c>
      <c r="B793">
        <f>loaded!I793</f>
        <v>0</v>
      </c>
      <c r="C793">
        <f>IF(loaded!K793="Male",1,IF(loaded!K793="Female",2,9))</f>
        <v>9</v>
      </c>
      <c r="D793" s="8">
        <f>loaded!M793</f>
        <v>0</v>
      </c>
      <c r="E793" t="str">
        <f>LEFT(loaded!O793,3)</f>
        <v/>
      </c>
      <c r="F793" t="e">
        <f>INDEX(cntry_codes,MATCH(loaded!Q793,countries,0))</f>
        <v>#N/A</v>
      </c>
      <c r="G793" t="e">
        <f>INDEX(atsi_codes,MATCH(loaded!S793,atsi,0))</f>
        <v>#N/A</v>
      </c>
      <c r="H793" t="e">
        <f>INDEX(lang_codes,MATCH(loaded!U793,lang,0))</f>
        <v>#N/A</v>
      </c>
      <c r="I793" s="8">
        <f>loaded!W793</f>
        <v>0</v>
      </c>
      <c r="J793" t="e">
        <f>INDEX(us_acc_codes,MATCH(loaded!Y793,us_acc,0))</f>
        <v>#N/A</v>
      </c>
      <c r="K793" t="e">
        <f>INDEX(client_codes,MATCH(loaded!AA793,client,0))</f>
        <v>#N/A</v>
      </c>
      <c r="L793" t="e">
        <f>INDEX(src_ref_codes,MATCH(loaded!AC793,src_ref,0))</f>
        <v>#N/A</v>
      </c>
      <c r="M793" s="8">
        <f>loaded!AE793</f>
        <v>0</v>
      </c>
      <c r="N793" s="8">
        <f>loaded!AG793</f>
        <v>0</v>
      </c>
      <c r="O793" t="e">
        <f>INDEX(reces_codes,MATCH(loaded!AI793,reason,0))</f>
        <v>#N/A</v>
      </c>
      <c r="P793" t="e">
        <f>INDEX(TDS_codes,MATCH(loaded!AK793,TDS,0))</f>
        <v>#N/A</v>
      </c>
      <c r="Q793" t="e">
        <f>IF(K793=2,"",INDEX(method_codes,MATCH(loaded!AM793,method,0)))</f>
        <v>#N/A</v>
      </c>
      <c r="R793" t="e">
        <f>IF(K793=2,"",INDEX(inj_codes,MATCH(loaded!AO793,inj,0)))</f>
        <v>#N/A</v>
      </c>
      <c r="S793" t="e">
        <f>IF(K793=2,"",INDEX(drug_codes,MATCH(loaded!AQ793,drug,0)))</f>
        <v>#N/A</v>
      </c>
      <c r="T793" t="e">
        <f>IF(K793=2,"",_xlfn.IFNA(INDEX(drug_codes,MATCH(loaded!AS793,drug,0)),""))</f>
        <v>#N/A</v>
      </c>
      <c r="U793" t="e">
        <f>IF(K793=2,"",_xlfn.IFNA(INDEX(drug_codes,MATCH(loaded!AU793,drug,0)),""))</f>
        <v>#N/A</v>
      </c>
      <c r="V793" t="e">
        <f>IF(K793=2,"",_xlfn.IFNA(INDEX(drug_codes,MATCH(loaded!AW793,drug,0)),""))</f>
        <v>#N/A</v>
      </c>
      <c r="W793" t="e">
        <f>IF(K793=2,"",_xlfn.IFNA(INDEX(drug_codes,MATCH(loaded!AY793,drug,0)),""))</f>
        <v>#N/A</v>
      </c>
      <c r="X793" t="e">
        <f>IF(K793=2,"",_xlfn.IFNA(INDEX(drug_codes,MATCH(loaded!BA793,drug,0)),""))</f>
        <v>#N/A</v>
      </c>
      <c r="Y793" t="e">
        <f>INDEX(MTT_codes,MATCH(loaded!BC793,MTT,0))</f>
        <v>#N/A</v>
      </c>
      <c r="Z793" t="str">
        <f>_xlfn.IFNA(INDEX(MTT_codes,MATCH(loaded!BE793,MTT,0)),"")</f>
        <v/>
      </c>
      <c r="AA793" t="str">
        <f>_xlfn.IFNA(INDEX(MTT_codes,MATCH(loaded!BG793,MTT,0)),"")</f>
        <v/>
      </c>
      <c r="AB793" t="str">
        <f>_xlfn.IFNA(INDEX(MTT_codes,MATCH(loaded!BI793,MTT,0)),"")</f>
        <v/>
      </c>
      <c r="AC793" t="str">
        <f>_xlfn.IFNA(INDEX(MTT_codes,MATCH(loaded!BK793,MTT,0)),"")</f>
        <v/>
      </c>
      <c r="AD793" t="str">
        <f>_xlfn.IFNA(INDEX(MTT_codes,MATCH(loaded!BM793,MTT,0)),"")</f>
        <v/>
      </c>
      <c r="AE793" t="e">
        <f>INDEX(liv_ar_codes,MATCH(loaded!BO793,liv_ar,0))</f>
        <v>#N/A</v>
      </c>
      <c r="AF793" t="str">
        <f>_xlfn.IFNA(INDEX(MTT_codes,MATCH(loaded!BQ793,MTT,0)),"")</f>
        <v/>
      </c>
      <c r="AG793">
        <f>_xlfn.IFNA(INDEX(mental_codes,MATCH(loaded!BS793,mental,0)),9)</f>
        <v>9</v>
      </c>
    </row>
    <row r="794" spans="1:33" x14ac:dyDescent="0.25">
      <c r="A794">
        <f>loaded!C794</f>
        <v>0</v>
      </c>
      <c r="B794">
        <f>loaded!I794</f>
        <v>0</v>
      </c>
      <c r="C794">
        <f>IF(loaded!K794="Male",1,IF(loaded!K794="Female",2,9))</f>
        <v>9</v>
      </c>
      <c r="D794" s="8">
        <f>loaded!M794</f>
        <v>0</v>
      </c>
      <c r="E794" t="str">
        <f>LEFT(loaded!O794,3)</f>
        <v/>
      </c>
      <c r="F794" t="e">
        <f>INDEX(cntry_codes,MATCH(loaded!Q794,countries,0))</f>
        <v>#N/A</v>
      </c>
      <c r="G794" t="e">
        <f>INDEX(atsi_codes,MATCH(loaded!S794,atsi,0))</f>
        <v>#N/A</v>
      </c>
      <c r="H794" t="e">
        <f>INDEX(lang_codes,MATCH(loaded!U794,lang,0))</f>
        <v>#N/A</v>
      </c>
      <c r="I794" s="8">
        <f>loaded!W794</f>
        <v>0</v>
      </c>
      <c r="J794" t="e">
        <f>INDEX(us_acc_codes,MATCH(loaded!Y794,us_acc,0))</f>
        <v>#N/A</v>
      </c>
      <c r="K794" t="e">
        <f>INDEX(client_codes,MATCH(loaded!AA794,client,0))</f>
        <v>#N/A</v>
      </c>
      <c r="L794" t="e">
        <f>INDEX(src_ref_codes,MATCH(loaded!AC794,src_ref,0))</f>
        <v>#N/A</v>
      </c>
      <c r="M794" s="8">
        <f>loaded!AE794</f>
        <v>0</v>
      </c>
      <c r="N794" s="8">
        <f>loaded!AG794</f>
        <v>0</v>
      </c>
      <c r="O794" t="e">
        <f>INDEX(reces_codes,MATCH(loaded!AI794,reason,0))</f>
        <v>#N/A</v>
      </c>
      <c r="P794" t="e">
        <f>INDEX(TDS_codes,MATCH(loaded!AK794,TDS,0))</f>
        <v>#N/A</v>
      </c>
      <c r="Q794" t="e">
        <f>IF(K794=2,"",INDEX(method_codes,MATCH(loaded!AM794,method,0)))</f>
        <v>#N/A</v>
      </c>
      <c r="R794" t="e">
        <f>IF(K794=2,"",INDEX(inj_codes,MATCH(loaded!AO794,inj,0)))</f>
        <v>#N/A</v>
      </c>
      <c r="S794" t="e">
        <f>IF(K794=2,"",INDEX(drug_codes,MATCH(loaded!AQ794,drug,0)))</f>
        <v>#N/A</v>
      </c>
      <c r="T794" t="e">
        <f>IF(K794=2,"",_xlfn.IFNA(INDEX(drug_codes,MATCH(loaded!AS794,drug,0)),""))</f>
        <v>#N/A</v>
      </c>
      <c r="U794" t="e">
        <f>IF(K794=2,"",_xlfn.IFNA(INDEX(drug_codes,MATCH(loaded!AU794,drug,0)),""))</f>
        <v>#N/A</v>
      </c>
      <c r="V794" t="e">
        <f>IF(K794=2,"",_xlfn.IFNA(INDEX(drug_codes,MATCH(loaded!AW794,drug,0)),""))</f>
        <v>#N/A</v>
      </c>
      <c r="W794" t="e">
        <f>IF(K794=2,"",_xlfn.IFNA(INDEX(drug_codes,MATCH(loaded!AY794,drug,0)),""))</f>
        <v>#N/A</v>
      </c>
      <c r="X794" t="e">
        <f>IF(K794=2,"",_xlfn.IFNA(INDEX(drug_codes,MATCH(loaded!BA794,drug,0)),""))</f>
        <v>#N/A</v>
      </c>
      <c r="Y794" t="e">
        <f>INDEX(MTT_codes,MATCH(loaded!BC794,MTT,0))</f>
        <v>#N/A</v>
      </c>
      <c r="Z794" t="str">
        <f>_xlfn.IFNA(INDEX(MTT_codes,MATCH(loaded!BE794,MTT,0)),"")</f>
        <v/>
      </c>
      <c r="AA794" t="str">
        <f>_xlfn.IFNA(INDEX(MTT_codes,MATCH(loaded!BG794,MTT,0)),"")</f>
        <v/>
      </c>
      <c r="AB794" t="str">
        <f>_xlfn.IFNA(INDEX(MTT_codes,MATCH(loaded!BI794,MTT,0)),"")</f>
        <v/>
      </c>
      <c r="AC794" t="str">
        <f>_xlfn.IFNA(INDEX(MTT_codes,MATCH(loaded!BK794,MTT,0)),"")</f>
        <v/>
      </c>
      <c r="AD794" t="str">
        <f>_xlfn.IFNA(INDEX(MTT_codes,MATCH(loaded!BM794,MTT,0)),"")</f>
        <v/>
      </c>
      <c r="AE794" t="e">
        <f>INDEX(liv_ar_codes,MATCH(loaded!BO794,liv_ar,0))</f>
        <v>#N/A</v>
      </c>
      <c r="AF794" t="str">
        <f>_xlfn.IFNA(INDEX(MTT_codes,MATCH(loaded!BQ794,MTT,0)),"")</f>
        <v/>
      </c>
      <c r="AG794">
        <f>_xlfn.IFNA(INDEX(mental_codes,MATCH(loaded!BS794,mental,0)),9)</f>
        <v>9</v>
      </c>
    </row>
    <row r="795" spans="1:33" x14ac:dyDescent="0.25">
      <c r="A795">
        <f>loaded!C795</f>
        <v>0</v>
      </c>
      <c r="B795">
        <f>loaded!I795</f>
        <v>0</v>
      </c>
      <c r="C795">
        <f>IF(loaded!K795="Male",1,IF(loaded!K795="Female",2,9))</f>
        <v>9</v>
      </c>
      <c r="D795" s="8">
        <f>loaded!M795</f>
        <v>0</v>
      </c>
      <c r="E795" t="str">
        <f>LEFT(loaded!O795,3)</f>
        <v/>
      </c>
      <c r="F795" t="e">
        <f>INDEX(cntry_codes,MATCH(loaded!Q795,countries,0))</f>
        <v>#N/A</v>
      </c>
      <c r="G795" t="e">
        <f>INDEX(atsi_codes,MATCH(loaded!S795,atsi,0))</f>
        <v>#N/A</v>
      </c>
      <c r="H795" t="e">
        <f>INDEX(lang_codes,MATCH(loaded!U795,lang,0))</f>
        <v>#N/A</v>
      </c>
      <c r="I795" s="8">
        <f>loaded!W795</f>
        <v>0</v>
      </c>
      <c r="J795" t="e">
        <f>INDEX(us_acc_codes,MATCH(loaded!Y795,us_acc,0))</f>
        <v>#N/A</v>
      </c>
      <c r="K795" t="e">
        <f>INDEX(client_codes,MATCH(loaded!AA795,client,0))</f>
        <v>#N/A</v>
      </c>
      <c r="L795" t="e">
        <f>INDEX(src_ref_codes,MATCH(loaded!AC795,src_ref,0))</f>
        <v>#N/A</v>
      </c>
      <c r="M795" s="8">
        <f>loaded!AE795</f>
        <v>0</v>
      </c>
      <c r="N795" s="8">
        <f>loaded!AG795</f>
        <v>0</v>
      </c>
      <c r="O795" t="e">
        <f>INDEX(reces_codes,MATCH(loaded!AI795,reason,0))</f>
        <v>#N/A</v>
      </c>
      <c r="P795" t="e">
        <f>INDEX(TDS_codes,MATCH(loaded!AK795,TDS,0))</f>
        <v>#N/A</v>
      </c>
      <c r="Q795" t="e">
        <f>IF(K795=2,"",INDEX(method_codes,MATCH(loaded!AM795,method,0)))</f>
        <v>#N/A</v>
      </c>
      <c r="R795" t="e">
        <f>IF(K795=2,"",INDEX(inj_codes,MATCH(loaded!AO795,inj,0)))</f>
        <v>#N/A</v>
      </c>
      <c r="S795" t="e">
        <f>IF(K795=2,"",INDEX(drug_codes,MATCH(loaded!AQ795,drug,0)))</f>
        <v>#N/A</v>
      </c>
      <c r="T795" t="e">
        <f>IF(K795=2,"",_xlfn.IFNA(INDEX(drug_codes,MATCH(loaded!AS795,drug,0)),""))</f>
        <v>#N/A</v>
      </c>
      <c r="U795" t="e">
        <f>IF(K795=2,"",_xlfn.IFNA(INDEX(drug_codes,MATCH(loaded!AU795,drug,0)),""))</f>
        <v>#N/A</v>
      </c>
      <c r="V795" t="e">
        <f>IF(K795=2,"",_xlfn.IFNA(INDEX(drug_codes,MATCH(loaded!AW795,drug,0)),""))</f>
        <v>#N/A</v>
      </c>
      <c r="W795" t="e">
        <f>IF(K795=2,"",_xlfn.IFNA(INDEX(drug_codes,MATCH(loaded!AY795,drug,0)),""))</f>
        <v>#N/A</v>
      </c>
      <c r="X795" t="e">
        <f>IF(K795=2,"",_xlfn.IFNA(INDEX(drug_codes,MATCH(loaded!BA795,drug,0)),""))</f>
        <v>#N/A</v>
      </c>
      <c r="Y795" t="e">
        <f>INDEX(MTT_codes,MATCH(loaded!BC795,MTT,0))</f>
        <v>#N/A</v>
      </c>
      <c r="Z795" t="str">
        <f>_xlfn.IFNA(INDEX(MTT_codes,MATCH(loaded!BE795,MTT,0)),"")</f>
        <v/>
      </c>
      <c r="AA795" t="str">
        <f>_xlfn.IFNA(INDEX(MTT_codes,MATCH(loaded!BG795,MTT,0)),"")</f>
        <v/>
      </c>
      <c r="AB795" t="str">
        <f>_xlfn.IFNA(INDEX(MTT_codes,MATCH(loaded!BI795,MTT,0)),"")</f>
        <v/>
      </c>
      <c r="AC795" t="str">
        <f>_xlfn.IFNA(INDEX(MTT_codes,MATCH(loaded!BK795,MTT,0)),"")</f>
        <v/>
      </c>
      <c r="AD795" t="str">
        <f>_xlfn.IFNA(INDEX(MTT_codes,MATCH(loaded!BM795,MTT,0)),"")</f>
        <v/>
      </c>
      <c r="AE795" t="e">
        <f>INDEX(liv_ar_codes,MATCH(loaded!BO795,liv_ar,0))</f>
        <v>#N/A</v>
      </c>
      <c r="AF795" t="str">
        <f>_xlfn.IFNA(INDEX(MTT_codes,MATCH(loaded!BQ795,MTT,0)),"")</f>
        <v/>
      </c>
      <c r="AG795">
        <f>_xlfn.IFNA(INDEX(mental_codes,MATCH(loaded!BS795,mental,0)),9)</f>
        <v>9</v>
      </c>
    </row>
    <row r="796" spans="1:33" x14ac:dyDescent="0.25">
      <c r="A796">
        <f>loaded!C796</f>
        <v>0</v>
      </c>
      <c r="B796">
        <f>loaded!I796</f>
        <v>0</v>
      </c>
      <c r="C796">
        <f>IF(loaded!K796="Male",1,IF(loaded!K796="Female",2,9))</f>
        <v>9</v>
      </c>
      <c r="D796" s="8">
        <f>loaded!M796</f>
        <v>0</v>
      </c>
      <c r="E796" t="str">
        <f>LEFT(loaded!O796,3)</f>
        <v/>
      </c>
      <c r="F796" t="e">
        <f>INDEX(cntry_codes,MATCH(loaded!Q796,countries,0))</f>
        <v>#N/A</v>
      </c>
      <c r="G796" t="e">
        <f>INDEX(atsi_codes,MATCH(loaded!S796,atsi,0))</f>
        <v>#N/A</v>
      </c>
      <c r="H796" t="e">
        <f>INDEX(lang_codes,MATCH(loaded!U796,lang,0))</f>
        <v>#N/A</v>
      </c>
      <c r="I796" s="8">
        <f>loaded!W796</f>
        <v>0</v>
      </c>
      <c r="J796" t="e">
        <f>INDEX(us_acc_codes,MATCH(loaded!Y796,us_acc,0))</f>
        <v>#N/A</v>
      </c>
      <c r="K796" t="e">
        <f>INDEX(client_codes,MATCH(loaded!AA796,client,0))</f>
        <v>#N/A</v>
      </c>
      <c r="L796" t="e">
        <f>INDEX(src_ref_codes,MATCH(loaded!AC796,src_ref,0))</f>
        <v>#N/A</v>
      </c>
      <c r="M796" s="8">
        <f>loaded!AE796</f>
        <v>0</v>
      </c>
      <c r="N796" s="8">
        <f>loaded!AG796</f>
        <v>0</v>
      </c>
      <c r="O796" t="e">
        <f>INDEX(reces_codes,MATCH(loaded!AI796,reason,0))</f>
        <v>#N/A</v>
      </c>
      <c r="P796" t="e">
        <f>INDEX(TDS_codes,MATCH(loaded!AK796,TDS,0))</f>
        <v>#N/A</v>
      </c>
      <c r="Q796" t="e">
        <f>IF(K796=2,"",INDEX(method_codes,MATCH(loaded!AM796,method,0)))</f>
        <v>#N/A</v>
      </c>
      <c r="R796" t="e">
        <f>IF(K796=2,"",INDEX(inj_codes,MATCH(loaded!AO796,inj,0)))</f>
        <v>#N/A</v>
      </c>
      <c r="S796" t="e">
        <f>IF(K796=2,"",INDEX(drug_codes,MATCH(loaded!AQ796,drug,0)))</f>
        <v>#N/A</v>
      </c>
      <c r="T796" t="e">
        <f>IF(K796=2,"",_xlfn.IFNA(INDEX(drug_codes,MATCH(loaded!AS796,drug,0)),""))</f>
        <v>#N/A</v>
      </c>
      <c r="U796" t="e">
        <f>IF(K796=2,"",_xlfn.IFNA(INDEX(drug_codes,MATCH(loaded!AU796,drug,0)),""))</f>
        <v>#N/A</v>
      </c>
      <c r="V796" t="e">
        <f>IF(K796=2,"",_xlfn.IFNA(INDEX(drug_codes,MATCH(loaded!AW796,drug,0)),""))</f>
        <v>#N/A</v>
      </c>
      <c r="W796" t="e">
        <f>IF(K796=2,"",_xlfn.IFNA(INDEX(drug_codes,MATCH(loaded!AY796,drug,0)),""))</f>
        <v>#N/A</v>
      </c>
      <c r="X796" t="e">
        <f>IF(K796=2,"",_xlfn.IFNA(INDEX(drug_codes,MATCH(loaded!BA796,drug,0)),""))</f>
        <v>#N/A</v>
      </c>
      <c r="Y796" t="e">
        <f>INDEX(MTT_codes,MATCH(loaded!BC796,MTT,0))</f>
        <v>#N/A</v>
      </c>
      <c r="Z796" t="str">
        <f>_xlfn.IFNA(INDEX(MTT_codes,MATCH(loaded!BE796,MTT,0)),"")</f>
        <v/>
      </c>
      <c r="AA796" t="str">
        <f>_xlfn.IFNA(INDEX(MTT_codes,MATCH(loaded!BG796,MTT,0)),"")</f>
        <v/>
      </c>
      <c r="AB796" t="str">
        <f>_xlfn.IFNA(INDEX(MTT_codes,MATCH(loaded!BI796,MTT,0)),"")</f>
        <v/>
      </c>
      <c r="AC796" t="str">
        <f>_xlfn.IFNA(INDEX(MTT_codes,MATCH(loaded!BK796,MTT,0)),"")</f>
        <v/>
      </c>
      <c r="AD796" t="str">
        <f>_xlfn.IFNA(INDEX(MTT_codes,MATCH(loaded!BM796,MTT,0)),"")</f>
        <v/>
      </c>
      <c r="AE796" t="e">
        <f>INDEX(liv_ar_codes,MATCH(loaded!BO796,liv_ar,0))</f>
        <v>#N/A</v>
      </c>
      <c r="AF796" t="str">
        <f>_xlfn.IFNA(INDEX(MTT_codes,MATCH(loaded!BQ796,MTT,0)),"")</f>
        <v/>
      </c>
      <c r="AG796">
        <f>_xlfn.IFNA(INDEX(mental_codes,MATCH(loaded!BS796,mental,0)),9)</f>
        <v>9</v>
      </c>
    </row>
    <row r="797" spans="1:33" x14ac:dyDescent="0.25">
      <c r="A797">
        <f>loaded!C797</f>
        <v>0</v>
      </c>
      <c r="B797">
        <f>loaded!I797</f>
        <v>0</v>
      </c>
      <c r="C797">
        <f>IF(loaded!K797="Male",1,IF(loaded!K797="Female",2,9))</f>
        <v>9</v>
      </c>
      <c r="D797" s="8">
        <f>loaded!M797</f>
        <v>0</v>
      </c>
      <c r="E797" t="str">
        <f>LEFT(loaded!O797,3)</f>
        <v/>
      </c>
      <c r="F797" t="e">
        <f>INDEX(cntry_codes,MATCH(loaded!Q797,countries,0))</f>
        <v>#N/A</v>
      </c>
      <c r="G797" t="e">
        <f>INDEX(atsi_codes,MATCH(loaded!S797,atsi,0))</f>
        <v>#N/A</v>
      </c>
      <c r="H797" t="e">
        <f>INDEX(lang_codes,MATCH(loaded!U797,lang,0))</f>
        <v>#N/A</v>
      </c>
      <c r="I797" s="8">
        <f>loaded!W797</f>
        <v>0</v>
      </c>
      <c r="J797" t="e">
        <f>INDEX(us_acc_codes,MATCH(loaded!Y797,us_acc,0))</f>
        <v>#N/A</v>
      </c>
      <c r="K797" t="e">
        <f>INDEX(client_codes,MATCH(loaded!AA797,client,0))</f>
        <v>#N/A</v>
      </c>
      <c r="L797" t="e">
        <f>INDEX(src_ref_codes,MATCH(loaded!AC797,src_ref,0))</f>
        <v>#N/A</v>
      </c>
      <c r="M797" s="8">
        <f>loaded!AE797</f>
        <v>0</v>
      </c>
      <c r="N797" s="8">
        <f>loaded!AG797</f>
        <v>0</v>
      </c>
      <c r="O797" t="e">
        <f>INDEX(reces_codes,MATCH(loaded!AI797,reason,0))</f>
        <v>#N/A</v>
      </c>
      <c r="P797" t="e">
        <f>INDEX(TDS_codes,MATCH(loaded!AK797,TDS,0))</f>
        <v>#N/A</v>
      </c>
      <c r="Q797" t="e">
        <f>IF(K797=2,"",INDEX(method_codes,MATCH(loaded!AM797,method,0)))</f>
        <v>#N/A</v>
      </c>
      <c r="R797" t="e">
        <f>IF(K797=2,"",INDEX(inj_codes,MATCH(loaded!AO797,inj,0)))</f>
        <v>#N/A</v>
      </c>
      <c r="S797" t="e">
        <f>IF(K797=2,"",INDEX(drug_codes,MATCH(loaded!AQ797,drug,0)))</f>
        <v>#N/A</v>
      </c>
      <c r="T797" t="e">
        <f>IF(K797=2,"",_xlfn.IFNA(INDEX(drug_codes,MATCH(loaded!AS797,drug,0)),""))</f>
        <v>#N/A</v>
      </c>
      <c r="U797" t="e">
        <f>IF(K797=2,"",_xlfn.IFNA(INDEX(drug_codes,MATCH(loaded!AU797,drug,0)),""))</f>
        <v>#N/A</v>
      </c>
      <c r="V797" t="e">
        <f>IF(K797=2,"",_xlfn.IFNA(INDEX(drug_codes,MATCH(loaded!AW797,drug,0)),""))</f>
        <v>#N/A</v>
      </c>
      <c r="W797" t="e">
        <f>IF(K797=2,"",_xlfn.IFNA(INDEX(drug_codes,MATCH(loaded!AY797,drug,0)),""))</f>
        <v>#N/A</v>
      </c>
      <c r="X797" t="e">
        <f>IF(K797=2,"",_xlfn.IFNA(INDEX(drug_codes,MATCH(loaded!BA797,drug,0)),""))</f>
        <v>#N/A</v>
      </c>
      <c r="Y797" t="e">
        <f>INDEX(MTT_codes,MATCH(loaded!BC797,MTT,0))</f>
        <v>#N/A</v>
      </c>
      <c r="Z797" t="str">
        <f>_xlfn.IFNA(INDEX(MTT_codes,MATCH(loaded!BE797,MTT,0)),"")</f>
        <v/>
      </c>
      <c r="AA797" t="str">
        <f>_xlfn.IFNA(INDEX(MTT_codes,MATCH(loaded!BG797,MTT,0)),"")</f>
        <v/>
      </c>
      <c r="AB797" t="str">
        <f>_xlfn.IFNA(INDEX(MTT_codes,MATCH(loaded!BI797,MTT,0)),"")</f>
        <v/>
      </c>
      <c r="AC797" t="str">
        <f>_xlfn.IFNA(INDEX(MTT_codes,MATCH(loaded!BK797,MTT,0)),"")</f>
        <v/>
      </c>
      <c r="AD797" t="str">
        <f>_xlfn.IFNA(INDEX(MTT_codes,MATCH(loaded!BM797,MTT,0)),"")</f>
        <v/>
      </c>
      <c r="AE797" t="e">
        <f>INDEX(liv_ar_codes,MATCH(loaded!BO797,liv_ar,0))</f>
        <v>#N/A</v>
      </c>
      <c r="AF797" t="str">
        <f>_xlfn.IFNA(INDEX(MTT_codes,MATCH(loaded!BQ797,MTT,0)),"")</f>
        <v/>
      </c>
      <c r="AG797">
        <f>_xlfn.IFNA(INDEX(mental_codes,MATCH(loaded!BS797,mental,0)),9)</f>
        <v>9</v>
      </c>
    </row>
    <row r="798" spans="1:33" x14ac:dyDescent="0.25">
      <c r="A798">
        <f>loaded!C798</f>
        <v>0</v>
      </c>
      <c r="B798">
        <f>loaded!I798</f>
        <v>0</v>
      </c>
      <c r="C798">
        <f>IF(loaded!K798="Male",1,IF(loaded!K798="Female",2,9))</f>
        <v>9</v>
      </c>
      <c r="D798" s="8">
        <f>loaded!M798</f>
        <v>0</v>
      </c>
      <c r="E798" t="str">
        <f>LEFT(loaded!O798,3)</f>
        <v/>
      </c>
      <c r="F798" t="e">
        <f>INDEX(cntry_codes,MATCH(loaded!Q798,countries,0))</f>
        <v>#N/A</v>
      </c>
      <c r="G798" t="e">
        <f>INDEX(atsi_codes,MATCH(loaded!S798,atsi,0))</f>
        <v>#N/A</v>
      </c>
      <c r="H798" t="e">
        <f>INDEX(lang_codes,MATCH(loaded!U798,lang,0))</f>
        <v>#N/A</v>
      </c>
      <c r="I798" s="8">
        <f>loaded!W798</f>
        <v>0</v>
      </c>
      <c r="J798" t="e">
        <f>INDEX(us_acc_codes,MATCH(loaded!Y798,us_acc,0))</f>
        <v>#N/A</v>
      </c>
      <c r="K798" t="e">
        <f>INDEX(client_codes,MATCH(loaded!AA798,client,0))</f>
        <v>#N/A</v>
      </c>
      <c r="L798" t="e">
        <f>INDEX(src_ref_codes,MATCH(loaded!AC798,src_ref,0))</f>
        <v>#N/A</v>
      </c>
      <c r="M798" s="8">
        <f>loaded!AE798</f>
        <v>0</v>
      </c>
      <c r="N798" s="8">
        <f>loaded!AG798</f>
        <v>0</v>
      </c>
      <c r="O798" t="e">
        <f>INDEX(reces_codes,MATCH(loaded!AI798,reason,0))</f>
        <v>#N/A</v>
      </c>
      <c r="P798" t="e">
        <f>INDEX(TDS_codes,MATCH(loaded!AK798,TDS,0))</f>
        <v>#N/A</v>
      </c>
      <c r="Q798" t="e">
        <f>IF(K798=2,"",INDEX(method_codes,MATCH(loaded!AM798,method,0)))</f>
        <v>#N/A</v>
      </c>
      <c r="R798" t="e">
        <f>IF(K798=2,"",INDEX(inj_codes,MATCH(loaded!AO798,inj,0)))</f>
        <v>#N/A</v>
      </c>
      <c r="S798" t="e">
        <f>IF(K798=2,"",INDEX(drug_codes,MATCH(loaded!AQ798,drug,0)))</f>
        <v>#N/A</v>
      </c>
      <c r="T798" t="e">
        <f>IF(K798=2,"",_xlfn.IFNA(INDEX(drug_codes,MATCH(loaded!AS798,drug,0)),""))</f>
        <v>#N/A</v>
      </c>
      <c r="U798" t="e">
        <f>IF(K798=2,"",_xlfn.IFNA(INDEX(drug_codes,MATCH(loaded!AU798,drug,0)),""))</f>
        <v>#N/A</v>
      </c>
      <c r="V798" t="e">
        <f>IF(K798=2,"",_xlfn.IFNA(INDEX(drug_codes,MATCH(loaded!AW798,drug,0)),""))</f>
        <v>#N/A</v>
      </c>
      <c r="W798" t="e">
        <f>IF(K798=2,"",_xlfn.IFNA(INDEX(drug_codes,MATCH(loaded!AY798,drug,0)),""))</f>
        <v>#N/A</v>
      </c>
      <c r="X798" t="e">
        <f>IF(K798=2,"",_xlfn.IFNA(INDEX(drug_codes,MATCH(loaded!BA798,drug,0)),""))</f>
        <v>#N/A</v>
      </c>
      <c r="Y798" t="e">
        <f>INDEX(MTT_codes,MATCH(loaded!BC798,MTT,0))</f>
        <v>#N/A</v>
      </c>
      <c r="Z798" t="str">
        <f>_xlfn.IFNA(INDEX(MTT_codes,MATCH(loaded!BE798,MTT,0)),"")</f>
        <v/>
      </c>
      <c r="AA798" t="str">
        <f>_xlfn.IFNA(INDEX(MTT_codes,MATCH(loaded!BG798,MTT,0)),"")</f>
        <v/>
      </c>
      <c r="AB798" t="str">
        <f>_xlfn.IFNA(INDEX(MTT_codes,MATCH(loaded!BI798,MTT,0)),"")</f>
        <v/>
      </c>
      <c r="AC798" t="str">
        <f>_xlfn.IFNA(INDEX(MTT_codes,MATCH(loaded!BK798,MTT,0)),"")</f>
        <v/>
      </c>
      <c r="AD798" t="str">
        <f>_xlfn.IFNA(INDEX(MTT_codes,MATCH(loaded!BM798,MTT,0)),"")</f>
        <v/>
      </c>
      <c r="AE798" t="e">
        <f>INDEX(liv_ar_codes,MATCH(loaded!BO798,liv_ar,0))</f>
        <v>#N/A</v>
      </c>
      <c r="AF798" t="str">
        <f>_xlfn.IFNA(INDEX(MTT_codes,MATCH(loaded!BQ798,MTT,0)),"")</f>
        <v/>
      </c>
      <c r="AG798">
        <f>_xlfn.IFNA(INDEX(mental_codes,MATCH(loaded!BS798,mental,0)),9)</f>
        <v>9</v>
      </c>
    </row>
    <row r="799" spans="1:33" x14ac:dyDescent="0.25">
      <c r="A799">
        <f>loaded!C799</f>
        <v>0</v>
      </c>
      <c r="B799">
        <f>loaded!I799</f>
        <v>0</v>
      </c>
      <c r="C799">
        <f>IF(loaded!K799="Male",1,IF(loaded!K799="Female",2,9))</f>
        <v>9</v>
      </c>
      <c r="D799" s="8">
        <f>loaded!M799</f>
        <v>0</v>
      </c>
      <c r="E799" t="str">
        <f>LEFT(loaded!O799,3)</f>
        <v/>
      </c>
      <c r="F799" t="e">
        <f>INDEX(cntry_codes,MATCH(loaded!Q799,countries,0))</f>
        <v>#N/A</v>
      </c>
      <c r="G799" t="e">
        <f>INDEX(atsi_codes,MATCH(loaded!S799,atsi,0))</f>
        <v>#N/A</v>
      </c>
      <c r="H799" t="e">
        <f>INDEX(lang_codes,MATCH(loaded!U799,lang,0))</f>
        <v>#N/A</v>
      </c>
      <c r="I799" s="8">
        <f>loaded!W799</f>
        <v>0</v>
      </c>
      <c r="J799" t="e">
        <f>INDEX(us_acc_codes,MATCH(loaded!Y799,us_acc,0))</f>
        <v>#N/A</v>
      </c>
      <c r="K799" t="e">
        <f>INDEX(client_codes,MATCH(loaded!AA799,client,0))</f>
        <v>#N/A</v>
      </c>
      <c r="L799" t="e">
        <f>INDEX(src_ref_codes,MATCH(loaded!AC799,src_ref,0))</f>
        <v>#N/A</v>
      </c>
      <c r="M799" s="8">
        <f>loaded!AE799</f>
        <v>0</v>
      </c>
      <c r="N799" s="8">
        <f>loaded!AG799</f>
        <v>0</v>
      </c>
      <c r="O799" t="e">
        <f>INDEX(reces_codes,MATCH(loaded!AI799,reason,0))</f>
        <v>#N/A</v>
      </c>
      <c r="P799" t="e">
        <f>INDEX(TDS_codes,MATCH(loaded!AK799,TDS,0))</f>
        <v>#N/A</v>
      </c>
      <c r="Q799" t="e">
        <f>IF(K799=2,"",INDEX(method_codes,MATCH(loaded!AM799,method,0)))</f>
        <v>#N/A</v>
      </c>
      <c r="R799" t="e">
        <f>IF(K799=2,"",INDEX(inj_codes,MATCH(loaded!AO799,inj,0)))</f>
        <v>#N/A</v>
      </c>
      <c r="S799" t="e">
        <f>IF(K799=2,"",INDEX(drug_codes,MATCH(loaded!AQ799,drug,0)))</f>
        <v>#N/A</v>
      </c>
      <c r="T799" t="e">
        <f>IF(K799=2,"",_xlfn.IFNA(INDEX(drug_codes,MATCH(loaded!AS799,drug,0)),""))</f>
        <v>#N/A</v>
      </c>
      <c r="U799" t="e">
        <f>IF(K799=2,"",_xlfn.IFNA(INDEX(drug_codes,MATCH(loaded!AU799,drug,0)),""))</f>
        <v>#N/A</v>
      </c>
      <c r="V799" t="e">
        <f>IF(K799=2,"",_xlfn.IFNA(INDEX(drug_codes,MATCH(loaded!AW799,drug,0)),""))</f>
        <v>#N/A</v>
      </c>
      <c r="W799" t="e">
        <f>IF(K799=2,"",_xlfn.IFNA(INDEX(drug_codes,MATCH(loaded!AY799,drug,0)),""))</f>
        <v>#N/A</v>
      </c>
      <c r="X799" t="e">
        <f>IF(K799=2,"",_xlfn.IFNA(INDEX(drug_codes,MATCH(loaded!BA799,drug,0)),""))</f>
        <v>#N/A</v>
      </c>
      <c r="Y799" t="e">
        <f>INDEX(MTT_codes,MATCH(loaded!BC799,MTT,0))</f>
        <v>#N/A</v>
      </c>
      <c r="Z799" t="str">
        <f>_xlfn.IFNA(INDEX(MTT_codes,MATCH(loaded!BE799,MTT,0)),"")</f>
        <v/>
      </c>
      <c r="AA799" t="str">
        <f>_xlfn.IFNA(INDEX(MTT_codes,MATCH(loaded!BG799,MTT,0)),"")</f>
        <v/>
      </c>
      <c r="AB799" t="str">
        <f>_xlfn.IFNA(INDEX(MTT_codes,MATCH(loaded!BI799,MTT,0)),"")</f>
        <v/>
      </c>
      <c r="AC799" t="str">
        <f>_xlfn.IFNA(INDEX(MTT_codes,MATCH(loaded!BK799,MTT,0)),"")</f>
        <v/>
      </c>
      <c r="AD799" t="str">
        <f>_xlfn.IFNA(INDEX(MTT_codes,MATCH(loaded!BM799,MTT,0)),"")</f>
        <v/>
      </c>
      <c r="AE799" t="e">
        <f>INDEX(liv_ar_codes,MATCH(loaded!BO799,liv_ar,0))</f>
        <v>#N/A</v>
      </c>
      <c r="AF799" t="str">
        <f>_xlfn.IFNA(INDEX(MTT_codes,MATCH(loaded!BQ799,MTT,0)),"")</f>
        <v/>
      </c>
      <c r="AG799">
        <f>_xlfn.IFNA(INDEX(mental_codes,MATCH(loaded!BS799,mental,0)),9)</f>
        <v>9</v>
      </c>
    </row>
    <row r="800" spans="1:33" x14ac:dyDescent="0.25">
      <c r="A800">
        <f>loaded!C800</f>
        <v>0</v>
      </c>
      <c r="B800">
        <f>loaded!I800</f>
        <v>0</v>
      </c>
      <c r="C800">
        <f>IF(loaded!K800="Male",1,IF(loaded!K800="Female",2,9))</f>
        <v>9</v>
      </c>
      <c r="D800" s="8">
        <f>loaded!M800</f>
        <v>0</v>
      </c>
      <c r="E800" t="str">
        <f>LEFT(loaded!O800,3)</f>
        <v/>
      </c>
      <c r="F800" t="e">
        <f>INDEX(cntry_codes,MATCH(loaded!Q800,countries,0))</f>
        <v>#N/A</v>
      </c>
      <c r="G800" t="e">
        <f>INDEX(atsi_codes,MATCH(loaded!S800,atsi,0))</f>
        <v>#N/A</v>
      </c>
      <c r="H800" t="e">
        <f>INDEX(lang_codes,MATCH(loaded!U800,lang,0))</f>
        <v>#N/A</v>
      </c>
      <c r="I800" s="8">
        <f>loaded!W800</f>
        <v>0</v>
      </c>
      <c r="J800" t="e">
        <f>INDEX(us_acc_codes,MATCH(loaded!Y800,us_acc,0))</f>
        <v>#N/A</v>
      </c>
      <c r="K800" t="e">
        <f>INDEX(client_codes,MATCH(loaded!AA800,client,0))</f>
        <v>#N/A</v>
      </c>
      <c r="L800" t="e">
        <f>INDEX(src_ref_codes,MATCH(loaded!AC800,src_ref,0))</f>
        <v>#N/A</v>
      </c>
      <c r="M800" s="8">
        <f>loaded!AE800</f>
        <v>0</v>
      </c>
      <c r="N800" s="8">
        <f>loaded!AG800</f>
        <v>0</v>
      </c>
      <c r="O800" t="e">
        <f>INDEX(reces_codes,MATCH(loaded!AI800,reason,0))</f>
        <v>#N/A</v>
      </c>
      <c r="P800" t="e">
        <f>INDEX(TDS_codes,MATCH(loaded!AK800,TDS,0))</f>
        <v>#N/A</v>
      </c>
      <c r="Q800" t="e">
        <f>IF(K800=2,"",INDEX(method_codes,MATCH(loaded!AM800,method,0)))</f>
        <v>#N/A</v>
      </c>
      <c r="R800" t="e">
        <f>IF(K800=2,"",INDEX(inj_codes,MATCH(loaded!AO800,inj,0)))</f>
        <v>#N/A</v>
      </c>
      <c r="S800" t="e">
        <f>IF(K800=2,"",INDEX(drug_codes,MATCH(loaded!AQ800,drug,0)))</f>
        <v>#N/A</v>
      </c>
      <c r="T800" t="e">
        <f>IF(K800=2,"",_xlfn.IFNA(INDEX(drug_codes,MATCH(loaded!AS800,drug,0)),""))</f>
        <v>#N/A</v>
      </c>
      <c r="U800" t="e">
        <f>IF(K800=2,"",_xlfn.IFNA(INDEX(drug_codes,MATCH(loaded!AU800,drug,0)),""))</f>
        <v>#N/A</v>
      </c>
      <c r="V800" t="e">
        <f>IF(K800=2,"",_xlfn.IFNA(INDEX(drug_codes,MATCH(loaded!AW800,drug,0)),""))</f>
        <v>#N/A</v>
      </c>
      <c r="W800" t="e">
        <f>IF(K800=2,"",_xlfn.IFNA(INDEX(drug_codes,MATCH(loaded!AY800,drug,0)),""))</f>
        <v>#N/A</v>
      </c>
      <c r="X800" t="e">
        <f>IF(K800=2,"",_xlfn.IFNA(INDEX(drug_codes,MATCH(loaded!BA800,drug,0)),""))</f>
        <v>#N/A</v>
      </c>
      <c r="Y800" t="e">
        <f>INDEX(MTT_codes,MATCH(loaded!BC800,MTT,0))</f>
        <v>#N/A</v>
      </c>
      <c r="Z800" t="str">
        <f>_xlfn.IFNA(INDEX(MTT_codes,MATCH(loaded!BE800,MTT,0)),"")</f>
        <v/>
      </c>
      <c r="AA800" t="str">
        <f>_xlfn.IFNA(INDEX(MTT_codes,MATCH(loaded!BG800,MTT,0)),"")</f>
        <v/>
      </c>
      <c r="AB800" t="str">
        <f>_xlfn.IFNA(INDEX(MTT_codes,MATCH(loaded!BI800,MTT,0)),"")</f>
        <v/>
      </c>
      <c r="AC800" t="str">
        <f>_xlfn.IFNA(INDEX(MTT_codes,MATCH(loaded!BK800,MTT,0)),"")</f>
        <v/>
      </c>
      <c r="AD800" t="str">
        <f>_xlfn.IFNA(INDEX(MTT_codes,MATCH(loaded!BM800,MTT,0)),"")</f>
        <v/>
      </c>
      <c r="AE800" t="e">
        <f>INDEX(liv_ar_codes,MATCH(loaded!BO800,liv_ar,0))</f>
        <v>#N/A</v>
      </c>
      <c r="AF800" t="str">
        <f>_xlfn.IFNA(INDEX(MTT_codes,MATCH(loaded!BQ800,MTT,0)),"")</f>
        <v/>
      </c>
      <c r="AG800">
        <f>_xlfn.IFNA(INDEX(mental_codes,MATCH(loaded!BS800,mental,0)),9)</f>
        <v>9</v>
      </c>
    </row>
    <row r="801" spans="1:33" x14ac:dyDescent="0.25">
      <c r="A801">
        <f>loaded!C801</f>
        <v>0</v>
      </c>
      <c r="B801">
        <f>loaded!I801</f>
        <v>0</v>
      </c>
      <c r="C801">
        <f>IF(loaded!K801="Male",1,IF(loaded!K801="Female",2,9))</f>
        <v>9</v>
      </c>
      <c r="D801" s="8">
        <f>loaded!M801</f>
        <v>0</v>
      </c>
      <c r="E801" t="str">
        <f>LEFT(loaded!O801,3)</f>
        <v/>
      </c>
      <c r="F801" t="e">
        <f>INDEX(cntry_codes,MATCH(loaded!Q801,countries,0))</f>
        <v>#N/A</v>
      </c>
      <c r="G801" t="e">
        <f>INDEX(atsi_codes,MATCH(loaded!S801,atsi,0))</f>
        <v>#N/A</v>
      </c>
      <c r="H801" t="e">
        <f>INDEX(lang_codes,MATCH(loaded!U801,lang,0))</f>
        <v>#N/A</v>
      </c>
      <c r="I801" s="8">
        <f>loaded!W801</f>
        <v>0</v>
      </c>
      <c r="J801" t="e">
        <f>INDEX(us_acc_codes,MATCH(loaded!Y801,us_acc,0))</f>
        <v>#N/A</v>
      </c>
      <c r="K801" t="e">
        <f>INDEX(client_codes,MATCH(loaded!AA801,client,0))</f>
        <v>#N/A</v>
      </c>
      <c r="L801" t="e">
        <f>INDEX(src_ref_codes,MATCH(loaded!AC801,src_ref,0))</f>
        <v>#N/A</v>
      </c>
      <c r="M801" s="8">
        <f>loaded!AE801</f>
        <v>0</v>
      </c>
      <c r="N801" s="8">
        <f>loaded!AG801</f>
        <v>0</v>
      </c>
      <c r="O801" t="e">
        <f>INDEX(reces_codes,MATCH(loaded!AI801,reason,0))</f>
        <v>#N/A</v>
      </c>
      <c r="P801" t="e">
        <f>INDEX(TDS_codes,MATCH(loaded!AK801,TDS,0))</f>
        <v>#N/A</v>
      </c>
      <c r="Q801" t="e">
        <f>IF(K801=2,"",INDEX(method_codes,MATCH(loaded!AM801,method,0)))</f>
        <v>#N/A</v>
      </c>
      <c r="R801" t="e">
        <f>IF(K801=2,"",INDEX(inj_codes,MATCH(loaded!AO801,inj,0)))</f>
        <v>#N/A</v>
      </c>
      <c r="S801" t="e">
        <f>IF(K801=2,"",INDEX(drug_codes,MATCH(loaded!AQ801,drug,0)))</f>
        <v>#N/A</v>
      </c>
      <c r="T801" t="e">
        <f>IF(K801=2,"",_xlfn.IFNA(INDEX(drug_codes,MATCH(loaded!AS801,drug,0)),""))</f>
        <v>#N/A</v>
      </c>
      <c r="U801" t="e">
        <f>IF(K801=2,"",_xlfn.IFNA(INDEX(drug_codes,MATCH(loaded!AU801,drug,0)),""))</f>
        <v>#N/A</v>
      </c>
      <c r="V801" t="e">
        <f>IF(K801=2,"",_xlfn.IFNA(INDEX(drug_codes,MATCH(loaded!AW801,drug,0)),""))</f>
        <v>#N/A</v>
      </c>
      <c r="W801" t="e">
        <f>IF(K801=2,"",_xlfn.IFNA(INDEX(drug_codes,MATCH(loaded!AY801,drug,0)),""))</f>
        <v>#N/A</v>
      </c>
      <c r="X801" t="e">
        <f>IF(K801=2,"",_xlfn.IFNA(INDEX(drug_codes,MATCH(loaded!BA801,drug,0)),""))</f>
        <v>#N/A</v>
      </c>
      <c r="Y801" t="e">
        <f>INDEX(MTT_codes,MATCH(loaded!BC801,MTT,0))</f>
        <v>#N/A</v>
      </c>
      <c r="Z801" t="str">
        <f>_xlfn.IFNA(INDEX(MTT_codes,MATCH(loaded!BE801,MTT,0)),"")</f>
        <v/>
      </c>
      <c r="AA801" t="str">
        <f>_xlfn.IFNA(INDEX(MTT_codes,MATCH(loaded!BG801,MTT,0)),"")</f>
        <v/>
      </c>
      <c r="AB801" t="str">
        <f>_xlfn.IFNA(INDEX(MTT_codes,MATCH(loaded!BI801,MTT,0)),"")</f>
        <v/>
      </c>
      <c r="AC801" t="str">
        <f>_xlfn.IFNA(INDEX(MTT_codes,MATCH(loaded!BK801,MTT,0)),"")</f>
        <v/>
      </c>
      <c r="AD801" t="str">
        <f>_xlfn.IFNA(INDEX(MTT_codes,MATCH(loaded!BM801,MTT,0)),"")</f>
        <v/>
      </c>
      <c r="AE801" t="e">
        <f>INDEX(liv_ar_codes,MATCH(loaded!BO801,liv_ar,0))</f>
        <v>#N/A</v>
      </c>
      <c r="AF801" t="str">
        <f>_xlfn.IFNA(INDEX(MTT_codes,MATCH(loaded!BQ801,MTT,0)),"")</f>
        <v/>
      </c>
      <c r="AG801">
        <f>_xlfn.IFNA(INDEX(mental_codes,MATCH(loaded!BS801,mental,0)),9)</f>
        <v>9</v>
      </c>
    </row>
    <row r="802" spans="1:33" x14ac:dyDescent="0.25">
      <c r="A802">
        <f>loaded!C802</f>
        <v>0</v>
      </c>
      <c r="B802">
        <f>loaded!I802</f>
        <v>0</v>
      </c>
      <c r="C802">
        <f>IF(loaded!K802="Male",1,IF(loaded!K802="Female",2,9))</f>
        <v>9</v>
      </c>
      <c r="D802" s="8">
        <f>loaded!M802</f>
        <v>0</v>
      </c>
      <c r="E802" t="str">
        <f>LEFT(loaded!O802,3)</f>
        <v/>
      </c>
      <c r="F802" t="e">
        <f>INDEX(cntry_codes,MATCH(loaded!Q802,countries,0))</f>
        <v>#N/A</v>
      </c>
      <c r="G802" t="e">
        <f>INDEX(atsi_codes,MATCH(loaded!S802,atsi,0))</f>
        <v>#N/A</v>
      </c>
      <c r="H802" t="e">
        <f>INDEX(lang_codes,MATCH(loaded!U802,lang,0))</f>
        <v>#N/A</v>
      </c>
      <c r="I802" s="8">
        <f>loaded!W802</f>
        <v>0</v>
      </c>
      <c r="J802" t="e">
        <f>INDEX(us_acc_codes,MATCH(loaded!Y802,us_acc,0))</f>
        <v>#N/A</v>
      </c>
      <c r="K802" t="e">
        <f>INDEX(client_codes,MATCH(loaded!AA802,client,0))</f>
        <v>#N/A</v>
      </c>
      <c r="L802" t="e">
        <f>INDEX(src_ref_codes,MATCH(loaded!AC802,src_ref,0))</f>
        <v>#N/A</v>
      </c>
      <c r="M802" s="8">
        <f>loaded!AE802</f>
        <v>0</v>
      </c>
      <c r="N802" s="8">
        <f>loaded!AG802</f>
        <v>0</v>
      </c>
      <c r="O802" t="e">
        <f>INDEX(reces_codes,MATCH(loaded!AI802,reason,0))</f>
        <v>#N/A</v>
      </c>
      <c r="P802" t="e">
        <f>INDEX(TDS_codes,MATCH(loaded!AK802,TDS,0))</f>
        <v>#N/A</v>
      </c>
      <c r="Q802" t="e">
        <f>IF(K802=2,"",INDEX(method_codes,MATCH(loaded!AM802,method,0)))</f>
        <v>#N/A</v>
      </c>
      <c r="R802" t="e">
        <f>IF(K802=2,"",INDEX(inj_codes,MATCH(loaded!AO802,inj,0)))</f>
        <v>#N/A</v>
      </c>
      <c r="S802" t="e">
        <f>IF(K802=2,"",INDEX(drug_codes,MATCH(loaded!AQ802,drug,0)))</f>
        <v>#N/A</v>
      </c>
      <c r="T802" t="e">
        <f>IF(K802=2,"",_xlfn.IFNA(INDEX(drug_codes,MATCH(loaded!AS802,drug,0)),""))</f>
        <v>#N/A</v>
      </c>
      <c r="U802" t="e">
        <f>IF(K802=2,"",_xlfn.IFNA(INDEX(drug_codes,MATCH(loaded!AU802,drug,0)),""))</f>
        <v>#N/A</v>
      </c>
      <c r="V802" t="e">
        <f>IF(K802=2,"",_xlfn.IFNA(INDEX(drug_codes,MATCH(loaded!AW802,drug,0)),""))</f>
        <v>#N/A</v>
      </c>
      <c r="W802" t="e">
        <f>IF(K802=2,"",_xlfn.IFNA(INDEX(drug_codes,MATCH(loaded!AY802,drug,0)),""))</f>
        <v>#N/A</v>
      </c>
      <c r="X802" t="e">
        <f>IF(K802=2,"",_xlfn.IFNA(INDEX(drug_codes,MATCH(loaded!BA802,drug,0)),""))</f>
        <v>#N/A</v>
      </c>
      <c r="Y802" t="e">
        <f>INDEX(MTT_codes,MATCH(loaded!BC802,MTT,0))</f>
        <v>#N/A</v>
      </c>
      <c r="Z802" t="str">
        <f>_xlfn.IFNA(INDEX(MTT_codes,MATCH(loaded!BE802,MTT,0)),"")</f>
        <v/>
      </c>
      <c r="AA802" t="str">
        <f>_xlfn.IFNA(INDEX(MTT_codes,MATCH(loaded!BG802,MTT,0)),"")</f>
        <v/>
      </c>
      <c r="AB802" t="str">
        <f>_xlfn.IFNA(INDEX(MTT_codes,MATCH(loaded!BI802,MTT,0)),"")</f>
        <v/>
      </c>
      <c r="AC802" t="str">
        <f>_xlfn.IFNA(INDEX(MTT_codes,MATCH(loaded!BK802,MTT,0)),"")</f>
        <v/>
      </c>
      <c r="AD802" t="str">
        <f>_xlfn.IFNA(INDEX(MTT_codes,MATCH(loaded!BM802,MTT,0)),"")</f>
        <v/>
      </c>
      <c r="AE802" t="e">
        <f>INDEX(liv_ar_codes,MATCH(loaded!BO802,liv_ar,0))</f>
        <v>#N/A</v>
      </c>
      <c r="AF802" t="str">
        <f>_xlfn.IFNA(INDEX(MTT_codes,MATCH(loaded!BQ802,MTT,0)),"")</f>
        <v/>
      </c>
      <c r="AG802">
        <f>_xlfn.IFNA(INDEX(mental_codes,MATCH(loaded!BS802,mental,0)),9)</f>
        <v>9</v>
      </c>
    </row>
    <row r="803" spans="1:33" x14ac:dyDescent="0.25">
      <c r="A803">
        <f>loaded!C803</f>
        <v>0</v>
      </c>
      <c r="B803">
        <f>loaded!I803</f>
        <v>0</v>
      </c>
      <c r="C803">
        <f>IF(loaded!K803="Male",1,IF(loaded!K803="Female",2,9))</f>
        <v>9</v>
      </c>
      <c r="D803" s="8">
        <f>loaded!M803</f>
        <v>0</v>
      </c>
      <c r="E803" t="str">
        <f>LEFT(loaded!O803,3)</f>
        <v/>
      </c>
      <c r="F803" t="e">
        <f>INDEX(cntry_codes,MATCH(loaded!Q803,countries,0))</f>
        <v>#N/A</v>
      </c>
      <c r="G803" t="e">
        <f>INDEX(atsi_codes,MATCH(loaded!S803,atsi,0))</f>
        <v>#N/A</v>
      </c>
      <c r="H803" t="e">
        <f>INDEX(lang_codes,MATCH(loaded!U803,lang,0))</f>
        <v>#N/A</v>
      </c>
      <c r="I803" s="8">
        <f>loaded!W803</f>
        <v>0</v>
      </c>
      <c r="J803" t="e">
        <f>INDEX(us_acc_codes,MATCH(loaded!Y803,us_acc,0))</f>
        <v>#N/A</v>
      </c>
      <c r="K803" t="e">
        <f>INDEX(client_codes,MATCH(loaded!AA803,client,0))</f>
        <v>#N/A</v>
      </c>
      <c r="L803" t="e">
        <f>INDEX(src_ref_codes,MATCH(loaded!AC803,src_ref,0))</f>
        <v>#N/A</v>
      </c>
      <c r="M803" s="8">
        <f>loaded!AE803</f>
        <v>0</v>
      </c>
      <c r="N803" s="8">
        <f>loaded!AG803</f>
        <v>0</v>
      </c>
      <c r="O803" t="e">
        <f>INDEX(reces_codes,MATCH(loaded!AI803,reason,0))</f>
        <v>#N/A</v>
      </c>
      <c r="P803" t="e">
        <f>INDEX(TDS_codes,MATCH(loaded!AK803,TDS,0))</f>
        <v>#N/A</v>
      </c>
      <c r="Q803" t="e">
        <f>IF(K803=2,"",INDEX(method_codes,MATCH(loaded!AM803,method,0)))</f>
        <v>#N/A</v>
      </c>
      <c r="R803" t="e">
        <f>IF(K803=2,"",INDEX(inj_codes,MATCH(loaded!AO803,inj,0)))</f>
        <v>#N/A</v>
      </c>
      <c r="S803" t="e">
        <f>IF(K803=2,"",INDEX(drug_codes,MATCH(loaded!AQ803,drug,0)))</f>
        <v>#N/A</v>
      </c>
      <c r="T803" t="e">
        <f>IF(K803=2,"",_xlfn.IFNA(INDEX(drug_codes,MATCH(loaded!AS803,drug,0)),""))</f>
        <v>#N/A</v>
      </c>
      <c r="U803" t="e">
        <f>IF(K803=2,"",_xlfn.IFNA(INDEX(drug_codes,MATCH(loaded!AU803,drug,0)),""))</f>
        <v>#N/A</v>
      </c>
      <c r="V803" t="e">
        <f>IF(K803=2,"",_xlfn.IFNA(INDEX(drug_codes,MATCH(loaded!AW803,drug,0)),""))</f>
        <v>#N/A</v>
      </c>
      <c r="W803" t="e">
        <f>IF(K803=2,"",_xlfn.IFNA(INDEX(drug_codes,MATCH(loaded!AY803,drug,0)),""))</f>
        <v>#N/A</v>
      </c>
      <c r="X803" t="e">
        <f>IF(K803=2,"",_xlfn.IFNA(INDEX(drug_codes,MATCH(loaded!BA803,drug,0)),""))</f>
        <v>#N/A</v>
      </c>
      <c r="Y803" t="e">
        <f>INDEX(MTT_codes,MATCH(loaded!BC803,MTT,0))</f>
        <v>#N/A</v>
      </c>
      <c r="Z803" t="str">
        <f>_xlfn.IFNA(INDEX(MTT_codes,MATCH(loaded!BE803,MTT,0)),"")</f>
        <v/>
      </c>
      <c r="AA803" t="str">
        <f>_xlfn.IFNA(INDEX(MTT_codes,MATCH(loaded!BG803,MTT,0)),"")</f>
        <v/>
      </c>
      <c r="AB803" t="str">
        <f>_xlfn.IFNA(INDEX(MTT_codes,MATCH(loaded!BI803,MTT,0)),"")</f>
        <v/>
      </c>
      <c r="AC803" t="str">
        <f>_xlfn.IFNA(INDEX(MTT_codes,MATCH(loaded!BK803,MTT,0)),"")</f>
        <v/>
      </c>
      <c r="AD803" t="str">
        <f>_xlfn.IFNA(INDEX(MTT_codes,MATCH(loaded!BM803,MTT,0)),"")</f>
        <v/>
      </c>
      <c r="AE803" t="e">
        <f>INDEX(liv_ar_codes,MATCH(loaded!BO803,liv_ar,0))</f>
        <v>#N/A</v>
      </c>
      <c r="AF803" t="str">
        <f>_xlfn.IFNA(INDEX(MTT_codes,MATCH(loaded!BQ803,MTT,0)),"")</f>
        <v/>
      </c>
      <c r="AG803">
        <f>_xlfn.IFNA(INDEX(mental_codes,MATCH(loaded!BS803,mental,0)),9)</f>
        <v>9</v>
      </c>
    </row>
    <row r="804" spans="1:33" x14ac:dyDescent="0.25">
      <c r="A804">
        <f>loaded!C804</f>
        <v>0</v>
      </c>
      <c r="B804">
        <f>loaded!I804</f>
        <v>0</v>
      </c>
      <c r="C804">
        <f>IF(loaded!K804="Male",1,IF(loaded!K804="Female",2,9))</f>
        <v>9</v>
      </c>
      <c r="D804" s="8">
        <f>loaded!M804</f>
        <v>0</v>
      </c>
      <c r="E804" t="str">
        <f>LEFT(loaded!O804,3)</f>
        <v/>
      </c>
      <c r="F804" t="e">
        <f>INDEX(cntry_codes,MATCH(loaded!Q804,countries,0))</f>
        <v>#N/A</v>
      </c>
      <c r="G804" t="e">
        <f>INDEX(atsi_codes,MATCH(loaded!S804,atsi,0))</f>
        <v>#N/A</v>
      </c>
      <c r="H804" t="e">
        <f>INDEX(lang_codes,MATCH(loaded!U804,lang,0))</f>
        <v>#N/A</v>
      </c>
      <c r="I804" s="8">
        <f>loaded!W804</f>
        <v>0</v>
      </c>
      <c r="J804" t="e">
        <f>INDEX(us_acc_codes,MATCH(loaded!Y804,us_acc,0))</f>
        <v>#N/A</v>
      </c>
      <c r="K804" t="e">
        <f>INDEX(client_codes,MATCH(loaded!AA804,client,0))</f>
        <v>#N/A</v>
      </c>
      <c r="L804" t="e">
        <f>INDEX(src_ref_codes,MATCH(loaded!AC804,src_ref,0))</f>
        <v>#N/A</v>
      </c>
      <c r="M804" s="8">
        <f>loaded!AE804</f>
        <v>0</v>
      </c>
      <c r="N804" s="8">
        <f>loaded!AG804</f>
        <v>0</v>
      </c>
      <c r="O804" t="e">
        <f>INDEX(reces_codes,MATCH(loaded!AI804,reason,0))</f>
        <v>#N/A</v>
      </c>
      <c r="P804" t="e">
        <f>INDEX(TDS_codes,MATCH(loaded!AK804,TDS,0))</f>
        <v>#N/A</v>
      </c>
      <c r="Q804" t="e">
        <f>IF(K804=2,"",INDEX(method_codes,MATCH(loaded!AM804,method,0)))</f>
        <v>#N/A</v>
      </c>
      <c r="R804" t="e">
        <f>IF(K804=2,"",INDEX(inj_codes,MATCH(loaded!AO804,inj,0)))</f>
        <v>#N/A</v>
      </c>
      <c r="S804" t="e">
        <f>IF(K804=2,"",INDEX(drug_codes,MATCH(loaded!AQ804,drug,0)))</f>
        <v>#N/A</v>
      </c>
      <c r="T804" t="e">
        <f>IF(K804=2,"",_xlfn.IFNA(INDEX(drug_codes,MATCH(loaded!AS804,drug,0)),""))</f>
        <v>#N/A</v>
      </c>
      <c r="U804" t="e">
        <f>IF(K804=2,"",_xlfn.IFNA(INDEX(drug_codes,MATCH(loaded!AU804,drug,0)),""))</f>
        <v>#N/A</v>
      </c>
      <c r="V804" t="e">
        <f>IF(K804=2,"",_xlfn.IFNA(INDEX(drug_codes,MATCH(loaded!AW804,drug,0)),""))</f>
        <v>#N/A</v>
      </c>
      <c r="W804" t="e">
        <f>IF(K804=2,"",_xlfn.IFNA(INDEX(drug_codes,MATCH(loaded!AY804,drug,0)),""))</f>
        <v>#N/A</v>
      </c>
      <c r="X804" t="e">
        <f>IF(K804=2,"",_xlfn.IFNA(INDEX(drug_codes,MATCH(loaded!BA804,drug,0)),""))</f>
        <v>#N/A</v>
      </c>
      <c r="Y804" t="e">
        <f>INDEX(MTT_codes,MATCH(loaded!BC804,MTT,0))</f>
        <v>#N/A</v>
      </c>
      <c r="Z804" t="str">
        <f>_xlfn.IFNA(INDEX(MTT_codes,MATCH(loaded!BE804,MTT,0)),"")</f>
        <v/>
      </c>
      <c r="AA804" t="str">
        <f>_xlfn.IFNA(INDEX(MTT_codes,MATCH(loaded!BG804,MTT,0)),"")</f>
        <v/>
      </c>
      <c r="AB804" t="str">
        <f>_xlfn.IFNA(INDEX(MTT_codes,MATCH(loaded!BI804,MTT,0)),"")</f>
        <v/>
      </c>
      <c r="AC804" t="str">
        <f>_xlfn.IFNA(INDEX(MTT_codes,MATCH(loaded!BK804,MTT,0)),"")</f>
        <v/>
      </c>
      <c r="AD804" t="str">
        <f>_xlfn.IFNA(INDEX(MTT_codes,MATCH(loaded!BM804,MTT,0)),"")</f>
        <v/>
      </c>
      <c r="AE804" t="e">
        <f>INDEX(liv_ar_codes,MATCH(loaded!BO804,liv_ar,0))</f>
        <v>#N/A</v>
      </c>
      <c r="AF804" t="str">
        <f>_xlfn.IFNA(INDEX(MTT_codes,MATCH(loaded!BQ804,MTT,0)),"")</f>
        <v/>
      </c>
      <c r="AG804">
        <f>_xlfn.IFNA(INDEX(mental_codes,MATCH(loaded!BS804,mental,0)),9)</f>
        <v>9</v>
      </c>
    </row>
    <row r="805" spans="1:33" x14ac:dyDescent="0.25">
      <c r="A805">
        <f>loaded!C805</f>
        <v>0</v>
      </c>
      <c r="B805">
        <f>loaded!I805</f>
        <v>0</v>
      </c>
      <c r="C805">
        <f>IF(loaded!K805="Male",1,IF(loaded!K805="Female",2,9))</f>
        <v>9</v>
      </c>
      <c r="D805" s="8">
        <f>loaded!M805</f>
        <v>0</v>
      </c>
      <c r="E805" t="str">
        <f>LEFT(loaded!O805,3)</f>
        <v/>
      </c>
      <c r="F805" t="e">
        <f>INDEX(cntry_codes,MATCH(loaded!Q805,countries,0))</f>
        <v>#N/A</v>
      </c>
      <c r="G805" t="e">
        <f>INDEX(atsi_codes,MATCH(loaded!S805,atsi,0))</f>
        <v>#N/A</v>
      </c>
      <c r="H805" t="e">
        <f>INDEX(lang_codes,MATCH(loaded!U805,lang,0))</f>
        <v>#N/A</v>
      </c>
      <c r="I805" s="8">
        <f>loaded!W805</f>
        <v>0</v>
      </c>
      <c r="J805" t="e">
        <f>INDEX(us_acc_codes,MATCH(loaded!Y805,us_acc,0))</f>
        <v>#N/A</v>
      </c>
      <c r="K805" t="e">
        <f>INDEX(client_codes,MATCH(loaded!AA805,client,0))</f>
        <v>#N/A</v>
      </c>
      <c r="L805" t="e">
        <f>INDEX(src_ref_codes,MATCH(loaded!AC805,src_ref,0))</f>
        <v>#N/A</v>
      </c>
      <c r="M805" s="8">
        <f>loaded!AE805</f>
        <v>0</v>
      </c>
      <c r="N805" s="8">
        <f>loaded!AG805</f>
        <v>0</v>
      </c>
      <c r="O805" t="e">
        <f>INDEX(reces_codes,MATCH(loaded!AI805,reason,0))</f>
        <v>#N/A</v>
      </c>
      <c r="P805" t="e">
        <f>INDEX(TDS_codes,MATCH(loaded!AK805,TDS,0))</f>
        <v>#N/A</v>
      </c>
      <c r="Q805" t="e">
        <f>IF(K805=2,"",INDEX(method_codes,MATCH(loaded!AM805,method,0)))</f>
        <v>#N/A</v>
      </c>
      <c r="R805" t="e">
        <f>IF(K805=2,"",INDEX(inj_codes,MATCH(loaded!AO805,inj,0)))</f>
        <v>#N/A</v>
      </c>
      <c r="S805" t="e">
        <f>IF(K805=2,"",INDEX(drug_codes,MATCH(loaded!AQ805,drug,0)))</f>
        <v>#N/A</v>
      </c>
      <c r="T805" t="e">
        <f>IF(K805=2,"",_xlfn.IFNA(INDEX(drug_codes,MATCH(loaded!AS805,drug,0)),""))</f>
        <v>#N/A</v>
      </c>
      <c r="U805" t="e">
        <f>IF(K805=2,"",_xlfn.IFNA(INDEX(drug_codes,MATCH(loaded!AU805,drug,0)),""))</f>
        <v>#N/A</v>
      </c>
      <c r="V805" t="e">
        <f>IF(K805=2,"",_xlfn.IFNA(INDEX(drug_codes,MATCH(loaded!AW805,drug,0)),""))</f>
        <v>#N/A</v>
      </c>
      <c r="W805" t="e">
        <f>IF(K805=2,"",_xlfn.IFNA(INDEX(drug_codes,MATCH(loaded!AY805,drug,0)),""))</f>
        <v>#N/A</v>
      </c>
      <c r="X805" t="e">
        <f>IF(K805=2,"",_xlfn.IFNA(INDEX(drug_codes,MATCH(loaded!BA805,drug,0)),""))</f>
        <v>#N/A</v>
      </c>
      <c r="Y805" t="e">
        <f>INDEX(MTT_codes,MATCH(loaded!BC805,MTT,0))</f>
        <v>#N/A</v>
      </c>
      <c r="Z805" t="str">
        <f>_xlfn.IFNA(INDEX(MTT_codes,MATCH(loaded!BE805,MTT,0)),"")</f>
        <v/>
      </c>
      <c r="AA805" t="str">
        <f>_xlfn.IFNA(INDEX(MTT_codes,MATCH(loaded!BG805,MTT,0)),"")</f>
        <v/>
      </c>
      <c r="AB805" t="str">
        <f>_xlfn.IFNA(INDEX(MTT_codes,MATCH(loaded!BI805,MTT,0)),"")</f>
        <v/>
      </c>
      <c r="AC805" t="str">
        <f>_xlfn.IFNA(INDEX(MTT_codes,MATCH(loaded!BK805,MTT,0)),"")</f>
        <v/>
      </c>
      <c r="AD805" t="str">
        <f>_xlfn.IFNA(INDEX(MTT_codes,MATCH(loaded!BM805,MTT,0)),"")</f>
        <v/>
      </c>
      <c r="AE805" t="e">
        <f>INDEX(liv_ar_codes,MATCH(loaded!BO805,liv_ar,0))</f>
        <v>#N/A</v>
      </c>
      <c r="AF805" t="str">
        <f>_xlfn.IFNA(INDEX(MTT_codes,MATCH(loaded!BQ805,MTT,0)),"")</f>
        <v/>
      </c>
      <c r="AG805">
        <f>_xlfn.IFNA(INDEX(mental_codes,MATCH(loaded!BS805,mental,0)),9)</f>
        <v>9</v>
      </c>
    </row>
    <row r="806" spans="1:33" x14ac:dyDescent="0.25">
      <c r="A806">
        <f>loaded!C806</f>
        <v>0</v>
      </c>
      <c r="B806">
        <f>loaded!I806</f>
        <v>0</v>
      </c>
      <c r="C806">
        <f>IF(loaded!K806="Male",1,IF(loaded!K806="Female",2,9))</f>
        <v>9</v>
      </c>
      <c r="D806" s="8">
        <f>loaded!M806</f>
        <v>0</v>
      </c>
      <c r="E806" t="str">
        <f>LEFT(loaded!O806,3)</f>
        <v/>
      </c>
      <c r="F806" t="e">
        <f>INDEX(cntry_codes,MATCH(loaded!Q806,countries,0))</f>
        <v>#N/A</v>
      </c>
      <c r="G806" t="e">
        <f>INDEX(atsi_codes,MATCH(loaded!S806,atsi,0))</f>
        <v>#N/A</v>
      </c>
      <c r="H806" t="e">
        <f>INDEX(lang_codes,MATCH(loaded!U806,lang,0))</f>
        <v>#N/A</v>
      </c>
      <c r="I806" s="8">
        <f>loaded!W806</f>
        <v>0</v>
      </c>
      <c r="J806" t="e">
        <f>INDEX(us_acc_codes,MATCH(loaded!Y806,us_acc,0))</f>
        <v>#N/A</v>
      </c>
      <c r="K806" t="e">
        <f>INDEX(client_codes,MATCH(loaded!AA806,client,0))</f>
        <v>#N/A</v>
      </c>
      <c r="L806" t="e">
        <f>INDEX(src_ref_codes,MATCH(loaded!AC806,src_ref,0))</f>
        <v>#N/A</v>
      </c>
      <c r="M806" s="8">
        <f>loaded!AE806</f>
        <v>0</v>
      </c>
      <c r="N806" s="8">
        <f>loaded!AG806</f>
        <v>0</v>
      </c>
      <c r="O806" t="e">
        <f>INDEX(reces_codes,MATCH(loaded!AI806,reason,0))</f>
        <v>#N/A</v>
      </c>
      <c r="P806" t="e">
        <f>INDEX(TDS_codes,MATCH(loaded!AK806,TDS,0))</f>
        <v>#N/A</v>
      </c>
      <c r="Q806" t="e">
        <f>IF(K806=2,"",INDEX(method_codes,MATCH(loaded!AM806,method,0)))</f>
        <v>#N/A</v>
      </c>
      <c r="R806" t="e">
        <f>IF(K806=2,"",INDEX(inj_codes,MATCH(loaded!AO806,inj,0)))</f>
        <v>#N/A</v>
      </c>
      <c r="S806" t="e">
        <f>IF(K806=2,"",INDEX(drug_codes,MATCH(loaded!AQ806,drug,0)))</f>
        <v>#N/A</v>
      </c>
      <c r="T806" t="e">
        <f>IF(K806=2,"",_xlfn.IFNA(INDEX(drug_codes,MATCH(loaded!AS806,drug,0)),""))</f>
        <v>#N/A</v>
      </c>
      <c r="U806" t="e">
        <f>IF(K806=2,"",_xlfn.IFNA(INDEX(drug_codes,MATCH(loaded!AU806,drug,0)),""))</f>
        <v>#N/A</v>
      </c>
      <c r="V806" t="e">
        <f>IF(K806=2,"",_xlfn.IFNA(INDEX(drug_codes,MATCH(loaded!AW806,drug,0)),""))</f>
        <v>#N/A</v>
      </c>
      <c r="W806" t="e">
        <f>IF(K806=2,"",_xlfn.IFNA(INDEX(drug_codes,MATCH(loaded!AY806,drug,0)),""))</f>
        <v>#N/A</v>
      </c>
      <c r="X806" t="e">
        <f>IF(K806=2,"",_xlfn.IFNA(INDEX(drug_codes,MATCH(loaded!BA806,drug,0)),""))</f>
        <v>#N/A</v>
      </c>
      <c r="Y806" t="e">
        <f>INDEX(MTT_codes,MATCH(loaded!BC806,MTT,0))</f>
        <v>#N/A</v>
      </c>
      <c r="Z806" t="str">
        <f>_xlfn.IFNA(INDEX(MTT_codes,MATCH(loaded!BE806,MTT,0)),"")</f>
        <v/>
      </c>
      <c r="AA806" t="str">
        <f>_xlfn.IFNA(INDEX(MTT_codes,MATCH(loaded!BG806,MTT,0)),"")</f>
        <v/>
      </c>
      <c r="AB806" t="str">
        <f>_xlfn.IFNA(INDEX(MTT_codes,MATCH(loaded!BI806,MTT,0)),"")</f>
        <v/>
      </c>
      <c r="AC806" t="str">
        <f>_xlfn.IFNA(INDEX(MTT_codes,MATCH(loaded!BK806,MTT,0)),"")</f>
        <v/>
      </c>
      <c r="AD806" t="str">
        <f>_xlfn.IFNA(INDEX(MTT_codes,MATCH(loaded!BM806,MTT,0)),"")</f>
        <v/>
      </c>
      <c r="AE806" t="e">
        <f>INDEX(liv_ar_codes,MATCH(loaded!BO806,liv_ar,0))</f>
        <v>#N/A</v>
      </c>
      <c r="AF806" t="str">
        <f>_xlfn.IFNA(INDEX(MTT_codes,MATCH(loaded!BQ806,MTT,0)),"")</f>
        <v/>
      </c>
      <c r="AG806">
        <f>_xlfn.IFNA(INDEX(mental_codes,MATCH(loaded!BS806,mental,0)),9)</f>
        <v>9</v>
      </c>
    </row>
    <row r="807" spans="1:33" x14ac:dyDescent="0.25">
      <c r="A807">
        <f>loaded!C807</f>
        <v>0</v>
      </c>
      <c r="B807">
        <f>loaded!I807</f>
        <v>0</v>
      </c>
      <c r="C807">
        <f>IF(loaded!K807="Male",1,IF(loaded!K807="Female",2,9))</f>
        <v>9</v>
      </c>
      <c r="D807" s="8">
        <f>loaded!M807</f>
        <v>0</v>
      </c>
      <c r="E807" t="str">
        <f>LEFT(loaded!O807,3)</f>
        <v/>
      </c>
      <c r="F807" t="e">
        <f>INDEX(cntry_codes,MATCH(loaded!Q807,countries,0))</f>
        <v>#N/A</v>
      </c>
      <c r="G807" t="e">
        <f>INDEX(atsi_codes,MATCH(loaded!S807,atsi,0))</f>
        <v>#N/A</v>
      </c>
      <c r="H807" t="e">
        <f>INDEX(lang_codes,MATCH(loaded!U807,lang,0))</f>
        <v>#N/A</v>
      </c>
      <c r="I807" s="8">
        <f>loaded!W807</f>
        <v>0</v>
      </c>
      <c r="J807" t="e">
        <f>INDEX(us_acc_codes,MATCH(loaded!Y807,us_acc,0))</f>
        <v>#N/A</v>
      </c>
      <c r="K807" t="e">
        <f>INDEX(client_codes,MATCH(loaded!AA807,client,0))</f>
        <v>#N/A</v>
      </c>
      <c r="L807" t="e">
        <f>INDEX(src_ref_codes,MATCH(loaded!AC807,src_ref,0))</f>
        <v>#N/A</v>
      </c>
      <c r="M807" s="8">
        <f>loaded!AE807</f>
        <v>0</v>
      </c>
      <c r="N807" s="8">
        <f>loaded!AG807</f>
        <v>0</v>
      </c>
      <c r="O807" t="e">
        <f>INDEX(reces_codes,MATCH(loaded!AI807,reason,0))</f>
        <v>#N/A</v>
      </c>
      <c r="P807" t="e">
        <f>INDEX(TDS_codes,MATCH(loaded!AK807,TDS,0))</f>
        <v>#N/A</v>
      </c>
      <c r="Q807" t="e">
        <f>IF(K807=2,"",INDEX(method_codes,MATCH(loaded!AM807,method,0)))</f>
        <v>#N/A</v>
      </c>
      <c r="R807" t="e">
        <f>IF(K807=2,"",INDEX(inj_codes,MATCH(loaded!AO807,inj,0)))</f>
        <v>#N/A</v>
      </c>
      <c r="S807" t="e">
        <f>IF(K807=2,"",INDEX(drug_codes,MATCH(loaded!AQ807,drug,0)))</f>
        <v>#N/A</v>
      </c>
      <c r="T807" t="e">
        <f>IF(K807=2,"",_xlfn.IFNA(INDEX(drug_codes,MATCH(loaded!AS807,drug,0)),""))</f>
        <v>#N/A</v>
      </c>
      <c r="U807" t="e">
        <f>IF(K807=2,"",_xlfn.IFNA(INDEX(drug_codes,MATCH(loaded!AU807,drug,0)),""))</f>
        <v>#N/A</v>
      </c>
      <c r="V807" t="e">
        <f>IF(K807=2,"",_xlfn.IFNA(INDEX(drug_codes,MATCH(loaded!AW807,drug,0)),""))</f>
        <v>#N/A</v>
      </c>
      <c r="W807" t="e">
        <f>IF(K807=2,"",_xlfn.IFNA(INDEX(drug_codes,MATCH(loaded!AY807,drug,0)),""))</f>
        <v>#N/A</v>
      </c>
      <c r="X807" t="e">
        <f>IF(K807=2,"",_xlfn.IFNA(INDEX(drug_codes,MATCH(loaded!BA807,drug,0)),""))</f>
        <v>#N/A</v>
      </c>
      <c r="Y807" t="e">
        <f>INDEX(MTT_codes,MATCH(loaded!BC807,MTT,0))</f>
        <v>#N/A</v>
      </c>
      <c r="Z807" t="str">
        <f>_xlfn.IFNA(INDEX(MTT_codes,MATCH(loaded!BE807,MTT,0)),"")</f>
        <v/>
      </c>
      <c r="AA807" t="str">
        <f>_xlfn.IFNA(INDEX(MTT_codes,MATCH(loaded!BG807,MTT,0)),"")</f>
        <v/>
      </c>
      <c r="AB807" t="str">
        <f>_xlfn.IFNA(INDEX(MTT_codes,MATCH(loaded!BI807,MTT,0)),"")</f>
        <v/>
      </c>
      <c r="AC807" t="str">
        <f>_xlfn.IFNA(INDEX(MTT_codes,MATCH(loaded!BK807,MTT,0)),"")</f>
        <v/>
      </c>
      <c r="AD807" t="str">
        <f>_xlfn.IFNA(INDEX(MTT_codes,MATCH(loaded!BM807,MTT,0)),"")</f>
        <v/>
      </c>
      <c r="AE807" t="e">
        <f>INDEX(liv_ar_codes,MATCH(loaded!BO807,liv_ar,0))</f>
        <v>#N/A</v>
      </c>
      <c r="AF807" t="str">
        <f>_xlfn.IFNA(INDEX(MTT_codes,MATCH(loaded!BQ807,MTT,0)),"")</f>
        <v/>
      </c>
      <c r="AG807">
        <f>_xlfn.IFNA(INDEX(mental_codes,MATCH(loaded!BS807,mental,0)),9)</f>
        <v>9</v>
      </c>
    </row>
    <row r="808" spans="1:33" x14ac:dyDescent="0.25">
      <c r="A808">
        <f>loaded!C808</f>
        <v>0</v>
      </c>
      <c r="B808">
        <f>loaded!I808</f>
        <v>0</v>
      </c>
      <c r="C808">
        <f>IF(loaded!K808="Male",1,IF(loaded!K808="Female",2,9))</f>
        <v>9</v>
      </c>
      <c r="D808" s="8">
        <f>loaded!M808</f>
        <v>0</v>
      </c>
      <c r="E808" t="str">
        <f>LEFT(loaded!O808,3)</f>
        <v/>
      </c>
      <c r="F808" t="e">
        <f>INDEX(cntry_codes,MATCH(loaded!Q808,countries,0))</f>
        <v>#N/A</v>
      </c>
      <c r="G808" t="e">
        <f>INDEX(atsi_codes,MATCH(loaded!S808,atsi,0))</f>
        <v>#N/A</v>
      </c>
      <c r="H808" t="e">
        <f>INDEX(lang_codes,MATCH(loaded!U808,lang,0))</f>
        <v>#N/A</v>
      </c>
      <c r="I808" s="8">
        <f>loaded!W808</f>
        <v>0</v>
      </c>
      <c r="J808" t="e">
        <f>INDEX(us_acc_codes,MATCH(loaded!Y808,us_acc,0))</f>
        <v>#N/A</v>
      </c>
      <c r="K808" t="e">
        <f>INDEX(client_codes,MATCH(loaded!AA808,client,0))</f>
        <v>#N/A</v>
      </c>
      <c r="L808" t="e">
        <f>INDEX(src_ref_codes,MATCH(loaded!AC808,src_ref,0))</f>
        <v>#N/A</v>
      </c>
      <c r="M808" s="8">
        <f>loaded!AE808</f>
        <v>0</v>
      </c>
      <c r="N808" s="8">
        <f>loaded!AG808</f>
        <v>0</v>
      </c>
      <c r="O808" t="e">
        <f>INDEX(reces_codes,MATCH(loaded!AI808,reason,0))</f>
        <v>#N/A</v>
      </c>
      <c r="P808" t="e">
        <f>INDEX(TDS_codes,MATCH(loaded!AK808,TDS,0))</f>
        <v>#N/A</v>
      </c>
      <c r="Q808" t="e">
        <f>IF(K808=2,"",INDEX(method_codes,MATCH(loaded!AM808,method,0)))</f>
        <v>#N/A</v>
      </c>
      <c r="R808" t="e">
        <f>IF(K808=2,"",INDEX(inj_codes,MATCH(loaded!AO808,inj,0)))</f>
        <v>#N/A</v>
      </c>
      <c r="S808" t="e">
        <f>IF(K808=2,"",INDEX(drug_codes,MATCH(loaded!AQ808,drug,0)))</f>
        <v>#N/A</v>
      </c>
      <c r="T808" t="e">
        <f>IF(K808=2,"",_xlfn.IFNA(INDEX(drug_codes,MATCH(loaded!AS808,drug,0)),""))</f>
        <v>#N/A</v>
      </c>
      <c r="U808" t="e">
        <f>IF(K808=2,"",_xlfn.IFNA(INDEX(drug_codes,MATCH(loaded!AU808,drug,0)),""))</f>
        <v>#N/A</v>
      </c>
      <c r="V808" t="e">
        <f>IF(K808=2,"",_xlfn.IFNA(INDEX(drug_codes,MATCH(loaded!AW808,drug,0)),""))</f>
        <v>#N/A</v>
      </c>
      <c r="W808" t="e">
        <f>IF(K808=2,"",_xlfn.IFNA(INDEX(drug_codes,MATCH(loaded!AY808,drug,0)),""))</f>
        <v>#N/A</v>
      </c>
      <c r="X808" t="e">
        <f>IF(K808=2,"",_xlfn.IFNA(INDEX(drug_codes,MATCH(loaded!BA808,drug,0)),""))</f>
        <v>#N/A</v>
      </c>
      <c r="Y808" t="e">
        <f>INDEX(MTT_codes,MATCH(loaded!BC808,MTT,0))</f>
        <v>#N/A</v>
      </c>
      <c r="Z808" t="str">
        <f>_xlfn.IFNA(INDEX(MTT_codes,MATCH(loaded!BE808,MTT,0)),"")</f>
        <v/>
      </c>
      <c r="AA808" t="str">
        <f>_xlfn.IFNA(INDEX(MTT_codes,MATCH(loaded!BG808,MTT,0)),"")</f>
        <v/>
      </c>
      <c r="AB808" t="str">
        <f>_xlfn.IFNA(INDEX(MTT_codes,MATCH(loaded!BI808,MTT,0)),"")</f>
        <v/>
      </c>
      <c r="AC808" t="str">
        <f>_xlfn.IFNA(INDEX(MTT_codes,MATCH(loaded!BK808,MTT,0)),"")</f>
        <v/>
      </c>
      <c r="AD808" t="str">
        <f>_xlfn.IFNA(INDEX(MTT_codes,MATCH(loaded!BM808,MTT,0)),"")</f>
        <v/>
      </c>
      <c r="AE808" t="e">
        <f>INDEX(liv_ar_codes,MATCH(loaded!BO808,liv_ar,0))</f>
        <v>#N/A</v>
      </c>
      <c r="AF808" t="str">
        <f>_xlfn.IFNA(INDEX(MTT_codes,MATCH(loaded!BQ808,MTT,0)),"")</f>
        <v/>
      </c>
      <c r="AG808">
        <f>_xlfn.IFNA(INDEX(mental_codes,MATCH(loaded!BS808,mental,0)),9)</f>
        <v>9</v>
      </c>
    </row>
    <row r="809" spans="1:33" x14ac:dyDescent="0.25">
      <c r="A809">
        <f>loaded!C809</f>
        <v>0</v>
      </c>
      <c r="B809">
        <f>loaded!I809</f>
        <v>0</v>
      </c>
      <c r="C809">
        <f>IF(loaded!K809="Male",1,IF(loaded!K809="Female",2,9))</f>
        <v>9</v>
      </c>
      <c r="D809" s="8">
        <f>loaded!M809</f>
        <v>0</v>
      </c>
      <c r="E809" t="str">
        <f>LEFT(loaded!O809,3)</f>
        <v/>
      </c>
      <c r="F809" t="e">
        <f>INDEX(cntry_codes,MATCH(loaded!Q809,countries,0))</f>
        <v>#N/A</v>
      </c>
      <c r="G809" t="e">
        <f>INDEX(atsi_codes,MATCH(loaded!S809,atsi,0))</f>
        <v>#N/A</v>
      </c>
      <c r="H809" t="e">
        <f>INDEX(lang_codes,MATCH(loaded!U809,lang,0))</f>
        <v>#N/A</v>
      </c>
      <c r="I809" s="8">
        <f>loaded!W809</f>
        <v>0</v>
      </c>
      <c r="J809" t="e">
        <f>INDEX(us_acc_codes,MATCH(loaded!Y809,us_acc,0))</f>
        <v>#N/A</v>
      </c>
      <c r="K809" t="e">
        <f>INDEX(client_codes,MATCH(loaded!AA809,client,0))</f>
        <v>#N/A</v>
      </c>
      <c r="L809" t="e">
        <f>INDEX(src_ref_codes,MATCH(loaded!AC809,src_ref,0))</f>
        <v>#N/A</v>
      </c>
      <c r="M809" s="8">
        <f>loaded!AE809</f>
        <v>0</v>
      </c>
      <c r="N809" s="8">
        <f>loaded!AG809</f>
        <v>0</v>
      </c>
      <c r="O809" t="e">
        <f>INDEX(reces_codes,MATCH(loaded!AI809,reason,0))</f>
        <v>#N/A</v>
      </c>
      <c r="P809" t="e">
        <f>INDEX(TDS_codes,MATCH(loaded!AK809,TDS,0))</f>
        <v>#N/A</v>
      </c>
      <c r="Q809" t="e">
        <f>IF(K809=2,"",INDEX(method_codes,MATCH(loaded!AM809,method,0)))</f>
        <v>#N/A</v>
      </c>
      <c r="R809" t="e">
        <f>IF(K809=2,"",INDEX(inj_codes,MATCH(loaded!AO809,inj,0)))</f>
        <v>#N/A</v>
      </c>
      <c r="S809" t="e">
        <f>IF(K809=2,"",INDEX(drug_codes,MATCH(loaded!AQ809,drug,0)))</f>
        <v>#N/A</v>
      </c>
      <c r="T809" t="e">
        <f>IF(K809=2,"",_xlfn.IFNA(INDEX(drug_codes,MATCH(loaded!AS809,drug,0)),""))</f>
        <v>#N/A</v>
      </c>
      <c r="U809" t="e">
        <f>IF(K809=2,"",_xlfn.IFNA(INDEX(drug_codes,MATCH(loaded!AU809,drug,0)),""))</f>
        <v>#N/A</v>
      </c>
      <c r="V809" t="e">
        <f>IF(K809=2,"",_xlfn.IFNA(INDEX(drug_codes,MATCH(loaded!AW809,drug,0)),""))</f>
        <v>#N/A</v>
      </c>
      <c r="W809" t="e">
        <f>IF(K809=2,"",_xlfn.IFNA(INDEX(drug_codes,MATCH(loaded!AY809,drug,0)),""))</f>
        <v>#N/A</v>
      </c>
      <c r="X809" t="e">
        <f>IF(K809=2,"",_xlfn.IFNA(INDEX(drug_codes,MATCH(loaded!BA809,drug,0)),""))</f>
        <v>#N/A</v>
      </c>
      <c r="Y809" t="e">
        <f>INDEX(MTT_codes,MATCH(loaded!BC809,MTT,0))</f>
        <v>#N/A</v>
      </c>
      <c r="Z809" t="str">
        <f>_xlfn.IFNA(INDEX(MTT_codes,MATCH(loaded!BE809,MTT,0)),"")</f>
        <v/>
      </c>
      <c r="AA809" t="str">
        <f>_xlfn.IFNA(INDEX(MTT_codes,MATCH(loaded!BG809,MTT,0)),"")</f>
        <v/>
      </c>
      <c r="AB809" t="str">
        <f>_xlfn.IFNA(INDEX(MTT_codes,MATCH(loaded!BI809,MTT,0)),"")</f>
        <v/>
      </c>
      <c r="AC809" t="str">
        <f>_xlfn.IFNA(INDEX(MTT_codes,MATCH(loaded!BK809,MTT,0)),"")</f>
        <v/>
      </c>
      <c r="AD809" t="str">
        <f>_xlfn.IFNA(INDEX(MTT_codes,MATCH(loaded!BM809,MTT,0)),"")</f>
        <v/>
      </c>
      <c r="AE809" t="e">
        <f>INDEX(liv_ar_codes,MATCH(loaded!BO809,liv_ar,0))</f>
        <v>#N/A</v>
      </c>
      <c r="AF809" t="str">
        <f>_xlfn.IFNA(INDEX(MTT_codes,MATCH(loaded!BQ809,MTT,0)),"")</f>
        <v/>
      </c>
      <c r="AG809">
        <f>_xlfn.IFNA(INDEX(mental_codes,MATCH(loaded!BS809,mental,0)),9)</f>
        <v>9</v>
      </c>
    </row>
    <row r="810" spans="1:33" x14ac:dyDescent="0.25">
      <c r="A810">
        <f>loaded!C810</f>
        <v>0</v>
      </c>
      <c r="B810">
        <f>loaded!I810</f>
        <v>0</v>
      </c>
      <c r="C810">
        <f>IF(loaded!K810="Male",1,IF(loaded!K810="Female",2,9))</f>
        <v>9</v>
      </c>
      <c r="D810" s="8">
        <f>loaded!M810</f>
        <v>0</v>
      </c>
      <c r="E810" t="str">
        <f>LEFT(loaded!O810,3)</f>
        <v/>
      </c>
      <c r="F810" t="e">
        <f>INDEX(cntry_codes,MATCH(loaded!Q810,countries,0))</f>
        <v>#N/A</v>
      </c>
      <c r="G810" t="e">
        <f>INDEX(atsi_codes,MATCH(loaded!S810,atsi,0))</f>
        <v>#N/A</v>
      </c>
      <c r="H810" t="e">
        <f>INDEX(lang_codes,MATCH(loaded!U810,lang,0))</f>
        <v>#N/A</v>
      </c>
      <c r="I810" s="8">
        <f>loaded!W810</f>
        <v>0</v>
      </c>
      <c r="J810" t="e">
        <f>INDEX(us_acc_codes,MATCH(loaded!Y810,us_acc,0))</f>
        <v>#N/A</v>
      </c>
      <c r="K810" t="e">
        <f>INDEX(client_codes,MATCH(loaded!AA810,client,0))</f>
        <v>#N/A</v>
      </c>
      <c r="L810" t="e">
        <f>INDEX(src_ref_codes,MATCH(loaded!AC810,src_ref,0))</f>
        <v>#N/A</v>
      </c>
      <c r="M810" s="8">
        <f>loaded!AE810</f>
        <v>0</v>
      </c>
      <c r="N810" s="8">
        <f>loaded!AG810</f>
        <v>0</v>
      </c>
      <c r="O810" t="e">
        <f>INDEX(reces_codes,MATCH(loaded!AI810,reason,0))</f>
        <v>#N/A</v>
      </c>
      <c r="P810" t="e">
        <f>INDEX(TDS_codes,MATCH(loaded!AK810,TDS,0))</f>
        <v>#N/A</v>
      </c>
      <c r="Q810" t="e">
        <f>IF(K810=2,"",INDEX(method_codes,MATCH(loaded!AM810,method,0)))</f>
        <v>#N/A</v>
      </c>
      <c r="R810" t="e">
        <f>IF(K810=2,"",INDEX(inj_codes,MATCH(loaded!AO810,inj,0)))</f>
        <v>#N/A</v>
      </c>
      <c r="S810" t="e">
        <f>IF(K810=2,"",INDEX(drug_codes,MATCH(loaded!AQ810,drug,0)))</f>
        <v>#N/A</v>
      </c>
      <c r="T810" t="e">
        <f>IF(K810=2,"",_xlfn.IFNA(INDEX(drug_codes,MATCH(loaded!AS810,drug,0)),""))</f>
        <v>#N/A</v>
      </c>
      <c r="U810" t="e">
        <f>IF(K810=2,"",_xlfn.IFNA(INDEX(drug_codes,MATCH(loaded!AU810,drug,0)),""))</f>
        <v>#N/A</v>
      </c>
      <c r="V810" t="e">
        <f>IF(K810=2,"",_xlfn.IFNA(INDEX(drug_codes,MATCH(loaded!AW810,drug,0)),""))</f>
        <v>#N/A</v>
      </c>
      <c r="W810" t="e">
        <f>IF(K810=2,"",_xlfn.IFNA(INDEX(drug_codes,MATCH(loaded!AY810,drug,0)),""))</f>
        <v>#N/A</v>
      </c>
      <c r="X810" t="e">
        <f>IF(K810=2,"",_xlfn.IFNA(INDEX(drug_codes,MATCH(loaded!BA810,drug,0)),""))</f>
        <v>#N/A</v>
      </c>
      <c r="Y810" t="e">
        <f>INDEX(MTT_codes,MATCH(loaded!BC810,MTT,0))</f>
        <v>#N/A</v>
      </c>
      <c r="Z810" t="str">
        <f>_xlfn.IFNA(INDEX(MTT_codes,MATCH(loaded!BE810,MTT,0)),"")</f>
        <v/>
      </c>
      <c r="AA810" t="str">
        <f>_xlfn.IFNA(INDEX(MTT_codes,MATCH(loaded!BG810,MTT,0)),"")</f>
        <v/>
      </c>
      <c r="AB810" t="str">
        <f>_xlfn.IFNA(INDEX(MTT_codes,MATCH(loaded!BI810,MTT,0)),"")</f>
        <v/>
      </c>
      <c r="AC810" t="str">
        <f>_xlfn.IFNA(INDEX(MTT_codes,MATCH(loaded!BK810,MTT,0)),"")</f>
        <v/>
      </c>
      <c r="AD810" t="str">
        <f>_xlfn.IFNA(INDEX(MTT_codes,MATCH(loaded!BM810,MTT,0)),"")</f>
        <v/>
      </c>
      <c r="AE810" t="e">
        <f>INDEX(liv_ar_codes,MATCH(loaded!BO810,liv_ar,0))</f>
        <v>#N/A</v>
      </c>
      <c r="AF810" t="str">
        <f>_xlfn.IFNA(INDEX(MTT_codes,MATCH(loaded!BQ810,MTT,0)),"")</f>
        <v/>
      </c>
      <c r="AG810">
        <f>_xlfn.IFNA(INDEX(mental_codes,MATCH(loaded!BS810,mental,0)),9)</f>
        <v>9</v>
      </c>
    </row>
    <row r="811" spans="1:33" x14ac:dyDescent="0.25">
      <c r="A811">
        <f>loaded!C811</f>
        <v>0</v>
      </c>
      <c r="B811">
        <f>loaded!I811</f>
        <v>0</v>
      </c>
      <c r="C811">
        <f>IF(loaded!K811="Male",1,IF(loaded!K811="Female",2,9))</f>
        <v>9</v>
      </c>
      <c r="D811" s="8">
        <f>loaded!M811</f>
        <v>0</v>
      </c>
      <c r="E811" t="str">
        <f>LEFT(loaded!O811,3)</f>
        <v/>
      </c>
      <c r="F811" t="e">
        <f>INDEX(cntry_codes,MATCH(loaded!Q811,countries,0))</f>
        <v>#N/A</v>
      </c>
      <c r="G811" t="e">
        <f>INDEX(atsi_codes,MATCH(loaded!S811,atsi,0))</f>
        <v>#N/A</v>
      </c>
      <c r="H811" t="e">
        <f>INDEX(lang_codes,MATCH(loaded!U811,lang,0))</f>
        <v>#N/A</v>
      </c>
      <c r="I811" s="8">
        <f>loaded!W811</f>
        <v>0</v>
      </c>
      <c r="J811" t="e">
        <f>INDEX(us_acc_codes,MATCH(loaded!Y811,us_acc,0))</f>
        <v>#N/A</v>
      </c>
      <c r="K811" t="e">
        <f>INDEX(client_codes,MATCH(loaded!AA811,client,0))</f>
        <v>#N/A</v>
      </c>
      <c r="L811" t="e">
        <f>INDEX(src_ref_codes,MATCH(loaded!AC811,src_ref,0))</f>
        <v>#N/A</v>
      </c>
      <c r="M811" s="8">
        <f>loaded!AE811</f>
        <v>0</v>
      </c>
      <c r="N811" s="8">
        <f>loaded!AG811</f>
        <v>0</v>
      </c>
      <c r="O811" t="e">
        <f>INDEX(reces_codes,MATCH(loaded!AI811,reason,0))</f>
        <v>#N/A</v>
      </c>
      <c r="P811" t="e">
        <f>INDEX(TDS_codes,MATCH(loaded!AK811,TDS,0))</f>
        <v>#N/A</v>
      </c>
      <c r="Q811" t="e">
        <f>IF(K811=2,"",INDEX(method_codes,MATCH(loaded!AM811,method,0)))</f>
        <v>#N/A</v>
      </c>
      <c r="R811" t="e">
        <f>IF(K811=2,"",INDEX(inj_codes,MATCH(loaded!AO811,inj,0)))</f>
        <v>#N/A</v>
      </c>
      <c r="S811" t="e">
        <f>IF(K811=2,"",INDEX(drug_codes,MATCH(loaded!AQ811,drug,0)))</f>
        <v>#N/A</v>
      </c>
      <c r="T811" t="e">
        <f>IF(K811=2,"",_xlfn.IFNA(INDEX(drug_codes,MATCH(loaded!AS811,drug,0)),""))</f>
        <v>#N/A</v>
      </c>
      <c r="U811" t="e">
        <f>IF(K811=2,"",_xlfn.IFNA(INDEX(drug_codes,MATCH(loaded!AU811,drug,0)),""))</f>
        <v>#N/A</v>
      </c>
      <c r="V811" t="e">
        <f>IF(K811=2,"",_xlfn.IFNA(INDEX(drug_codes,MATCH(loaded!AW811,drug,0)),""))</f>
        <v>#N/A</v>
      </c>
      <c r="W811" t="e">
        <f>IF(K811=2,"",_xlfn.IFNA(INDEX(drug_codes,MATCH(loaded!AY811,drug,0)),""))</f>
        <v>#N/A</v>
      </c>
      <c r="X811" t="e">
        <f>IF(K811=2,"",_xlfn.IFNA(INDEX(drug_codes,MATCH(loaded!BA811,drug,0)),""))</f>
        <v>#N/A</v>
      </c>
      <c r="Y811" t="e">
        <f>INDEX(MTT_codes,MATCH(loaded!BC811,MTT,0))</f>
        <v>#N/A</v>
      </c>
      <c r="Z811" t="str">
        <f>_xlfn.IFNA(INDEX(MTT_codes,MATCH(loaded!BE811,MTT,0)),"")</f>
        <v/>
      </c>
      <c r="AA811" t="str">
        <f>_xlfn.IFNA(INDEX(MTT_codes,MATCH(loaded!BG811,MTT,0)),"")</f>
        <v/>
      </c>
      <c r="AB811" t="str">
        <f>_xlfn.IFNA(INDEX(MTT_codes,MATCH(loaded!BI811,MTT,0)),"")</f>
        <v/>
      </c>
      <c r="AC811" t="str">
        <f>_xlfn.IFNA(INDEX(MTT_codes,MATCH(loaded!BK811,MTT,0)),"")</f>
        <v/>
      </c>
      <c r="AD811" t="str">
        <f>_xlfn.IFNA(INDEX(MTT_codes,MATCH(loaded!BM811,MTT,0)),"")</f>
        <v/>
      </c>
      <c r="AE811" t="e">
        <f>INDEX(liv_ar_codes,MATCH(loaded!BO811,liv_ar,0))</f>
        <v>#N/A</v>
      </c>
      <c r="AF811" t="str">
        <f>_xlfn.IFNA(INDEX(MTT_codes,MATCH(loaded!BQ811,MTT,0)),"")</f>
        <v/>
      </c>
      <c r="AG811">
        <f>_xlfn.IFNA(INDEX(mental_codes,MATCH(loaded!BS811,mental,0)),9)</f>
        <v>9</v>
      </c>
    </row>
    <row r="812" spans="1:33" x14ac:dyDescent="0.25">
      <c r="A812">
        <f>loaded!C812</f>
        <v>0</v>
      </c>
      <c r="B812">
        <f>loaded!I812</f>
        <v>0</v>
      </c>
      <c r="C812">
        <f>IF(loaded!K812="Male",1,IF(loaded!K812="Female",2,9))</f>
        <v>9</v>
      </c>
      <c r="D812" s="8">
        <f>loaded!M812</f>
        <v>0</v>
      </c>
      <c r="E812" t="str">
        <f>LEFT(loaded!O812,3)</f>
        <v/>
      </c>
      <c r="F812" t="e">
        <f>INDEX(cntry_codes,MATCH(loaded!Q812,countries,0))</f>
        <v>#N/A</v>
      </c>
      <c r="G812" t="e">
        <f>INDEX(atsi_codes,MATCH(loaded!S812,atsi,0))</f>
        <v>#N/A</v>
      </c>
      <c r="H812" t="e">
        <f>INDEX(lang_codes,MATCH(loaded!U812,lang,0))</f>
        <v>#N/A</v>
      </c>
      <c r="I812" s="8">
        <f>loaded!W812</f>
        <v>0</v>
      </c>
      <c r="J812" t="e">
        <f>INDEX(us_acc_codes,MATCH(loaded!Y812,us_acc,0))</f>
        <v>#N/A</v>
      </c>
      <c r="K812" t="e">
        <f>INDEX(client_codes,MATCH(loaded!AA812,client,0))</f>
        <v>#N/A</v>
      </c>
      <c r="L812" t="e">
        <f>INDEX(src_ref_codes,MATCH(loaded!AC812,src_ref,0))</f>
        <v>#N/A</v>
      </c>
      <c r="M812" s="8">
        <f>loaded!AE812</f>
        <v>0</v>
      </c>
      <c r="N812" s="8">
        <f>loaded!AG812</f>
        <v>0</v>
      </c>
      <c r="O812" t="e">
        <f>INDEX(reces_codes,MATCH(loaded!AI812,reason,0))</f>
        <v>#N/A</v>
      </c>
      <c r="P812" t="e">
        <f>INDEX(TDS_codes,MATCH(loaded!AK812,TDS,0))</f>
        <v>#N/A</v>
      </c>
      <c r="Q812" t="e">
        <f>IF(K812=2,"",INDEX(method_codes,MATCH(loaded!AM812,method,0)))</f>
        <v>#N/A</v>
      </c>
      <c r="R812" t="e">
        <f>IF(K812=2,"",INDEX(inj_codes,MATCH(loaded!AO812,inj,0)))</f>
        <v>#N/A</v>
      </c>
      <c r="S812" t="e">
        <f>IF(K812=2,"",INDEX(drug_codes,MATCH(loaded!AQ812,drug,0)))</f>
        <v>#N/A</v>
      </c>
      <c r="T812" t="e">
        <f>IF(K812=2,"",_xlfn.IFNA(INDEX(drug_codes,MATCH(loaded!AS812,drug,0)),""))</f>
        <v>#N/A</v>
      </c>
      <c r="U812" t="e">
        <f>IF(K812=2,"",_xlfn.IFNA(INDEX(drug_codes,MATCH(loaded!AU812,drug,0)),""))</f>
        <v>#N/A</v>
      </c>
      <c r="V812" t="e">
        <f>IF(K812=2,"",_xlfn.IFNA(INDEX(drug_codes,MATCH(loaded!AW812,drug,0)),""))</f>
        <v>#N/A</v>
      </c>
      <c r="W812" t="e">
        <f>IF(K812=2,"",_xlfn.IFNA(INDEX(drug_codes,MATCH(loaded!AY812,drug,0)),""))</f>
        <v>#N/A</v>
      </c>
      <c r="X812" t="e">
        <f>IF(K812=2,"",_xlfn.IFNA(INDEX(drug_codes,MATCH(loaded!BA812,drug,0)),""))</f>
        <v>#N/A</v>
      </c>
      <c r="Y812" t="e">
        <f>INDEX(MTT_codes,MATCH(loaded!BC812,MTT,0))</f>
        <v>#N/A</v>
      </c>
      <c r="Z812" t="str">
        <f>_xlfn.IFNA(INDEX(MTT_codes,MATCH(loaded!BE812,MTT,0)),"")</f>
        <v/>
      </c>
      <c r="AA812" t="str">
        <f>_xlfn.IFNA(INDEX(MTT_codes,MATCH(loaded!BG812,MTT,0)),"")</f>
        <v/>
      </c>
      <c r="AB812" t="str">
        <f>_xlfn.IFNA(INDEX(MTT_codes,MATCH(loaded!BI812,MTT,0)),"")</f>
        <v/>
      </c>
      <c r="AC812" t="str">
        <f>_xlfn.IFNA(INDEX(MTT_codes,MATCH(loaded!BK812,MTT,0)),"")</f>
        <v/>
      </c>
      <c r="AD812" t="str">
        <f>_xlfn.IFNA(INDEX(MTT_codes,MATCH(loaded!BM812,MTT,0)),"")</f>
        <v/>
      </c>
      <c r="AE812" t="e">
        <f>INDEX(liv_ar_codes,MATCH(loaded!BO812,liv_ar,0))</f>
        <v>#N/A</v>
      </c>
      <c r="AF812" t="str">
        <f>_xlfn.IFNA(INDEX(MTT_codes,MATCH(loaded!BQ812,MTT,0)),"")</f>
        <v/>
      </c>
      <c r="AG812">
        <f>_xlfn.IFNA(INDEX(mental_codes,MATCH(loaded!BS812,mental,0)),9)</f>
        <v>9</v>
      </c>
    </row>
    <row r="813" spans="1:33" x14ac:dyDescent="0.25">
      <c r="A813">
        <f>loaded!C813</f>
        <v>0</v>
      </c>
      <c r="B813">
        <f>loaded!I813</f>
        <v>0</v>
      </c>
      <c r="C813">
        <f>IF(loaded!K813="Male",1,IF(loaded!K813="Female",2,9))</f>
        <v>9</v>
      </c>
      <c r="D813" s="8">
        <f>loaded!M813</f>
        <v>0</v>
      </c>
      <c r="E813" t="str">
        <f>LEFT(loaded!O813,3)</f>
        <v/>
      </c>
      <c r="F813" t="e">
        <f>INDEX(cntry_codes,MATCH(loaded!Q813,countries,0))</f>
        <v>#N/A</v>
      </c>
      <c r="G813" t="e">
        <f>INDEX(atsi_codes,MATCH(loaded!S813,atsi,0))</f>
        <v>#N/A</v>
      </c>
      <c r="H813" t="e">
        <f>INDEX(lang_codes,MATCH(loaded!U813,lang,0))</f>
        <v>#N/A</v>
      </c>
      <c r="I813" s="8">
        <f>loaded!W813</f>
        <v>0</v>
      </c>
      <c r="J813" t="e">
        <f>INDEX(us_acc_codes,MATCH(loaded!Y813,us_acc,0))</f>
        <v>#N/A</v>
      </c>
      <c r="K813" t="e">
        <f>INDEX(client_codes,MATCH(loaded!AA813,client,0))</f>
        <v>#N/A</v>
      </c>
      <c r="L813" t="e">
        <f>INDEX(src_ref_codes,MATCH(loaded!AC813,src_ref,0))</f>
        <v>#N/A</v>
      </c>
      <c r="M813" s="8">
        <f>loaded!AE813</f>
        <v>0</v>
      </c>
      <c r="N813" s="8">
        <f>loaded!AG813</f>
        <v>0</v>
      </c>
      <c r="O813" t="e">
        <f>INDEX(reces_codes,MATCH(loaded!AI813,reason,0))</f>
        <v>#N/A</v>
      </c>
      <c r="P813" t="e">
        <f>INDEX(TDS_codes,MATCH(loaded!AK813,TDS,0))</f>
        <v>#N/A</v>
      </c>
      <c r="Q813" t="e">
        <f>IF(K813=2,"",INDEX(method_codes,MATCH(loaded!AM813,method,0)))</f>
        <v>#N/A</v>
      </c>
      <c r="R813" t="e">
        <f>IF(K813=2,"",INDEX(inj_codes,MATCH(loaded!AO813,inj,0)))</f>
        <v>#N/A</v>
      </c>
      <c r="S813" t="e">
        <f>IF(K813=2,"",INDEX(drug_codes,MATCH(loaded!AQ813,drug,0)))</f>
        <v>#N/A</v>
      </c>
      <c r="T813" t="e">
        <f>IF(K813=2,"",_xlfn.IFNA(INDEX(drug_codes,MATCH(loaded!AS813,drug,0)),""))</f>
        <v>#N/A</v>
      </c>
      <c r="U813" t="e">
        <f>IF(K813=2,"",_xlfn.IFNA(INDEX(drug_codes,MATCH(loaded!AU813,drug,0)),""))</f>
        <v>#N/A</v>
      </c>
      <c r="V813" t="e">
        <f>IF(K813=2,"",_xlfn.IFNA(INDEX(drug_codes,MATCH(loaded!AW813,drug,0)),""))</f>
        <v>#N/A</v>
      </c>
      <c r="W813" t="e">
        <f>IF(K813=2,"",_xlfn.IFNA(INDEX(drug_codes,MATCH(loaded!AY813,drug,0)),""))</f>
        <v>#N/A</v>
      </c>
      <c r="X813" t="e">
        <f>IF(K813=2,"",_xlfn.IFNA(INDEX(drug_codes,MATCH(loaded!BA813,drug,0)),""))</f>
        <v>#N/A</v>
      </c>
      <c r="Y813" t="e">
        <f>INDEX(MTT_codes,MATCH(loaded!BC813,MTT,0))</f>
        <v>#N/A</v>
      </c>
      <c r="Z813" t="str">
        <f>_xlfn.IFNA(INDEX(MTT_codes,MATCH(loaded!BE813,MTT,0)),"")</f>
        <v/>
      </c>
      <c r="AA813" t="str">
        <f>_xlfn.IFNA(INDEX(MTT_codes,MATCH(loaded!BG813,MTT,0)),"")</f>
        <v/>
      </c>
      <c r="AB813" t="str">
        <f>_xlfn.IFNA(INDEX(MTT_codes,MATCH(loaded!BI813,MTT,0)),"")</f>
        <v/>
      </c>
      <c r="AC813" t="str">
        <f>_xlfn.IFNA(INDEX(MTT_codes,MATCH(loaded!BK813,MTT,0)),"")</f>
        <v/>
      </c>
      <c r="AD813" t="str">
        <f>_xlfn.IFNA(INDEX(MTT_codes,MATCH(loaded!BM813,MTT,0)),"")</f>
        <v/>
      </c>
      <c r="AE813" t="e">
        <f>INDEX(liv_ar_codes,MATCH(loaded!BO813,liv_ar,0))</f>
        <v>#N/A</v>
      </c>
      <c r="AF813" t="str">
        <f>_xlfn.IFNA(INDEX(MTT_codes,MATCH(loaded!BQ813,MTT,0)),"")</f>
        <v/>
      </c>
      <c r="AG813">
        <f>_xlfn.IFNA(INDEX(mental_codes,MATCH(loaded!BS813,mental,0)),9)</f>
        <v>9</v>
      </c>
    </row>
    <row r="814" spans="1:33" x14ac:dyDescent="0.25">
      <c r="A814">
        <f>loaded!C814</f>
        <v>0</v>
      </c>
      <c r="B814">
        <f>loaded!I814</f>
        <v>0</v>
      </c>
      <c r="C814">
        <f>IF(loaded!K814="Male",1,IF(loaded!K814="Female",2,9))</f>
        <v>9</v>
      </c>
      <c r="D814" s="8">
        <f>loaded!M814</f>
        <v>0</v>
      </c>
      <c r="E814" t="str">
        <f>LEFT(loaded!O814,3)</f>
        <v/>
      </c>
      <c r="F814" t="e">
        <f>INDEX(cntry_codes,MATCH(loaded!Q814,countries,0))</f>
        <v>#N/A</v>
      </c>
      <c r="G814" t="e">
        <f>INDEX(atsi_codes,MATCH(loaded!S814,atsi,0))</f>
        <v>#N/A</v>
      </c>
      <c r="H814" t="e">
        <f>INDEX(lang_codes,MATCH(loaded!U814,lang,0))</f>
        <v>#N/A</v>
      </c>
      <c r="I814" s="8">
        <f>loaded!W814</f>
        <v>0</v>
      </c>
      <c r="J814" t="e">
        <f>INDEX(us_acc_codes,MATCH(loaded!Y814,us_acc,0))</f>
        <v>#N/A</v>
      </c>
      <c r="K814" t="e">
        <f>INDEX(client_codes,MATCH(loaded!AA814,client,0))</f>
        <v>#N/A</v>
      </c>
      <c r="L814" t="e">
        <f>INDEX(src_ref_codes,MATCH(loaded!AC814,src_ref,0))</f>
        <v>#N/A</v>
      </c>
      <c r="M814" s="8">
        <f>loaded!AE814</f>
        <v>0</v>
      </c>
      <c r="N814" s="8">
        <f>loaded!AG814</f>
        <v>0</v>
      </c>
      <c r="O814" t="e">
        <f>INDEX(reces_codes,MATCH(loaded!AI814,reason,0))</f>
        <v>#N/A</v>
      </c>
      <c r="P814" t="e">
        <f>INDEX(TDS_codes,MATCH(loaded!AK814,TDS,0))</f>
        <v>#N/A</v>
      </c>
      <c r="Q814" t="e">
        <f>IF(K814=2,"",INDEX(method_codes,MATCH(loaded!AM814,method,0)))</f>
        <v>#N/A</v>
      </c>
      <c r="R814" t="e">
        <f>IF(K814=2,"",INDEX(inj_codes,MATCH(loaded!AO814,inj,0)))</f>
        <v>#N/A</v>
      </c>
      <c r="S814" t="e">
        <f>IF(K814=2,"",INDEX(drug_codes,MATCH(loaded!AQ814,drug,0)))</f>
        <v>#N/A</v>
      </c>
      <c r="T814" t="e">
        <f>IF(K814=2,"",_xlfn.IFNA(INDEX(drug_codes,MATCH(loaded!AS814,drug,0)),""))</f>
        <v>#N/A</v>
      </c>
      <c r="U814" t="e">
        <f>IF(K814=2,"",_xlfn.IFNA(INDEX(drug_codes,MATCH(loaded!AU814,drug,0)),""))</f>
        <v>#N/A</v>
      </c>
      <c r="V814" t="e">
        <f>IF(K814=2,"",_xlfn.IFNA(INDEX(drug_codes,MATCH(loaded!AW814,drug,0)),""))</f>
        <v>#N/A</v>
      </c>
      <c r="W814" t="e">
        <f>IF(K814=2,"",_xlfn.IFNA(INDEX(drug_codes,MATCH(loaded!AY814,drug,0)),""))</f>
        <v>#N/A</v>
      </c>
      <c r="X814" t="e">
        <f>IF(K814=2,"",_xlfn.IFNA(INDEX(drug_codes,MATCH(loaded!BA814,drug,0)),""))</f>
        <v>#N/A</v>
      </c>
      <c r="Y814" t="e">
        <f>INDEX(MTT_codes,MATCH(loaded!BC814,MTT,0))</f>
        <v>#N/A</v>
      </c>
      <c r="Z814" t="str">
        <f>_xlfn.IFNA(INDEX(MTT_codes,MATCH(loaded!BE814,MTT,0)),"")</f>
        <v/>
      </c>
      <c r="AA814" t="str">
        <f>_xlfn.IFNA(INDEX(MTT_codes,MATCH(loaded!BG814,MTT,0)),"")</f>
        <v/>
      </c>
      <c r="AB814" t="str">
        <f>_xlfn.IFNA(INDEX(MTT_codes,MATCH(loaded!BI814,MTT,0)),"")</f>
        <v/>
      </c>
      <c r="AC814" t="str">
        <f>_xlfn.IFNA(INDEX(MTT_codes,MATCH(loaded!BK814,MTT,0)),"")</f>
        <v/>
      </c>
      <c r="AD814" t="str">
        <f>_xlfn.IFNA(INDEX(MTT_codes,MATCH(loaded!BM814,MTT,0)),"")</f>
        <v/>
      </c>
      <c r="AE814" t="e">
        <f>INDEX(liv_ar_codes,MATCH(loaded!BO814,liv_ar,0))</f>
        <v>#N/A</v>
      </c>
      <c r="AF814" t="str">
        <f>_xlfn.IFNA(INDEX(MTT_codes,MATCH(loaded!BQ814,MTT,0)),"")</f>
        <v/>
      </c>
      <c r="AG814">
        <f>_xlfn.IFNA(INDEX(mental_codes,MATCH(loaded!BS814,mental,0)),9)</f>
        <v>9</v>
      </c>
    </row>
    <row r="815" spans="1:33" x14ac:dyDescent="0.25">
      <c r="A815">
        <f>loaded!C815</f>
        <v>0</v>
      </c>
      <c r="B815">
        <f>loaded!I815</f>
        <v>0</v>
      </c>
      <c r="C815">
        <f>IF(loaded!K815="Male",1,IF(loaded!K815="Female",2,9))</f>
        <v>9</v>
      </c>
      <c r="D815" s="8">
        <f>loaded!M815</f>
        <v>0</v>
      </c>
      <c r="E815" t="str">
        <f>LEFT(loaded!O815,3)</f>
        <v/>
      </c>
      <c r="F815" t="e">
        <f>INDEX(cntry_codes,MATCH(loaded!Q815,countries,0))</f>
        <v>#N/A</v>
      </c>
      <c r="G815" t="e">
        <f>INDEX(atsi_codes,MATCH(loaded!S815,atsi,0))</f>
        <v>#N/A</v>
      </c>
      <c r="H815" t="e">
        <f>INDEX(lang_codes,MATCH(loaded!U815,lang,0))</f>
        <v>#N/A</v>
      </c>
      <c r="I815" s="8">
        <f>loaded!W815</f>
        <v>0</v>
      </c>
      <c r="J815" t="e">
        <f>INDEX(us_acc_codes,MATCH(loaded!Y815,us_acc,0))</f>
        <v>#N/A</v>
      </c>
      <c r="K815" t="e">
        <f>INDEX(client_codes,MATCH(loaded!AA815,client,0))</f>
        <v>#N/A</v>
      </c>
      <c r="L815" t="e">
        <f>INDEX(src_ref_codes,MATCH(loaded!AC815,src_ref,0))</f>
        <v>#N/A</v>
      </c>
      <c r="M815" s="8">
        <f>loaded!AE815</f>
        <v>0</v>
      </c>
      <c r="N815" s="8">
        <f>loaded!AG815</f>
        <v>0</v>
      </c>
      <c r="O815" t="e">
        <f>INDEX(reces_codes,MATCH(loaded!AI815,reason,0))</f>
        <v>#N/A</v>
      </c>
      <c r="P815" t="e">
        <f>INDEX(TDS_codes,MATCH(loaded!AK815,TDS,0))</f>
        <v>#N/A</v>
      </c>
      <c r="Q815" t="e">
        <f>IF(K815=2,"",INDEX(method_codes,MATCH(loaded!AM815,method,0)))</f>
        <v>#N/A</v>
      </c>
      <c r="R815" t="e">
        <f>IF(K815=2,"",INDEX(inj_codes,MATCH(loaded!AO815,inj,0)))</f>
        <v>#N/A</v>
      </c>
      <c r="S815" t="e">
        <f>IF(K815=2,"",INDEX(drug_codes,MATCH(loaded!AQ815,drug,0)))</f>
        <v>#N/A</v>
      </c>
      <c r="T815" t="e">
        <f>IF(K815=2,"",_xlfn.IFNA(INDEX(drug_codes,MATCH(loaded!AS815,drug,0)),""))</f>
        <v>#N/A</v>
      </c>
      <c r="U815" t="e">
        <f>IF(K815=2,"",_xlfn.IFNA(INDEX(drug_codes,MATCH(loaded!AU815,drug,0)),""))</f>
        <v>#N/A</v>
      </c>
      <c r="V815" t="e">
        <f>IF(K815=2,"",_xlfn.IFNA(INDEX(drug_codes,MATCH(loaded!AW815,drug,0)),""))</f>
        <v>#N/A</v>
      </c>
      <c r="W815" t="e">
        <f>IF(K815=2,"",_xlfn.IFNA(INDEX(drug_codes,MATCH(loaded!AY815,drug,0)),""))</f>
        <v>#N/A</v>
      </c>
      <c r="X815" t="e">
        <f>IF(K815=2,"",_xlfn.IFNA(INDEX(drug_codes,MATCH(loaded!BA815,drug,0)),""))</f>
        <v>#N/A</v>
      </c>
      <c r="Y815" t="e">
        <f>INDEX(MTT_codes,MATCH(loaded!BC815,MTT,0))</f>
        <v>#N/A</v>
      </c>
      <c r="Z815" t="str">
        <f>_xlfn.IFNA(INDEX(MTT_codes,MATCH(loaded!BE815,MTT,0)),"")</f>
        <v/>
      </c>
      <c r="AA815" t="str">
        <f>_xlfn.IFNA(INDEX(MTT_codes,MATCH(loaded!BG815,MTT,0)),"")</f>
        <v/>
      </c>
      <c r="AB815" t="str">
        <f>_xlfn.IFNA(INDEX(MTT_codes,MATCH(loaded!BI815,MTT,0)),"")</f>
        <v/>
      </c>
      <c r="AC815" t="str">
        <f>_xlfn.IFNA(INDEX(MTT_codes,MATCH(loaded!BK815,MTT,0)),"")</f>
        <v/>
      </c>
      <c r="AD815" t="str">
        <f>_xlfn.IFNA(INDEX(MTT_codes,MATCH(loaded!BM815,MTT,0)),"")</f>
        <v/>
      </c>
      <c r="AE815" t="e">
        <f>INDEX(liv_ar_codes,MATCH(loaded!BO815,liv_ar,0))</f>
        <v>#N/A</v>
      </c>
      <c r="AF815" t="str">
        <f>_xlfn.IFNA(INDEX(MTT_codes,MATCH(loaded!BQ815,MTT,0)),"")</f>
        <v/>
      </c>
      <c r="AG815">
        <f>_xlfn.IFNA(INDEX(mental_codes,MATCH(loaded!BS815,mental,0)),9)</f>
        <v>9</v>
      </c>
    </row>
    <row r="816" spans="1:33" x14ac:dyDescent="0.25">
      <c r="A816">
        <f>loaded!C816</f>
        <v>0</v>
      </c>
      <c r="B816">
        <f>loaded!I816</f>
        <v>0</v>
      </c>
      <c r="C816">
        <f>IF(loaded!K816="Male",1,IF(loaded!K816="Female",2,9))</f>
        <v>9</v>
      </c>
      <c r="D816" s="8">
        <f>loaded!M816</f>
        <v>0</v>
      </c>
      <c r="E816" t="str">
        <f>LEFT(loaded!O816,3)</f>
        <v/>
      </c>
      <c r="F816" t="e">
        <f>INDEX(cntry_codes,MATCH(loaded!Q816,countries,0))</f>
        <v>#N/A</v>
      </c>
      <c r="G816" t="e">
        <f>INDEX(atsi_codes,MATCH(loaded!S816,atsi,0))</f>
        <v>#N/A</v>
      </c>
      <c r="H816" t="e">
        <f>INDEX(lang_codes,MATCH(loaded!U816,lang,0))</f>
        <v>#N/A</v>
      </c>
      <c r="I816" s="8">
        <f>loaded!W816</f>
        <v>0</v>
      </c>
      <c r="J816" t="e">
        <f>INDEX(us_acc_codes,MATCH(loaded!Y816,us_acc,0))</f>
        <v>#N/A</v>
      </c>
      <c r="K816" t="e">
        <f>INDEX(client_codes,MATCH(loaded!AA816,client,0))</f>
        <v>#N/A</v>
      </c>
      <c r="L816" t="e">
        <f>INDEX(src_ref_codes,MATCH(loaded!AC816,src_ref,0))</f>
        <v>#N/A</v>
      </c>
      <c r="M816" s="8">
        <f>loaded!AE816</f>
        <v>0</v>
      </c>
      <c r="N816" s="8">
        <f>loaded!AG816</f>
        <v>0</v>
      </c>
      <c r="O816" t="e">
        <f>INDEX(reces_codes,MATCH(loaded!AI816,reason,0))</f>
        <v>#N/A</v>
      </c>
      <c r="P816" t="e">
        <f>INDEX(TDS_codes,MATCH(loaded!AK816,TDS,0))</f>
        <v>#N/A</v>
      </c>
      <c r="Q816" t="e">
        <f>IF(K816=2,"",INDEX(method_codes,MATCH(loaded!AM816,method,0)))</f>
        <v>#N/A</v>
      </c>
      <c r="R816" t="e">
        <f>IF(K816=2,"",INDEX(inj_codes,MATCH(loaded!AO816,inj,0)))</f>
        <v>#N/A</v>
      </c>
      <c r="S816" t="e">
        <f>IF(K816=2,"",INDEX(drug_codes,MATCH(loaded!AQ816,drug,0)))</f>
        <v>#N/A</v>
      </c>
      <c r="T816" t="e">
        <f>IF(K816=2,"",_xlfn.IFNA(INDEX(drug_codes,MATCH(loaded!AS816,drug,0)),""))</f>
        <v>#N/A</v>
      </c>
      <c r="U816" t="e">
        <f>IF(K816=2,"",_xlfn.IFNA(INDEX(drug_codes,MATCH(loaded!AU816,drug,0)),""))</f>
        <v>#N/A</v>
      </c>
      <c r="V816" t="e">
        <f>IF(K816=2,"",_xlfn.IFNA(INDEX(drug_codes,MATCH(loaded!AW816,drug,0)),""))</f>
        <v>#N/A</v>
      </c>
      <c r="W816" t="e">
        <f>IF(K816=2,"",_xlfn.IFNA(INDEX(drug_codes,MATCH(loaded!AY816,drug,0)),""))</f>
        <v>#N/A</v>
      </c>
      <c r="X816" t="e">
        <f>IF(K816=2,"",_xlfn.IFNA(INDEX(drug_codes,MATCH(loaded!BA816,drug,0)),""))</f>
        <v>#N/A</v>
      </c>
      <c r="Y816" t="e">
        <f>INDEX(MTT_codes,MATCH(loaded!BC816,MTT,0))</f>
        <v>#N/A</v>
      </c>
      <c r="Z816" t="str">
        <f>_xlfn.IFNA(INDEX(MTT_codes,MATCH(loaded!BE816,MTT,0)),"")</f>
        <v/>
      </c>
      <c r="AA816" t="str">
        <f>_xlfn.IFNA(INDEX(MTT_codes,MATCH(loaded!BG816,MTT,0)),"")</f>
        <v/>
      </c>
      <c r="AB816" t="str">
        <f>_xlfn.IFNA(INDEX(MTT_codes,MATCH(loaded!BI816,MTT,0)),"")</f>
        <v/>
      </c>
      <c r="AC816" t="str">
        <f>_xlfn.IFNA(INDEX(MTT_codes,MATCH(loaded!BK816,MTT,0)),"")</f>
        <v/>
      </c>
      <c r="AD816" t="str">
        <f>_xlfn.IFNA(INDEX(MTT_codes,MATCH(loaded!BM816,MTT,0)),"")</f>
        <v/>
      </c>
      <c r="AE816" t="e">
        <f>INDEX(liv_ar_codes,MATCH(loaded!BO816,liv_ar,0))</f>
        <v>#N/A</v>
      </c>
      <c r="AF816" t="str">
        <f>_xlfn.IFNA(INDEX(MTT_codes,MATCH(loaded!BQ816,MTT,0)),"")</f>
        <v/>
      </c>
      <c r="AG816">
        <f>_xlfn.IFNA(INDEX(mental_codes,MATCH(loaded!BS816,mental,0)),9)</f>
        <v>9</v>
      </c>
    </row>
    <row r="817" spans="1:33" x14ac:dyDescent="0.25">
      <c r="A817">
        <f>loaded!C817</f>
        <v>0</v>
      </c>
      <c r="B817">
        <f>loaded!I817</f>
        <v>0</v>
      </c>
      <c r="C817">
        <f>IF(loaded!K817="Male",1,IF(loaded!K817="Female",2,9))</f>
        <v>9</v>
      </c>
      <c r="D817" s="8">
        <f>loaded!M817</f>
        <v>0</v>
      </c>
      <c r="E817" t="str">
        <f>LEFT(loaded!O817,3)</f>
        <v/>
      </c>
      <c r="F817" t="e">
        <f>INDEX(cntry_codes,MATCH(loaded!Q817,countries,0))</f>
        <v>#N/A</v>
      </c>
      <c r="G817" t="e">
        <f>INDEX(atsi_codes,MATCH(loaded!S817,atsi,0))</f>
        <v>#N/A</v>
      </c>
      <c r="H817" t="e">
        <f>INDEX(lang_codes,MATCH(loaded!U817,lang,0))</f>
        <v>#N/A</v>
      </c>
      <c r="I817" s="8">
        <f>loaded!W817</f>
        <v>0</v>
      </c>
      <c r="J817" t="e">
        <f>INDEX(us_acc_codes,MATCH(loaded!Y817,us_acc,0))</f>
        <v>#N/A</v>
      </c>
      <c r="K817" t="e">
        <f>INDEX(client_codes,MATCH(loaded!AA817,client,0))</f>
        <v>#N/A</v>
      </c>
      <c r="L817" t="e">
        <f>INDEX(src_ref_codes,MATCH(loaded!AC817,src_ref,0))</f>
        <v>#N/A</v>
      </c>
      <c r="M817" s="8">
        <f>loaded!AE817</f>
        <v>0</v>
      </c>
      <c r="N817" s="8">
        <f>loaded!AG817</f>
        <v>0</v>
      </c>
      <c r="O817" t="e">
        <f>INDEX(reces_codes,MATCH(loaded!AI817,reason,0))</f>
        <v>#N/A</v>
      </c>
      <c r="P817" t="e">
        <f>INDEX(TDS_codes,MATCH(loaded!AK817,TDS,0))</f>
        <v>#N/A</v>
      </c>
      <c r="Q817" t="e">
        <f>IF(K817=2,"",INDEX(method_codes,MATCH(loaded!AM817,method,0)))</f>
        <v>#N/A</v>
      </c>
      <c r="R817" t="e">
        <f>IF(K817=2,"",INDEX(inj_codes,MATCH(loaded!AO817,inj,0)))</f>
        <v>#N/A</v>
      </c>
      <c r="S817" t="e">
        <f>IF(K817=2,"",INDEX(drug_codes,MATCH(loaded!AQ817,drug,0)))</f>
        <v>#N/A</v>
      </c>
      <c r="T817" t="e">
        <f>IF(K817=2,"",_xlfn.IFNA(INDEX(drug_codes,MATCH(loaded!AS817,drug,0)),""))</f>
        <v>#N/A</v>
      </c>
      <c r="U817" t="e">
        <f>IF(K817=2,"",_xlfn.IFNA(INDEX(drug_codes,MATCH(loaded!AU817,drug,0)),""))</f>
        <v>#N/A</v>
      </c>
      <c r="V817" t="e">
        <f>IF(K817=2,"",_xlfn.IFNA(INDEX(drug_codes,MATCH(loaded!AW817,drug,0)),""))</f>
        <v>#N/A</v>
      </c>
      <c r="W817" t="e">
        <f>IF(K817=2,"",_xlfn.IFNA(INDEX(drug_codes,MATCH(loaded!AY817,drug,0)),""))</f>
        <v>#N/A</v>
      </c>
      <c r="X817" t="e">
        <f>IF(K817=2,"",_xlfn.IFNA(INDEX(drug_codes,MATCH(loaded!BA817,drug,0)),""))</f>
        <v>#N/A</v>
      </c>
      <c r="Y817" t="e">
        <f>INDEX(MTT_codes,MATCH(loaded!BC817,MTT,0))</f>
        <v>#N/A</v>
      </c>
      <c r="Z817" t="str">
        <f>_xlfn.IFNA(INDEX(MTT_codes,MATCH(loaded!BE817,MTT,0)),"")</f>
        <v/>
      </c>
      <c r="AA817" t="str">
        <f>_xlfn.IFNA(INDEX(MTT_codes,MATCH(loaded!BG817,MTT,0)),"")</f>
        <v/>
      </c>
      <c r="AB817" t="str">
        <f>_xlfn.IFNA(INDEX(MTT_codes,MATCH(loaded!BI817,MTT,0)),"")</f>
        <v/>
      </c>
      <c r="AC817" t="str">
        <f>_xlfn.IFNA(INDEX(MTT_codes,MATCH(loaded!BK817,MTT,0)),"")</f>
        <v/>
      </c>
      <c r="AD817" t="str">
        <f>_xlfn.IFNA(INDEX(MTT_codes,MATCH(loaded!BM817,MTT,0)),"")</f>
        <v/>
      </c>
      <c r="AE817" t="e">
        <f>INDEX(liv_ar_codes,MATCH(loaded!BO817,liv_ar,0))</f>
        <v>#N/A</v>
      </c>
      <c r="AF817" t="str">
        <f>_xlfn.IFNA(INDEX(MTT_codes,MATCH(loaded!BQ817,MTT,0)),"")</f>
        <v/>
      </c>
      <c r="AG817">
        <f>_xlfn.IFNA(INDEX(mental_codes,MATCH(loaded!BS817,mental,0)),9)</f>
        <v>9</v>
      </c>
    </row>
    <row r="818" spans="1:33" x14ac:dyDescent="0.25">
      <c r="A818">
        <f>loaded!C818</f>
        <v>0</v>
      </c>
      <c r="B818">
        <f>loaded!I818</f>
        <v>0</v>
      </c>
      <c r="C818">
        <f>IF(loaded!K818="Male",1,IF(loaded!K818="Female",2,9))</f>
        <v>9</v>
      </c>
      <c r="D818" s="8">
        <f>loaded!M818</f>
        <v>0</v>
      </c>
      <c r="E818" t="str">
        <f>LEFT(loaded!O818,3)</f>
        <v/>
      </c>
      <c r="F818" t="e">
        <f>INDEX(cntry_codes,MATCH(loaded!Q818,countries,0))</f>
        <v>#N/A</v>
      </c>
      <c r="G818" t="e">
        <f>INDEX(atsi_codes,MATCH(loaded!S818,atsi,0))</f>
        <v>#N/A</v>
      </c>
      <c r="H818" t="e">
        <f>INDEX(lang_codes,MATCH(loaded!U818,lang,0))</f>
        <v>#N/A</v>
      </c>
      <c r="I818" s="8">
        <f>loaded!W818</f>
        <v>0</v>
      </c>
      <c r="J818" t="e">
        <f>INDEX(us_acc_codes,MATCH(loaded!Y818,us_acc,0))</f>
        <v>#N/A</v>
      </c>
      <c r="K818" t="e">
        <f>INDEX(client_codes,MATCH(loaded!AA818,client,0))</f>
        <v>#N/A</v>
      </c>
      <c r="L818" t="e">
        <f>INDEX(src_ref_codes,MATCH(loaded!AC818,src_ref,0))</f>
        <v>#N/A</v>
      </c>
      <c r="M818" s="8">
        <f>loaded!AE818</f>
        <v>0</v>
      </c>
      <c r="N818" s="8">
        <f>loaded!AG818</f>
        <v>0</v>
      </c>
      <c r="O818" t="e">
        <f>INDEX(reces_codes,MATCH(loaded!AI818,reason,0))</f>
        <v>#N/A</v>
      </c>
      <c r="P818" t="e">
        <f>INDEX(TDS_codes,MATCH(loaded!AK818,TDS,0))</f>
        <v>#N/A</v>
      </c>
      <c r="Q818" t="e">
        <f>IF(K818=2,"",INDEX(method_codes,MATCH(loaded!AM818,method,0)))</f>
        <v>#N/A</v>
      </c>
      <c r="R818" t="e">
        <f>IF(K818=2,"",INDEX(inj_codes,MATCH(loaded!AO818,inj,0)))</f>
        <v>#N/A</v>
      </c>
      <c r="S818" t="e">
        <f>IF(K818=2,"",INDEX(drug_codes,MATCH(loaded!AQ818,drug,0)))</f>
        <v>#N/A</v>
      </c>
      <c r="T818" t="e">
        <f>IF(K818=2,"",_xlfn.IFNA(INDEX(drug_codes,MATCH(loaded!AS818,drug,0)),""))</f>
        <v>#N/A</v>
      </c>
      <c r="U818" t="e">
        <f>IF(K818=2,"",_xlfn.IFNA(INDEX(drug_codes,MATCH(loaded!AU818,drug,0)),""))</f>
        <v>#N/A</v>
      </c>
      <c r="V818" t="e">
        <f>IF(K818=2,"",_xlfn.IFNA(INDEX(drug_codes,MATCH(loaded!AW818,drug,0)),""))</f>
        <v>#N/A</v>
      </c>
      <c r="W818" t="e">
        <f>IF(K818=2,"",_xlfn.IFNA(INDEX(drug_codes,MATCH(loaded!AY818,drug,0)),""))</f>
        <v>#N/A</v>
      </c>
      <c r="X818" t="e">
        <f>IF(K818=2,"",_xlfn.IFNA(INDEX(drug_codes,MATCH(loaded!BA818,drug,0)),""))</f>
        <v>#N/A</v>
      </c>
      <c r="Y818" t="e">
        <f>INDEX(MTT_codes,MATCH(loaded!BC818,MTT,0))</f>
        <v>#N/A</v>
      </c>
      <c r="Z818" t="str">
        <f>_xlfn.IFNA(INDEX(MTT_codes,MATCH(loaded!BE818,MTT,0)),"")</f>
        <v/>
      </c>
      <c r="AA818" t="str">
        <f>_xlfn.IFNA(INDEX(MTT_codes,MATCH(loaded!BG818,MTT,0)),"")</f>
        <v/>
      </c>
      <c r="AB818" t="str">
        <f>_xlfn.IFNA(INDEX(MTT_codes,MATCH(loaded!BI818,MTT,0)),"")</f>
        <v/>
      </c>
      <c r="AC818" t="str">
        <f>_xlfn.IFNA(INDEX(MTT_codes,MATCH(loaded!BK818,MTT,0)),"")</f>
        <v/>
      </c>
      <c r="AD818" t="str">
        <f>_xlfn.IFNA(INDEX(MTT_codes,MATCH(loaded!BM818,MTT,0)),"")</f>
        <v/>
      </c>
      <c r="AE818" t="e">
        <f>INDEX(liv_ar_codes,MATCH(loaded!BO818,liv_ar,0))</f>
        <v>#N/A</v>
      </c>
      <c r="AF818" t="str">
        <f>_xlfn.IFNA(INDEX(MTT_codes,MATCH(loaded!BQ818,MTT,0)),"")</f>
        <v/>
      </c>
      <c r="AG818">
        <f>_xlfn.IFNA(INDEX(mental_codes,MATCH(loaded!BS818,mental,0)),9)</f>
        <v>9</v>
      </c>
    </row>
    <row r="819" spans="1:33" x14ac:dyDescent="0.25">
      <c r="A819">
        <f>loaded!C819</f>
        <v>0</v>
      </c>
      <c r="B819">
        <f>loaded!I819</f>
        <v>0</v>
      </c>
      <c r="C819">
        <f>IF(loaded!K819="Male",1,IF(loaded!K819="Female",2,9))</f>
        <v>9</v>
      </c>
      <c r="D819" s="8">
        <f>loaded!M819</f>
        <v>0</v>
      </c>
      <c r="E819" t="str">
        <f>LEFT(loaded!O819,3)</f>
        <v/>
      </c>
      <c r="F819" t="e">
        <f>INDEX(cntry_codes,MATCH(loaded!Q819,countries,0))</f>
        <v>#N/A</v>
      </c>
      <c r="G819" t="e">
        <f>INDEX(atsi_codes,MATCH(loaded!S819,atsi,0))</f>
        <v>#N/A</v>
      </c>
      <c r="H819" t="e">
        <f>INDEX(lang_codes,MATCH(loaded!U819,lang,0))</f>
        <v>#N/A</v>
      </c>
      <c r="I819" s="8">
        <f>loaded!W819</f>
        <v>0</v>
      </c>
      <c r="J819" t="e">
        <f>INDEX(us_acc_codes,MATCH(loaded!Y819,us_acc,0))</f>
        <v>#N/A</v>
      </c>
      <c r="K819" t="e">
        <f>INDEX(client_codes,MATCH(loaded!AA819,client,0))</f>
        <v>#N/A</v>
      </c>
      <c r="L819" t="e">
        <f>INDEX(src_ref_codes,MATCH(loaded!AC819,src_ref,0))</f>
        <v>#N/A</v>
      </c>
      <c r="M819" s="8">
        <f>loaded!AE819</f>
        <v>0</v>
      </c>
      <c r="N819" s="8">
        <f>loaded!AG819</f>
        <v>0</v>
      </c>
      <c r="O819" t="e">
        <f>INDEX(reces_codes,MATCH(loaded!AI819,reason,0))</f>
        <v>#N/A</v>
      </c>
      <c r="P819" t="e">
        <f>INDEX(TDS_codes,MATCH(loaded!AK819,TDS,0))</f>
        <v>#N/A</v>
      </c>
      <c r="Q819" t="e">
        <f>IF(K819=2,"",INDEX(method_codes,MATCH(loaded!AM819,method,0)))</f>
        <v>#N/A</v>
      </c>
      <c r="R819" t="e">
        <f>IF(K819=2,"",INDEX(inj_codes,MATCH(loaded!AO819,inj,0)))</f>
        <v>#N/A</v>
      </c>
      <c r="S819" t="e">
        <f>IF(K819=2,"",INDEX(drug_codes,MATCH(loaded!AQ819,drug,0)))</f>
        <v>#N/A</v>
      </c>
      <c r="T819" t="e">
        <f>IF(K819=2,"",_xlfn.IFNA(INDEX(drug_codes,MATCH(loaded!AS819,drug,0)),""))</f>
        <v>#N/A</v>
      </c>
      <c r="U819" t="e">
        <f>IF(K819=2,"",_xlfn.IFNA(INDEX(drug_codes,MATCH(loaded!AU819,drug,0)),""))</f>
        <v>#N/A</v>
      </c>
      <c r="V819" t="e">
        <f>IF(K819=2,"",_xlfn.IFNA(INDEX(drug_codes,MATCH(loaded!AW819,drug,0)),""))</f>
        <v>#N/A</v>
      </c>
      <c r="W819" t="e">
        <f>IF(K819=2,"",_xlfn.IFNA(INDEX(drug_codes,MATCH(loaded!AY819,drug,0)),""))</f>
        <v>#N/A</v>
      </c>
      <c r="X819" t="e">
        <f>IF(K819=2,"",_xlfn.IFNA(INDEX(drug_codes,MATCH(loaded!BA819,drug,0)),""))</f>
        <v>#N/A</v>
      </c>
      <c r="Y819" t="e">
        <f>INDEX(MTT_codes,MATCH(loaded!BC819,MTT,0))</f>
        <v>#N/A</v>
      </c>
      <c r="Z819" t="str">
        <f>_xlfn.IFNA(INDEX(MTT_codes,MATCH(loaded!BE819,MTT,0)),"")</f>
        <v/>
      </c>
      <c r="AA819" t="str">
        <f>_xlfn.IFNA(INDEX(MTT_codes,MATCH(loaded!BG819,MTT,0)),"")</f>
        <v/>
      </c>
      <c r="AB819" t="str">
        <f>_xlfn.IFNA(INDEX(MTT_codes,MATCH(loaded!BI819,MTT,0)),"")</f>
        <v/>
      </c>
      <c r="AC819" t="str">
        <f>_xlfn.IFNA(INDEX(MTT_codes,MATCH(loaded!BK819,MTT,0)),"")</f>
        <v/>
      </c>
      <c r="AD819" t="str">
        <f>_xlfn.IFNA(INDEX(MTT_codes,MATCH(loaded!BM819,MTT,0)),"")</f>
        <v/>
      </c>
      <c r="AE819" t="e">
        <f>INDEX(liv_ar_codes,MATCH(loaded!BO819,liv_ar,0))</f>
        <v>#N/A</v>
      </c>
      <c r="AF819" t="str">
        <f>_xlfn.IFNA(INDEX(MTT_codes,MATCH(loaded!BQ819,MTT,0)),"")</f>
        <v/>
      </c>
      <c r="AG819">
        <f>_xlfn.IFNA(INDEX(mental_codes,MATCH(loaded!BS819,mental,0)),9)</f>
        <v>9</v>
      </c>
    </row>
    <row r="820" spans="1:33" x14ac:dyDescent="0.25">
      <c r="A820">
        <f>loaded!C820</f>
        <v>0</v>
      </c>
      <c r="B820">
        <f>loaded!I820</f>
        <v>0</v>
      </c>
      <c r="C820">
        <f>IF(loaded!K820="Male",1,IF(loaded!K820="Female",2,9))</f>
        <v>9</v>
      </c>
      <c r="D820" s="8">
        <f>loaded!M820</f>
        <v>0</v>
      </c>
      <c r="E820" t="str">
        <f>LEFT(loaded!O820,3)</f>
        <v/>
      </c>
      <c r="F820" t="e">
        <f>INDEX(cntry_codes,MATCH(loaded!Q820,countries,0))</f>
        <v>#N/A</v>
      </c>
      <c r="G820" t="e">
        <f>INDEX(atsi_codes,MATCH(loaded!S820,atsi,0))</f>
        <v>#N/A</v>
      </c>
      <c r="H820" t="e">
        <f>INDEX(lang_codes,MATCH(loaded!U820,lang,0))</f>
        <v>#N/A</v>
      </c>
      <c r="I820" s="8">
        <f>loaded!W820</f>
        <v>0</v>
      </c>
      <c r="J820" t="e">
        <f>INDEX(us_acc_codes,MATCH(loaded!Y820,us_acc,0))</f>
        <v>#N/A</v>
      </c>
      <c r="K820" t="e">
        <f>INDEX(client_codes,MATCH(loaded!AA820,client,0))</f>
        <v>#N/A</v>
      </c>
      <c r="L820" t="e">
        <f>INDEX(src_ref_codes,MATCH(loaded!AC820,src_ref,0))</f>
        <v>#N/A</v>
      </c>
      <c r="M820" s="8">
        <f>loaded!AE820</f>
        <v>0</v>
      </c>
      <c r="N820" s="8">
        <f>loaded!AG820</f>
        <v>0</v>
      </c>
      <c r="O820" t="e">
        <f>INDEX(reces_codes,MATCH(loaded!AI820,reason,0))</f>
        <v>#N/A</v>
      </c>
      <c r="P820" t="e">
        <f>INDEX(TDS_codes,MATCH(loaded!AK820,TDS,0))</f>
        <v>#N/A</v>
      </c>
      <c r="Q820" t="e">
        <f>IF(K820=2,"",INDEX(method_codes,MATCH(loaded!AM820,method,0)))</f>
        <v>#N/A</v>
      </c>
      <c r="R820" t="e">
        <f>IF(K820=2,"",INDEX(inj_codes,MATCH(loaded!AO820,inj,0)))</f>
        <v>#N/A</v>
      </c>
      <c r="S820" t="e">
        <f>IF(K820=2,"",INDEX(drug_codes,MATCH(loaded!AQ820,drug,0)))</f>
        <v>#N/A</v>
      </c>
      <c r="T820" t="e">
        <f>IF(K820=2,"",_xlfn.IFNA(INDEX(drug_codes,MATCH(loaded!AS820,drug,0)),""))</f>
        <v>#N/A</v>
      </c>
      <c r="U820" t="e">
        <f>IF(K820=2,"",_xlfn.IFNA(INDEX(drug_codes,MATCH(loaded!AU820,drug,0)),""))</f>
        <v>#N/A</v>
      </c>
      <c r="V820" t="e">
        <f>IF(K820=2,"",_xlfn.IFNA(INDEX(drug_codes,MATCH(loaded!AW820,drug,0)),""))</f>
        <v>#N/A</v>
      </c>
      <c r="W820" t="e">
        <f>IF(K820=2,"",_xlfn.IFNA(INDEX(drug_codes,MATCH(loaded!AY820,drug,0)),""))</f>
        <v>#N/A</v>
      </c>
      <c r="X820" t="e">
        <f>IF(K820=2,"",_xlfn.IFNA(INDEX(drug_codes,MATCH(loaded!BA820,drug,0)),""))</f>
        <v>#N/A</v>
      </c>
      <c r="Y820" t="e">
        <f>INDEX(MTT_codes,MATCH(loaded!BC820,MTT,0))</f>
        <v>#N/A</v>
      </c>
      <c r="Z820" t="str">
        <f>_xlfn.IFNA(INDEX(MTT_codes,MATCH(loaded!BE820,MTT,0)),"")</f>
        <v/>
      </c>
      <c r="AA820" t="str">
        <f>_xlfn.IFNA(INDEX(MTT_codes,MATCH(loaded!BG820,MTT,0)),"")</f>
        <v/>
      </c>
      <c r="AB820" t="str">
        <f>_xlfn.IFNA(INDEX(MTT_codes,MATCH(loaded!BI820,MTT,0)),"")</f>
        <v/>
      </c>
      <c r="AC820" t="str">
        <f>_xlfn.IFNA(INDEX(MTT_codes,MATCH(loaded!BK820,MTT,0)),"")</f>
        <v/>
      </c>
      <c r="AD820" t="str">
        <f>_xlfn.IFNA(INDEX(MTT_codes,MATCH(loaded!BM820,MTT,0)),"")</f>
        <v/>
      </c>
      <c r="AE820" t="e">
        <f>INDEX(liv_ar_codes,MATCH(loaded!BO820,liv_ar,0))</f>
        <v>#N/A</v>
      </c>
      <c r="AF820" t="str">
        <f>_xlfn.IFNA(INDEX(MTT_codes,MATCH(loaded!BQ820,MTT,0)),"")</f>
        <v/>
      </c>
      <c r="AG820">
        <f>_xlfn.IFNA(INDEX(mental_codes,MATCH(loaded!BS820,mental,0)),9)</f>
        <v>9</v>
      </c>
    </row>
    <row r="821" spans="1:33" x14ac:dyDescent="0.25">
      <c r="A821">
        <f>loaded!C821</f>
        <v>0</v>
      </c>
      <c r="B821">
        <f>loaded!I821</f>
        <v>0</v>
      </c>
      <c r="C821">
        <f>IF(loaded!K821="Male",1,IF(loaded!K821="Female",2,9))</f>
        <v>9</v>
      </c>
      <c r="D821" s="8">
        <f>loaded!M821</f>
        <v>0</v>
      </c>
      <c r="E821" t="str">
        <f>LEFT(loaded!O821,3)</f>
        <v/>
      </c>
      <c r="F821" t="e">
        <f>INDEX(cntry_codes,MATCH(loaded!Q821,countries,0))</f>
        <v>#N/A</v>
      </c>
      <c r="G821" t="e">
        <f>INDEX(atsi_codes,MATCH(loaded!S821,atsi,0))</f>
        <v>#N/A</v>
      </c>
      <c r="H821" t="e">
        <f>INDEX(lang_codes,MATCH(loaded!U821,lang,0))</f>
        <v>#N/A</v>
      </c>
      <c r="I821" s="8">
        <f>loaded!W821</f>
        <v>0</v>
      </c>
      <c r="J821" t="e">
        <f>INDEX(us_acc_codes,MATCH(loaded!Y821,us_acc,0))</f>
        <v>#N/A</v>
      </c>
      <c r="K821" t="e">
        <f>INDEX(client_codes,MATCH(loaded!AA821,client,0))</f>
        <v>#N/A</v>
      </c>
      <c r="L821" t="e">
        <f>INDEX(src_ref_codes,MATCH(loaded!AC821,src_ref,0))</f>
        <v>#N/A</v>
      </c>
      <c r="M821" s="8">
        <f>loaded!AE821</f>
        <v>0</v>
      </c>
      <c r="N821" s="8">
        <f>loaded!AG821</f>
        <v>0</v>
      </c>
      <c r="O821" t="e">
        <f>INDEX(reces_codes,MATCH(loaded!AI821,reason,0))</f>
        <v>#N/A</v>
      </c>
      <c r="P821" t="e">
        <f>INDEX(TDS_codes,MATCH(loaded!AK821,TDS,0))</f>
        <v>#N/A</v>
      </c>
      <c r="Q821" t="e">
        <f>IF(K821=2,"",INDEX(method_codes,MATCH(loaded!AM821,method,0)))</f>
        <v>#N/A</v>
      </c>
      <c r="R821" t="e">
        <f>IF(K821=2,"",INDEX(inj_codes,MATCH(loaded!AO821,inj,0)))</f>
        <v>#N/A</v>
      </c>
      <c r="S821" t="e">
        <f>IF(K821=2,"",INDEX(drug_codes,MATCH(loaded!AQ821,drug,0)))</f>
        <v>#N/A</v>
      </c>
      <c r="T821" t="e">
        <f>IF(K821=2,"",_xlfn.IFNA(INDEX(drug_codes,MATCH(loaded!AS821,drug,0)),""))</f>
        <v>#N/A</v>
      </c>
      <c r="U821" t="e">
        <f>IF(K821=2,"",_xlfn.IFNA(INDEX(drug_codes,MATCH(loaded!AU821,drug,0)),""))</f>
        <v>#N/A</v>
      </c>
      <c r="V821" t="e">
        <f>IF(K821=2,"",_xlfn.IFNA(INDEX(drug_codes,MATCH(loaded!AW821,drug,0)),""))</f>
        <v>#N/A</v>
      </c>
      <c r="W821" t="e">
        <f>IF(K821=2,"",_xlfn.IFNA(INDEX(drug_codes,MATCH(loaded!AY821,drug,0)),""))</f>
        <v>#N/A</v>
      </c>
      <c r="X821" t="e">
        <f>IF(K821=2,"",_xlfn.IFNA(INDEX(drug_codes,MATCH(loaded!BA821,drug,0)),""))</f>
        <v>#N/A</v>
      </c>
      <c r="Y821" t="e">
        <f>INDEX(MTT_codes,MATCH(loaded!BC821,MTT,0))</f>
        <v>#N/A</v>
      </c>
      <c r="Z821" t="str">
        <f>_xlfn.IFNA(INDEX(MTT_codes,MATCH(loaded!BE821,MTT,0)),"")</f>
        <v/>
      </c>
      <c r="AA821" t="str">
        <f>_xlfn.IFNA(INDEX(MTT_codes,MATCH(loaded!BG821,MTT,0)),"")</f>
        <v/>
      </c>
      <c r="AB821" t="str">
        <f>_xlfn.IFNA(INDEX(MTT_codes,MATCH(loaded!BI821,MTT,0)),"")</f>
        <v/>
      </c>
      <c r="AC821" t="str">
        <f>_xlfn.IFNA(INDEX(MTT_codes,MATCH(loaded!BK821,MTT,0)),"")</f>
        <v/>
      </c>
      <c r="AD821" t="str">
        <f>_xlfn.IFNA(INDEX(MTT_codes,MATCH(loaded!BM821,MTT,0)),"")</f>
        <v/>
      </c>
      <c r="AE821" t="e">
        <f>INDEX(liv_ar_codes,MATCH(loaded!BO821,liv_ar,0))</f>
        <v>#N/A</v>
      </c>
      <c r="AF821" t="str">
        <f>_xlfn.IFNA(INDEX(MTT_codes,MATCH(loaded!BQ821,MTT,0)),"")</f>
        <v/>
      </c>
      <c r="AG821">
        <f>_xlfn.IFNA(INDEX(mental_codes,MATCH(loaded!BS821,mental,0)),9)</f>
        <v>9</v>
      </c>
    </row>
    <row r="822" spans="1:33" x14ac:dyDescent="0.25">
      <c r="A822">
        <f>loaded!C822</f>
        <v>0</v>
      </c>
      <c r="B822">
        <f>loaded!I822</f>
        <v>0</v>
      </c>
      <c r="C822">
        <f>IF(loaded!K822="Male",1,IF(loaded!K822="Female",2,9))</f>
        <v>9</v>
      </c>
      <c r="D822" s="8">
        <f>loaded!M822</f>
        <v>0</v>
      </c>
      <c r="E822" t="str">
        <f>LEFT(loaded!O822,3)</f>
        <v/>
      </c>
      <c r="F822" t="e">
        <f>INDEX(cntry_codes,MATCH(loaded!Q822,countries,0))</f>
        <v>#N/A</v>
      </c>
      <c r="G822" t="e">
        <f>INDEX(atsi_codes,MATCH(loaded!S822,atsi,0))</f>
        <v>#N/A</v>
      </c>
      <c r="H822" t="e">
        <f>INDEX(lang_codes,MATCH(loaded!U822,lang,0))</f>
        <v>#N/A</v>
      </c>
      <c r="I822" s="8">
        <f>loaded!W822</f>
        <v>0</v>
      </c>
      <c r="J822" t="e">
        <f>INDEX(us_acc_codes,MATCH(loaded!Y822,us_acc,0))</f>
        <v>#N/A</v>
      </c>
      <c r="K822" t="e">
        <f>INDEX(client_codes,MATCH(loaded!AA822,client,0))</f>
        <v>#N/A</v>
      </c>
      <c r="L822" t="e">
        <f>INDEX(src_ref_codes,MATCH(loaded!AC822,src_ref,0))</f>
        <v>#N/A</v>
      </c>
      <c r="M822" s="8">
        <f>loaded!AE822</f>
        <v>0</v>
      </c>
      <c r="N822" s="8">
        <f>loaded!AG822</f>
        <v>0</v>
      </c>
      <c r="O822" t="e">
        <f>INDEX(reces_codes,MATCH(loaded!AI822,reason,0))</f>
        <v>#N/A</v>
      </c>
      <c r="P822" t="e">
        <f>INDEX(TDS_codes,MATCH(loaded!AK822,TDS,0))</f>
        <v>#N/A</v>
      </c>
      <c r="Q822" t="e">
        <f>IF(K822=2,"",INDEX(method_codes,MATCH(loaded!AM822,method,0)))</f>
        <v>#N/A</v>
      </c>
      <c r="R822" t="e">
        <f>IF(K822=2,"",INDEX(inj_codes,MATCH(loaded!AO822,inj,0)))</f>
        <v>#N/A</v>
      </c>
      <c r="S822" t="e">
        <f>IF(K822=2,"",INDEX(drug_codes,MATCH(loaded!AQ822,drug,0)))</f>
        <v>#N/A</v>
      </c>
      <c r="T822" t="e">
        <f>IF(K822=2,"",_xlfn.IFNA(INDEX(drug_codes,MATCH(loaded!AS822,drug,0)),""))</f>
        <v>#N/A</v>
      </c>
      <c r="U822" t="e">
        <f>IF(K822=2,"",_xlfn.IFNA(INDEX(drug_codes,MATCH(loaded!AU822,drug,0)),""))</f>
        <v>#N/A</v>
      </c>
      <c r="V822" t="e">
        <f>IF(K822=2,"",_xlfn.IFNA(INDEX(drug_codes,MATCH(loaded!AW822,drug,0)),""))</f>
        <v>#N/A</v>
      </c>
      <c r="W822" t="e">
        <f>IF(K822=2,"",_xlfn.IFNA(INDEX(drug_codes,MATCH(loaded!AY822,drug,0)),""))</f>
        <v>#N/A</v>
      </c>
      <c r="X822" t="e">
        <f>IF(K822=2,"",_xlfn.IFNA(INDEX(drug_codes,MATCH(loaded!BA822,drug,0)),""))</f>
        <v>#N/A</v>
      </c>
      <c r="Y822" t="e">
        <f>INDEX(MTT_codes,MATCH(loaded!BC822,MTT,0))</f>
        <v>#N/A</v>
      </c>
      <c r="Z822" t="str">
        <f>_xlfn.IFNA(INDEX(MTT_codes,MATCH(loaded!BE822,MTT,0)),"")</f>
        <v/>
      </c>
      <c r="AA822" t="str">
        <f>_xlfn.IFNA(INDEX(MTT_codes,MATCH(loaded!BG822,MTT,0)),"")</f>
        <v/>
      </c>
      <c r="AB822" t="str">
        <f>_xlfn.IFNA(INDEX(MTT_codes,MATCH(loaded!BI822,MTT,0)),"")</f>
        <v/>
      </c>
      <c r="AC822" t="str">
        <f>_xlfn.IFNA(INDEX(MTT_codes,MATCH(loaded!BK822,MTT,0)),"")</f>
        <v/>
      </c>
      <c r="AD822" t="str">
        <f>_xlfn.IFNA(INDEX(MTT_codes,MATCH(loaded!BM822,MTT,0)),"")</f>
        <v/>
      </c>
      <c r="AE822" t="e">
        <f>INDEX(liv_ar_codes,MATCH(loaded!BO822,liv_ar,0))</f>
        <v>#N/A</v>
      </c>
      <c r="AF822" t="str">
        <f>_xlfn.IFNA(INDEX(MTT_codes,MATCH(loaded!BQ822,MTT,0)),"")</f>
        <v/>
      </c>
      <c r="AG822">
        <f>_xlfn.IFNA(INDEX(mental_codes,MATCH(loaded!BS822,mental,0)),9)</f>
        <v>9</v>
      </c>
    </row>
    <row r="823" spans="1:33" x14ac:dyDescent="0.25">
      <c r="A823">
        <f>loaded!C823</f>
        <v>0</v>
      </c>
      <c r="B823">
        <f>loaded!I823</f>
        <v>0</v>
      </c>
      <c r="C823">
        <f>IF(loaded!K823="Male",1,IF(loaded!K823="Female",2,9))</f>
        <v>9</v>
      </c>
      <c r="D823" s="8">
        <f>loaded!M823</f>
        <v>0</v>
      </c>
      <c r="E823" t="str">
        <f>LEFT(loaded!O823,3)</f>
        <v/>
      </c>
      <c r="F823" t="e">
        <f>INDEX(cntry_codes,MATCH(loaded!Q823,countries,0))</f>
        <v>#N/A</v>
      </c>
      <c r="G823" t="e">
        <f>INDEX(atsi_codes,MATCH(loaded!S823,atsi,0))</f>
        <v>#N/A</v>
      </c>
      <c r="H823" t="e">
        <f>INDEX(lang_codes,MATCH(loaded!U823,lang,0))</f>
        <v>#N/A</v>
      </c>
      <c r="I823" s="8">
        <f>loaded!W823</f>
        <v>0</v>
      </c>
      <c r="J823" t="e">
        <f>INDEX(us_acc_codes,MATCH(loaded!Y823,us_acc,0))</f>
        <v>#N/A</v>
      </c>
      <c r="K823" t="e">
        <f>INDEX(client_codes,MATCH(loaded!AA823,client,0))</f>
        <v>#N/A</v>
      </c>
      <c r="L823" t="e">
        <f>INDEX(src_ref_codes,MATCH(loaded!AC823,src_ref,0))</f>
        <v>#N/A</v>
      </c>
      <c r="M823" s="8">
        <f>loaded!AE823</f>
        <v>0</v>
      </c>
      <c r="N823" s="8">
        <f>loaded!AG823</f>
        <v>0</v>
      </c>
      <c r="O823" t="e">
        <f>INDEX(reces_codes,MATCH(loaded!AI823,reason,0))</f>
        <v>#N/A</v>
      </c>
      <c r="P823" t="e">
        <f>INDEX(TDS_codes,MATCH(loaded!AK823,TDS,0))</f>
        <v>#N/A</v>
      </c>
      <c r="Q823" t="e">
        <f>IF(K823=2,"",INDEX(method_codes,MATCH(loaded!AM823,method,0)))</f>
        <v>#N/A</v>
      </c>
      <c r="R823" t="e">
        <f>IF(K823=2,"",INDEX(inj_codes,MATCH(loaded!AO823,inj,0)))</f>
        <v>#N/A</v>
      </c>
      <c r="S823" t="e">
        <f>IF(K823=2,"",INDEX(drug_codes,MATCH(loaded!AQ823,drug,0)))</f>
        <v>#N/A</v>
      </c>
      <c r="T823" t="e">
        <f>IF(K823=2,"",_xlfn.IFNA(INDEX(drug_codes,MATCH(loaded!AS823,drug,0)),""))</f>
        <v>#N/A</v>
      </c>
      <c r="U823" t="e">
        <f>IF(K823=2,"",_xlfn.IFNA(INDEX(drug_codes,MATCH(loaded!AU823,drug,0)),""))</f>
        <v>#N/A</v>
      </c>
      <c r="V823" t="e">
        <f>IF(K823=2,"",_xlfn.IFNA(INDEX(drug_codes,MATCH(loaded!AW823,drug,0)),""))</f>
        <v>#N/A</v>
      </c>
      <c r="W823" t="e">
        <f>IF(K823=2,"",_xlfn.IFNA(INDEX(drug_codes,MATCH(loaded!AY823,drug,0)),""))</f>
        <v>#N/A</v>
      </c>
      <c r="X823" t="e">
        <f>IF(K823=2,"",_xlfn.IFNA(INDEX(drug_codes,MATCH(loaded!BA823,drug,0)),""))</f>
        <v>#N/A</v>
      </c>
      <c r="Y823" t="e">
        <f>INDEX(MTT_codes,MATCH(loaded!BC823,MTT,0))</f>
        <v>#N/A</v>
      </c>
      <c r="Z823" t="str">
        <f>_xlfn.IFNA(INDEX(MTT_codes,MATCH(loaded!BE823,MTT,0)),"")</f>
        <v/>
      </c>
      <c r="AA823" t="str">
        <f>_xlfn.IFNA(INDEX(MTT_codes,MATCH(loaded!BG823,MTT,0)),"")</f>
        <v/>
      </c>
      <c r="AB823" t="str">
        <f>_xlfn.IFNA(INDEX(MTT_codes,MATCH(loaded!BI823,MTT,0)),"")</f>
        <v/>
      </c>
      <c r="AC823" t="str">
        <f>_xlfn.IFNA(INDEX(MTT_codes,MATCH(loaded!BK823,MTT,0)),"")</f>
        <v/>
      </c>
      <c r="AD823" t="str">
        <f>_xlfn.IFNA(INDEX(MTT_codes,MATCH(loaded!BM823,MTT,0)),"")</f>
        <v/>
      </c>
      <c r="AE823" t="e">
        <f>INDEX(liv_ar_codes,MATCH(loaded!BO823,liv_ar,0))</f>
        <v>#N/A</v>
      </c>
      <c r="AF823" t="str">
        <f>_xlfn.IFNA(INDEX(MTT_codes,MATCH(loaded!BQ823,MTT,0)),"")</f>
        <v/>
      </c>
      <c r="AG823">
        <f>_xlfn.IFNA(INDEX(mental_codes,MATCH(loaded!BS823,mental,0)),9)</f>
        <v>9</v>
      </c>
    </row>
    <row r="824" spans="1:33" x14ac:dyDescent="0.25">
      <c r="A824">
        <f>loaded!C824</f>
        <v>0</v>
      </c>
      <c r="B824">
        <f>loaded!I824</f>
        <v>0</v>
      </c>
      <c r="C824">
        <f>IF(loaded!K824="Male",1,IF(loaded!K824="Female",2,9))</f>
        <v>9</v>
      </c>
      <c r="D824" s="8">
        <f>loaded!M824</f>
        <v>0</v>
      </c>
      <c r="E824" t="str">
        <f>LEFT(loaded!O824,3)</f>
        <v/>
      </c>
      <c r="F824" t="e">
        <f>INDEX(cntry_codes,MATCH(loaded!Q824,countries,0))</f>
        <v>#N/A</v>
      </c>
      <c r="G824" t="e">
        <f>INDEX(atsi_codes,MATCH(loaded!S824,atsi,0))</f>
        <v>#N/A</v>
      </c>
      <c r="H824" t="e">
        <f>INDEX(lang_codes,MATCH(loaded!U824,lang,0))</f>
        <v>#N/A</v>
      </c>
      <c r="I824" s="8">
        <f>loaded!W824</f>
        <v>0</v>
      </c>
      <c r="J824" t="e">
        <f>INDEX(us_acc_codes,MATCH(loaded!Y824,us_acc,0))</f>
        <v>#N/A</v>
      </c>
      <c r="K824" t="e">
        <f>INDEX(client_codes,MATCH(loaded!AA824,client,0))</f>
        <v>#N/A</v>
      </c>
      <c r="L824" t="e">
        <f>INDEX(src_ref_codes,MATCH(loaded!AC824,src_ref,0))</f>
        <v>#N/A</v>
      </c>
      <c r="M824" s="8">
        <f>loaded!AE824</f>
        <v>0</v>
      </c>
      <c r="N824" s="8">
        <f>loaded!AG824</f>
        <v>0</v>
      </c>
      <c r="O824" t="e">
        <f>INDEX(reces_codes,MATCH(loaded!AI824,reason,0))</f>
        <v>#N/A</v>
      </c>
      <c r="P824" t="e">
        <f>INDEX(TDS_codes,MATCH(loaded!AK824,TDS,0))</f>
        <v>#N/A</v>
      </c>
      <c r="Q824" t="e">
        <f>IF(K824=2,"",INDEX(method_codes,MATCH(loaded!AM824,method,0)))</f>
        <v>#N/A</v>
      </c>
      <c r="R824" t="e">
        <f>IF(K824=2,"",INDEX(inj_codes,MATCH(loaded!AO824,inj,0)))</f>
        <v>#N/A</v>
      </c>
      <c r="S824" t="e">
        <f>IF(K824=2,"",INDEX(drug_codes,MATCH(loaded!AQ824,drug,0)))</f>
        <v>#N/A</v>
      </c>
      <c r="T824" t="e">
        <f>IF(K824=2,"",_xlfn.IFNA(INDEX(drug_codes,MATCH(loaded!AS824,drug,0)),""))</f>
        <v>#N/A</v>
      </c>
      <c r="U824" t="e">
        <f>IF(K824=2,"",_xlfn.IFNA(INDEX(drug_codes,MATCH(loaded!AU824,drug,0)),""))</f>
        <v>#N/A</v>
      </c>
      <c r="V824" t="e">
        <f>IF(K824=2,"",_xlfn.IFNA(INDEX(drug_codes,MATCH(loaded!AW824,drug,0)),""))</f>
        <v>#N/A</v>
      </c>
      <c r="W824" t="e">
        <f>IF(K824=2,"",_xlfn.IFNA(INDEX(drug_codes,MATCH(loaded!AY824,drug,0)),""))</f>
        <v>#N/A</v>
      </c>
      <c r="X824" t="e">
        <f>IF(K824=2,"",_xlfn.IFNA(INDEX(drug_codes,MATCH(loaded!BA824,drug,0)),""))</f>
        <v>#N/A</v>
      </c>
      <c r="Y824" t="e">
        <f>INDEX(MTT_codes,MATCH(loaded!BC824,MTT,0))</f>
        <v>#N/A</v>
      </c>
      <c r="Z824" t="str">
        <f>_xlfn.IFNA(INDEX(MTT_codes,MATCH(loaded!BE824,MTT,0)),"")</f>
        <v/>
      </c>
      <c r="AA824" t="str">
        <f>_xlfn.IFNA(INDEX(MTT_codes,MATCH(loaded!BG824,MTT,0)),"")</f>
        <v/>
      </c>
      <c r="AB824" t="str">
        <f>_xlfn.IFNA(INDEX(MTT_codes,MATCH(loaded!BI824,MTT,0)),"")</f>
        <v/>
      </c>
      <c r="AC824" t="str">
        <f>_xlfn.IFNA(INDEX(MTT_codes,MATCH(loaded!BK824,MTT,0)),"")</f>
        <v/>
      </c>
      <c r="AD824" t="str">
        <f>_xlfn.IFNA(INDEX(MTT_codes,MATCH(loaded!BM824,MTT,0)),"")</f>
        <v/>
      </c>
      <c r="AE824" t="e">
        <f>INDEX(liv_ar_codes,MATCH(loaded!BO824,liv_ar,0))</f>
        <v>#N/A</v>
      </c>
      <c r="AF824" t="str">
        <f>_xlfn.IFNA(INDEX(MTT_codes,MATCH(loaded!BQ824,MTT,0)),"")</f>
        <v/>
      </c>
      <c r="AG824">
        <f>_xlfn.IFNA(INDEX(mental_codes,MATCH(loaded!BS824,mental,0)),9)</f>
        <v>9</v>
      </c>
    </row>
    <row r="825" spans="1:33" x14ac:dyDescent="0.25">
      <c r="A825">
        <f>loaded!C825</f>
        <v>0</v>
      </c>
      <c r="B825">
        <f>loaded!I825</f>
        <v>0</v>
      </c>
      <c r="C825">
        <f>IF(loaded!K825="Male",1,IF(loaded!K825="Female",2,9))</f>
        <v>9</v>
      </c>
      <c r="D825" s="8">
        <f>loaded!M825</f>
        <v>0</v>
      </c>
      <c r="E825" t="str">
        <f>LEFT(loaded!O825,3)</f>
        <v/>
      </c>
      <c r="F825" t="e">
        <f>INDEX(cntry_codes,MATCH(loaded!Q825,countries,0))</f>
        <v>#N/A</v>
      </c>
      <c r="G825" t="e">
        <f>INDEX(atsi_codes,MATCH(loaded!S825,atsi,0))</f>
        <v>#N/A</v>
      </c>
      <c r="H825" t="e">
        <f>INDEX(lang_codes,MATCH(loaded!U825,lang,0))</f>
        <v>#N/A</v>
      </c>
      <c r="I825" s="8">
        <f>loaded!W825</f>
        <v>0</v>
      </c>
      <c r="J825" t="e">
        <f>INDEX(us_acc_codes,MATCH(loaded!Y825,us_acc,0))</f>
        <v>#N/A</v>
      </c>
      <c r="K825" t="e">
        <f>INDEX(client_codes,MATCH(loaded!AA825,client,0))</f>
        <v>#N/A</v>
      </c>
      <c r="L825" t="e">
        <f>INDEX(src_ref_codes,MATCH(loaded!AC825,src_ref,0))</f>
        <v>#N/A</v>
      </c>
      <c r="M825" s="8">
        <f>loaded!AE825</f>
        <v>0</v>
      </c>
      <c r="N825" s="8">
        <f>loaded!AG825</f>
        <v>0</v>
      </c>
      <c r="O825" t="e">
        <f>INDEX(reces_codes,MATCH(loaded!AI825,reason,0))</f>
        <v>#N/A</v>
      </c>
      <c r="P825" t="e">
        <f>INDEX(TDS_codes,MATCH(loaded!AK825,TDS,0))</f>
        <v>#N/A</v>
      </c>
      <c r="Q825" t="e">
        <f>IF(K825=2,"",INDEX(method_codes,MATCH(loaded!AM825,method,0)))</f>
        <v>#N/A</v>
      </c>
      <c r="R825" t="e">
        <f>IF(K825=2,"",INDEX(inj_codes,MATCH(loaded!AO825,inj,0)))</f>
        <v>#N/A</v>
      </c>
      <c r="S825" t="e">
        <f>IF(K825=2,"",INDEX(drug_codes,MATCH(loaded!AQ825,drug,0)))</f>
        <v>#N/A</v>
      </c>
      <c r="T825" t="e">
        <f>IF(K825=2,"",_xlfn.IFNA(INDEX(drug_codes,MATCH(loaded!AS825,drug,0)),""))</f>
        <v>#N/A</v>
      </c>
      <c r="U825" t="e">
        <f>IF(K825=2,"",_xlfn.IFNA(INDEX(drug_codes,MATCH(loaded!AU825,drug,0)),""))</f>
        <v>#N/A</v>
      </c>
      <c r="V825" t="e">
        <f>IF(K825=2,"",_xlfn.IFNA(INDEX(drug_codes,MATCH(loaded!AW825,drug,0)),""))</f>
        <v>#N/A</v>
      </c>
      <c r="W825" t="e">
        <f>IF(K825=2,"",_xlfn.IFNA(INDEX(drug_codes,MATCH(loaded!AY825,drug,0)),""))</f>
        <v>#N/A</v>
      </c>
      <c r="X825" t="e">
        <f>IF(K825=2,"",_xlfn.IFNA(INDEX(drug_codes,MATCH(loaded!BA825,drug,0)),""))</f>
        <v>#N/A</v>
      </c>
      <c r="Y825" t="e">
        <f>INDEX(MTT_codes,MATCH(loaded!BC825,MTT,0))</f>
        <v>#N/A</v>
      </c>
      <c r="Z825" t="str">
        <f>_xlfn.IFNA(INDEX(MTT_codes,MATCH(loaded!BE825,MTT,0)),"")</f>
        <v/>
      </c>
      <c r="AA825" t="str">
        <f>_xlfn.IFNA(INDEX(MTT_codes,MATCH(loaded!BG825,MTT,0)),"")</f>
        <v/>
      </c>
      <c r="AB825" t="str">
        <f>_xlfn.IFNA(INDEX(MTT_codes,MATCH(loaded!BI825,MTT,0)),"")</f>
        <v/>
      </c>
      <c r="AC825" t="str">
        <f>_xlfn.IFNA(INDEX(MTT_codes,MATCH(loaded!BK825,MTT,0)),"")</f>
        <v/>
      </c>
      <c r="AD825" t="str">
        <f>_xlfn.IFNA(INDEX(MTT_codes,MATCH(loaded!BM825,MTT,0)),"")</f>
        <v/>
      </c>
      <c r="AE825" t="e">
        <f>INDEX(liv_ar_codes,MATCH(loaded!BO825,liv_ar,0))</f>
        <v>#N/A</v>
      </c>
      <c r="AF825" t="str">
        <f>_xlfn.IFNA(INDEX(MTT_codes,MATCH(loaded!BQ825,MTT,0)),"")</f>
        <v/>
      </c>
      <c r="AG825">
        <f>_xlfn.IFNA(INDEX(mental_codes,MATCH(loaded!BS825,mental,0)),9)</f>
        <v>9</v>
      </c>
    </row>
    <row r="826" spans="1:33" x14ac:dyDescent="0.25">
      <c r="A826">
        <f>loaded!C826</f>
        <v>0</v>
      </c>
      <c r="B826">
        <f>loaded!I826</f>
        <v>0</v>
      </c>
      <c r="C826">
        <f>IF(loaded!K826="Male",1,IF(loaded!K826="Female",2,9))</f>
        <v>9</v>
      </c>
      <c r="D826" s="8">
        <f>loaded!M826</f>
        <v>0</v>
      </c>
      <c r="E826" t="str">
        <f>LEFT(loaded!O826,3)</f>
        <v/>
      </c>
      <c r="F826" t="e">
        <f>INDEX(cntry_codes,MATCH(loaded!Q826,countries,0))</f>
        <v>#N/A</v>
      </c>
      <c r="G826" t="e">
        <f>INDEX(atsi_codes,MATCH(loaded!S826,atsi,0))</f>
        <v>#N/A</v>
      </c>
      <c r="H826" t="e">
        <f>INDEX(lang_codes,MATCH(loaded!U826,lang,0))</f>
        <v>#N/A</v>
      </c>
      <c r="I826" s="8">
        <f>loaded!W826</f>
        <v>0</v>
      </c>
      <c r="J826" t="e">
        <f>INDEX(us_acc_codes,MATCH(loaded!Y826,us_acc,0))</f>
        <v>#N/A</v>
      </c>
      <c r="K826" t="e">
        <f>INDEX(client_codes,MATCH(loaded!AA826,client,0))</f>
        <v>#N/A</v>
      </c>
      <c r="L826" t="e">
        <f>INDEX(src_ref_codes,MATCH(loaded!AC826,src_ref,0))</f>
        <v>#N/A</v>
      </c>
      <c r="M826" s="8">
        <f>loaded!AE826</f>
        <v>0</v>
      </c>
      <c r="N826" s="8">
        <f>loaded!AG826</f>
        <v>0</v>
      </c>
      <c r="O826" t="e">
        <f>INDEX(reces_codes,MATCH(loaded!AI826,reason,0))</f>
        <v>#N/A</v>
      </c>
      <c r="P826" t="e">
        <f>INDEX(TDS_codes,MATCH(loaded!AK826,TDS,0))</f>
        <v>#N/A</v>
      </c>
      <c r="Q826" t="e">
        <f>IF(K826=2,"",INDEX(method_codes,MATCH(loaded!AM826,method,0)))</f>
        <v>#N/A</v>
      </c>
      <c r="R826" t="e">
        <f>IF(K826=2,"",INDEX(inj_codes,MATCH(loaded!AO826,inj,0)))</f>
        <v>#N/A</v>
      </c>
      <c r="S826" t="e">
        <f>IF(K826=2,"",INDEX(drug_codes,MATCH(loaded!AQ826,drug,0)))</f>
        <v>#N/A</v>
      </c>
      <c r="T826" t="e">
        <f>IF(K826=2,"",_xlfn.IFNA(INDEX(drug_codes,MATCH(loaded!AS826,drug,0)),""))</f>
        <v>#N/A</v>
      </c>
      <c r="U826" t="e">
        <f>IF(K826=2,"",_xlfn.IFNA(INDEX(drug_codes,MATCH(loaded!AU826,drug,0)),""))</f>
        <v>#N/A</v>
      </c>
      <c r="V826" t="e">
        <f>IF(K826=2,"",_xlfn.IFNA(INDEX(drug_codes,MATCH(loaded!AW826,drug,0)),""))</f>
        <v>#N/A</v>
      </c>
      <c r="W826" t="e">
        <f>IF(K826=2,"",_xlfn.IFNA(INDEX(drug_codes,MATCH(loaded!AY826,drug,0)),""))</f>
        <v>#N/A</v>
      </c>
      <c r="X826" t="e">
        <f>IF(K826=2,"",_xlfn.IFNA(INDEX(drug_codes,MATCH(loaded!BA826,drug,0)),""))</f>
        <v>#N/A</v>
      </c>
      <c r="Y826" t="e">
        <f>INDEX(MTT_codes,MATCH(loaded!BC826,MTT,0))</f>
        <v>#N/A</v>
      </c>
      <c r="Z826" t="str">
        <f>_xlfn.IFNA(INDEX(MTT_codes,MATCH(loaded!BE826,MTT,0)),"")</f>
        <v/>
      </c>
      <c r="AA826" t="str">
        <f>_xlfn.IFNA(INDEX(MTT_codes,MATCH(loaded!BG826,MTT,0)),"")</f>
        <v/>
      </c>
      <c r="AB826" t="str">
        <f>_xlfn.IFNA(INDEX(MTT_codes,MATCH(loaded!BI826,MTT,0)),"")</f>
        <v/>
      </c>
      <c r="AC826" t="str">
        <f>_xlfn.IFNA(INDEX(MTT_codes,MATCH(loaded!BK826,MTT,0)),"")</f>
        <v/>
      </c>
      <c r="AD826" t="str">
        <f>_xlfn.IFNA(INDEX(MTT_codes,MATCH(loaded!BM826,MTT,0)),"")</f>
        <v/>
      </c>
      <c r="AE826" t="e">
        <f>INDEX(liv_ar_codes,MATCH(loaded!BO826,liv_ar,0))</f>
        <v>#N/A</v>
      </c>
      <c r="AF826" t="str">
        <f>_xlfn.IFNA(INDEX(MTT_codes,MATCH(loaded!BQ826,MTT,0)),"")</f>
        <v/>
      </c>
      <c r="AG826">
        <f>_xlfn.IFNA(INDEX(mental_codes,MATCH(loaded!BS826,mental,0)),9)</f>
        <v>9</v>
      </c>
    </row>
    <row r="827" spans="1:33" x14ac:dyDescent="0.25">
      <c r="A827">
        <f>loaded!C827</f>
        <v>0</v>
      </c>
      <c r="B827">
        <f>loaded!I827</f>
        <v>0</v>
      </c>
      <c r="C827">
        <f>IF(loaded!K827="Male",1,IF(loaded!K827="Female",2,9))</f>
        <v>9</v>
      </c>
      <c r="D827" s="8">
        <f>loaded!M827</f>
        <v>0</v>
      </c>
      <c r="E827" t="str">
        <f>LEFT(loaded!O827,3)</f>
        <v/>
      </c>
      <c r="F827" t="e">
        <f>INDEX(cntry_codes,MATCH(loaded!Q827,countries,0))</f>
        <v>#N/A</v>
      </c>
      <c r="G827" t="e">
        <f>INDEX(atsi_codes,MATCH(loaded!S827,atsi,0))</f>
        <v>#N/A</v>
      </c>
      <c r="H827" t="e">
        <f>INDEX(lang_codes,MATCH(loaded!U827,lang,0))</f>
        <v>#N/A</v>
      </c>
      <c r="I827" s="8">
        <f>loaded!W827</f>
        <v>0</v>
      </c>
      <c r="J827" t="e">
        <f>INDEX(us_acc_codes,MATCH(loaded!Y827,us_acc,0))</f>
        <v>#N/A</v>
      </c>
      <c r="K827" t="e">
        <f>INDEX(client_codes,MATCH(loaded!AA827,client,0))</f>
        <v>#N/A</v>
      </c>
      <c r="L827" t="e">
        <f>INDEX(src_ref_codes,MATCH(loaded!AC827,src_ref,0))</f>
        <v>#N/A</v>
      </c>
      <c r="M827" s="8">
        <f>loaded!AE827</f>
        <v>0</v>
      </c>
      <c r="N827" s="8">
        <f>loaded!AG827</f>
        <v>0</v>
      </c>
      <c r="O827" t="e">
        <f>INDEX(reces_codes,MATCH(loaded!AI827,reason,0))</f>
        <v>#N/A</v>
      </c>
      <c r="P827" t="e">
        <f>INDEX(TDS_codes,MATCH(loaded!AK827,TDS,0))</f>
        <v>#N/A</v>
      </c>
      <c r="Q827" t="e">
        <f>IF(K827=2,"",INDEX(method_codes,MATCH(loaded!AM827,method,0)))</f>
        <v>#N/A</v>
      </c>
      <c r="R827" t="e">
        <f>IF(K827=2,"",INDEX(inj_codes,MATCH(loaded!AO827,inj,0)))</f>
        <v>#N/A</v>
      </c>
      <c r="S827" t="e">
        <f>IF(K827=2,"",INDEX(drug_codes,MATCH(loaded!AQ827,drug,0)))</f>
        <v>#N/A</v>
      </c>
      <c r="T827" t="e">
        <f>IF(K827=2,"",_xlfn.IFNA(INDEX(drug_codes,MATCH(loaded!AS827,drug,0)),""))</f>
        <v>#N/A</v>
      </c>
      <c r="U827" t="e">
        <f>IF(K827=2,"",_xlfn.IFNA(INDEX(drug_codes,MATCH(loaded!AU827,drug,0)),""))</f>
        <v>#N/A</v>
      </c>
      <c r="V827" t="e">
        <f>IF(K827=2,"",_xlfn.IFNA(INDEX(drug_codes,MATCH(loaded!AW827,drug,0)),""))</f>
        <v>#N/A</v>
      </c>
      <c r="W827" t="e">
        <f>IF(K827=2,"",_xlfn.IFNA(INDEX(drug_codes,MATCH(loaded!AY827,drug,0)),""))</f>
        <v>#N/A</v>
      </c>
      <c r="X827" t="e">
        <f>IF(K827=2,"",_xlfn.IFNA(INDEX(drug_codes,MATCH(loaded!BA827,drug,0)),""))</f>
        <v>#N/A</v>
      </c>
      <c r="Y827" t="e">
        <f>INDEX(MTT_codes,MATCH(loaded!BC827,MTT,0))</f>
        <v>#N/A</v>
      </c>
      <c r="Z827" t="str">
        <f>_xlfn.IFNA(INDEX(MTT_codes,MATCH(loaded!BE827,MTT,0)),"")</f>
        <v/>
      </c>
      <c r="AA827" t="str">
        <f>_xlfn.IFNA(INDEX(MTT_codes,MATCH(loaded!BG827,MTT,0)),"")</f>
        <v/>
      </c>
      <c r="AB827" t="str">
        <f>_xlfn.IFNA(INDEX(MTT_codes,MATCH(loaded!BI827,MTT,0)),"")</f>
        <v/>
      </c>
      <c r="AC827" t="str">
        <f>_xlfn.IFNA(INDEX(MTT_codes,MATCH(loaded!BK827,MTT,0)),"")</f>
        <v/>
      </c>
      <c r="AD827" t="str">
        <f>_xlfn.IFNA(INDEX(MTT_codes,MATCH(loaded!BM827,MTT,0)),"")</f>
        <v/>
      </c>
      <c r="AE827" t="e">
        <f>INDEX(liv_ar_codes,MATCH(loaded!BO827,liv_ar,0))</f>
        <v>#N/A</v>
      </c>
      <c r="AF827" t="str">
        <f>_xlfn.IFNA(INDEX(MTT_codes,MATCH(loaded!BQ827,MTT,0)),"")</f>
        <v/>
      </c>
      <c r="AG827">
        <f>_xlfn.IFNA(INDEX(mental_codes,MATCH(loaded!BS827,mental,0)),9)</f>
        <v>9</v>
      </c>
    </row>
    <row r="828" spans="1:33" x14ac:dyDescent="0.25">
      <c r="A828">
        <f>loaded!C828</f>
        <v>0</v>
      </c>
      <c r="B828">
        <f>loaded!I828</f>
        <v>0</v>
      </c>
      <c r="C828">
        <f>IF(loaded!K828="Male",1,IF(loaded!K828="Female",2,9))</f>
        <v>9</v>
      </c>
      <c r="D828" s="8">
        <f>loaded!M828</f>
        <v>0</v>
      </c>
      <c r="E828" t="str">
        <f>LEFT(loaded!O828,3)</f>
        <v/>
      </c>
      <c r="F828" t="e">
        <f>INDEX(cntry_codes,MATCH(loaded!Q828,countries,0))</f>
        <v>#N/A</v>
      </c>
      <c r="G828" t="e">
        <f>INDEX(atsi_codes,MATCH(loaded!S828,atsi,0))</f>
        <v>#N/A</v>
      </c>
      <c r="H828" t="e">
        <f>INDEX(lang_codes,MATCH(loaded!U828,lang,0))</f>
        <v>#N/A</v>
      </c>
      <c r="I828" s="8">
        <f>loaded!W828</f>
        <v>0</v>
      </c>
      <c r="J828" t="e">
        <f>INDEX(us_acc_codes,MATCH(loaded!Y828,us_acc,0))</f>
        <v>#N/A</v>
      </c>
      <c r="K828" t="e">
        <f>INDEX(client_codes,MATCH(loaded!AA828,client,0))</f>
        <v>#N/A</v>
      </c>
      <c r="L828" t="e">
        <f>INDEX(src_ref_codes,MATCH(loaded!AC828,src_ref,0))</f>
        <v>#N/A</v>
      </c>
      <c r="M828" s="8">
        <f>loaded!AE828</f>
        <v>0</v>
      </c>
      <c r="N828" s="8">
        <f>loaded!AG828</f>
        <v>0</v>
      </c>
      <c r="O828" t="e">
        <f>INDEX(reces_codes,MATCH(loaded!AI828,reason,0))</f>
        <v>#N/A</v>
      </c>
      <c r="P828" t="e">
        <f>INDEX(TDS_codes,MATCH(loaded!AK828,TDS,0))</f>
        <v>#N/A</v>
      </c>
      <c r="Q828" t="e">
        <f>IF(K828=2,"",INDEX(method_codes,MATCH(loaded!AM828,method,0)))</f>
        <v>#N/A</v>
      </c>
      <c r="R828" t="e">
        <f>IF(K828=2,"",INDEX(inj_codes,MATCH(loaded!AO828,inj,0)))</f>
        <v>#N/A</v>
      </c>
      <c r="S828" t="e">
        <f>IF(K828=2,"",INDEX(drug_codes,MATCH(loaded!AQ828,drug,0)))</f>
        <v>#N/A</v>
      </c>
      <c r="T828" t="e">
        <f>IF(K828=2,"",_xlfn.IFNA(INDEX(drug_codes,MATCH(loaded!AS828,drug,0)),""))</f>
        <v>#N/A</v>
      </c>
      <c r="U828" t="e">
        <f>IF(K828=2,"",_xlfn.IFNA(INDEX(drug_codes,MATCH(loaded!AU828,drug,0)),""))</f>
        <v>#N/A</v>
      </c>
      <c r="V828" t="e">
        <f>IF(K828=2,"",_xlfn.IFNA(INDEX(drug_codes,MATCH(loaded!AW828,drug,0)),""))</f>
        <v>#N/A</v>
      </c>
      <c r="W828" t="e">
        <f>IF(K828=2,"",_xlfn.IFNA(INDEX(drug_codes,MATCH(loaded!AY828,drug,0)),""))</f>
        <v>#N/A</v>
      </c>
      <c r="X828" t="e">
        <f>IF(K828=2,"",_xlfn.IFNA(INDEX(drug_codes,MATCH(loaded!BA828,drug,0)),""))</f>
        <v>#N/A</v>
      </c>
      <c r="Y828" t="e">
        <f>INDEX(MTT_codes,MATCH(loaded!BC828,MTT,0))</f>
        <v>#N/A</v>
      </c>
      <c r="Z828" t="str">
        <f>_xlfn.IFNA(INDEX(MTT_codes,MATCH(loaded!BE828,MTT,0)),"")</f>
        <v/>
      </c>
      <c r="AA828" t="str">
        <f>_xlfn.IFNA(INDEX(MTT_codes,MATCH(loaded!BG828,MTT,0)),"")</f>
        <v/>
      </c>
      <c r="AB828" t="str">
        <f>_xlfn.IFNA(INDEX(MTT_codes,MATCH(loaded!BI828,MTT,0)),"")</f>
        <v/>
      </c>
      <c r="AC828" t="str">
        <f>_xlfn.IFNA(INDEX(MTT_codes,MATCH(loaded!BK828,MTT,0)),"")</f>
        <v/>
      </c>
      <c r="AD828" t="str">
        <f>_xlfn.IFNA(INDEX(MTT_codes,MATCH(loaded!BM828,MTT,0)),"")</f>
        <v/>
      </c>
      <c r="AE828" t="e">
        <f>INDEX(liv_ar_codes,MATCH(loaded!BO828,liv_ar,0))</f>
        <v>#N/A</v>
      </c>
      <c r="AF828" t="str">
        <f>_xlfn.IFNA(INDEX(MTT_codes,MATCH(loaded!BQ828,MTT,0)),"")</f>
        <v/>
      </c>
      <c r="AG828">
        <f>_xlfn.IFNA(INDEX(mental_codes,MATCH(loaded!BS828,mental,0)),9)</f>
        <v>9</v>
      </c>
    </row>
    <row r="829" spans="1:33" x14ac:dyDescent="0.25">
      <c r="A829">
        <f>loaded!C829</f>
        <v>0</v>
      </c>
      <c r="B829">
        <f>loaded!I829</f>
        <v>0</v>
      </c>
      <c r="C829">
        <f>IF(loaded!K829="Male",1,IF(loaded!K829="Female",2,9))</f>
        <v>9</v>
      </c>
      <c r="D829" s="8">
        <f>loaded!M829</f>
        <v>0</v>
      </c>
      <c r="E829" t="str">
        <f>LEFT(loaded!O829,3)</f>
        <v/>
      </c>
      <c r="F829" t="e">
        <f>INDEX(cntry_codes,MATCH(loaded!Q829,countries,0))</f>
        <v>#N/A</v>
      </c>
      <c r="G829" t="e">
        <f>INDEX(atsi_codes,MATCH(loaded!S829,atsi,0))</f>
        <v>#N/A</v>
      </c>
      <c r="H829" t="e">
        <f>INDEX(lang_codes,MATCH(loaded!U829,lang,0))</f>
        <v>#N/A</v>
      </c>
      <c r="I829" s="8">
        <f>loaded!W829</f>
        <v>0</v>
      </c>
      <c r="J829" t="e">
        <f>INDEX(us_acc_codes,MATCH(loaded!Y829,us_acc,0))</f>
        <v>#N/A</v>
      </c>
      <c r="K829" t="e">
        <f>INDEX(client_codes,MATCH(loaded!AA829,client,0))</f>
        <v>#N/A</v>
      </c>
      <c r="L829" t="e">
        <f>INDEX(src_ref_codes,MATCH(loaded!AC829,src_ref,0))</f>
        <v>#N/A</v>
      </c>
      <c r="M829" s="8">
        <f>loaded!AE829</f>
        <v>0</v>
      </c>
      <c r="N829" s="8">
        <f>loaded!AG829</f>
        <v>0</v>
      </c>
      <c r="O829" t="e">
        <f>INDEX(reces_codes,MATCH(loaded!AI829,reason,0))</f>
        <v>#N/A</v>
      </c>
      <c r="P829" t="e">
        <f>INDEX(TDS_codes,MATCH(loaded!AK829,TDS,0))</f>
        <v>#N/A</v>
      </c>
      <c r="Q829" t="e">
        <f>IF(K829=2,"",INDEX(method_codes,MATCH(loaded!AM829,method,0)))</f>
        <v>#N/A</v>
      </c>
      <c r="R829" t="e">
        <f>IF(K829=2,"",INDEX(inj_codes,MATCH(loaded!AO829,inj,0)))</f>
        <v>#N/A</v>
      </c>
      <c r="S829" t="e">
        <f>IF(K829=2,"",INDEX(drug_codes,MATCH(loaded!AQ829,drug,0)))</f>
        <v>#N/A</v>
      </c>
      <c r="T829" t="e">
        <f>IF(K829=2,"",_xlfn.IFNA(INDEX(drug_codes,MATCH(loaded!AS829,drug,0)),""))</f>
        <v>#N/A</v>
      </c>
      <c r="U829" t="e">
        <f>IF(K829=2,"",_xlfn.IFNA(INDEX(drug_codes,MATCH(loaded!AU829,drug,0)),""))</f>
        <v>#N/A</v>
      </c>
      <c r="V829" t="e">
        <f>IF(K829=2,"",_xlfn.IFNA(INDEX(drug_codes,MATCH(loaded!AW829,drug,0)),""))</f>
        <v>#N/A</v>
      </c>
      <c r="W829" t="e">
        <f>IF(K829=2,"",_xlfn.IFNA(INDEX(drug_codes,MATCH(loaded!AY829,drug,0)),""))</f>
        <v>#N/A</v>
      </c>
      <c r="X829" t="e">
        <f>IF(K829=2,"",_xlfn.IFNA(INDEX(drug_codes,MATCH(loaded!BA829,drug,0)),""))</f>
        <v>#N/A</v>
      </c>
      <c r="Y829" t="e">
        <f>INDEX(MTT_codes,MATCH(loaded!BC829,MTT,0))</f>
        <v>#N/A</v>
      </c>
      <c r="Z829" t="str">
        <f>_xlfn.IFNA(INDEX(MTT_codes,MATCH(loaded!BE829,MTT,0)),"")</f>
        <v/>
      </c>
      <c r="AA829" t="str">
        <f>_xlfn.IFNA(INDEX(MTT_codes,MATCH(loaded!BG829,MTT,0)),"")</f>
        <v/>
      </c>
      <c r="AB829" t="str">
        <f>_xlfn.IFNA(INDEX(MTT_codes,MATCH(loaded!BI829,MTT,0)),"")</f>
        <v/>
      </c>
      <c r="AC829" t="str">
        <f>_xlfn.IFNA(INDEX(MTT_codes,MATCH(loaded!BK829,MTT,0)),"")</f>
        <v/>
      </c>
      <c r="AD829" t="str">
        <f>_xlfn.IFNA(INDEX(MTT_codes,MATCH(loaded!BM829,MTT,0)),"")</f>
        <v/>
      </c>
      <c r="AE829" t="e">
        <f>INDEX(liv_ar_codes,MATCH(loaded!BO829,liv_ar,0))</f>
        <v>#N/A</v>
      </c>
      <c r="AF829" t="str">
        <f>_xlfn.IFNA(INDEX(MTT_codes,MATCH(loaded!BQ829,MTT,0)),"")</f>
        <v/>
      </c>
      <c r="AG829">
        <f>_xlfn.IFNA(INDEX(mental_codes,MATCH(loaded!BS829,mental,0)),9)</f>
        <v>9</v>
      </c>
    </row>
    <row r="830" spans="1:33" x14ac:dyDescent="0.25">
      <c r="A830">
        <f>loaded!C830</f>
        <v>0</v>
      </c>
      <c r="B830">
        <f>loaded!I830</f>
        <v>0</v>
      </c>
      <c r="C830">
        <f>IF(loaded!K830="Male",1,IF(loaded!K830="Female",2,9))</f>
        <v>9</v>
      </c>
      <c r="D830" s="8">
        <f>loaded!M830</f>
        <v>0</v>
      </c>
      <c r="E830" t="str">
        <f>LEFT(loaded!O830,3)</f>
        <v/>
      </c>
      <c r="F830" t="e">
        <f>INDEX(cntry_codes,MATCH(loaded!Q830,countries,0))</f>
        <v>#N/A</v>
      </c>
      <c r="G830" t="e">
        <f>INDEX(atsi_codes,MATCH(loaded!S830,atsi,0))</f>
        <v>#N/A</v>
      </c>
      <c r="H830" t="e">
        <f>INDEX(lang_codes,MATCH(loaded!U830,lang,0))</f>
        <v>#N/A</v>
      </c>
      <c r="I830" s="8">
        <f>loaded!W830</f>
        <v>0</v>
      </c>
      <c r="J830" t="e">
        <f>INDEX(us_acc_codes,MATCH(loaded!Y830,us_acc,0))</f>
        <v>#N/A</v>
      </c>
      <c r="K830" t="e">
        <f>INDEX(client_codes,MATCH(loaded!AA830,client,0))</f>
        <v>#N/A</v>
      </c>
      <c r="L830" t="e">
        <f>INDEX(src_ref_codes,MATCH(loaded!AC830,src_ref,0))</f>
        <v>#N/A</v>
      </c>
      <c r="M830" s="8">
        <f>loaded!AE830</f>
        <v>0</v>
      </c>
      <c r="N830" s="8">
        <f>loaded!AG830</f>
        <v>0</v>
      </c>
      <c r="O830" t="e">
        <f>INDEX(reces_codes,MATCH(loaded!AI830,reason,0))</f>
        <v>#N/A</v>
      </c>
      <c r="P830" t="e">
        <f>INDEX(TDS_codes,MATCH(loaded!AK830,TDS,0))</f>
        <v>#N/A</v>
      </c>
      <c r="Q830" t="e">
        <f>IF(K830=2,"",INDEX(method_codes,MATCH(loaded!AM830,method,0)))</f>
        <v>#N/A</v>
      </c>
      <c r="R830" t="e">
        <f>IF(K830=2,"",INDEX(inj_codes,MATCH(loaded!AO830,inj,0)))</f>
        <v>#N/A</v>
      </c>
      <c r="S830" t="e">
        <f>IF(K830=2,"",INDEX(drug_codes,MATCH(loaded!AQ830,drug,0)))</f>
        <v>#N/A</v>
      </c>
      <c r="T830" t="e">
        <f>IF(K830=2,"",_xlfn.IFNA(INDEX(drug_codes,MATCH(loaded!AS830,drug,0)),""))</f>
        <v>#N/A</v>
      </c>
      <c r="U830" t="e">
        <f>IF(K830=2,"",_xlfn.IFNA(INDEX(drug_codes,MATCH(loaded!AU830,drug,0)),""))</f>
        <v>#N/A</v>
      </c>
      <c r="V830" t="e">
        <f>IF(K830=2,"",_xlfn.IFNA(INDEX(drug_codes,MATCH(loaded!AW830,drug,0)),""))</f>
        <v>#N/A</v>
      </c>
      <c r="W830" t="e">
        <f>IF(K830=2,"",_xlfn.IFNA(INDEX(drug_codes,MATCH(loaded!AY830,drug,0)),""))</f>
        <v>#N/A</v>
      </c>
      <c r="X830" t="e">
        <f>IF(K830=2,"",_xlfn.IFNA(INDEX(drug_codes,MATCH(loaded!BA830,drug,0)),""))</f>
        <v>#N/A</v>
      </c>
      <c r="Y830" t="e">
        <f>INDEX(MTT_codes,MATCH(loaded!BC830,MTT,0))</f>
        <v>#N/A</v>
      </c>
      <c r="Z830" t="str">
        <f>_xlfn.IFNA(INDEX(MTT_codes,MATCH(loaded!BE830,MTT,0)),"")</f>
        <v/>
      </c>
      <c r="AA830" t="str">
        <f>_xlfn.IFNA(INDEX(MTT_codes,MATCH(loaded!BG830,MTT,0)),"")</f>
        <v/>
      </c>
      <c r="AB830" t="str">
        <f>_xlfn.IFNA(INDEX(MTT_codes,MATCH(loaded!BI830,MTT,0)),"")</f>
        <v/>
      </c>
      <c r="AC830" t="str">
        <f>_xlfn.IFNA(INDEX(MTT_codes,MATCH(loaded!BK830,MTT,0)),"")</f>
        <v/>
      </c>
      <c r="AD830" t="str">
        <f>_xlfn.IFNA(INDEX(MTT_codes,MATCH(loaded!BM830,MTT,0)),"")</f>
        <v/>
      </c>
      <c r="AE830" t="e">
        <f>INDEX(liv_ar_codes,MATCH(loaded!BO830,liv_ar,0))</f>
        <v>#N/A</v>
      </c>
      <c r="AF830" t="str">
        <f>_xlfn.IFNA(INDEX(MTT_codes,MATCH(loaded!BQ830,MTT,0)),"")</f>
        <v/>
      </c>
      <c r="AG830">
        <f>_xlfn.IFNA(INDEX(mental_codes,MATCH(loaded!BS830,mental,0)),9)</f>
        <v>9</v>
      </c>
    </row>
    <row r="831" spans="1:33" x14ac:dyDescent="0.25">
      <c r="A831">
        <f>loaded!C831</f>
        <v>0</v>
      </c>
      <c r="B831">
        <f>loaded!I831</f>
        <v>0</v>
      </c>
      <c r="C831">
        <f>IF(loaded!K831="Male",1,IF(loaded!K831="Female",2,9))</f>
        <v>9</v>
      </c>
      <c r="D831" s="8">
        <f>loaded!M831</f>
        <v>0</v>
      </c>
      <c r="E831" t="str">
        <f>LEFT(loaded!O831,3)</f>
        <v/>
      </c>
      <c r="F831" t="e">
        <f>INDEX(cntry_codes,MATCH(loaded!Q831,countries,0))</f>
        <v>#N/A</v>
      </c>
      <c r="G831" t="e">
        <f>INDEX(atsi_codes,MATCH(loaded!S831,atsi,0))</f>
        <v>#N/A</v>
      </c>
      <c r="H831" t="e">
        <f>INDEX(lang_codes,MATCH(loaded!U831,lang,0))</f>
        <v>#N/A</v>
      </c>
      <c r="I831" s="8">
        <f>loaded!W831</f>
        <v>0</v>
      </c>
      <c r="J831" t="e">
        <f>INDEX(us_acc_codes,MATCH(loaded!Y831,us_acc,0))</f>
        <v>#N/A</v>
      </c>
      <c r="K831" t="e">
        <f>INDEX(client_codes,MATCH(loaded!AA831,client,0))</f>
        <v>#N/A</v>
      </c>
      <c r="L831" t="e">
        <f>INDEX(src_ref_codes,MATCH(loaded!AC831,src_ref,0))</f>
        <v>#N/A</v>
      </c>
      <c r="M831" s="8">
        <f>loaded!AE831</f>
        <v>0</v>
      </c>
      <c r="N831" s="8">
        <f>loaded!AG831</f>
        <v>0</v>
      </c>
      <c r="O831" t="e">
        <f>INDEX(reces_codes,MATCH(loaded!AI831,reason,0))</f>
        <v>#N/A</v>
      </c>
      <c r="P831" t="e">
        <f>INDEX(TDS_codes,MATCH(loaded!AK831,TDS,0))</f>
        <v>#N/A</v>
      </c>
      <c r="Q831" t="e">
        <f>IF(K831=2,"",INDEX(method_codes,MATCH(loaded!AM831,method,0)))</f>
        <v>#N/A</v>
      </c>
      <c r="R831" t="e">
        <f>IF(K831=2,"",INDEX(inj_codes,MATCH(loaded!AO831,inj,0)))</f>
        <v>#N/A</v>
      </c>
      <c r="S831" t="e">
        <f>IF(K831=2,"",INDEX(drug_codes,MATCH(loaded!AQ831,drug,0)))</f>
        <v>#N/A</v>
      </c>
      <c r="T831" t="e">
        <f>IF(K831=2,"",_xlfn.IFNA(INDEX(drug_codes,MATCH(loaded!AS831,drug,0)),""))</f>
        <v>#N/A</v>
      </c>
      <c r="U831" t="e">
        <f>IF(K831=2,"",_xlfn.IFNA(INDEX(drug_codes,MATCH(loaded!AU831,drug,0)),""))</f>
        <v>#N/A</v>
      </c>
      <c r="V831" t="e">
        <f>IF(K831=2,"",_xlfn.IFNA(INDEX(drug_codes,MATCH(loaded!AW831,drug,0)),""))</f>
        <v>#N/A</v>
      </c>
      <c r="W831" t="e">
        <f>IF(K831=2,"",_xlfn.IFNA(INDEX(drug_codes,MATCH(loaded!AY831,drug,0)),""))</f>
        <v>#N/A</v>
      </c>
      <c r="X831" t="e">
        <f>IF(K831=2,"",_xlfn.IFNA(INDEX(drug_codes,MATCH(loaded!BA831,drug,0)),""))</f>
        <v>#N/A</v>
      </c>
      <c r="Y831" t="e">
        <f>INDEX(MTT_codes,MATCH(loaded!BC831,MTT,0))</f>
        <v>#N/A</v>
      </c>
      <c r="Z831" t="str">
        <f>_xlfn.IFNA(INDEX(MTT_codes,MATCH(loaded!BE831,MTT,0)),"")</f>
        <v/>
      </c>
      <c r="AA831" t="str">
        <f>_xlfn.IFNA(INDEX(MTT_codes,MATCH(loaded!BG831,MTT,0)),"")</f>
        <v/>
      </c>
      <c r="AB831" t="str">
        <f>_xlfn.IFNA(INDEX(MTT_codes,MATCH(loaded!BI831,MTT,0)),"")</f>
        <v/>
      </c>
      <c r="AC831" t="str">
        <f>_xlfn.IFNA(INDEX(MTT_codes,MATCH(loaded!BK831,MTT,0)),"")</f>
        <v/>
      </c>
      <c r="AD831" t="str">
        <f>_xlfn.IFNA(INDEX(MTT_codes,MATCH(loaded!BM831,MTT,0)),"")</f>
        <v/>
      </c>
      <c r="AE831" t="e">
        <f>INDEX(liv_ar_codes,MATCH(loaded!BO831,liv_ar,0))</f>
        <v>#N/A</v>
      </c>
      <c r="AF831" t="str">
        <f>_xlfn.IFNA(INDEX(MTT_codes,MATCH(loaded!BQ831,MTT,0)),"")</f>
        <v/>
      </c>
      <c r="AG831">
        <f>_xlfn.IFNA(INDEX(mental_codes,MATCH(loaded!BS831,mental,0)),9)</f>
        <v>9</v>
      </c>
    </row>
    <row r="832" spans="1:33" x14ac:dyDescent="0.25">
      <c r="A832">
        <f>loaded!C832</f>
        <v>0</v>
      </c>
      <c r="B832">
        <f>loaded!I832</f>
        <v>0</v>
      </c>
      <c r="C832">
        <f>IF(loaded!K832="Male",1,IF(loaded!K832="Female",2,9))</f>
        <v>9</v>
      </c>
      <c r="D832" s="8">
        <f>loaded!M832</f>
        <v>0</v>
      </c>
      <c r="E832" t="str">
        <f>LEFT(loaded!O832,3)</f>
        <v/>
      </c>
      <c r="F832" t="e">
        <f>INDEX(cntry_codes,MATCH(loaded!Q832,countries,0))</f>
        <v>#N/A</v>
      </c>
      <c r="G832" t="e">
        <f>INDEX(atsi_codes,MATCH(loaded!S832,atsi,0))</f>
        <v>#N/A</v>
      </c>
      <c r="H832" t="e">
        <f>INDEX(lang_codes,MATCH(loaded!U832,lang,0))</f>
        <v>#N/A</v>
      </c>
      <c r="I832" s="8">
        <f>loaded!W832</f>
        <v>0</v>
      </c>
      <c r="J832" t="e">
        <f>INDEX(us_acc_codes,MATCH(loaded!Y832,us_acc,0))</f>
        <v>#N/A</v>
      </c>
      <c r="K832" t="e">
        <f>INDEX(client_codes,MATCH(loaded!AA832,client,0))</f>
        <v>#N/A</v>
      </c>
      <c r="L832" t="e">
        <f>INDEX(src_ref_codes,MATCH(loaded!AC832,src_ref,0))</f>
        <v>#N/A</v>
      </c>
      <c r="M832" s="8">
        <f>loaded!AE832</f>
        <v>0</v>
      </c>
      <c r="N832" s="8">
        <f>loaded!AG832</f>
        <v>0</v>
      </c>
      <c r="O832" t="e">
        <f>INDEX(reces_codes,MATCH(loaded!AI832,reason,0))</f>
        <v>#N/A</v>
      </c>
      <c r="P832" t="e">
        <f>INDEX(TDS_codes,MATCH(loaded!AK832,TDS,0))</f>
        <v>#N/A</v>
      </c>
      <c r="Q832" t="e">
        <f>IF(K832=2,"",INDEX(method_codes,MATCH(loaded!AM832,method,0)))</f>
        <v>#N/A</v>
      </c>
      <c r="R832" t="e">
        <f>IF(K832=2,"",INDEX(inj_codes,MATCH(loaded!AO832,inj,0)))</f>
        <v>#N/A</v>
      </c>
      <c r="S832" t="e">
        <f>IF(K832=2,"",INDEX(drug_codes,MATCH(loaded!AQ832,drug,0)))</f>
        <v>#N/A</v>
      </c>
      <c r="T832" t="e">
        <f>IF(K832=2,"",_xlfn.IFNA(INDEX(drug_codes,MATCH(loaded!AS832,drug,0)),""))</f>
        <v>#N/A</v>
      </c>
      <c r="U832" t="e">
        <f>IF(K832=2,"",_xlfn.IFNA(INDEX(drug_codes,MATCH(loaded!AU832,drug,0)),""))</f>
        <v>#N/A</v>
      </c>
      <c r="V832" t="e">
        <f>IF(K832=2,"",_xlfn.IFNA(INDEX(drug_codes,MATCH(loaded!AW832,drug,0)),""))</f>
        <v>#N/A</v>
      </c>
      <c r="W832" t="e">
        <f>IF(K832=2,"",_xlfn.IFNA(INDEX(drug_codes,MATCH(loaded!AY832,drug,0)),""))</f>
        <v>#N/A</v>
      </c>
      <c r="X832" t="e">
        <f>IF(K832=2,"",_xlfn.IFNA(INDEX(drug_codes,MATCH(loaded!BA832,drug,0)),""))</f>
        <v>#N/A</v>
      </c>
      <c r="Y832" t="e">
        <f>INDEX(MTT_codes,MATCH(loaded!BC832,MTT,0))</f>
        <v>#N/A</v>
      </c>
      <c r="Z832" t="str">
        <f>_xlfn.IFNA(INDEX(MTT_codes,MATCH(loaded!BE832,MTT,0)),"")</f>
        <v/>
      </c>
      <c r="AA832" t="str">
        <f>_xlfn.IFNA(INDEX(MTT_codes,MATCH(loaded!BG832,MTT,0)),"")</f>
        <v/>
      </c>
      <c r="AB832" t="str">
        <f>_xlfn.IFNA(INDEX(MTT_codes,MATCH(loaded!BI832,MTT,0)),"")</f>
        <v/>
      </c>
      <c r="AC832" t="str">
        <f>_xlfn.IFNA(INDEX(MTT_codes,MATCH(loaded!BK832,MTT,0)),"")</f>
        <v/>
      </c>
      <c r="AD832" t="str">
        <f>_xlfn.IFNA(INDEX(MTT_codes,MATCH(loaded!BM832,MTT,0)),"")</f>
        <v/>
      </c>
      <c r="AE832" t="e">
        <f>INDEX(liv_ar_codes,MATCH(loaded!BO832,liv_ar,0))</f>
        <v>#N/A</v>
      </c>
      <c r="AF832" t="str">
        <f>_xlfn.IFNA(INDEX(MTT_codes,MATCH(loaded!BQ832,MTT,0)),"")</f>
        <v/>
      </c>
      <c r="AG832">
        <f>_xlfn.IFNA(INDEX(mental_codes,MATCH(loaded!BS832,mental,0)),9)</f>
        <v>9</v>
      </c>
    </row>
    <row r="833" spans="1:33" x14ac:dyDescent="0.25">
      <c r="A833">
        <f>loaded!C833</f>
        <v>0</v>
      </c>
      <c r="B833">
        <f>loaded!I833</f>
        <v>0</v>
      </c>
      <c r="C833">
        <f>IF(loaded!K833="Male",1,IF(loaded!K833="Female",2,9))</f>
        <v>9</v>
      </c>
      <c r="D833" s="8">
        <f>loaded!M833</f>
        <v>0</v>
      </c>
      <c r="E833" t="str">
        <f>LEFT(loaded!O833,3)</f>
        <v/>
      </c>
      <c r="F833" t="e">
        <f>INDEX(cntry_codes,MATCH(loaded!Q833,countries,0))</f>
        <v>#N/A</v>
      </c>
      <c r="G833" t="e">
        <f>INDEX(atsi_codes,MATCH(loaded!S833,atsi,0))</f>
        <v>#N/A</v>
      </c>
      <c r="H833" t="e">
        <f>INDEX(lang_codes,MATCH(loaded!U833,lang,0))</f>
        <v>#N/A</v>
      </c>
      <c r="I833" s="8">
        <f>loaded!W833</f>
        <v>0</v>
      </c>
      <c r="J833" t="e">
        <f>INDEX(us_acc_codes,MATCH(loaded!Y833,us_acc,0))</f>
        <v>#N/A</v>
      </c>
      <c r="K833" t="e">
        <f>INDEX(client_codes,MATCH(loaded!AA833,client,0))</f>
        <v>#N/A</v>
      </c>
      <c r="L833" t="e">
        <f>INDEX(src_ref_codes,MATCH(loaded!AC833,src_ref,0))</f>
        <v>#N/A</v>
      </c>
      <c r="M833" s="8">
        <f>loaded!AE833</f>
        <v>0</v>
      </c>
      <c r="N833" s="8">
        <f>loaded!AG833</f>
        <v>0</v>
      </c>
      <c r="O833" t="e">
        <f>INDEX(reces_codes,MATCH(loaded!AI833,reason,0))</f>
        <v>#N/A</v>
      </c>
      <c r="P833" t="e">
        <f>INDEX(TDS_codes,MATCH(loaded!AK833,TDS,0))</f>
        <v>#N/A</v>
      </c>
      <c r="Q833" t="e">
        <f>IF(K833=2,"",INDEX(method_codes,MATCH(loaded!AM833,method,0)))</f>
        <v>#N/A</v>
      </c>
      <c r="R833" t="e">
        <f>IF(K833=2,"",INDEX(inj_codes,MATCH(loaded!AO833,inj,0)))</f>
        <v>#N/A</v>
      </c>
      <c r="S833" t="e">
        <f>IF(K833=2,"",INDEX(drug_codes,MATCH(loaded!AQ833,drug,0)))</f>
        <v>#N/A</v>
      </c>
      <c r="T833" t="e">
        <f>IF(K833=2,"",_xlfn.IFNA(INDEX(drug_codes,MATCH(loaded!AS833,drug,0)),""))</f>
        <v>#N/A</v>
      </c>
      <c r="U833" t="e">
        <f>IF(K833=2,"",_xlfn.IFNA(INDEX(drug_codes,MATCH(loaded!AU833,drug,0)),""))</f>
        <v>#N/A</v>
      </c>
      <c r="V833" t="e">
        <f>IF(K833=2,"",_xlfn.IFNA(INDEX(drug_codes,MATCH(loaded!AW833,drug,0)),""))</f>
        <v>#N/A</v>
      </c>
      <c r="W833" t="e">
        <f>IF(K833=2,"",_xlfn.IFNA(INDEX(drug_codes,MATCH(loaded!AY833,drug,0)),""))</f>
        <v>#N/A</v>
      </c>
      <c r="X833" t="e">
        <f>IF(K833=2,"",_xlfn.IFNA(INDEX(drug_codes,MATCH(loaded!BA833,drug,0)),""))</f>
        <v>#N/A</v>
      </c>
      <c r="Y833" t="e">
        <f>INDEX(MTT_codes,MATCH(loaded!BC833,MTT,0))</f>
        <v>#N/A</v>
      </c>
      <c r="Z833" t="str">
        <f>_xlfn.IFNA(INDEX(MTT_codes,MATCH(loaded!BE833,MTT,0)),"")</f>
        <v/>
      </c>
      <c r="AA833" t="str">
        <f>_xlfn.IFNA(INDEX(MTT_codes,MATCH(loaded!BG833,MTT,0)),"")</f>
        <v/>
      </c>
      <c r="AB833" t="str">
        <f>_xlfn.IFNA(INDEX(MTT_codes,MATCH(loaded!BI833,MTT,0)),"")</f>
        <v/>
      </c>
      <c r="AC833" t="str">
        <f>_xlfn.IFNA(INDEX(MTT_codes,MATCH(loaded!BK833,MTT,0)),"")</f>
        <v/>
      </c>
      <c r="AD833" t="str">
        <f>_xlfn.IFNA(INDEX(MTT_codes,MATCH(loaded!BM833,MTT,0)),"")</f>
        <v/>
      </c>
      <c r="AE833" t="e">
        <f>INDEX(liv_ar_codes,MATCH(loaded!BO833,liv_ar,0))</f>
        <v>#N/A</v>
      </c>
      <c r="AF833" t="str">
        <f>_xlfn.IFNA(INDEX(MTT_codes,MATCH(loaded!BQ833,MTT,0)),"")</f>
        <v/>
      </c>
      <c r="AG833">
        <f>_xlfn.IFNA(INDEX(mental_codes,MATCH(loaded!BS833,mental,0)),9)</f>
        <v>9</v>
      </c>
    </row>
    <row r="834" spans="1:33" x14ac:dyDescent="0.25">
      <c r="A834">
        <f>loaded!C834</f>
        <v>0</v>
      </c>
      <c r="B834">
        <f>loaded!I834</f>
        <v>0</v>
      </c>
      <c r="C834">
        <f>IF(loaded!K834="Male",1,IF(loaded!K834="Female",2,9))</f>
        <v>9</v>
      </c>
      <c r="D834" s="8">
        <f>loaded!M834</f>
        <v>0</v>
      </c>
      <c r="E834" t="str">
        <f>LEFT(loaded!O834,3)</f>
        <v/>
      </c>
      <c r="F834" t="e">
        <f>INDEX(cntry_codes,MATCH(loaded!Q834,countries,0))</f>
        <v>#N/A</v>
      </c>
      <c r="G834" t="e">
        <f>INDEX(atsi_codes,MATCH(loaded!S834,atsi,0))</f>
        <v>#N/A</v>
      </c>
      <c r="H834" t="e">
        <f>INDEX(lang_codes,MATCH(loaded!U834,lang,0))</f>
        <v>#N/A</v>
      </c>
      <c r="I834" s="8">
        <f>loaded!W834</f>
        <v>0</v>
      </c>
      <c r="J834" t="e">
        <f>INDEX(us_acc_codes,MATCH(loaded!Y834,us_acc,0))</f>
        <v>#N/A</v>
      </c>
      <c r="K834" t="e">
        <f>INDEX(client_codes,MATCH(loaded!AA834,client,0))</f>
        <v>#N/A</v>
      </c>
      <c r="L834" t="e">
        <f>INDEX(src_ref_codes,MATCH(loaded!AC834,src_ref,0))</f>
        <v>#N/A</v>
      </c>
      <c r="M834" s="8">
        <f>loaded!AE834</f>
        <v>0</v>
      </c>
      <c r="N834" s="8">
        <f>loaded!AG834</f>
        <v>0</v>
      </c>
      <c r="O834" t="e">
        <f>INDEX(reces_codes,MATCH(loaded!AI834,reason,0))</f>
        <v>#N/A</v>
      </c>
      <c r="P834" t="e">
        <f>INDEX(TDS_codes,MATCH(loaded!AK834,TDS,0))</f>
        <v>#N/A</v>
      </c>
      <c r="Q834" t="e">
        <f>IF(K834=2,"",INDEX(method_codes,MATCH(loaded!AM834,method,0)))</f>
        <v>#N/A</v>
      </c>
      <c r="R834" t="e">
        <f>IF(K834=2,"",INDEX(inj_codes,MATCH(loaded!AO834,inj,0)))</f>
        <v>#N/A</v>
      </c>
      <c r="S834" t="e">
        <f>IF(K834=2,"",INDEX(drug_codes,MATCH(loaded!AQ834,drug,0)))</f>
        <v>#N/A</v>
      </c>
      <c r="T834" t="e">
        <f>IF(K834=2,"",_xlfn.IFNA(INDEX(drug_codes,MATCH(loaded!AS834,drug,0)),""))</f>
        <v>#N/A</v>
      </c>
      <c r="U834" t="e">
        <f>IF(K834=2,"",_xlfn.IFNA(INDEX(drug_codes,MATCH(loaded!AU834,drug,0)),""))</f>
        <v>#N/A</v>
      </c>
      <c r="V834" t="e">
        <f>IF(K834=2,"",_xlfn.IFNA(INDEX(drug_codes,MATCH(loaded!AW834,drug,0)),""))</f>
        <v>#N/A</v>
      </c>
      <c r="W834" t="e">
        <f>IF(K834=2,"",_xlfn.IFNA(INDEX(drug_codes,MATCH(loaded!AY834,drug,0)),""))</f>
        <v>#N/A</v>
      </c>
      <c r="X834" t="e">
        <f>IF(K834=2,"",_xlfn.IFNA(INDEX(drug_codes,MATCH(loaded!BA834,drug,0)),""))</f>
        <v>#N/A</v>
      </c>
      <c r="Y834" t="e">
        <f>INDEX(MTT_codes,MATCH(loaded!BC834,MTT,0))</f>
        <v>#N/A</v>
      </c>
      <c r="Z834" t="str">
        <f>_xlfn.IFNA(INDEX(MTT_codes,MATCH(loaded!BE834,MTT,0)),"")</f>
        <v/>
      </c>
      <c r="AA834" t="str">
        <f>_xlfn.IFNA(INDEX(MTT_codes,MATCH(loaded!BG834,MTT,0)),"")</f>
        <v/>
      </c>
      <c r="AB834" t="str">
        <f>_xlfn.IFNA(INDEX(MTT_codes,MATCH(loaded!BI834,MTT,0)),"")</f>
        <v/>
      </c>
      <c r="AC834" t="str">
        <f>_xlfn.IFNA(INDEX(MTT_codes,MATCH(loaded!BK834,MTT,0)),"")</f>
        <v/>
      </c>
      <c r="AD834" t="str">
        <f>_xlfn.IFNA(INDEX(MTT_codes,MATCH(loaded!BM834,MTT,0)),"")</f>
        <v/>
      </c>
      <c r="AE834" t="e">
        <f>INDEX(liv_ar_codes,MATCH(loaded!BO834,liv_ar,0))</f>
        <v>#N/A</v>
      </c>
      <c r="AF834" t="str">
        <f>_xlfn.IFNA(INDEX(MTT_codes,MATCH(loaded!BQ834,MTT,0)),"")</f>
        <v/>
      </c>
      <c r="AG834">
        <f>_xlfn.IFNA(INDEX(mental_codes,MATCH(loaded!BS834,mental,0)),9)</f>
        <v>9</v>
      </c>
    </row>
    <row r="835" spans="1:33" x14ac:dyDescent="0.25">
      <c r="A835">
        <f>loaded!C835</f>
        <v>0</v>
      </c>
      <c r="B835">
        <f>loaded!I835</f>
        <v>0</v>
      </c>
      <c r="C835">
        <f>IF(loaded!K835="Male",1,IF(loaded!K835="Female",2,9))</f>
        <v>9</v>
      </c>
      <c r="D835" s="8">
        <f>loaded!M835</f>
        <v>0</v>
      </c>
      <c r="E835" t="str">
        <f>LEFT(loaded!O835,3)</f>
        <v/>
      </c>
      <c r="F835" t="e">
        <f>INDEX(cntry_codes,MATCH(loaded!Q835,countries,0))</f>
        <v>#N/A</v>
      </c>
      <c r="G835" t="e">
        <f>INDEX(atsi_codes,MATCH(loaded!S835,atsi,0))</f>
        <v>#N/A</v>
      </c>
      <c r="H835" t="e">
        <f>INDEX(lang_codes,MATCH(loaded!U835,lang,0))</f>
        <v>#N/A</v>
      </c>
      <c r="I835" s="8">
        <f>loaded!W835</f>
        <v>0</v>
      </c>
      <c r="J835" t="e">
        <f>INDEX(us_acc_codes,MATCH(loaded!Y835,us_acc,0))</f>
        <v>#N/A</v>
      </c>
      <c r="K835" t="e">
        <f>INDEX(client_codes,MATCH(loaded!AA835,client,0))</f>
        <v>#N/A</v>
      </c>
      <c r="L835" t="e">
        <f>INDEX(src_ref_codes,MATCH(loaded!AC835,src_ref,0))</f>
        <v>#N/A</v>
      </c>
      <c r="M835" s="8">
        <f>loaded!AE835</f>
        <v>0</v>
      </c>
      <c r="N835" s="8">
        <f>loaded!AG835</f>
        <v>0</v>
      </c>
      <c r="O835" t="e">
        <f>INDEX(reces_codes,MATCH(loaded!AI835,reason,0))</f>
        <v>#N/A</v>
      </c>
      <c r="P835" t="e">
        <f>INDEX(TDS_codes,MATCH(loaded!AK835,TDS,0))</f>
        <v>#N/A</v>
      </c>
      <c r="Q835" t="e">
        <f>IF(K835=2,"",INDEX(method_codes,MATCH(loaded!AM835,method,0)))</f>
        <v>#N/A</v>
      </c>
      <c r="R835" t="e">
        <f>IF(K835=2,"",INDEX(inj_codes,MATCH(loaded!AO835,inj,0)))</f>
        <v>#N/A</v>
      </c>
      <c r="S835" t="e">
        <f>IF(K835=2,"",INDEX(drug_codes,MATCH(loaded!AQ835,drug,0)))</f>
        <v>#N/A</v>
      </c>
      <c r="T835" t="e">
        <f>IF(K835=2,"",_xlfn.IFNA(INDEX(drug_codes,MATCH(loaded!AS835,drug,0)),""))</f>
        <v>#N/A</v>
      </c>
      <c r="U835" t="e">
        <f>IF(K835=2,"",_xlfn.IFNA(INDEX(drug_codes,MATCH(loaded!AU835,drug,0)),""))</f>
        <v>#N/A</v>
      </c>
      <c r="V835" t="e">
        <f>IF(K835=2,"",_xlfn.IFNA(INDEX(drug_codes,MATCH(loaded!AW835,drug,0)),""))</f>
        <v>#N/A</v>
      </c>
      <c r="W835" t="e">
        <f>IF(K835=2,"",_xlfn.IFNA(INDEX(drug_codes,MATCH(loaded!AY835,drug,0)),""))</f>
        <v>#N/A</v>
      </c>
      <c r="X835" t="e">
        <f>IF(K835=2,"",_xlfn.IFNA(INDEX(drug_codes,MATCH(loaded!BA835,drug,0)),""))</f>
        <v>#N/A</v>
      </c>
      <c r="Y835" t="e">
        <f>INDEX(MTT_codes,MATCH(loaded!BC835,MTT,0))</f>
        <v>#N/A</v>
      </c>
      <c r="Z835" t="str">
        <f>_xlfn.IFNA(INDEX(MTT_codes,MATCH(loaded!BE835,MTT,0)),"")</f>
        <v/>
      </c>
      <c r="AA835" t="str">
        <f>_xlfn.IFNA(INDEX(MTT_codes,MATCH(loaded!BG835,MTT,0)),"")</f>
        <v/>
      </c>
      <c r="AB835" t="str">
        <f>_xlfn.IFNA(INDEX(MTT_codes,MATCH(loaded!BI835,MTT,0)),"")</f>
        <v/>
      </c>
      <c r="AC835" t="str">
        <f>_xlfn.IFNA(INDEX(MTT_codes,MATCH(loaded!BK835,MTT,0)),"")</f>
        <v/>
      </c>
      <c r="AD835" t="str">
        <f>_xlfn.IFNA(INDEX(MTT_codes,MATCH(loaded!BM835,MTT,0)),"")</f>
        <v/>
      </c>
      <c r="AE835" t="e">
        <f>INDEX(liv_ar_codes,MATCH(loaded!BO835,liv_ar,0))</f>
        <v>#N/A</v>
      </c>
      <c r="AF835" t="str">
        <f>_xlfn.IFNA(INDEX(MTT_codes,MATCH(loaded!BQ835,MTT,0)),"")</f>
        <v/>
      </c>
      <c r="AG835">
        <f>_xlfn.IFNA(INDEX(mental_codes,MATCH(loaded!BS835,mental,0)),9)</f>
        <v>9</v>
      </c>
    </row>
    <row r="836" spans="1:33" x14ac:dyDescent="0.25">
      <c r="A836">
        <f>loaded!C836</f>
        <v>0</v>
      </c>
      <c r="B836">
        <f>loaded!I836</f>
        <v>0</v>
      </c>
      <c r="C836">
        <f>IF(loaded!K836="Male",1,IF(loaded!K836="Female",2,9))</f>
        <v>9</v>
      </c>
      <c r="D836" s="8">
        <f>loaded!M836</f>
        <v>0</v>
      </c>
      <c r="E836" t="str">
        <f>LEFT(loaded!O836,3)</f>
        <v/>
      </c>
      <c r="F836" t="e">
        <f>INDEX(cntry_codes,MATCH(loaded!Q836,countries,0))</f>
        <v>#N/A</v>
      </c>
      <c r="G836" t="e">
        <f>INDEX(atsi_codes,MATCH(loaded!S836,atsi,0))</f>
        <v>#N/A</v>
      </c>
      <c r="H836" t="e">
        <f>INDEX(lang_codes,MATCH(loaded!U836,lang,0))</f>
        <v>#N/A</v>
      </c>
      <c r="I836" s="8">
        <f>loaded!W836</f>
        <v>0</v>
      </c>
      <c r="J836" t="e">
        <f>INDEX(us_acc_codes,MATCH(loaded!Y836,us_acc,0))</f>
        <v>#N/A</v>
      </c>
      <c r="K836" t="e">
        <f>INDEX(client_codes,MATCH(loaded!AA836,client,0))</f>
        <v>#N/A</v>
      </c>
      <c r="L836" t="e">
        <f>INDEX(src_ref_codes,MATCH(loaded!AC836,src_ref,0))</f>
        <v>#N/A</v>
      </c>
      <c r="M836" s="8">
        <f>loaded!AE836</f>
        <v>0</v>
      </c>
      <c r="N836" s="8">
        <f>loaded!AG836</f>
        <v>0</v>
      </c>
      <c r="O836" t="e">
        <f>INDEX(reces_codes,MATCH(loaded!AI836,reason,0))</f>
        <v>#N/A</v>
      </c>
      <c r="P836" t="e">
        <f>INDEX(TDS_codes,MATCH(loaded!AK836,TDS,0))</f>
        <v>#N/A</v>
      </c>
      <c r="Q836" t="e">
        <f>IF(K836=2,"",INDEX(method_codes,MATCH(loaded!AM836,method,0)))</f>
        <v>#N/A</v>
      </c>
      <c r="R836" t="e">
        <f>IF(K836=2,"",INDEX(inj_codes,MATCH(loaded!AO836,inj,0)))</f>
        <v>#N/A</v>
      </c>
      <c r="S836" t="e">
        <f>IF(K836=2,"",INDEX(drug_codes,MATCH(loaded!AQ836,drug,0)))</f>
        <v>#N/A</v>
      </c>
      <c r="T836" t="e">
        <f>IF(K836=2,"",_xlfn.IFNA(INDEX(drug_codes,MATCH(loaded!AS836,drug,0)),""))</f>
        <v>#N/A</v>
      </c>
      <c r="U836" t="e">
        <f>IF(K836=2,"",_xlfn.IFNA(INDEX(drug_codes,MATCH(loaded!AU836,drug,0)),""))</f>
        <v>#N/A</v>
      </c>
      <c r="V836" t="e">
        <f>IF(K836=2,"",_xlfn.IFNA(INDEX(drug_codes,MATCH(loaded!AW836,drug,0)),""))</f>
        <v>#N/A</v>
      </c>
      <c r="W836" t="e">
        <f>IF(K836=2,"",_xlfn.IFNA(INDEX(drug_codes,MATCH(loaded!AY836,drug,0)),""))</f>
        <v>#N/A</v>
      </c>
      <c r="X836" t="e">
        <f>IF(K836=2,"",_xlfn.IFNA(INDEX(drug_codes,MATCH(loaded!BA836,drug,0)),""))</f>
        <v>#N/A</v>
      </c>
      <c r="Y836" t="e">
        <f>INDEX(MTT_codes,MATCH(loaded!BC836,MTT,0))</f>
        <v>#N/A</v>
      </c>
      <c r="Z836" t="str">
        <f>_xlfn.IFNA(INDEX(MTT_codes,MATCH(loaded!BE836,MTT,0)),"")</f>
        <v/>
      </c>
      <c r="AA836" t="str">
        <f>_xlfn.IFNA(INDEX(MTT_codes,MATCH(loaded!BG836,MTT,0)),"")</f>
        <v/>
      </c>
      <c r="AB836" t="str">
        <f>_xlfn.IFNA(INDEX(MTT_codes,MATCH(loaded!BI836,MTT,0)),"")</f>
        <v/>
      </c>
      <c r="AC836" t="str">
        <f>_xlfn.IFNA(INDEX(MTT_codes,MATCH(loaded!BK836,MTT,0)),"")</f>
        <v/>
      </c>
      <c r="AD836" t="str">
        <f>_xlfn.IFNA(INDEX(MTT_codes,MATCH(loaded!BM836,MTT,0)),"")</f>
        <v/>
      </c>
      <c r="AE836" t="e">
        <f>INDEX(liv_ar_codes,MATCH(loaded!BO836,liv_ar,0))</f>
        <v>#N/A</v>
      </c>
      <c r="AF836" t="str">
        <f>_xlfn.IFNA(INDEX(MTT_codes,MATCH(loaded!BQ836,MTT,0)),"")</f>
        <v/>
      </c>
      <c r="AG836">
        <f>_xlfn.IFNA(INDEX(mental_codes,MATCH(loaded!BS836,mental,0)),9)</f>
        <v>9</v>
      </c>
    </row>
    <row r="837" spans="1:33" x14ac:dyDescent="0.25">
      <c r="A837">
        <f>loaded!C837</f>
        <v>0</v>
      </c>
      <c r="B837">
        <f>loaded!I837</f>
        <v>0</v>
      </c>
      <c r="C837">
        <f>IF(loaded!K837="Male",1,IF(loaded!K837="Female",2,9))</f>
        <v>9</v>
      </c>
      <c r="D837" s="8">
        <f>loaded!M837</f>
        <v>0</v>
      </c>
      <c r="E837" t="str">
        <f>LEFT(loaded!O837,3)</f>
        <v/>
      </c>
      <c r="F837" t="e">
        <f>INDEX(cntry_codes,MATCH(loaded!Q837,countries,0))</f>
        <v>#N/A</v>
      </c>
      <c r="G837" t="e">
        <f>INDEX(atsi_codes,MATCH(loaded!S837,atsi,0))</f>
        <v>#N/A</v>
      </c>
      <c r="H837" t="e">
        <f>INDEX(lang_codes,MATCH(loaded!U837,lang,0))</f>
        <v>#N/A</v>
      </c>
      <c r="I837" s="8">
        <f>loaded!W837</f>
        <v>0</v>
      </c>
      <c r="J837" t="e">
        <f>INDEX(us_acc_codes,MATCH(loaded!Y837,us_acc,0))</f>
        <v>#N/A</v>
      </c>
      <c r="K837" t="e">
        <f>INDEX(client_codes,MATCH(loaded!AA837,client,0))</f>
        <v>#N/A</v>
      </c>
      <c r="L837" t="e">
        <f>INDEX(src_ref_codes,MATCH(loaded!AC837,src_ref,0))</f>
        <v>#N/A</v>
      </c>
      <c r="M837" s="8">
        <f>loaded!AE837</f>
        <v>0</v>
      </c>
      <c r="N837" s="8">
        <f>loaded!AG837</f>
        <v>0</v>
      </c>
      <c r="O837" t="e">
        <f>INDEX(reces_codes,MATCH(loaded!AI837,reason,0))</f>
        <v>#N/A</v>
      </c>
      <c r="P837" t="e">
        <f>INDEX(TDS_codes,MATCH(loaded!AK837,TDS,0))</f>
        <v>#N/A</v>
      </c>
      <c r="Q837" t="e">
        <f>IF(K837=2,"",INDEX(method_codes,MATCH(loaded!AM837,method,0)))</f>
        <v>#N/A</v>
      </c>
      <c r="R837" t="e">
        <f>IF(K837=2,"",INDEX(inj_codes,MATCH(loaded!AO837,inj,0)))</f>
        <v>#N/A</v>
      </c>
      <c r="S837" t="e">
        <f>IF(K837=2,"",INDEX(drug_codes,MATCH(loaded!AQ837,drug,0)))</f>
        <v>#N/A</v>
      </c>
      <c r="T837" t="e">
        <f>IF(K837=2,"",_xlfn.IFNA(INDEX(drug_codes,MATCH(loaded!AS837,drug,0)),""))</f>
        <v>#N/A</v>
      </c>
      <c r="U837" t="e">
        <f>IF(K837=2,"",_xlfn.IFNA(INDEX(drug_codes,MATCH(loaded!AU837,drug,0)),""))</f>
        <v>#N/A</v>
      </c>
      <c r="V837" t="e">
        <f>IF(K837=2,"",_xlfn.IFNA(INDEX(drug_codes,MATCH(loaded!AW837,drug,0)),""))</f>
        <v>#N/A</v>
      </c>
      <c r="W837" t="e">
        <f>IF(K837=2,"",_xlfn.IFNA(INDEX(drug_codes,MATCH(loaded!AY837,drug,0)),""))</f>
        <v>#N/A</v>
      </c>
      <c r="X837" t="e">
        <f>IF(K837=2,"",_xlfn.IFNA(INDEX(drug_codes,MATCH(loaded!BA837,drug,0)),""))</f>
        <v>#N/A</v>
      </c>
      <c r="Y837" t="e">
        <f>INDEX(MTT_codes,MATCH(loaded!BC837,MTT,0))</f>
        <v>#N/A</v>
      </c>
      <c r="Z837" t="str">
        <f>_xlfn.IFNA(INDEX(MTT_codes,MATCH(loaded!BE837,MTT,0)),"")</f>
        <v/>
      </c>
      <c r="AA837" t="str">
        <f>_xlfn.IFNA(INDEX(MTT_codes,MATCH(loaded!BG837,MTT,0)),"")</f>
        <v/>
      </c>
      <c r="AB837" t="str">
        <f>_xlfn.IFNA(INDEX(MTT_codes,MATCH(loaded!BI837,MTT,0)),"")</f>
        <v/>
      </c>
      <c r="AC837" t="str">
        <f>_xlfn.IFNA(INDEX(MTT_codes,MATCH(loaded!BK837,MTT,0)),"")</f>
        <v/>
      </c>
      <c r="AD837" t="str">
        <f>_xlfn.IFNA(INDEX(MTT_codes,MATCH(loaded!BM837,MTT,0)),"")</f>
        <v/>
      </c>
      <c r="AE837" t="e">
        <f>INDEX(liv_ar_codes,MATCH(loaded!BO837,liv_ar,0))</f>
        <v>#N/A</v>
      </c>
      <c r="AF837" t="str">
        <f>_xlfn.IFNA(INDEX(MTT_codes,MATCH(loaded!BQ837,MTT,0)),"")</f>
        <v/>
      </c>
      <c r="AG837">
        <f>_xlfn.IFNA(INDEX(mental_codes,MATCH(loaded!BS837,mental,0)),9)</f>
        <v>9</v>
      </c>
    </row>
    <row r="838" spans="1:33" x14ac:dyDescent="0.25">
      <c r="A838">
        <f>loaded!C838</f>
        <v>0</v>
      </c>
      <c r="B838">
        <f>loaded!I838</f>
        <v>0</v>
      </c>
      <c r="C838">
        <f>IF(loaded!K838="Male",1,IF(loaded!K838="Female",2,9))</f>
        <v>9</v>
      </c>
      <c r="D838" s="8">
        <f>loaded!M838</f>
        <v>0</v>
      </c>
      <c r="E838" t="str">
        <f>LEFT(loaded!O838,3)</f>
        <v/>
      </c>
      <c r="F838" t="e">
        <f>INDEX(cntry_codes,MATCH(loaded!Q838,countries,0))</f>
        <v>#N/A</v>
      </c>
      <c r="G838" t="e">
        <f>INDEX(atsi_codes,MATCH(loaded!S838,atsi,0))</f>
        <v>#N/A</v>
      </c>
      <c r="H838" t="e">
        <f>INDEX(lang_codes,MATCH(loaded!U838,lang,0))</f>
        <v>#N/A</v>
      </c>
      <c r="I838" s="8">
        <f>loaded!W838</f>
        <v>0</v>
      </c>
      <c r="J838" t="e">
        <f>INDEX(us_acc_codes,MATCH(loaded!Y838,us_acc,0))</f>
        <v>#N/A</v>
      </c>
      <c r="K838" t="e">
        <f>INDEX(client_codes,MATCH(loaded!AA838,client,0))</f>
        <v>#N/A</v>
      </c>
      <c r="L838" t="e">
        <f>INDEX(src_ref_codes,MATCH(loaded!AC838,src_ref,0))</f>
        <v>#N/A</v>
      </c>
      <c r="M838" s="8">
        <f>loaded!AE838</f>
        <v>0</v>
      </c>
      <c r="N838" s="8">
        <f>loaded!AG838</f>
        <v>0</v>
      </c>
      <c r="O838" t="e">
        <f>INDEX(reces_codes,MATCH(loaded!AI838,reason,0))</f>
        <v>#N/A</v>
      </c>
      <c r="P838" t="e">
        <f>INDEX(TDS_codes,MATCH(loaded!AK838,TDS,0))</f>
        <v>#N/A</v>
      </c>
      <c r="Q838" t="e">
        <f>IF(K838=2,"",INDEX(method_codes,MATCH(loaded!AM838,method,0)))</f>
        <v>#N/A</v>
      </c>
      <c r="R838" t="e">
        <f>IF(K838=2,"",INDEX(inj_codes,MATCH(loaded!AO838,inj,0)))</f>
        <v>#N/A</v>
      </c>
      <c r="S838" t="e">
        <f>IF(K838=2,"",INDEX(drug_codes,MATCH(loaded!AQ838,drug,0)))</f>
        <v>#N/A</v>
      </c>
      <c r="T838" t="e">
        <f>IF(K838=2,"",_xlfn.IFNA(INDEX(drug_codes,MATCH(loaded!AS838,drug,0)),""))</f>
        <v>#N/A</v>
      </c>
      <c r="U838" t="e">
        <f>IF(K838=2,"",_xlfn.IFNA(INDEX(drug_codes,MATCH(loaded!AU838,drug,0)),""))</f>
        <v>#N/A</v>
      </c>
      <c r="V838" t="e">
        <f>IF(K838=2,"",_xlfn.IFNA(INDEX(drug_codes,MATCH(loaded!AW838,drug,0)),""))</f>
        <v>#N/A</v>
      </c>
      <c r="W838" t="e">
        <f>IF(K838=2,"",_xlfn.IFNA(INDEX(drug_codes,MATCH(loaded!AY838,drug,0)),""))</f>
        <v>#N/A</v>
      </c>
      <c r="X838" t="e">
        <f>IF(K838=2,"",_xlfn.IFNA(INDEX(drug_codes,MATCH(loaded!BA838,drug,0)),""))</f>
        <v>#N/A</v>
      </c>
      <c r="Y838" t="e">
        <f>INDEX(MTT_codes,MATCH(loaded!BC838,MTT,0))</f>
        <v>#N/A</v>
      </c>
      <c r="Z838" t="str">
        <f>_xlfn.IFNA(INDEX(MTT_codes,MATCH(loaded!BE838,MTT,0)),"")</f>
        <v/>
      </c>
      <c r="AA838" t="str">
        <f>_xlfn.IFNA(INDEX(MTT_codes,MATCH(loaded!BG838,MTT,0)),"")</f>
        <v/>
      </c>
      <c r="AB838" t="str">
        <f>_xlfn.IFNA(INDEX(MTT_codes,MATCH(loaded!BI838,MTT,0)),"")</f>
        <v/>
      </c>
      <c r="AC838" t="str">
        <f>_xlfn.IFNA(INDEX(MTT_codes,MATCH(loaded!BK838,MTT,0)),"")</f>
        <v/>
      </c>
      <c r="AD838" t="str">
        <f>_xlfn.IFNA(INDEX(MTT_codes,MATCH(loaded!BM838,MTT,0)),"")</f>
        <v/>
      </c>
      <c r="AE838" t="e">
        <f>INDEX(liv_ar_codes,MATCH(loaded!BO838,liv_ar,0))</f>
        <v>#N/A</v>
      </c>
      <c r="AF838" t="str">
        <f>_xlfn.IFNA(INDEX(MTT_codes,MATCH(loaded!BQ838,MTT,0)),"")</f>
        <v/>
      </c>
      <c r="AG838">
        <f>_xlfn.IFNA(INDEX(mental_codes,MATCH(loaded!BS838,mental,0)),9)</f>
        <v>9</v>
      </c>
    </row>
    <row r="839" spans="1:33" x14ac:dyDescent="0.25">
      <c r="A839">
        <f>loaded!C839</f>
        <v>0</v>
      </c>
      <c r="B839">
        <f>loaded!I839</f>
        <v>0</v>
      </c>
      <c r="C839">
        <f>IF(loaded!K839="Male",1,IF(loaded!K839="Female",2,9))</f>
        <v>9</v>
      </c>
      <c r="D839" s="8">
        <f>loaded!M839</f>
        <v>0</v>
      </c>
      <c r="E839" t="str">
        <f>LEFT(loaded!O839,3)</f>
        <v/>
      </c>
      <c r="F839" t="e">
        <f>INDEX(cntry_codes,MATCH(loaded!Q839,countries,0))</f>
        <v>#N/A</v>
      </c>
      <c r="G839" t="e">
        <f>INDEX(atsi_codes,MATCH(loaded!S839,atsi,0))</f>
        <v>#N/A</v>
      </c>
      <c r="H839" t="e">
        <f>INDEX(lang_codes,MATCH(loaded!U839,lang,0))</f>
        <v>#N/A</v>
      </c>
      <c r="I839" s="8">
        <f>loaded!W839</f>
        <v>0</v>
      </c>
      <c r="J839" t="e">
        <f>INDEX(us_acc_codes,MATCH(loaded!Y839,us_acc,0))</f>
        <v>#N/A</v>
      </c>
      <c r="K839" t="e">
        <f>INDEX(client_codes,MATCH(loaded!AA839,client,0))</f>
        <v>#N/A</v>
      </c>
      <c r="L839" t="e">
        <f>INDEX(src_ref_codes,MATCH(loaded!AC839,src_ref,0))</f>
        <v>#N/A</v>
      </c>
      <c r="M839" s="8">
        <f>loaded!AE839</f>
        <v>0</v>
      </c>
      <c r="N839" s="8">
        <f>loaded!AG839</f>
        <v>0</v>
      </c>
      <c r="O839" t="e">
        <f>INDEX(reces_codes,MATCH(loaded!AI839,reason,0))</f>
        <v>#N/A</v>
      </c>
      <c r="P839" t="e">
        <f>INDEX(TDS_codes,MATCH(loaded!AK839,TDS,0))</f>
        <v>#N/A</v>
      </c>
      <c r="Q839" t="e">
        <f>IF(K839=2,"",INDEX(method_codes,MATCH(loaded!AM839,method,0)))</f>
        <v>#N/A</v>
      </c>
      <c r="R839" t="e">
        <f>IF(K839=2,"",INDEX(inj_codes,MATCH(loaded!AO839,inj,0)))</f>
        <v>#N/A</v>
      </c>
      <c r="S839" t="e">
        <f>IF(K839=2,"",INDEX(drug_codes,MATCH(loaded!AQ839,drug,0)))</f>
        <v>#N/A</v>
      </c>
      <c r="T839" t="e">
        <f>IF(K839=2,"",_xlfn.IFNA(INDEX(drug_codes,MATCH(loaded!AS839,drug,0)),""))</f>
        <v>#N/A</v>
      </c>
      <c r="U839" t="e">
        <f>IF(K839=2,"",_xlfn.IFNA(INDEX(drug_codes,MATCH(loaded!AU839,drug,0)),""))</f>
        <v>#N/A</v>
      </c>
      <c r="V839" t="e">
        <f>IF(K839=2,"",_xlfn.IFNA(INDEX(drug_codes,MATCH(loaded!AW839,drug,0)),""))</f>
        <v>#N/A</v>
      </c>
      <c r="W839" t="e">
        <f>IF(K839=2,"",_xlfn.IFNA(INDEX(drug_codes,MATCH(loaded!AY839,drug,0)),""))</f>
        <v>#N/A</v>
      </c>
      <c r="X839" t="e">
        <f>IF(K839=2,"",_xlfn.IFNA(INDEX(drug_codes,MATCH(loaded!BA839,drug,0)),""))</f>
        <v>#N/A</v>
      </c>
      <c r="Y839" t="e">
        <f>INDEX(MTT_codes,MATCH(loaded!BC839,MTT,0))</f>
        <v>#N/A</v>
      </c>
      <c r="Z839" t="str">
        <f>_xlfn.IFNA(INDEX(MTT_codes,MATCH(loaded!BE839,MTT,0)),"")</f>
        <v/>
      </c>
      <c r="AA839" t="str">
        <f>_xlfn.IFNA(INDEX(MTT_codes,MATCH(loaded!BG839,MTT,0)),"")</f>
        <v/>
      </c>
      <c r="AB839" t="str">
        <f>_xlfn.IFNA(INDEX(MTT_codes,MATCH(loaded!BI839,MTT,0)),"")</f>
        <v/>
      </c>
      <c r="AC839" t="str">
        <f>_xlfn.IFNA(INDEX(MTT_codes,MATCH(loaded!BK839,MTT,0)),"")</f>
        <v/>
      </c>
      <c r="AD839" t="str">
        <f>_xlfn.IFNA(INDEX(MTT_codes,MATCH(loaded!BM839,MTT,0)),"")</f>
        <v/>
      </c>
      <c r="AE839" t="e">
        <f>INDEX(liv_ar_codes,MATCH(loaded!BO839,liv_ar,0))</f>
        <v>#N/A</v>
      </c>
      <c r="AF839" t="str">
        <f>_xlfn.IFNA(INDEX(MTT_codes,MATCH(loaded!BQ839,MTT,0)),"")</f>
        <v/>
      </c>
      <c r="AG839">
        <f>_xlfn.IFNA(INDEX(mental_codes,MATCH(loaded!BS839,mental,0)),9)</f>
        <v>9</v>
      </c>
    </row>
    <row r="840" spans="1:33" x14ac:dyDescent="0.25">
      <c r="A840">
        <f>loaded!C840</f>
        <v>0</v>
      </c>
      <c r="B840">
        <f>loaded!I840</f>
        <v>0</v>
      </c>
      <c r="C840">
        <f>IF(loaded!K840="Male",1,IF(loaded!K840="Female",2,9))</f>
        <v>9</v>
      </c>
      <c r="D840" s="8">
        <f>loaded!M840</f>
        <v>0</v>
      </c>
      <c r="E840" t="str">
        <f>LEFT(loaded!O840,3)</f>
        <v/>
      </c>
      <c r="F840" t="e">
        <f>INDEX(cntry_codes,MATCH(loaded!Q840,countries,0))</f>
        <v>#N/A</v>
      </c>
      <c r="G840" t="e">
        <f>INDEX(atsi_codes,MATCH(loaded!S840,atsi,0))</f>
        <v>#N/A</v>
      </c>
      <c r="H840" t="e">
        <f>INDEX(lang_codes,MATCH(loaded!U840,lang,0))</f>
        <v>#N/A</v>
      </c>
      <c r="I840" s="8">
        <f>loaded!W840</f>
        <v>0</v>
      </c>
      <c r="J840" t="e">
        <f>INDEX(us_acc_codes,MATCH(loaded!Y840,us_acc,0))</f>
        <v>#N/A</v>
      </c>
      <c r="K840" t="e">
        <f>INDEX(client_codes,MATCH(loaded!AA840,client,0))</f>
        <v>#N/A</v>
      </c>
      <c r="L840" t="e">
        <f>INDEX(src_ref_codes,MATCH(loaded!AC840,src_ref,0))</f>
        <v>#N/A</v>
      </c>
      <c r="M840" s="8">
        <f>loaded!AE840</f>
        <v>0</v>
      </c>
      <c r="N840" s="8">
        <f>loaded!AG840</f>
        <v>0</v>
      </c>
      <c r="O840" t="e">
        <f>INDEX(reces_codes,MATCH(loaded!AI840,reason,0))</f>
        <v>#N/A</v>
      </c>
      <c r="P840" t="e">
        <f>INDEX(TDS_codes,MATCH(loaded!AK840,TDS,0))</f>
        <v>#N/A</v>
      </c>
      <c r="Q840" t="e">
        <f>IF(K840=2,"",INDEX(method_codes,MATCH(loaded!AM840,method,0)))</f>
        <v>#N/A</v>
      </c>
      <c r="R840" t="e">
        <f>IF(K840=2,"",INDEX(inj_codes,MATCH(loaded!AO840,inj,0)))</f>
        <v>#N/A</v>
      </c>
      <c r="S840" t="e">
        <f>IF(K840=2,"",INDEX(drug_codes,MATCH(loaded!AQ840,drug,0)))</f>
        <v>#N/A</v>
      </c>
      <c r="T840" t="e">
        <f>IF(K840=2,"",_xlfn.IFNA(INDEX(drug_codes,MATCH(loaded!AS840,drug,0)),""))</f>
        <v>#N/A</v>
      </c>
      <c r="U840" t="e">
        <f>IF(K840=2,"",_xlfn.IFNA(INDEX(drug_codes,MATCH(loaded!AU840,drug,0)),""))</f>
        <v>#N/A</v>
      </c>
      <c r="V840" t="e">
        <f>IF(K840=2,"",_xlfn.IFNA(INDEX(drug_codes,MATCH(loaded!AW840,drug,0)),""))</f>
        <v>#N/A</v>
      </c>
      <c r="W840" t="e">
        <f>IF(K840=2,"",_xlfn.IFNA(INDEX(drug_codes,MATCH(loaded!AY840,drug,0)),""))</f>
        <v>#N/A</v>
      </c>
      <c r="X840" t="e">
        <f>IF(K840=2,"",_xlfn.IFNA(INDEX(drug_codes,MATCH(loaded!BA840,drug,0)),""))</f>
        <v>#N/A</v>
      </c>
      <c r="Y840" t="e">
        <f>INDEX(MTT_codes,MATCH(loaded!BC840,MTT,0))</f>
        <v>#N/A</v>
      </c>
      <c r="Z840" t="str">
        <f>_xlfn.IFNA(INDEX(MTT_codes,MATCH(loaded!BE840,MTT,0)),"")</f>
        <v/>
      </c>
      <c r="AA840" t="str">
        <f>_xlfn.IFNA(INDEX(MTT_codes,MATCH(loaded!BG840,MTT,0)),"")</f>
        <v/>
      </c>
      <c r="AB840" t="str">
        <f>_xlfn.IFNA(INDEX(MTT_codes,MATCH(loaded!BI840,MTT,0)),"")</f>
        <v/>
      </c>
      <c r="AC840" t="str">
        <f>_xlfn.IFNA(INDEX(MTT_codes,MATCH(loaded!BK840,MTT,0)),"")</f>
        <v/>
      </c>
      <c r="AD840" t="str">
        <f>_xlfn.IFNA(INDEX(MTT_codes,MATCH(loaded!BM840,MTT,0)),"")</f>
        <v/>
      </c>
      <c r="AE840" t="e">
        <f>INDEX(liv_ar_codes,MATCH(loaded!BO840,liv_ar,0))</f>
        <v>#N/A</v>
      </c>
      <c r="AF840" t="str">
        <f>_xlfn.IFNA(INDEX(MTT_codes,MATCH(loaded!BQ840,MTT,0)),"")</f>
        <v/>
      </c>
      <c r="AG840">
        <f>_xlfn.IFNA(INDEX(mental_codes,MATCH(loaded!BS840,mental,0)),9)</f>
        <v>9</v>
      </c>
    </row>
    <row r="841" spans="1:33" x14ac:dyDescent="0.25">
      <c r="A841">
        <f>loaded!C841</f>
        <v>0</v>
      </c>
      <c r="B841">
        <f>loaded!I841</f>
        <v>0</v>
      </c>
      <c r="C841">
        <f>IF(loaded!K841="Male",1,IF(loaded!K841="Female",2,9))</f>
        <v>9</v>
      </c>
      <c r="D841" s="8">
        <f>loaded!M841</f>
        <v>0</v>
      </c>
      <c r="E841" t="str">
        <f>LEFT(loaded!O841,3)</f>
        <v/>
      </c>
      <c r="F841" t="e">
        <f>INDEX(cntry_codes,MATCH(loaded!Q841,countries,0))</f>
        <v>#N/A</v>
      </c>
      <c r="G841" t="e">
        <f>INDEX(atsi_codes,MATCH(loaded!S841,atsi,0))</f>
        <v>#N/A</v>
      </c>
      <c r="H841" t="e">
        <f>INDEX(lang_codes,MATCH(loaded!U841,lang,0))</f>
        <v>#N/A</v>
      </c>
      <c r="I841" s="8">
        <f>loaded!W841</f>
        <v>0</v>
      </c>
      <c r="J841" t="e">
        <f>INDEX(us_acc_codes,MATCH(loaded!Y841,us_acc,0))</f>
        <v>#N/A</v>
      </c>
      <c r="K841" t="e">
        <f>INDEX(client_codes,MATCH(loaded!AA841,client,0))</f>
        <v>#N/A</v>
      </c>
      <c r="L841" t="e">
        <f>INDEX(src_ref_codes,MATCH(loaded!AC841,src_ref,0))</f>
        <v>#N/A</v>
      </c>
      <c r="M841" s="8">
        <f>loaded!AE841</f>
        <v>0</v>
      </c>
      <c r="N841" s="8">
        <f>loaded!AG841</f>
        <v>0</v>
      </c>
      <c r="O841" t="e">
        <f>INDEX(reces_codes,MATCH(loaded!AI841,reason,0))</f>
        <v>#N/A</v>
      </c>
      <c r="P841" t="e">
        <f>INDEX(TDS_codes,MATCH(loaded!AK841,TDS,0))</f>
        <v>#N/A</v>
      </c>
      <c r="Q841" t="e">
        <f>IF(K841=2,"",INDEX(method_codes,MATCH(loaded!AM841,method,0)))</f>
        <v>#N/A</v>
      </c>
      <c r="R841" t="e">
        <f>IF(K841=2,"",INDEX(inj_codes,MATCH(loaded!AO841,inj,0)))</f>
        <v>#N/A</v>
      </c>
      <c r="S841" t="e">
        <f>IF(K841=2,"",INDEX(drug_codes,MATCH(loaded!AQ841,drug,0)))</f>
        <v>#N/A</v>
      </c>
      <c r="T841" t="e">
        <f>IF(K841=2,"",_xlfn.IFNA(INDEX(drug_codes,MATCH(loaded!AS841,drug,0)),""))</f>
        <v>#N/A</v>
      </c>
      <c r="U841" t="e">
        <f>IF(K841=2,"",_xlfn.IFNA(INDEX(drug_codes,MATCH(loaded!AU841,drug,0)),""))</f>
        <v>#N/A</v>
      </c>
      <c r="V841" t="e">
        <f>IF(K841=2,"",_xlfn.IFNA(INDEX(drug_codes,MATCH(loaded!AW841,drug,0)),""))</f>
        <v>#N/A</v>
      </c>
      <c r="W841" t="e">
        <f>IF(K841=2,"",_xlfn.IFNA(INDEX(drug_codes,MATCH(loaded!AY841,drug,0)),""))</f>
        <v>#N/A</v>
      </c>
      <c r="X841" t="e">
        <f>IF(K841=2,"",_xlfn.IFNA(INDEX(drug_codes,MATCH(loaded!BA841,drug,0)),""))</f>
        <v>#N/A</v>
      </c>
      <c r="Y841" t="e">
        <f>INDEX(MTT_codes,MATCH(loaded!BC841,MTT,0))</f>
        <v>#N/A</v>
      </c>
      <c r="Z841" t="str">
        <f>_xlfn.IFNA(INDEX(MTT_codes,MATCH(loaded!BE841,MTT,0)),"")</f>
        <v/>
      </c>
      <c r="AA841" t="str">
        <f>_xlfn.IFNA(INDEX(MTT_codes,MATCH(loaded!BG841,MTT,0)),"")</f>
        <v/>
      </c>
      <c r="AB841" t="str">
        <f>_xlfn.IFNA(INDEX(MTT_codes,MATCH(loaded!BI841,MTT,0)),"")</f>
        <v/>
      </c>
      <c r="AC841" t="str">
        <f>_xlfn.IFNA(INDEX(MTT_codes,MATCH(loaded!BK841,MTT,0)),"")</f>
        <v/>
      </c>
      <c r="AD841" t="str">
        <f>_xlfn.IFNA(INDEX(MTT_codes,MATCH(loaded!BM841,MTT,0)),"")</f>
        <v/>
      </c>
      <c r="AE841" t="e">
        <f>INDEX(liv_ar_codes,MATCH(loaded!BO841,liv_ar,0))</f>
        <v>#N/A</v>
      </c>
      <c r="AF841" t="str">
        <f>_xlfn.IFNA(INDEX(MTT_codes,MATCH(loaded!BQ841,MTT,0)),"")</f>
        <v/>
      </c>
      <c r="AG841">
        <f>_xlfn.IFNA(INDEX(mental_codes,MATCH(loaded!BS841,mental,0)),9)</f>
        <v>9</v>
      </c>
    </row>
    <row r="842" spans="1:33" x14ac:dyDescent="0.25">
      <c r="A842">
        <f>loaded!C842</f>
        <v>0</v>
      </c>
      <c r="B842">
        <f>loaded!I842</f>
        <v>0</v>
      </c>
      <c r="C842">
        <f>IF(loaded!K842="Male",1,IF(loaded!K842="Female",2,9))</f>
        <v>9</v>
      </c>
      <c r="D842" s="8">
        <f>loaded!M842</f>
        <v>0</v>
      </c>
      <c r="E842" t="str">
        <f>LEFT(loaded!O842,3)</f>
        <v/>
      </c>
      <c r="F842" t="e">
        <f>INDEX(cntry_codes,MATCH(loaded!Q842,countries,0))</f>
        <v>#N/A</v>
      </c>
      <c r="G842" t="e">
        <f>INDEX(atsi_codes,MATCH(loaded!S842,atsi,0))</f>
        <v>#N/A</v>
      </c>
      <c r="H842" t="e">
        <f>INDEX(lang_codes,MATCH(loaded!U842,lang,0))</f>
        <v>#N/A</v>
      </c>
      <c r="I842" s="8">
        <f>loaded!W842</f>
        <v>0</v>
      </c>
      <c r="J842" t="e">
        <f>INDEX(us_acc_codes,MATCH(loaded!Y842,us_acc,0))</f>
        <v>#N/A</v>
      </c>
      <c r="K842" t="e">
        <f>INDEX(client_codes,MATCH(loaded!AA842,client,0))</f>
        <v>#N/A</v>
      </c>
      <c r="L842" t="e">
        <f>INDEX(src_ref_codes,MATCH(loaded!AC842,src_ref,0))</f>
        <v>#N/A</v>
      </c>
      <c r="M842" s="8">
        <f>loaded!AE842</f>
        <v>0</v>
      </c>
      <c r="N842" s="8">
        <f>loaded!AG842</f>
        <v>0</v>
      </c>
      <c r="O842" t="e">
        <f>INDEX(reces_codes,MATCH(loaded!AI842,reason,0))</f>
        <v>#N/A</v>
      </c>
      <c r="P842" t="e">
        <f>INDEX(TDS_codes,MATCH(loaded!AK842,TDS,0))</f>
        <v>#N/A</v>
      </c>
      <c r="Q842" t="e">
        <f>IF(K842=2,"",INDEX(method_codes,MATCH(loaded!AM842,method,0)))</f>
        <v>#N/A</v>
      </c>
      <c r="R842" t="e">
        <f>IF(K842=2,"",INDEX(inj_codes,MATCH(loaded!AO842,inj,0)))</f>
        <v>#N/A</v>
      </c>
      <c r="S842" t="e">
        <f>IF(K842=2,"",INDEX(drug_codes,MATCH(loaded!AQ842,drug,0)))</f>
        <v>#N/A</v>
      </c>
      <c r="T842" t="e">
        <f>IF(K842=2,"",_xlfn.IFNA(INDEX(drug_codes,MATCH(loaded!AS842,drug,0)),""))</f>
        <v>#N/A</v>
      </c>
      <c r="U842" t="e">
        <f>IF(K842=2,"",_xlfn.IFNA(INDEX(drug_codes,MATCH(loaded!AU842,drug,0)),""))</f>
        <v>#N/A</v>
      </c>
      <c r="V842" t="e">
        <f>IF(K842=2,"",_xlfn.IFNA(INDEX(drug_codes,MATCH(loaded!AW842,drug,0)),""))</f>
        <v>#N/A</v>
      </c>
      <c r="W842" t="e">
        <f>IF(K842=2,"",_xlfn.IFNA(INDEX(drug_codes,MATCH(loaded!AY842,drug,0)),""))</f>
        <v>#N/A</v>
      </c>
      <c r="X842" t="e">
        <f>IF(K842=2,"",_xlfn.IFNA(INDEX(drug_codes,MATCH(loaded!BA842,drug,0)),""))</f>
        <v>#N/A</v>
      </c>
      <c r="Y842" t="e">
        <f>INDEX(MTT_codes,MATCH(loaded!BC842,MTT,0))</f>
        <v>#N/A</v>
      </c>
      <c r="Z842" t="str">
        <f>_xlfn.IFNA(INDEX(MTT_codes,MATCH(loaded!BE842,MTT,0)),"")</f>
        <v/>
      </c>
      <c r="AA842" t="str">
        <f>_xlfn.IFNA(INDEX(MTT_codes,MATCH(loaded!BG842,MTT,0)),"")</f>
        <v/>
      </c>
      <c r="AB842" t="str">
        <f>_xlfn.IFNA(INDEX(MTT_codes,MATCH(loaded!BI842,MTT,0)),"")</f>
        <v/>
      </c>
      <c r="AC842" t="str">
        <f>_xlfn.IFNA(INDEX(MTT_codes,MATCH(loaded!BK842,MTT,0)),"")</f>
        <v/>
      </c>
      <c r="AD842" t="str">
        <f>_xlfn.IFNA(INDEX(MTT_codes,MATCH(loaded!BM842,MTT,0)),"")</f>
        <v/>
      </c>
      <c r="AE842" t="e">
        <f>INDEX(liv_ar_codes,MATCH(loaded!BO842,liv_ar,0))</f>
        <v>#N/A</v>
      </c>
      <c r="AF842" t="str">
        <f>_xlfn.IFNA(INDEX(MTT_codes,MATCH(loaded!BQ842,MTT,0)),"")</f>
        <v/>
      </c>
      <c r="AG842">
        <f>_xlfn.IFNA(INDEX(mental_codes,MATCH(loaded!BS842,mental,0)),9)</f>
        <v>9</v>
      </c>
    </row>
    <row r="843" spans="1:33" x14ac:dyDescent="0.25">
      <c r="A843">
        <f>loaded!C843</f>
        <v>0</v>
      </c>
      <c r="B843">
        <f>loaded!I843</f>
        <v>0</v>
      </c>
      <c r="C843">
        <f>IF(loaded!K843="Male",1,IF(loaded!K843="Female",2,9))</f>
        <v>9</v>
      </c>
      <c r="D843" s="8">
        <f>loaded!M843</f>
        <v>0</v>
      </c>
      <c r="E843" t="str">
        <f>LEFT(loaded!O843,3)</f>
        <v/>
      </c>
      <c r="F843" t="e">
        <f>INDEX(cntry_codes,MATCH(loaded!Q843,countries,0))</f>
        <v>#N/A</v>
      </c>
      <c r="G843" t="e">
        <f>INDEX(atsi_codes,MATCH(loaded!S843,atsi,0))</f>
        <v>#N/A</v>
      </c>
      <c r="H843" t="e">
        <f>INDEX(lang_codes,MATCH(loaded!U843,lang,0))</f>
        <v>#N/A</v>
      </c>
      <c r="I843" s="8">
        <f>loaded!W843</f>
        <v>0</v>
      </c>
      <c r="J843" t="e">
        <f>INDEX(us_acc_codes,MATCH(loaded!Y843,us_acc,0))</f>
        <v>#N/A</v>
      </c>
      <c r="K843" t="e">
        <f>INDEX(client_codes,MATCH(loaded!AA843,client,0))</f>
        <v>#N/A</v>
      </c>
      <c r="L843" t="e">
        <f>INDEX(src_ref_codes,MATCH(loaded!AC843,src_ref,0))</f>
        <v>#N/A</v>
      </c>
      <c r="M843" s="8">
        <f>loaded!AE843</f>
        <v>0</v>
      </c>
      <c r="N843" s="8">
        <f>loaded!AG843</f>
        <v>0</v>
      </c>
      <c r="O843" t="e">
        <f>INDEX(reces_codes,MATCH(loaded!AI843,reason,0))</f>
        <v>#N/A</v>
      </c>
      <c r="P843" t="e">
        <f>INDEX(TDS_codes,MATCH(loaded!AK843,TDS,0))</f>
        <v>#N/A</v>
      </c>
      <c r="Q843" t="e">
        <f>IF(K843=2,"",INDEX(method_codes,MATCH(loaded!AM843,method,0)))</f>
        <v>#N/A</v>
      </c>
      <c r="R843" t="e">
        <f>IF(K843=2,"",INDEX(inj_codes,MATCH(loaded!AO843,inj,0)))</f>
        <v>#N/A</v>
      </c>
      <c r="S843" t="e">
        <f>IF(K843=2,"",INDEX(drug_codes,MATCH(loaded!AQ843,drug,0)))</f>
        <v>#N/A</v>
      </c>
      <c r="T843" t="e">
        <f>IF(K843=2,"",_xlfn.IFNA(INDEX(drug_codes,MATCH(loaded!AS843,drug,0)),""))</f>
        <v>#N/A</v>
      </c>
      <c r="U843" t="e">
        <f>IF(K843=2,"",_xlfn.IFNA(INDEX(drug_codes,MATCH(loaded!AU843,drug,0)),""))</f>
        <v>#N/A</v>
      </c>
      <c r="V843" t="e">
        <f>IF(K843=2,"",_xlfn.IFNA(INDEX(drug_codes,MATCH(loaded!AW843,drug,0)),""))</f>
        <v>#N/A</v>
      </c>
      <c r="W843" t="e">
        <f>IF(K843=2,"",_xlfn.IFNA(INDEX(drug_codes,MATCH(loaded!AY843,drug,0)),""))</f>
        <v>#N/A</v>
      </c>
      <c r="X843" t="e">
        <f>IF(K843=2,"",_xlfn.IFNA(INDEX(drug_codes,MATCH(loaded!BA843,drug,0)),""))</f>
        <v>#N/A</v>
      </c>
      <c r="Y843" t="e">
        <f>INDEX(MTT_codes,MATCH(loaded!BC843,MTT,0))</f>
        <v>#N/A</v>
      </c>
      <c r="Z843" t="str">
        <f>_xlfn.IFNA(INDEX(MTT_codes,MATCH(loaded!BE843,MTT,0)),"")</f>
        <v/>
      </c>
      <c r="AA843" t="str">
        <f>_xlfn.IFNA(INDEX(MTT_codes,MATCH(loaded!BG843,MTT,0)),"")</f>
        <v/>
      </c>
      <c r="AB843" t="str">
        <f>_xlfn.IFNA(INDEX(MTT_codes,MATCH(loaded!BI843,MTT,0)),"")</f>
        <v/>
      </c>
      <c r="AC843" t="str">
        <f>_xlfn.IFNA(INDEX(MTT_codes,MATCH(loaded!BK843,MTT,0)),"")</f>
        <v/>
      </c>
      <c r="AD843" t="str">
        <f>_xlfn.IFNA(INDEX(MTT_codes,MATCH(loaded!BM843,MTT,0)),"")</f>
        <v/>
      </c>
      <c r="AE843" t="e">
        <f>INDEX(liv_ar_codes,MATCH(loaded!BO843,liv_ar,0))</f>
        <v>#N/A</v>
      </c>
      <c r="AF843" t="str">
        <f>_xlfn.IFNA(INDEX(MTT_codes,MATCH(loaded!BQ843,MTT,0)),"")</f>
        <v/>
      </c>
      <c r="AG843">
        <f>_xlfn.IFNA(INDEX(mental_codes,MATCH(loaded!BS843,mental,0)),9)</f>
        <v>9</v>
      </c>
    </row>
    <row r="844" spans="1:33" x14ac:dyDescent="0.25">
      <c r="A844">
        <f>loaded!C844</f>
        <v>0</v>
      </c>
      <c r="B844">
        <f>loaded!I844</f>
        <v>0</v>
      </c>
      <c r="C844">
        <f>IF(loaded!K844="Male",1,IF(loaded!K844="Female",2,9))</f>
        <v>9</v>
      </c>
      <c r="D844" s="8">
        <f>loaded!M844</f>
        <v>0</v>
      </c>
      <c r="E844" t="str">
        <f>LEFT(loaded!O844,3)</f>
        <v/>
      </c>
      <c r="F844" t="e">
        <f>INDEX(cntry_codes,MATCH(loaded!Q844,countries,0))</f>
        <v>#N/A</v>
      </c>
      <c r="G844" t="e">
        <f>INDEX(atsi_codes,MATCH(loaded!S844,atsi,0))</f>
        <v>#N/A</v>
      </c>
      <c r="H844" t="e">
        <f>INDEX(lang_codes,MATCH(loaded!U844,lang,0))</f>
        <v>#N/A</v>
      </c>
      <c r="I844" s="8">
        <f>loaded!W844</f>
        <v>0</v>
      </c>
      <c r="J844" t="e">
        <f>INDEX(us_acc_codes,MATCH(loaded!Y844,us_acc,0))</f>
        <v>#N/A</v>
      </c>
      <c r="K844" t="e">
        <f>INDEX(client_codes,MATCH(loaded!AA844,client,0))</f>
        <v>#N/A</v>
      </c>
      <c r="L844" t="e">
        <f>INDEX(src_ref_codes,MATCH(loaded!AC844,src_ref,0))</f>
        <v>#N/A</v>
      </c>
      <c r="M844" s="8">
        <f>loaded!AE844</f>
        <v>0</v>
      </c>
      <c r="N844" s="8">
        <f>loaded!AG844</f>
        <v>0</v>
      </c>
      <c r="O844" t="e">
        <f>INDEX(reces_codes,MATCH(loaded!AI844,reason,0))</f>
        <v>#N/A</v>
      </c>
      <c r="P844" t="e">
        <f>INDEX(TDS_codes,MATCH(loaded!AK844,TDS,0))</f>
        <v>#N/A</v>
      </c>
      <c r="Q844" t="e">
        <f>IF(K844=2,"",INDEX(method_codes,MATCH(loaded!AM844,method,0)))</f>
        <v>#N/A</v>
      </c>
      <c r="R844" t="e">
        <f>IF(K844=2,"",INDEX(inj_codes,MATCH(loaded!AO844,inj,0)))</f>
        <v>#N/A</v>
      </c>
      <c r="S844" t="e">
        <f>IF(K844=2,"",INDEX(drug_codes,MATCH(loaded!AQ844,drug,0)))</f>
        <v>#N/A</v>
      </c>
      <c r="T844" t="e">
        <f>IF(K844=2,"",_xlfn.IFNA(INDEX(drug_codes,MATCH(loaded!AS844,drug,0)),""))</f>
        <v>#N/A</v>
      </c>
      <c r="U844" t="e">
        <f>IF(K844=2,"",_xlfn.IFNA(INDEX(drug_codes,MATCH(loaded!AU844,drug,0)),""))</f>
        <v>#N/A</v>
      </c>
      <c r="V844" t="e">
        <f>IF(K844=2,"",_xlfn.IFNA(INDEX(drug_codes,MATCH(loaded!AW844,drug,0)),""))</f>
        <v>#N/A</v>
      </c>
      <c r="W844" t="e">
        <f>IF(K844=2,"",_xlfn.IFNA(INDEX(drug_codes,MATCH(loaded!AY844,drug,0)),""))</f>
        <v>#N/A</v>
      </c>
      <c r="X844" t="e">
        <f>IF(K844=2,"",_xlfn.IFNA(INDEX(drug_codes,MATCH(loaded!BA844,drug,0)),""))</f>
        <v>#N/A</v>
      </c>
      <c r="Y844" t="e">
        <f>INDEX(MTT_codes,MATCH(loaded!BC844,MTT,0))</f>
        <v>#N/A</v>
      </c>
      <c r="Z844" t="str">
        <f>_xlfn.IFNA(INDEX(MTT_codes,MATCH(loaded!BE844,MTT,0)),"")</f>
        <v/>
      </c>
      <c r="AA844" t="str">
        <f>_xlfn.IFNA(INDEX(MTT_codes,MATCH(loaded!BG844,MTT,0)),"")</f>
        <v/>
      </c>
      <c r="AB844" t="str">
        <f>_xlfn.IFNA(INDEX(MTT_codes,MATCH(loaded!BI844,MTT,0)),"")</f>
        <v/>
      </c>
      <c r="AC844" t="str">
        <f>_xlfn.IFNA(INDEX(MTT_codes,MATCH(loaded!BK844,MTT,0)),"")</f>
        <v/>
      </c>
      <c r="AD844" t="str">
        <f>_xlfn.IFNA(INDEX(MTT_codes,MATCH(loaded!BM844,MTT,0)),"")</f>
        <v/>
      </c>
      <c r="AE844" t="e">
        <f>INDEX(liv_ar_codes,MATCH(loaded!BO844,liv_ar,0))</f>
        <v>#N/A</v>
      </c>
      <c r="AF844" t="str">
        <f>_xlfn.IFNA(INDEX(MTT_codes,MATCH(loaded!BQ844,MTT,0)),"")</f>
        <v/>
      </c>
      <c r="AG844">
        <f>_xlfn.IFNA(INDEX(mental_codes,MATCH(loaded!BS844,mental,0)),9)</f>
        <v>9</v>
      </c>
    </row>
    <row r="845" spans="1:33" x14ac:dyDescent="0.25">
      <c r="A845">
        <f>loaded!C845</f>
        <v>0</v>
      </c>
      <c r="B845">
        <f>loaded!I845</f>
        <v>0</v>
      </c>
      <c r="C845">
        <f>IF(loaded!K845="Male",1,IF(loaded!K845="Female",2,9))</f>
        <v>9</v>
      </c>
      <c r="D845" s="8">
        <f>loaded!M845</f>
        <v>0</v>
      </c>
      <c r="E845" t="str">
        <f>LEFT(loaded!O845,3)</f>
        <v/>
      </c>
      <c r="F845" t="e">
        <f>INDEX(cntry_codes,MATCH(loaded!Q845,countries,0))</f>
        <v>#N/A</v>
      </c>
      <c r="G845" t="e">
        <f>INDEX(atsi_codes,MATCH(loaded!S845,atsi,0))</f>
        <v>#N/A</v>
      </c>
      <c r="H845" t="e">
        <f>INDEX(lang_codes,MATCH(loaded!U845,lang,0))</f>
        <v>#N/A</v>
      </c>
      <c r="I845" s="8">
        <f>loaded!W845</f>
        <v>0</v>
      </c>
      <c r="J845" t="e">
        <f>INDEX(us_acc_codes,MATCH(loaded!Y845,us_acc,0))</f>
        <v>#N/A</v>
      </c>
      <c r="K845" t="e">
        <f>INDEX(client_codes,MATCH(loaded!AA845,client,0))</f>
        <v>#N/A</v>
      </c>
      <c r="L845" t="e">
        <f>INDEX(src_ref_codes,MATCH(loaded!AC845,src_ref,0))</f>
        <v>#N/A</v>
      </c>
      <c r="M845" s="8">
        <f>loaded!AE845</f>
        <v>0</v>
      </c>
      <c r="N845" s="8">
        <f>loaded!AG845</f>
        <v>0</v>
      </c>
      <c r="O845" t="e">
        <f>INDEX(reces_codes,MATCH(loaded!AI845,reason,0))</f>
        <v>#N/A</v>
      </c>
      <c r="P845" t="e">
        <f>INDEX(TDS_codes,MATCH(loaded!AK845,TDS,0))</f>
        <v>#N/A</v>
      </c>
      <c r="Q845" t="e">
        <f>IF(K845=2,"",INDEX(method_codes,MATCH(loaded!AM845,method,0)))</f>
        <v>#N/A</v>
      </c>
      <c r="R845" t="e">
        <f>IF(K845=2,"",INDEX(inj_codes,MATCH(loaded!AO845,inj,0)))</f>
        <v>#N/A</v>
      </c>
      <c r="S845" t="e">
        <f>IF(K845=2,"",INDEX(drug_codes,MATCH(loaded!AQ845,drug,0)))</f>
        <v>#N/A</v>
      </c>
      <c r="T845" t="e">
        <f>IF(K845=2,"",_xlfn.IFNA(INDEX(drug_codes,MATCH(loaded!AS845,drug,0)),""))</f>
        <v>#N/A</v>
      </c>
      <c r="U845" t="e">
        <f>IF(K845=2,"",_xlfn.IFNA(INDEX(drug_codes,MATCH(loaded!AU845,drug,0)),""))</f>
        <v>#N/A</v>
      </c>
      <c r="V845" t="e">
        <f>IF(K845=2,"",_xlfn.IFNA(INDEX(drug_codes,MATCH(loaded!AW845,drug,0)),""))</f>
        <v>#N/A</v>
      </c>
      <c r="W845" t="e">
        <f>IF(K845=2,"",_xlfn.IFNA(INDEX(drug_codes,MATCH(loaded!AY845,drug,0)),""))</f>
        <v>#N/A</v>
      </c>
      <c r="X845" t="e">
        <f>IF(K845=2,"",_xlfn.IFNA(INDEX(drug_codes,MATCH(loaded!BA845,drug,0)),""))</f>
        <v>#N/A</v>
      </c>
      <c r="Y845" t="e">
        <f>INDEX(MTT_codes,MATCH(loaded!BC845,MTT,0))</f>
        <v>#N/A</v>
      </c>
      <c r="Z845" t="str">
        <f>_xlfn.IFNA(INDEX(MTT_codes,MATCH(loaded!BE845,MTT,0)),"")</f>
        <v/>
      </c>
      <c r="AA845" t="str">
        <f>_xlfn.IFNA(INDEX(MTT_codes,MATCH(loaded!BG845,MTT,0)),"")</f>
        <v/>
      </c>
      <c r="AB845" t="str">
        <f>_xlfn.IFNA(INDEX(MTT_codes,MATCH(loaded!BI845,MTT,0)),"")</f>
        <v/>
      </c>
      <c r="AC845" t="str">
        <f>_xlfn.IFNA(INDEX(MTT_codes,MATCH(loaded!BK845,MTT,0)),"")</f>
        <v/>
      </c>
      <c r="AD845" t="str">
        <f>_xlfn.IFNA(INDEX(MTT_codes,MATCH(loaded!BM845,MTT,0)),"")</f>
        <v/>
      </c>
      <c r="AE845" t="e">
        <f>INDEX(liv_ar_codes,MATCH(loaded!BO845,liv_ar,0))</f>
        <v>#N/A</v>
      </c>
      <c r="AF845" t="str">
        <f>_xlfn.IFNA(INDEX(MTT_codes,MATCH(loaded!BQ845,MTT,0)),"")</f>
        <v/>
      </c>
      <c r="AG845">
        <f>_xlfn.IFNA(INDEX(mental_codes,MATCH(loaded!BS845,mental,0)),9)</f>
        <v>9</v>
      </c>
    </row>
    <row r="846" spans="1:33" x14ac:dyDescent="0.25">
      <c r="A846">
        <f>loaded!C846</f>
        <v>0</v>
      </c>
      <c r="B846">
        <f>loaded!I846</f>
        <v>0</v>
      </c>
      <c r="C846">
        <f>IF(loaded!K846="Male",1,IF(loaded!K846="Female",2,9))</f>
        <v>9</v>
      </c>
      <c r="D846" s="8">
        <f>loaded!M846</f>
        <v>0</v>
      </c>
      <c r="E846" t="str">
        <f>LEFT(loaded!O846,3)</f>
        <v/>
      </c>
      <c r="F846" t="e">
        <f>INDEX(cntry_codes,MATCH(loaded!Q846,countries,0))</f>
        <v>#N/A</v>
      </c>
      <c r="G846" t="e">
        <f>INDEX(atsi_codes,MATCH(loaded!S846,atsi,0))</f>
        <v>#N/A</v>
      </c>
      <c r="H846" t="e">
        <f>INDEX(lang_codes,MATCH(loaded!U846,lang,0))</f>
        <v>#N/A</v>
      </c>
      <c r="I846" s="8">
        <f>loaded!W846</f>
        <v>0</v>
      </c>
      <c r="J846" t="e">
        <f>INDEX(us_acc_codes,MATCH(loaded!Y846,us_acc,0))</f>
        <v>#N/A</v>
      </c>
      <c r="K846" t="e">
        <f>INDEX(client_codes,MATCH(loaded!AA846,client,0))</f>
        <v>#N/A</v>
      </c>
      <c r="L846" t="e">
        <f>INDEX(src_ref_codes,MATCH(loaded!AC846,src_ref,0))</f>
        <v>#N/A</v>
      </c>
      <c r="M846" s="8">
        <f>loaded!AE846</f>
        <v>0</v>
      </c>
      <c r="N846" s="8">
        <f>loaded!AG846</f>
        <v>0</v>
      </c>
      <c r="O846" t="e">
        <f>INDEX(reces_codes,MATCH(loaded!AI846,reason,0))</f>
        <v>#N/A</v>
      </c>
      <c r="P846" t="e">
        <f>INDEX(TDS_codes,MATCH(loaded!AK846,TDS,0))</f>
        <v>#N/A</v>
      </c>
      <c r="Q846" t="e">
        <f>IF(K846=2,"",INDEX(method_codes,MATCH(loaded!AM846,method,0)))</f>
        <v>#N/A</v>
      </c>
      <c r="R846" t="e">
        <f>IF(K846=2,"",INDEX(inj_codes,MATCH(loaded!AO846,inj,0)))</f>
        <v>#N/A</v>
      </c>
      <c r="S846" t="e">
        <f>IF(K846=2,"",INDEX(drug_codes,MATCH(loaded!AQ846,drug,0)))</f>
        <v>#N/A</v>
      </c>
      <c r="T846" t="e">
        <f>IF(K846=2,"",_xlfn.IFNA(INDEX(drug_codes,MATCH(loaded!AS846,drug,0)),""))</f>
        <v>#N/A</v>
      </c>
      <c r="U846" t="e">
        <f>IF(K846=2,"",_xlfn.IFNA(INDEX(drug_codes,MATCH(loaded!AU846,drug,0)),""))</f>
        <v>#N/A</v>
      </c>
      <c r="V846" t="e">
        <f>IF(K846=2,"",_xlfn.IFNA(INDEX(drug_codes,MATCH(loaded!AW846,drug,0)),""))</f>
        <v>#N/A</v>
      </c>
      <c r="W846" t="e">
        <f>IF(K846=2,"",_xlfn.IFNA(INDEX(drug_codes,MATCH(loaded!AY846,drug,0)),""))</f>
        <v>#N/A</v>
      </c>
      <c r="X846" t="e">
        <f>IF(K846=2,"",_xlfn.IFNA(INDEX(drug_codes,MATCH(loaded!BA846,drug,0)),""))</f>
        <v>#N/A</v>
      </c>
      <c r="Y846" t="e">
        <f>INDEX(MTT_codes,MATCH(loaded!BC846,MTT,0))</f>
        <v>#N/A</v>
      </c>
      <c r="Z846" t="str">
        <f>_xlfn.IFNA(INDEX(MTT_codes,MATCH(loaded!BE846,MTT,0)),"")</f>
        <v/>
      </c>
      <c r="AA846" t="str">
        <f>_xlfn.IFNA(INDEX(MTT_codes,MATCH(loaded!BG846,MTT,0)),"")</f>
        <v/>
      </c>
      <c r="AB846" t="str">
        <f>_xlfn.IFNA(INDEX(MTT_codes,MATCH(loaded!BI846,MTT,0)),"")</f>
        <v/>
      </c>
      <c r="AC846" t="str">
        <f>_xlfn.IFNA(INDEX(MTT_codes,MATCH(loaded!BK846,MTT,0)),"")</f>
        <v/>
      </c>
      <c r="AD846" t="str">
        <f>_xlfn.IFNA(INDEX(MTT_codes,MATCH(loaded!BM846,MTT,0)),"")</f>
        <v/>
      </c>
      <c r="AE846" t="e">
        <f>INDEX(liv_ar_codes,MATCH(loaded!BO846,liv_ar,0))</f>
        <v>#N/A</v>
      </c>
      <c r="AF846" t="str">
        <f>_xlfn.IFNA(INDEX(MTT_codes,MATCH(loaded!BQ846,MTT,0)),"")</f>
        <v/>
      </c>
      <c r="AG846">
        <f>_xlfn.IFNA(INDEX(mental_codes,MATCH(loaded!BS846,mental,0)),9)</f>
        <v>9</v>
      </c>
    </row>
    <row r="847" spans="1:33" x14ac:dyDescent="0.25">
      <c r="A847">
        <f>loaded!C847</f>
        <v>0</v>
      </c>
      <c r="B847">
        <f>loaded!I847</f>
        <v>0</v>
      </c>
      <c r="C847">
        <f>IF(loaded!K847="Male",1,IF(loaded!K847="Female",2,9))</f>
        <v>9</v>
      </c>
      <c r="D847" s="8">
        <f>loaded!M847</f>
        <v>0</v>
      </c>
      <c r="E847" t="str">
        <f>LEFT(loaded!O847,3)</f>
        <v/>
      </c>
      <c r="F847" t="e">
        <f>INDEX(cntry_codes,MATCH(loaded!Q847,countries,0))</f>
        <v>#N/A</v>
      </c>
      <c r="G847" t="e">
        <f>INDEX(atsi_codes,MATCH(loaded!S847,atsi,0))</f>
        <v>#N/A</v>
      </c>
      <c r="H847" t="e">
        <f>INDEX(lang_codes,MATCH(loaded!U847,lang,0))</f>
        <v>#N/A</v>
      </c>
      <c r="I847" s="8">
        <f>loaded!W847</f>
        <v>0</v>
      </c>
      <c r="J847" t="e">
        <f>INDEX(us_acc_codes,MATCH(loaded!Y847,us_acc,0))</f>
        <v>#N/A</v>
      </c>
      <c r="K847" t="e">
        <f>INDEX(client_codes,MATCH(loaded!AA847,client,0))</f>
        <v>#N/A</v>
      </c>
      <c r="L847" t="e">
        <f>INDEX(src_ref_codes,MATCH(loaded!AC847,src_ref,0))</f>
        <v>#N/A</v>
      </c>
      <c r="M847" s="8">
        <f>loaded!AE847</f>
        <v>0</v>
      </c>
      <c r="N847" s="8">
        <f>loaded!AG847</f>
        <v>0</v>
      </c>
      <c r="O847" t="e">
        <f>INDEX(reces_codes,MATCH(loaded!AI847,reason,0))</f>
        <v>#N/A</v>
      </c>
      <c r="P847" t="e">
        <f>INDEX(TDS_codes,MATCH(loaded!AK847,TDS,0))</f>
        <v>#N/A</v>
      </c>
      <c r="Q847" t="e">
        <f>IF(K847=2,"",INDEX(method_codes,MATCH(loaded!AM847,method,0)))</f>
        <v>#N/A</v>
      </c>
      <c r="R847" t="e">
        <f>IF(K847=2,"",INDEX(inj_codes,MATCH(loaded!AO847,inj,0)))</f>
        <v>#N/A</v>
      </c>
      <c r="S847" t="e">
        <f>IF(K847=2,"",INDEX(drug_codes,MATCH(loaded!AQ847,drug,0)))</f>
        <v>#N/A</v>
      </c>
      <c r="T847" t="e">
        <f>IF(K847=2,"",_xlfn.IFNA(INDEX(drug_codes,MATCH(loaded!AS847,drug,0)),""))</f>
        <v>#N/A</v>
      </c>
      <c r="U847" t="e">
        <f>IF(K847=2,"",_xlfn.IFNA(INDEX(drug_codes,MATCH(loaded!AU847,drug,0)),""))</f>
        <v>#N/A</v>
      </c>
      <c r="V847" t="e">
        <f>IF(K847=2,"",_xlfn.IFNA(INDEX(drug_codes,MATCH(loaded!AW847,drug,0)),""))</f>
        <v>#N/A</v>
      </c>
      <c r="W847" t="e">
        <f>IF(K847=2,"",_xlfn.IFNA(INDEX(drug_codes,MATCH(loaded!AY847,drug,0)),""))</f>
        <v>#N/A</v>
      </c>
      <c r="X847" t="e">
        <f>IF(K847=2,"",_xlfn.IFNA(INDEX(drug_codes,MATCH(loaded!BA847,drug,0)),""))</f>
        <v>#N/A</v>
      </c>
      <c r="Y847" t="e">
        <f>INDEX(MTT_codes,MATCH(loaded!BC847,MTT,0))</f>
        <v>#N/A</v>
      </c>
      <c r="Z847" t="str">
        <f>_xlfn.IFNA(INDEX(MTT_codes,MATCH(loaded!BE847,MTT,0)),"")</f>
        <v/>
      </c>
      <c r="AA847" t="str">
        <f>_xlfn.IFNA(INDEX(MTT_codes,MATCH(loaded!BG847,MTT,0)),"")</f>
        <v/>
      </c>
      <c r="AB847" t="str">
        <f>_xlfn.IFNA(INDEX(MTT_codes,MATCH(loaded!BI847,MTT,0)),"")</f>
        <v/>
      </c>
      <c r="AC847" t="str">
        <f>_xlfn.IFNA(INDEX(MTT_codes,MATCH(loaded!BK847,MTT,0)),"")</f>
        <v/>
      </c>
      <c r="AD847" t="str">
        <f>_xlfn.IFNA(INDEX(MTT_codes,MATCH(loaded!BM847,MTT,0)),"")</f>
        <v/>
      </c>
      <c r="AE847" t="e">
        <f>INDEX(liv_ar_codes,MATCH(loaded!BO847,liv_ar,0))</f>
        <v>#N/A</v>
      </c>
      <c r="AF847" t="str">
        <f>_xlfn.IFNA(INDEX(MTT_codes,MATCH(loaded!BQ847,MTT,0)),"")</f>
        <v/>
      </c>
      <c r="AG847">
        <f>_xlfn.IFNA(INDEX(mental_codes,MATCH(loaded!BS847,mental,0)),9)</f>
        <v>9</v>
      </c>
    </row>
    <row r="848" spans="1:33" x14ac:dyDescent="0.25">
      <c r="A848">
        <f>loaded!C848</f>
        <v>0</v>
      </c>
      <c r="B848">
        <f>loaded!I848</f>
        <v>0</v>
      </c>
      <c r="C848">
        <f>IF(loaded!K848="Male",1,IF(loaded!K848="Female",2,9))</f>
        <v>9</v>
      </c>
      <c r="D848" s="8">
        <f>loaded!M848</f>
        <v>0</v>
      </c>
      <c r="E848" t="str">
        <f>LEFT(loaded!O848,3)</f>
        <v/>
      </c>
      <c r="F848" t="e">
        <f>INDEX(cntry_codes,MATCH(loaded!Q848,countries,0))</f>
        <v>#N/A</v>
      </c>
      <c r="G848" t="e">
        <f>INDEX(atsi_codes,MATCH(loaded!S848,atsi,0))</f>
        <v>#N/A</v>
      </c>
      <c r="H848" t="e">
        <f>INDEX(lang_codes,MATCH(loaded!U848,lang,0))</f>
        <v>#N/A</v>
      </c>
      <c r="I848" s="8">
        <f>loaded!W848</f>
        <v>0</v>
      </c>
      <c r="J848" t="e">
        <f>INDEX(us_acc_codes,MATCH(loaded!Y848,us_acc,0))</f>
        <v>#N/A</v>
      </c>
      <c r="K848" t="e">
        <f>INDEX(client_codes,MATCH(loaded!AA848,client,0))</f>
        <v>#N/A</v>
      </c>
      <c r="L848" t="e">
        <f>INDEX(src_ref_codes,MATCH(loaded!AC848,src_ref,0))</f>
        <v>#N/A</v>
      </c>
      <c r="M848" s="8">
        <f>loaded!AE848</f>
        <v>0</v>
      </c>
      <c r="N848" s="8">
        <f>loaded!AG848</f>
        <v>0</v>
      </c>
      <c r="O848" t="e">
        <f>INDEX(reces_codes,MATCH(loaded!AI848,reason,0))</f>
        <v>#N/A</v>
      </c>
      <c r="P848" t="e">
        <f>INDEX(TDS_codes,MATCH(loaded!AK848,TDS,0))</f>
        <v>#N/A</v>
      </c>
      <c r="Q848" t="e">
        <f>IF(K848=2,"",INDEX(method_codes,MATCH(loaded!AM848,method,0)))</f>
        <v>#N/A</v>
      </c>
      <c r="R848" t="e">
        <f>IF(K848=2,"",INDEX(inj_codes,MATCH(loaded!AO848,inj,0)))</f>
        <v>#N/A</v>
      </c>
      <c r="S848" t="e">
        <f>IF(K848=2,"",INDEX(drug_codes,MATCH(loaded!AQ848,drug,0)))</f>
        <v>#N/A</v>
      </c>
      <c r="T848" t="e">
        <f>IF(K848=2,"",_xlfn.IFNA(INDEX(drug_codes,MATCH(loaded!AS848,drug,0)),""))</f>
        <v>#N/A</v>
      </c>
      <c r="U848" t="e">
        <f>IF(K848=2,"",_xlfn.IFNA(INDEX(drug_codes,MATCH(loaded!AU848,drug,0)),""))</f>
        <v>#N/A</v>
      </c>
      <c r="V848" t="e">
        <f>IF(K848=2,"",_xlfn.IFNA(INDEX(drug_codes,MATCH(loaded!AW848,drug,0)),""))</f>
        <v>#N/A</v>
      </c>
      <c r="W848" t="e">
        <f>IF(K848=2,"",_xlfn.IFNA(INDEX(drug_codes,MATCH(loaded!AY848,drug,0)),""))</f>
        <v>#N/A</v>
      </c>
      <c r="X848" t="e">
        <f>IF(K848=2,"",_xlfn.IFNA(INDEX(drug_codes,MATCH(loaded!BA848,drug,0)),""))</f>
        <v>#N/A</v>
      </c>
      <c r="Y848" t="e">
        <f>INDEX(MTT_codes,MATCH(loaded!BC848,MTT,0))</f>
        <v>#N/A</v>
      </c>
      <c r="Z848" t="str">
        <f>_xlfn.IFNA(INDEX(MTT_codes,MATCH(loaded!BE848,MTT,0)),"")</f>
        <v/>
      </c>
      <c r="AA848" t="str">
        <f>_xlfn.IFNA(INDEX(MTT_codes,MATCH(loaded!BG848,MTT,0)),"")</f>
        <v/>
      </c>
      <c r="AB848" t="str">
        <f>_xlfn.IFNA(INDEX(MTT_codes,MATCH(loaded!BI848,MTT,0)),"")</f>
        <v/>
      </c>
      <c r="AC848" t="str">
        <f>_xlfn.IFNA(INDEX(MTT_codes,MATCH(loaded!BK848,MTT,0)),"")</f>
        <v/>
      </c>
      <c r="AD848" t="str">
        <f>_xlfn.IFNA(INDEX(MTT_codes,MATCH(loaded!BM848,MTT,0)),"")</f>
        <v/>
      </c>
      <c r="AE848" t="e">
        <f>INDEX(liv_ar_codes,MATCH(loaded!BO848,liv_ar,0))</f>
        <v>#N/A</v>
      </c>
      <c r="AF848" t="str">
        <f>_xlfn.IFNA(INDEX(MTT_codes,MATCH(loaded!BQ848,MTT,0)),"")</f>
        <v/>
      </c>
      <c r="AG848">
        <f>_xlfn.IFNA(INDEX(mental_codes,MATCH(loaded!BS848,mental,0)),9)</f>
        <v>9</v>
      </c>
    </row>
    <row r="849" spans="1:33" x14ac:dyDescent="0.25">
      <c r="A849">
        <f>loaded!C849</f>
        <v>0</v>
      </c>
      <c r="B849">
        <f>loaded!I849</f>
        <v>0</v>
      </c>
      <c r="C849">
        <f>IF(loaded!K849="Male",1,IF(loaded!K849="Female",2,9))</f>
        <v>9</v>
      </c>
      <c r="D849" s="8">
        <f>loaded!M849</f>
        <v>0</v>
      </c>
      <c r="E849" t="str">
        <f>LEFT(loaded!O849,3)</f>
        <v/>
      </c>
      <c r="F849" t="e">
        <f>INDEX(cntry_codes,MATCH(loaded!Q849,countries,0))</f>
        <v>#N/A</v>
      </c>
      <c r="G849" t="e">
        <f>INDEX(atsi_codes,MATCH(loaded!S849,atsi,0))</f>
        <v>#N/A</v>
      </c>
      <c r="H849" t="e">
        <f>INDEX(lang_codes,MATCH(loaded!U849,lang,0))</f>
        <v>#N/A</v>
      </c>
      <c r="I849" s="8">
        <f>loaded!W849</f>
        <v>0</v>
      </c>
      <c r="J849" t="e">
        <f>INDEX(us_acc_codes,MATCH(loaded!Y849,us_acc,0))</f>
        <v>#N/A</v>
      </c>
      <c r="K849" t="e">
        <f>INDEX(client_codes,MATCH(loaded!AA849,client,0))</f>
        <v>#N/A</v>
      </c>
      <c r="L849" t="e">
        <f>INDEX(src_ref_codes,MATCH(loaded!AC849,src_ref,0))</f>
        <v>#N/A</v>
      </c>
      <c r="M849" s="8">
        <f>loaded!AE849</f>
        <v>0</v>
      </c>
      <c r="N849" s="8">
        <f>loaded!AG849</f>
        <v>0</v>
      </c>
      <c r="O849" t="e">
        <f>INDEX(reces_codes,MATCH(loaded!AI849,reason,0))</f>
        <v>#N/A</v>
      </c>
      <c r="P849" t="e">
        <f>INDEX(TDS_codes,MATCH(loaded!AK849,TDS,0))</f>
        <v>#N/A</v>
      </c>
      <c r="Q849" t="e">
        <f>IF(K849=2,"",INDEX(method_codes,MATCH(loaded!AM849,method,0)))</f>
        <v>#N/A</v>
      </c>
      <c r="R849" t="e">
        <f>IF(K849=2,"",INDEX(inj_codes,MATCH(loaded!AO849,inj,0)))</f>
        <v>#N/A</v>
      </c>
      <c r="S849" t="e">
        <f>IF(K849=2,"",INDEX(drug_codes,MATCH(loaded!AQ849,drug,0)))</f>
        <v>#N/A</v>
      </c>
      <c r="T849" t="e">
        <f>IF(K849=2,"",_xlfn.IFNA(INDEX(drug_codes,MATCH(loaded!AS849,drug,0)),""))</f>
        <v>#N/A</v>
      </c>
      <c r="U849" t="e">
        <f>IF(K849=2,"",_xlfn.IFNA(INDEX(drug_codes,MATCH(loaded!AU849,drug,0)),""))</f>
        <v>#N/A</v>
      </c>
      <c r="V849" t="e">
        <f>IF(K849=2,"",_xlfn.IFNA(INDEX(drug_codes,MATCH(loaded!AW849,drug,0)),""))</f>
        <v>#N/A</v>
      </c>
      <c r="W849" t="e">
        <f>IF(K849=2,"",_xlfn.IFNA(INDEX(drug_codes,MATCH(loaded!AY849,drug,0)),""))</f>
        <v>#N/A</v>
      </c>
      <c r="X849" t="e">
        <f>IF(K849=2,"",_xlfn.IFNA(INDEX(drug_codes,MATCH(loaded!BA849,drug,0)),""))</f>
        <v>#N/A</v>
      </c>
      <c r="Y849" t="e">
        <f>INDEX(MTT_codes,MATCH(loaded!BC849,MTT,0))</f>
        <v>#N/A</v>
      </c>
      <c r="Z849" t="str">
        <f>_xlfn.IFNA(INDEX(MTT_codes,MATCH(loaded!BE849,MTT,0)),"")</f>
        <v/>
      </c>
      <c r="AA849" t="str">
        <f>_xlfn.IFNA(INDEX(MTT_codes,MATCH(loaded!BG849,MTT,0)),"")</f>
        <v/>
      </c>
      <c r="AB849" t="str">
        <f>_xlfn.IFNA(INDEX(MTT_codes,MATCH(loaded!BI849,MTT,0)),"")</f>
        <v/>
      </c>
      <c r="AC849" t="str">
        <f>_xlfn.IFNA(INDEX(MTT_codes,MATCH(loaded!BK849,MTT,0)),"")</f>
        <v/>
      </c>
      <c r="AD849" t="str">
        <f>_xlfn.IFNA(INDEX(MTT_codes,MATCH(loaded!BM849,MTT,0)),"")</f>
        <v/>
      </c>
      <c r="AE849" t="e">
        <f>INDEX(liv_ar_codes,MATCH(loaded!BO849,liv_ar,0))</f>
        <v>#N/A</v>
      </c>
      <c r="AF849" t="str">
        <f>_xlfn.IFNA(INDEX(MTT_codes,MATCH(loaded!BQ849,MTT,0)),"")</f>
        <v/>
      </c>
      <c r="AG849">
        <f>_xlfn.IFNA(INDEX(mental_codes,MATCH(loaded!BS849,mental,0)),9)</f>
        <v>9</v>
      </c>
    </row>
    <row r="850" spans="1:33" x14ac:dyDescent="0.25">
      <c r="A850">
        <f>loaded!C850</f>
        <v>0</v>
      </c>
      <c r="B850">
        <f>loaded!I850</f>
        <v>0</v>
      </c>
      <c r="C850">
        <f>IF(loaded!K850="Male",1,IF(loaded!K850="Female",2,9))</f>
        <v>9</v>
      </c>
      <c r="D850" s="8">
        <f>loaded!M850</f>
        <v>0</v>
      </c>
      <c r="E850" t="str">
        <f>LEFT(loaded!O850,3)</f>
        <v/>
      </c>
      <c r="F850" t="e">
        <f>INDEX(cntry_codes,MATCH(loaded!Q850,countries,0))</f>
        <v>#N/A</v>
      </c>
      <c r="G850" t="e">
        <f>INDEX(atsi_codes,MATCH(loaded!S850,atsi,0))</f>
        <v>#N/A</v>
      </c>
      <c r="H850" t="e">
        <f>INDEX(lang_codes,MATCH(loaded!U850,lang,0))</f>
        <v>#N/A</v>
      </c>
      <c r="I850" s="8">
        <f>loaded!W850</f>
        <v>0</v>
      </c>
      <c r="J850" t="e">
        <f>INDEX(us_acc_codes,MATCH(loaded!Y850,us_acc,0))</f>
        <v>#N/A</v>
      </c>
      <c r="K850" t="e">
        <f>INDEX(client_codes,MATCH(loaded!AA850,client,0))</f>
        <v>#N/A</v>
      </c>
      <c r="L850" t="e">
        <f>INDEX(src_ref_codes,MATCH(loaded!AC850,src_ref,0))</f>
        <v>#N/A</v>
      </c>
      <c r="M850" s="8">
        <f>loaded!AE850</f>
        <v>0</v>
      </c>
      <c r="N850" s="8">
        <f>loaded!AG850</f>
        <v>0</v>
      </c>
      <c r="O850" t="e">
        <f>INDEX(reces_codes,MATCH(loaded!AI850,reason,0))</f>
        <v>#N/A</v>
      </c>
      <c r="P850" t="e">
        <f>INDEX(TDS_codes,MATCH(loaded!AK850,TDS,0))</f>
        <v>#N/A</v>
      </c>
      <c r="Q850" t="e">
        <f>IF(K850=2,"",INDEX(method_codes,MATCH(loaded!AM850,method,0)))</f>
        <v>#N/A</v>
      </c>
      <c r="R850" t="e">
        <f>IF(K850=2,"",INDEX(inj_codes,MATCH(loaded!AO850,inj,0)))</f>
        <v>#N/A</v>
      </c>
      <c r="S850" t="e">
        <f>IF(K850=2,"",INDEX(drug_codes,MATCH(loaded!AQ850,drug,0)))</f>
        <v>#N/A</v>
      </c>
      <c r="T850" t="e">
        <f>IF(K850=2,"",_xlfn.IFNA(INDEX(drug_codes,MATCH(loaded!AS850,drug,0)),""))</f>
        <v>#N/A</v>
      </c>
      <c r="U850" t="e">
        <f>IF(K850=2,"",_xlfn.IFNA(INDEX(drug_codes,MATCH(loaded!AU850,drug,0)),""))</f>
        <v>#N/A</v>
      </c>
      <c r="V850" t="e">
        <f>IF(K850=2,"",_xlfn.IFNA(INDEX(drug_codes,MATCH(loaded!AW850,drug,0)),""))</f>
        <v>#N/A</v>
      </c>
      <c r="W850" t="e">
        <f>IF(K850=2,"",_xlfn.IFNA(INDEX(drug_codes,MATCH(loaded!AY850,drug,0)),""))</f>
        <v>#N/A</v>
      </c>
      <c r="X850" t="e">
        <f>IF(K850=2,"",_xlfn.IFNA(INDEX(drug_codes,MATCH(loaded!BA850,drug,0)),""))</f>
        <v>#N/A</v>
      </c>
      <c r="Y850" t="e">
        <f>INDEX(MTT_codes,MATCH(loaded!BC850,MTT,0))</f>
        <v>#N/A</v>
      </c>
      <c r="Z850" t="str">
        <f>_xlfn.IFNA(INDEX(MTT_codes,MATCH(loaded!BE850,MTT,0)),"")</f>
        <v/>
      </c>
      <c r="AA850" t="str">
        <f>_xlfn.IFNA(INDEX(MTT_codes,MATCH(loaded!BG850,MTT,0)),"")</f>
        <v/>
      </c>
      <c r="AB850" t="str">
        <f>_xlfn.IFNA(INDEX(MTT_codes,MATCH(loaded!BI850,MTT,0)),"")</f>
        <v/>
      </c>
      <c r="AC850" t="str">
        <f>_xlfn.IFNA(INDEX(MTT_codes,MATCH(loaded!BK850,MTT,0)),"")</f>
        <v/>
      </c>
      <c r="AD850" t="str">
        <f>_xlfn.IFNA(INDEX(MTT_codes,MATCH(loaded!BM850,MTT,0)),"")</f>
        <v/>
      </c>
      <c r="AE850" t="e">
        <f>INDEX(liv_ar_codes,MATCH(loaded!BO850,liv_ar,0))</f>
        <v>#N/A</v>
      </c>
      <c r="AF850" t="str">
        <f>_xlfn.IFNA(INDEX(MTT_codes,MATCH(loaded!BQ850,MTT,0)),"")</f>
        <v/>
      </c>
      <c r="AG850">
        <f>_xlfn.IFNA(INDEX(mental_codes,MATCH(loaded!BS850,mental,0)),9)</f>
        <v>9</v>
      </c>
    </row>
    <row r="851" spans="1:33" x14ac:dyDescent="0.25">
      <c r="A851">
        <f>loaded!C851</f>
        <v>0</v>
      </c>
      <c r="B851">
        <f>loaded!I851</f>
        <v>0</v>
      </c>
      <c r="C851">
        <f>IF(loaded!K851="Male",1,IF(loaded!K851="Female",2,9))</f>
        <v>9</v>
      </c>
      <c r="D851" s="8">
        <f>loaded!M851</f>
        <v>0</v>
      </c>
      <c r="E851" t="str">
        <f>LEFT(loaded!O851,3)</f>
        <v/>
      </c>
      <c r="F851" t="e">
        <f>INDEX(cntry_codes,MATCH(loaded!Q851,countries,0))</f>
        <v>#N/A</v>
      </c>
      <c r="G851" t="e">
        <f>INDEX(atsi_codes,MATCH(loaded!S851,atsi,0))</f>
        <v>#N/A</v>
      </c>
      <c r="H851" t="e">
        <f>INDEX(lang_codes,MATCH(loaded!U851,lang,0))</f>
        <v>#N/A</v>
      </c>
      <c r="I851" s="8">
        <f>loaded!W851</f>
        <v>0</v>
      </c>
      <c r="J851" t="e">
        <f>INDEX(us_acc_codes,MATCH(loaded!Y851,us_acc,0))</f>
        <v>#N/A</v>
      </c>
      <c r="K851" t="e">
        <f>INDEX(client_codes,MATCH(loaded!AA851,client,0))</f>
        <v>#N/A</v>
      </c>
      <c r="L851" t="e">
        <f>INDEX(src_ref_codes,MATCH(loaded!AC851,src_ref,0))</f>
        <v>#N/A</v>
      </c>
      <c r="M851" s="8">
        <f>loaded!AE851</f>
        <v>0</v>
      </c>
      <c r="N851" s="8">
        <f>loaded!AG851</f>
        <v>0</v>
      </c>
      <c r="O851" t="e">
        <f>INDEX(reces_codes,MATCH(loaded!AI851,reason,0))</f>
        <v>#N/A</v>
      </c>
      <c r="P851" t="e">
        <f>INDEX(TDS_codes,MATCH(loaded!AK851,TDS,0))</f>
        <v>#N/A</v>
      </c>
      <c r="Q851" t="e">
        <f>IF(K851=2,"",INDEX(method_codes,MATCH(loaded!AM851,method,0)))</f>
        <v>#N/A</v>
      </c>
      <c r="R851" t="e">
        <f>IF(K851=2,"",INDEX(inj_codes,MATCH(loaded!AO851,inj,0)))</f>
        <v>#N/A</v>
      </c>
      <c r="S851" t="e">
        <f>IF(K851=2,"",INDEX(drug_codes,MATCH(loaded!AQ851,drug,0)))</f>
        <v>#N/A</v>
      </c>
      <c r="T851" t="e">
        <f>IF(K851=2,"",_xlfn.IFNA(INDEX(drug_codes,MATCH(loaded!AS851,drug,0)),""))</f>
        <v>#N/A</v>
      </c>
      <c r="U851" t="e">
        <f>IF(K851=2,"",_xlfn.IFNA(INDEX(drug_codes,MATCH(loaded!AU851,drug,0)),""))</f>
        <v>#N/A</v>
      </c>
      <c r="V851" t="e">
        <f>IF(K851=2,"",_xlfn.IFNA(INDEX(drug_codes,MATCH(loaded!AW851,drug,0)),""))</f>
        <v>#N/A</v>
      </c>
      <c r="W851" t="e">
        <f>IF(K851=2,"",_xlfn.IFNA(INDEX(drug_codes,MATCH(loaded!AY851,drug,0)),""))</f>
        <v>#N/A</v>
      </c>
      <c r="X851" t="e">
        <f>IF(K851=2,"",_xlfn.IFNA(INDEX(drug_codes,MATCH(loaded!BA851,drug,0)),""))</f>
        <v>#N/A</v>
      </c>
      <c r="Y851" t="e">
        <f>INDEX(MTT_codes,MATCH(loaded!BC851,MTT,0))</f>
        <v>#N/A</v>
      </c>
      <c r="Z851" t="str">
        <f>_xlfn.IFNA(INDEX(MTT_codes,MATCH(loaded!BE851,MTT,0)),"")</f>
        <v/>
      </c>
      <c r="AA851" t="str">
        <f>_xlfn.IFNA(INDEX(MTT_codes,MATCH(loaded!BG851,MTT,0)),"")</f>
        <v/>
      </c>
      <c r="AB851" t="str">
        <f>_xlfn.IFNA(INDEX(MTT_codes,MATCH(loaded!BI851,MTT,0)),"")</f>
        <v/>
      </c>
      <c r="AC851" t="str">
        <f>_xlfn.IFNA(INDEX(MTT_codes,MATCH(loaded!BK851,MTT,0)),"")</f>
        <v/>
      </c>
      <c r="AD851" t="str">
        <f>_xlfn.IFNA(INDEX(MTT_codes,MATCH(loaded!BM851,MTT,0)),"")</f>
        <v/>
      </c>
      <c r="AE851" t="e">
        <f>INDEX(liv_ar_codes,MATCH(loaded!BO851,liv_ar,0))</f>
        <v>#N/A</v>
      </c>
      <c r="AF851" t="str">
        <f>_xlfn.IFNA(INDEX(MTT_codes,MATCH(loaded!BQ851,MTT,0)),"")</f>
        <v/>
      </c>
      <c r="AG851">
        <f>_xlfn.IFNA(INDEX(mental_codes,MATCH(loaded!BS851,mental,0)),9)</f>
        <v>9</v>
      </c>
    </row>
    <row r="852" spans="1:33" x14ac:dyDescent="0.25">
      <c r="A852">
        <f>loaded!C852</f>
        <v>0</v>
      </c>
      <c r="B852">
        <f>loaded!I852</f>
        <v>0</v>
      </c>
      <c r="C852">
        <f>IF(loaded!K852="Male",1,IF(loaded!K852="Female",2,9))</f>
        <v>9</v>
      </c>
      <c r="D852" s="8">
        <f>loaded!M852</f>
        <v>0</v>
      </c>
      <c r="E852" t="str">
        <f>LEFT(loaded!O852,3)</f>
        <v/>
      </c>
      <c r="F852" t="e">
        <f>INDEX(cntry_codes,MATCH(loaded!Q852,countries,0))</f>
        <v>#N/A</v>
      </c>
      <c r="G852" t="e">
        <f>INDEX(atsi_codes,MATCH(loaded!S852,atsi,0))</f>
        <v>#N/A</v>
      </c>
      <c r="H852" t="e">
        <f>INDEX(lang_codes,MATCH(loaded!U852,lang,0))</f>
        <v>#N/A</v>
      </c>
      <c r="I852" s="8">
        <f>loaded!W852</f>
        <v>0</v>
      </c>
      <c r="J852" t="e">
        <f>INDEX(us_acc_codes,MATCH(loaded!Y852,us_acc,0))</f>
        <v>#N/A</v>
      </c>
      <c r="K852" t="e">
        <f>INDEX(client_codes,MATCH(loaded!AA852,client,0))</f>
        <v>#N/A</v>
      </c>
      <c r="L852" t="e">
        <f>INDEX(src_ref_codes,MATCH(loaded!AC852,src_ref,0))</f>
        <v>#N/A</v>
      </c>
      <c r="M852" s="8">
        <f>loaded!AE852</f>
        <v>0</v>
      </c>
      <c r="N852" s="8">
        <f>loaded!AG852</f>
        <v>0</v>
      </c>
      <c r="O852" t="e">
        <f>INDEX(reces_codes,MATCH(loaded!AI852,reason,0))</f>
        <v>#N/A</v>
      </c>
      <c r="P852" t="e">
        <f>INDEX(TDS_codes,MATCH(loaded!AK852,TDS,0))</f>
        <v>#N/A</v>
      </c>
      <c r="Q852" t="e">
        <f>IF(K852=2,"",INDEX(method_codes,MATCH(loaded!AM852,method,0)))</f>
        <v>#N/A</v>
      </c>
      <c r="R852" t="e">
        <f>IF(K852=2,"",INDEX(inj_codes,MATCH(loaded!AO852,inj,0)))</f>
        <v>#N/A</v>
      </c>
      <c r="S852" t="e">
        <f>IF(K852=2,"",INDEX(drug_codes,MATCH(loaded!AQ852,drug,0)))</f>
        <v>#N/A</v>
      </c>
      <c r="T852" t="e">
        <f>IF(K852=2,"",_xlfn.IFNA(INDEX(drug_codes,MATCH(loaded!AS852,drug,0)),""))</f>
        <v>#N/A</v>
      </c>
      <c r="U852" t="e">
        <f>IF(K852=2,"",_xlfn.IFNA(INDEX(drug_codes,MATCH(loaded!AU852,drug,0)),""))</f>
        <v>#N/A</v>
      </c>
      <c r="V852" t="e">
        <f>IF(K852=2,"",_xlfn.IFNA(INDEX(drug_codes,MATCH(loaded!AW852,drug,0)),""))</f>
        <v>#N/A</v>
      </c>
      <c r="W852" t="e">
        <f>IF(K852=2,"",_xlfn.IFNA(INDEX(drug_codes,MATCH(loaded!AY852,drug,0)),""))</f>
        <v>#N/A</v>
      </c>
      <c r="X852" t="e">
        <f>IF(K852=2,"",_xlfn.IFNA(INDEX(drug_codes,MATCH(loaded!BA852,drug,0)),""))</f>
        <v>#N/A</v>
      </c>
      <c r="Y852" t="e">
        <f>INDEX(MTT_codes,MATCH(loaded!BC852,MTT,0))</f>
        <v>#N/A</v>
      </c>
      <c r="Z852" t="str">
        <f>_xlfn.IFNA(INDEX(MTT_codes,MATCH(loaded!BE852,MTT,0)),"")</f>
        <v/>
      </c>
      <c r="AA852" t="str">
        <f>_xlfn.IFNA(INDEX(MTT_codes,MATCH(loaded!BG852,MTT,0)),"")</f>
        <v/>
      </c>
      <c r="AB852" t="str">
        <f>_xlfn.IFNA(INDEX(MTT_codes,MATCH(loaded!BI852,MTT,0)),"")</f>
        <v/>
      </c>
      <c r="AC852" t="str">
        <f>_xlfn.IFNA(INDEX(MTT_codes,MATCH(loaded!BK852,MTT,0)),"")</f>
        <v/>
      </c>
      <c r="AD852" t="str">
        <f>_xlfn.IFNA(INDEX(MTT_codes,MATCH(loaded!BM852,MTT,0)),"")</f>
        <v/>
      </c>
      <c r="AE852" t="e">
        <f>INDEX(liv_ar_codes,MATCH(loaded!BO852,liv_ar,0))</f>
        <v>#N/A</v>
      </c>
      <c r="AF852" t="str">
        <f>_xlfn.IFNA(INDEX(MTT_codes,MATCH(loaded!BQ852,MTT,0)),"")</f>
        <v/>
      </c>
      <c r="AG852">
        <f>_xlfn.IFNA(INDEX(mental_codes,MATCH(loaded!BS852,mental,0)),9)</f>
        <v>9</v>
      </c>
    </row>
    <row r="853" spans="1:33" x14ac:dyDescent="0.25">
      <c r="A853">
        <f>loaded!C853</f>
        <v>0</v>
      </c>
      <c r="B853">
        <f>loaded!I853</f>
        <v>0</v>
      </c>
      <c r="C853">
        <f>IF(loaded!K853="Male",1,IF(loaded!K853="Female",2,9))</f>
        <v>9</v>
      </c>
      <c r="D853" s="8">
        <f>loaded!M853</f>
        <v>0</v>
      </c>
      <c r="E853" t="str">
        <f>LEFT(loaded!O853,3)</f>
        <v/>
      </c>
      <c r="F853" t="e">
        <f>INDEX(cntry_codes,MATCH(loaded!Q853,countries,0))</f>
        <v>#N/A</v>
      </c>
      <c r="G853" t="e">
        <f>INDEX(atsi_codes,MATCH(loaded!S853,atsi,0))</f>
        <v>#N/A</v>
      </c>
      <c r="H853" t="e">
        <f>INDEX(lang_codes,MATCH(loaded!U853,lang,0))</f>
        <v>#N/A</v>
      </c>
      <c r="I853" s="8">
        <f>loaded!W853</f>
        <v>0</v>
      </c>
      <c r="J853" t="e">
        <f>INDEX(us_acc_codes,MATCH(loaded!Y853,us_acc,0))</f>
        <v>#N/A</v>
      </c>
      <c r="K853" t="e">
        <f>INDEX(client_codes,MATCH(loaded!AA853,client,0))</f>
        <v>#N/A</v>
      </c>
      <c r="L853" t="e">
        <f>INDEX(src_ref_codes,MATCH(loaded!AC853,src_ref,0))</f>
        <v>#N/A</v>
      </c>
      <c r="M853" s="8">
        <f>loaded!AE853</f>
        <v>0</v>
      </c>
      <c r="N853" s="8">
        <f>loaded!AG853</f>
        <v>0</v>
      </c>
      <c r="O853" t="e">
        <f>INDEX(reces_codes,MATCH(loaded!AI853,reason,0))</f>
        <v>#N/A</v>
      </c>
      <c r="P853" t="e">
        <f>INDEX(TDS_codes,MATCH(loaded!AK853,TDS,0))</f>
        <v>#N/A</v>
      </c>
      <c r="Q853" t="e">
        <f>IF(K853=2,"",INDEX(method_codes,MATCH(loaded!AM853,method,0)))</f>
        <v>#N/A</v>
      </c>
      <c r="R853" t="e">
        <f>IF(K853=2,"",INDEX(inj_codes,MATCH(loaded!AO853,inj,0)))</f>
        <v>#N/A</v>
      </c>
      <c r="S853" t="e">
        <f>IF(K853=2,"",INDEX(drug_codes,MATCH(loaded!AQ853,drug,0)))</f>
        <v>#N/A</v>
      </c>
      <c r="T853" t="e">
        <f>IF(K853=2,"",_xlfn.IFNA(INDEX(drug_codes,MATCH(loaded!AS853,drug,0)),""))</f>
        <v>#N/A</v>
      </c>
      <c r="U853" t="e">
        <f>IF(K853=2,"",_xlfn.IFNA(INDEX(drug_codes,MATCH(loaded!AU853,drug,0)),""))</f>
        <v>#N/A</v>
      </c>
      <c r="V853" t="e">
        <f>IF(K853=2,"",_xlfn.IFNA(INDEX(drug_codes,MATCH(loaded!AW853,drug,0)),""))</f>
        <v>#N/A</v>
      </c>
      <c r="W853" t="e">
        <f>IF(K853=2,"",_xlfn.IFNA(INDEX(drug_codes,MATCH(loaded!AY853,drug,0)),""))</f>
        <v>#N/A</v>
      </c>
      <c r="X853" t="e">
        <f>IF(K853=2,"",_xlfn.IFNA(INDEX(drug_codes,MATCH(loaded!BA853,drug,0)),""))</f>
        <v>#N/A</v>
      </c>
      <c r="Y853" t="e">
        <f>INDEX(MTT_codes,MATCH(loaded!BC853,MTT,0))</f>
        <v>#N/A</v>
      </c>
      <c r="Z853" t="str">
        <f>_xlfn.IFNA(INDEX(MTT_codes,MATCH(loaded!BE853,MTT,0)),"")</f>
        <v/>
      </c>
      <c r="AA853" t="str">
        <f>_xlfn.IFNA(INDEX(MTT_codes,MATCH(loaded!BG853,MTT,0)),"")</f>
        <v/>
      </c>
      <c r="AB853" t="str">
        <f>_xlfn.IFNA(INDEX(MTT_codes,MATCH(loaded!BI853,MTT,0)),"")</f>
        <v/>
      </c>
      <c r="AC853" t="str">
        <f>_xlfn.IFNA(INDEX(MTT_codes,MATCH(loaded!BK853,MTT,0)),"")</f>
        <v/>
      </c>
      <c r="AD853" t="str">
        <f>_xlfn.IFNA(INDEX(MTT_codes,MATCH(loaded!BM853,MTT,0)),"")</f>
        <v/>
      </c>
      <c r="AE853" t="e">
        <f>INDEX(liv_ar_codes,MATCH(loaded!BO853,liv_ar,0))</f>
        <v>#N/A</v>
      </c>
      <c r="AF853" t="str">
        <f>_xlfn.IFNA(INDEX(MTT_codes,MATCH(loaded!BQ853,MTT,0)),"")</f>
        <v/>
      </c>
      <c r="AG853">
        <f>_xlfn.IFNA(INDEX(mental_codes,MATCH(loaded!BS853,mental,0)),9)</f>
        <v>9</v>
      </c>
    </row>
    <row r="854" spans="1:33" x14ac:dyDescent="0.25">
      <c r="A854">
        <f>loaded!C854</f>
        <v>0</v>
      </c>
      <c r="B854">
        <f>loaded!I854</f>
        <v>0</v>
      </c>
      <c r="C854">
        <f>IF(loaded!K854="Male",1,IF(loaded!K854="Female",2,9))</f>
        <v>9</v>
      </c>
      <c r="D854" s="8">
        <f>loaded!M854</f>
        <v>0</v>
      </c>
      <c r="E854" t="str">
        <f>LEFT(loaded!O854,3)</f>
        <v/>
      </c>
      <c r="F854" t="e">
        <f>INDEX(cntry_codes,MATCH(loaded!Q854,countries,0))</f>
        <v>#N/A</v>
      </c>
      <c r="G854" t="e">
        <f>INDEX(atsi_codes,MATCH(loaded!S854,atsi,0))</f>
        <v>#N/A</v>
      </c>
      <c r="H854" t="e">
        <f>INDEX(lang_codes,MATCH(loaded!U854,lang,0))</f>
        <v>#N/A</v>
      </c>
      <c r="I854" s="8">
        <f>loaded!W854</f>
        <v>0</v>
      </c>
      <c r="J854" t="e">
        <f>INDEX(us_acc_codes,MATCH(loaded!Y854,us_acc,0))</f>
        <v>#N/A</v>
      </c>
      <c r="K854" t="e">
        <f>INDEX(client_codes,MATCH(loaded!AA854,client,0))</f>
        <v>#N/A</v>
      </c>
      <c r="L854" t="e">
        <f>INDEX(src_ref_codes,MATCH(loaded!AC854,src_ref,0))</f>
        <v>#N/A</v>
      </c>
      <c r="M854" s="8">
        <f>loaded!AE854</f>
        <v>0</v>
      </c>
      <c r="N854" s="8">
        <f>loaded!AG854</f>
        <v>0</v>
      </c>
      <c r="O854" t="e">
        <f>INDEX(reces_codes,MATCH(loaded!AI854,reason,0))</f>
        <v>#N/A</v>
      </c>
      <c r="P854" t="e">
        <f>INDEX(TDS_codes,MATCH(loaded!AK854,TDS,0))</f>
        <v>#N/A</v>
      </c>
      <c r="Q854" t="e">
        <f>IF(K854=2,"",INDEX(method_codes,MATCH(loaded!AM854,method,0)))</f>
        <v>#N/A</v>
      </c>
      <c r="R854" t="e">
        <f>IF(K854=2,"",INDEX(inj_codes,MATCH(loaded!AO854,inj,0)))</f>
        <v>#N/A</v>
      </c>
      <c r="S854" t="e">
        <f>IF(K854=2,"",INDEX(drug_codes,MATCH(loaded!AQ854,drug,0)))</f>
        <v>#N/A</v>
      </c>
      <c r="T854" t="e">
        <f>IF(K854=2,"",_xlfn.IFNA(INDEX(drug_codes,MATCH(loaded!AS854,drug,0)),""))</f>
        <v>#N/A</v>
      </c>
      <c r="U854" t="e">
        <f>IF(K854=2,"",_xlfn.IFNA(INDEX(drug_codes,MATCH(loaded!AU854,drug,0)),""))</f>
        <v>#N/A</v>
      </c>
      <c r="V854" t="e">
        <f>IF(K854=2,"",_xlfn.IFNA(INDEX(drug_codes,MATCH(loaded!AW854,drug,0)),""))</f>
        <v>#N/A</v>
      </c>
      <c r="W854" t="e">
        <f>IF(K854=2,"",_xlfn.IFNA(INDEX(drug_codes,MATCH(loaded!AY854,drug,0)),""))</f>
        <v>#N/A</v>
      </c>
      <c r="X854" t="e">
        <f>IF(K854=2,"",_xlfn.IFNA(INDEX(drug_codes,MATCH(loaded!BA854,drug,0)),""))</f>
        <v>#N/A</v>
      </c>
      <c r="Y854" t="e">
        <f>INDEX(MTT_codes,MATCH(loaded!BC854,MTT,0))</f>
        <v>#N/A</v>
      </c>
      <c r="Z854" t="str">
        <f>_xlfn.IFNA(INDEX(MTT_codes,MATCH(loaded!BE854,MTT,0)),"")</f>
        <v/>
      </c>
      <c r="AA854" t="str">
        <f>_xlfn.IFNA(INDEX(MTT_codes,MATCH(loaded!BG854,MTT,0)),"")</f>
        <v/>
      </c>
      <c r="AB854" t="str">
        <f>_xlfn.IFNA(INDEX(MTT_codes,MATCH(loaded!BI854,MTT,0)),"")</f>
        <v/>
      </c>
      <c r="AC854" t="str">
        <f>_xlfn.IFNA(INDEX(MTT_codes,MATCH(loaded!BK854,MTT,0)),"")</f>
        <v/>
      </c>
      <c r="AD854" t="str">
        <f>_xlfn.IFNA(INDEX(MTT_codes,MATCH(loaded!BM854,MTT,0)),"")</f>
        <v/>
      </c>
      <c r="AE854" t="e">
        <f>INDEX(liv_ar_codes,MATCH(loaded!BO854,liv_ar,0))</f>
        <v>#N/A</v>
      </c>
      <c r="AF854" t="str">
        <f>_xlfn.IFNA(INDEX(MTT_codes,MATCH(loaded!BQ854,MTT,0)),"")</f>
        <v/>
      </c>
      <c r="AG854">
        <f>_xlfn.IFNA(INDEX(mental_codes,MATCH(loaded!BS854,mental,0)),9)</f>
        <v>9</v>
      </c>
    </row>
    <row r="855" spans="1:33" x14ac:dyDescent="0.25">
      <c r="A855">
        <f>loaded!C855</f>
        <v>0</v>
      </c>
      <c r="B855">
        <f>loaded!I855</f>
        <v>0</v>
      </c>
      <c r="C855">
        <f>IF(loaded!K855="Male",1,IF(loaded!K855="Female",2,9))</f>
        <v>9</v>
      </c>
      <c r="D855" s="8">
        <f>loaded!M855</f>
        <v>0</v>
      </c>
      <c r="E855" t="str">
        <f>LEFT(loaded!O855,3)</f>
        <v/>
      </c>
      <c r="F855" t="e">
        <f>INDEX(cntry_codes,MATCH(loaded!Q855,countries,0))</f>
        <v>#N/A</v>
      </c>
      <c r="G855" t="e">
        <f>INDEX(atsi_codes,MATCH(loaded!S855,atsi,0))</f>
        <v>#N/A</v>
      </c>
      <c r="H855" t="e">
        <f>INDEX(lang_codes,MATCH(loaded!U855,lang,0))</f>
        <v>#N/A</v>
      </c>
      <c r="I855" s="8">
        <f>loaded!W855</f>
        <v>0</v>
      </c>
      <c r="J855" t="e">
        <f>INDEX(us_acc_codes,MATCH(loaded!Y855,us_acc,0))</f>
        <v>#N/A</v>
      </c>
      <c r="K855" t="e">
        <f>INDEX(client_codes,MATCH(loaded!AA855,client,0))</f>
        <v>#N/A</v>
      </c>
      <c r="L855" t="e">
        <f>INDEX(src_ref_codes,MATCH(loaded!AC855,src_ref,0))</f>
        <v>#N/A</v>
      </c>
      <c r="M855" s="8">
        <f>loaded!AE855</f>
        <v>0</v>
      </c>
      <c r="N855" s="8">
        <f>loaded!AG855</f>
        <v>0</v>
      </c>
      <c r="O855" t="e">
        <f>INDEX(reces_codes,MATCH(loaded!AI855,reason,0))</f>
        <v>#N/A</v>
      </c>
      <c r="P855" t="e">
        <f>INDEX(TDS_codes,MATCH(loaded!AK855,TDS,0))</f>
        <v>#N/A</v>
      </c>
      <c r="Q855" t="e">
        <f>IF(K855=2,"",INDEX(method_codes,MATCH(loaded!AM855,method,0)))</f>
        <v>#N/A</v>
      </c>
      <c r="R855" t="e">
        <f>IF(K855=2,"",INDEX(inj_codes,MATCH(loaded!AO855,inj,0)))</f>
        <v>#N/A</v>
      </c>
      <c r="S855" t="e">
        <f>IF(K855=2,"",INDEX(drug_codes,MATCH(loaded!AQ855,drug,0)))</f>
        <v>#N/A</v>
      </c>
      <c r="T855" t="e">
        <f>IF(K855=2,"",_xlfn.IFNA(INDEX(drug_codes,MATCH(loaded!AS855,drug,0)),""))</f>
        <v>#N/A</v>
      </c>
      <c r="U855" t="e">
        <f>IF(K855=2,"",_xlfn.IFNA(INDEX(drug_codes,MATCH(loaded!AU855,drug,0)),""))</f>
        <v>#N/A</v>
      </c>
      <c r="V855" t="e">
        <f>IF(K855=2,"",_xlfn.IFNA(INDEX(drug_codes,MATCH(loaded!AW855,drug,0)),""))</f>
        <v>#N/A</v>
      </c>
      <c r="W855" t="e">
        <f>IF(K855=2,"",_xlfn.IFNA(INDEX(drug_codes,MATCH(loaded!AY855,drug,0)),""))</f>
        <v>#N/A</v>
      </c>
      <c r="X855" t="e">
        <f>IF(K855=2,"",_xlfn.IFNA(INDEX(drug_codes,MATCH(loaded!BA855,drug,0)),""))</f>
        <v>#N/A</v>
      </c>
      <c r="Y855" t="e">
        <f>INDEX(MTT_codes,MATCH(loaded!BC855,MTT,0))</f>
        <v>#N/A</v>
      </c>
      <c r="Z855" t="str">
        <f>_xlfn.IFNA(INDEX(MTT_codes,MATCH(loaded!BE855,MTT,0)),"")</f>
        <v/>
      </c>
      <c r="AA855" t="str">
        <f>_xlfn.IFNA(INDEX(MTT_codes,MATCH(loaded!BG855,MTT,0)),"")</f>
        <v/>
      </c>
      <c r="AB855" t="str">
        <f>_xlfn.IFNA(INDEX(MTT_codes,MATCH(loaded!BI855,MTT,0)),"")</f>
        <v/>
      </c>
      <c r="AC855" t="str">
        <f>_xlfn.IFNA(INDEX(MTT_codes,MATCH(loaded!BK855,MTT,0)),"")</f>
        <v/>
      </c>
      <c r="AD855" t="str">
        <f>_xlfn.IFNA(INDEX(MTT_codes,MATCH(loaded!BM855,MTT,0)),"")</f>
        <v/>
      </c>
      <c r="AE855" t="e">
        <f>INDEX(liv_ar_codes,MATCH(loaded!BO855,liv_ar,0))</f>
        <v>#N/A</v>
      </c>
      <c r="AF855" t="str">
        <f>_xlfn.IFNA(INDEX(MTT_codes,MATCH(loaded!BQ855,MTT,0)),"")</f>
        <v/>
      </c>
      <c r="AG855">
        <f>_xlfn.IFNA(INDEX(mental_codes,MATCH(loaded!BS855,mental,0)),9)</f>
        <v>9</v>
      </c>
    </row>
    <row r="856" spans="1:33" x14ac:dyDescent="0.25">
      <c r="A856">
        <f>loaded!C856</f>
        <v>0</v>
      </c>
      <c r="B856">
        <f>loaded!I856</f>
        <v>0</v>
      </c>
      <c r="C856">
        <f>IF(loaded!K856="Male",1,IF(loaded!K856="Female",2,9))</f>
        <v>9</v>
      </c>
      <c r="D856" s="8">
        <f>loaded!M856</f>
        <v>0</v>
      </c>
      <c r="E856" t="str">
        <f>LEFT(loaded!O856,3)</f>
        <v/>
      </c>
      <c r="F856" t="e">
        <f>INDEX(cntry_codes,MATCH(loaded!Q856,countries,0))</f>
        <v>#N/A</v>
      </c>
      <c r="G856" t="e">
        <f>INDEX(atsi_codes,MATCH(loaded!S856,atsi,0))</f>
        <v>#N/A</v>
      </c>
      <c r="H856" t="e">
        <f>INDEX(lang_codes,MATCH(loaded!U856,lang,0))</f>
        <v>#N/A</v>
      </c>
      <c r="I856" s="8">
        <f>loaded!W856</f>
        <v>0</v>
      </c>
      <c r="J856" t="e">
        <f>INDEX(us_acc_codes,MATCH(loaded!Y856,us_acc,0))</f>
        <v>#N/A</v>
      </c>
      <c r="K856" t="e">
        <f>INDEX(client_codes,MATCH(loaded!AA856,client,0))</f>
        <v>#N/A</v>
      </c>
      <c r="L856" t="e">
        <f>INDEX(src_ref_codes,MATCH(loaded!AC856,src_ref,0))</f>
        <v>#N/A</v>
      </c>
      <c r="M856" s="8">
        <f>loaded!AE856</f>
        <v>0</v>
      </c>
      <c r="N856" s="8">
        <f>loaded!AG856</f>
        <v>0</v>
      </c>
      <c r="O856" t="e">
        <f>INDEX(reces_codes,MATCH(loaded!AI856,reason,0))</f>
        <v>#N/A</v>
      </c>
      <c r="P856" t="e">
        <f>INDEX(TDS_codes,MATCH(loaded!AK856,TDS,0))</f>
        <v>#N/A</v>
      </c>
      <c r="Q856" t="e">
        <f>IF(K856=2,"",INDEX(method_codes,MATCH(loaded!AM856,method,0)))</f>
        <v>#N/A</v>
      </c>
      <c r="R856" t="e">
        <f>IF(K856=2,"",INDEX(inj_codes,MATCH(loaded!AO856,inj,0)))</f>
        <v>#N/A</v>
      </c>
      <c r="S856" t="e">
        <f>IF(K856=2,"",INDEX(drug_codes,MATCH(loaded!AQ856,drug,0)))</f>
        <v>#N/A</v>
      </c>
      <c r="T856" t="e">
        <f>IF(K856=2,"",_xlfn.IFNA(INDEX(drug_codes,MATCH(loaded!AS856,drug,0)),""))</f>
        <v>#N/A</v>
      </c>
      <c r="U856" t="e">
        <f>IF(K856=2,"",_xlfn.IFNA(INDEX(drug_codes,MATCH(loaded!AU856,drug,0)),""))</f>
        <v>#N/A</v>
      </c>
      <c r="V856" t="e">
        <f>IF(K856=2,"",_xlfn.IFNA(INDEX(drug_codes,MATCH(loaded!AW856,drug,0)),""))</f>
        <v>#N/A</v>
      </c>
      <c r="W856" t="e">
        <f>IF(K856=2,"",_xlfn.IFNA(INDEX(drug_codes,MATCH(loaded!AY856,drug,0)),""))</f>
        <v>#N/A</v>
      </c>
      <c r="X856" t="e">
        <f>IF(K856=2,"",_xlfn.IFNA(INDEX(drug_codes,MATCH(loaded!BA856,drug,0)),""))</f>
        <v>#N/A</v>
      </c>
      <c r="Y856" t="e">
        <f>INDEX(MTT_codes,MATCH(loaded!BC856,MTT,0))</f>
        <v>#N/A</v>
      </c>
      <c r="Z856" t="str">
        <f>_xlfn.IFNA(INDEX(MTT_codes,MATCH(loaded!BE856,MTT,0)),"")</f>
        <v/>
      </c>
      <c r="AA856" t="str">
        <f>_xlfn.IFNA(INDEX(MTT_codes,MATCH(loaded!BG856,MTT,0)),"")</f>
        <v/>
      </c>
      <c r="AB856" t="str">
        <f>_xlfn.IFNA(INDEX(MTT_codes,MATCH(loaded!BI856,MTT,0)),"")</f>
        <v/>
      </c>
      <c r="AC856" t="str">
        <f>_xlfn.IFNA(INDEX(MTT_codes,MATCH(loaded!BK856,MTT,0)),"")</f>
        <v/>
      </c>
      <c r="AD856" t="str">
        <f>_xlfn.IFNA(INDEX(MTT_codes,MATCH(loaded!BM856,MTT,0)),"")</f>
        <v/>
      </c>
      <c r="AE856" t="e">
        <f>INDEX(liv_ar_codes,MATCH(loaded!BO856,liv_ar,0))</f>
        <v>#N/A</v>
      </c>
      <c r="AF856" t="str">
        <f>_xlfn.IFNA(INDEX(MTT_codes,MATCH(loaded!BQ856,MTT,0)),"")</f>
        <v/>
      </c>
      <c r="AG856">
        <f>_xlfn.IFNA(INDEX(mental_codes,MATCH(loaded!BS856,mental,0)),9)</f>
        <v>9</v>
      </c>
    </row>
    <row r="857" spans="1:33" x14ac:dyDescent="0.25">
      <c r="A857">
        <f>loaded!C857</f>
        <v>0</v>
      </c>
      <c r="B857">
        <f>loaded!I857</f>
        <v>0</v>
      </c>
      <c r="C857">
        <f>IF(loaded!K857="Male",1,IF(loaded!K857="Female",2,9))</f>
        <v>9</v>
      </c>
      <c r="D857" s="8">
        <f>loaded!M857</f>
        <v>0</v>
      </c>
      <c r="E857" t="str">
        <f>LEFT(loaded!O857,3)</f>
        <v/>
      </c>
      <c r="F857" t="e">
        <f>INDEX(cntry_codes,MATCH(loaded!Q857,countries,0))</f>
        <v>#N/A</v>
      </c>
      <c r="G857" t="e">
        <f>INDEX(atsi_codes,MATCH(loaded!S857,atsi,0))</f>
        <v>#N/A</v>
      </c>
      <c r="H857" t="e">
        <f>INDEX(lang_codes,MATCH(loaded!U857,lang,0))</f>
        <v>#N/A</v>
      </c>
      <c r="I857" s="8">
        <f>loaded!W857</f>
        <v>0</v>
      </c>
      <c r="J857" t="e">
        <f>INDEX(us_acc_codes,MATCH(loaded!Y857,us_acc,0))</f>
        <v>#N/A</v>
      </c>
      <c r="K857" t="e">
        <f>INDEX(client_codes,MATCH(loaded!AA857,client,0))</f>
        <v>#N/A</v>
      </c>
      <c r="L857" t="e">
        <f>INDEX(src_ref_codes,MATCH(loaded!AC857,src_ref,0))</f>
        <v>#N/A</v>
      </c>
      <c r="M857" s="8">
        <f>loaded!AE857</f>
        <v>0</v>
      </c>
      <c r="N857" s="8">
        <f>loaded!AG857</f>
        <v>0</v>
      </c>
      <c r="O857" t="e">
        <f>INDEX(reces_codes,MATCH(loaded!AI857,reason,0))</f>
        <v>#N/A</v>
      </c>
      <c r="P857" t="e">
        <f>INDEX(TDS_codes,MATCH(loaded!AK857,TDS,0))</f>
        <v>#N/A</v>
      </c>
      <c r="Q857" t="e">
        <f>IF(K857=2,"",INDEX(method_codes,MATCH(loaded!AM857,method,0)))</f>
        <v>#N/A</v>
      </c>
      <c r="R857" t="e">
        <f>IF(K857=2,"",INDEX(inj_codes,MATCH(loaded!AO857,inj,0)))</f>
        <v>#N/A</v>
      </c>
      <c r="S857" t="e">
        <f>IF(K857=2,"",INDEX(drug_codes,MATCH(loaded!AQ857,drug,0)))</f>
        <v>#N/A</v>
      </c>
      <c r="T857" t="e">
        <f>IF(K857=2,"",_xlfn.IFNA(INDEX(drug_codes,MATCH(loaded!AS857,drug,0)),""))</f>
        <v>#N/A</v>
      </c>
      <c r="U857" t="e">
        <f>IF(K857=2,"",_xlfn.IFNA(INDEX(drug_codes,MATCH(loaded!AU857,drug,0)),""))</f>
        <v>#N/A</v>
      </c>
      <c r="V857" t="e">
        <f>IF(K857=2,"",_xlfn.IFNA(INDEX(drug_codes,MATCH(loaded!AW857,drug,0)),""))</f>
        <v>#N/A</v>
      </c>
      <c r="W857" t="e">
        <f>IF(K857=2,"",_xlfn.IFNA(INDEX(drug_codes,MATCH(loaded!AY857,drug,0)),""))</f>
        <v>#N/A</v>
      </c>
      <c r="X857" t="e">
        <f>IF(K857=2,"",_xlfn.IFNA(INDEX(drug_codes,MATCH(loaded!BA857,drug,0)),""))</f>
        <v>#N/A</v>
      </c>
      <c r="Y857" t="e">
        <f>INDEX(MTT_codes,MATCH(loaded!BC857,MTT,0))</f>
        <v>#N/A</v>
      </c>
      <c r="Z857" t="str">
        <f>_xlfn.IFNA(INDEX(MTT_codes,MATCH(loaded!BE857,MTT,0)),"")</f>
        <v/>
      </c>
      <c r="AA857" t="str">
        <f>_xlfn.IFNA(INDEX(MTT_codes,MATCH(loaded!BG857,MTT,0)),"")</f>
        <v/>
      </c>
      <c r="AB857" t="str">
        <f>_xlfn.IFNA(INDEX(MTT_codes,MATCH(loaded!BI857,MTT,0)),"")</f>
        <v/>
      </c>
      <c r="AC857" t="str">
        <f>_xlfn.IFNA(INDEX(MTT_codes,MATCH(loaded!BK857,MTT,0)),"")</f>
        <v/>
      </c>
      <c r="AD857" t="str">
        <f>_xlfn.IFNA(INDEX(MTT_codes,MATCH(loaded!BM857,MTT,0)),"")</f>
        <v/>
      </c>
      <c r="AE857" t="e">
        <f>INDEX(liv_ar_codes,MATCH(loaded!BO857,liv_ar,0))</f>
        <v>#N/A</v>
      </c>
      <c r="AF857" t="str">
        <f>_xlfn.IFNA(INDEX(MTT_codes,MATCH(loaded!BQ857,MTT,0)),"")</f>
        <v/>
      </c>
      <c r="AG857">
        <f>_xlfn.IFNA(INDEX(mental_codes,MATCH(loaded!BS857,mental,0)),9)</f>
        <v>9</v>
      </c>
    </row>
    <row r="858" spans="1:33" x14ac:dyDescent="0.25">
      <c r="A858">
        <f>loaded!C858</f>
        <v>0</v>
      </c>
      <c r="B858">
        <f>loaded!I858</f>
        <v>0</v>
      </c>
      <c r="C858">
        <f>IF(loaded!K858="Male",1,IF(loaded!K858="Female",2,9))</f>
        <v>9</v>
      </c>
      <c r="D858" s="8">
        <f>loaded!M858</f>
        <v>0</v>
      </c>
      <c r="E858" t="str">
        <f>LEFT(loaded!O858,3)</f>
        <v/>
      </c>
      <c r="F858" t="e">
        <f>INDEX(cntry_codes,MATCH(loaded!Q858,countries,0))</f>
        <v>#N/A</v>
      </c>
      <c r="G858" t="e">
        <f>INDEX(atsi_codes,MATCH(loaded!S858,atsi,0))</f>
        <v>#N/A</v>
      </c>
      <c r="H858" t="e">
        <f>INDEX(lang_codes,MATCH(loaded!U858,lang,0))</f>
        <v>#N/A</v>
      </c>
      <c r="I858" s="8">
        <f>loaded!W858</f>
        <v>0</v>
      </c>
      <c r="J858" t="e">
        <f>INDEX(us_acc_codes,MATCH(loaded!Y858,us_acc,0))</f>
        <v>#N/A</v>
      </c>
      <c r="K858" t="e">
        <f>INDEX(client_codes,MATCH(loaded!AA858,client,0))</f>
        <v>#N/A</v>
      </c>
      <c r="L858" t="e">
        <f>INDEX(src_ref_codes,MATCH(loaded!AC858,src_ref,0))</f>
        <v>#N/A</v>
      </c>
      <c r="M858" s="8">
        <f>loaded!AE858</f>
        <v>0</v>
      </c>
      <c r="N858" s="8">
        <f>loaded!AG858</f>
        <v>0</v>
      </c>
      <c r="O858" t="e">
        <f>INDEX(reces_codes,MATCH(loaded!AI858,reason,0))</f>
        <v>#N/A</v>
      </c>
      <c r="P858" t="e">
        <f>INDEX(TDS_codes,MATCH(loaded!AK858,TDS,0))</f>
        <v>#N/A</v>
      </c>
      <c r="Q858" t="e">
        <f>IF(K858=2,"",INDEX(method_codes,MATCH(loaded!AM858,method,0)))</f>
        <v>#N/A</v>
      </c>
      <c r="R858" t="e">
        <f>IF(K858=2,"",INDEX(inj_codes,MATCH(loaded!AO858,inj,0)))</f>
        <v>#N/A</v>
      </c>
      <c r="S858" t="e">
        <f>IF(K858=2,"",INDEX(drug_codes,MATCH(loaded!AQ858,drug,0)))</f>
        <v>#N/A</v>
      </c>
      <c r="T858" t="e">
        <f>IF(K858=2,"",_xlfn.IFNA(INDEX(drug_codes,MATCH(loaded!AS858,drug,0)),""))</f>
        <v>#N/A</v>
      </c>
      <c r="U858" t="e">
        <f>IF(K858=2,"",_xlfn.IFNA(INDEX(drug_codes,MATCH(loaded!AU858,drug,0)),""))</f>
        <v>#N/A</v>
      </c>
      <c r="V858" t="e">
        <f>IF(K858=2,"",_xlfn.IFNA(INDEX(drug_codes,MATCH(loaded!AW858,drug,0)),""))</f>
        <v>#N/A</v>
      </c>
      <c r="W858" t="e">
        <f>IF(K858=2,"",_xlfn.IFNA(INDEX(drug_codes,MATCH(loaded!AY858,drug,0)),""))</f>
        <v>#N/A</v>
      </c>
      <c r="X858" t="e">
        <f>IF(K858=2,"",_xlfn.IFNA(INDEX(drug_codes,MATCH(loaded!BA858,drug,0)),""))</f>
        <v>#N/A</v>
      </c>
      <c r="Y858" t="e">
        <f>INDEX(MTT_codes,MATCH(loaded!BC858,MTT,0))</f>
        <v>#N/A</v>
      </c>
      <c r="Z858" t="str">
        <f>_xlfn.IFNA(INDEX(MTT_codes,MATCH(loaded!BE858,MTT,0)),"")</f>
        <v/>
      </c>
      <c r="AA858" t="str">
        <f>_xlfn.IFNA(INDEX(MTT_codes,MATCH(loaded!BG858,MTT,0)),"")</f>
        <v/>
      </c>
      <c r="AB858" t="str">
        <f>_xlfn.IFNA(INDEX(MTT_codes,MATCH(loaded!BI858,MTT,0)),"")</f>
        <v/>
      </c>
      <c r="AC858" t="str">
        <f>_xlfn.IFNA(INDEX(MTT_codes,MATCH(loaded!BK858,MTT,0)),"")</f>
        <v/>
      </c>
      <c r="AD858" t="str">
        <f>_xlfn.IFNA(INDEX(MTT_codes,MATCH(loaded!BM858,MTT,0)),"")</f>
        <v/>
      </c>
      <c r="AE858" t="e">
        <f>INDEX(liv_ar_codes,MATCH(loaded!BO858,liv_ar,0))</f>
        <v>#N/A</v>
      </c>
      <c r="AF858" t="str">
        <f>_xlfn.IFNA(INDEX(MTT_codes,MATCH(loaded!BQ858,MTT,0)),"")</f>
        <v/>
      </c>
      <c r="AG858">
        <f>_xlfn.IFNA(INDEX(mental_codes,MATCH(loaded!BS858,mental,0)),9)</f>
        <v>9</v>
      </c>
    </row>
    <row r="859" spans="1:33" x14ac:dyDescent="0.25">
      <c r="A859">
        <f>loaded!C859</f>
        <v>0</v>
      </c>
      <c r="B859">
        <f>loaded!I859</f>
        <v>0</v>
      </c>
      <c r="C859">
        <f>IF(loaded!K859="Male",1,IF(loaded!K859="Female",2,9))</f>
        <v>9</v>
      </c>
      <c r="D859" s="8">
        <f>loaded!M859</f>
        <v>0</v>
      </c>
      <c r="E859" t="str">
        <f>LEFT(loaded!O859,3)</f>
        <v/>
      </c>
      <c r="F859" t="e">
        <f>INDEX(cntry_codes,MATCH(loaded!Q859,countries,0))</f>
        <v>#N/A</v>
      </c>
      <c r="G859" t="e">
        <f>INDEX(atsi_codes,MATCH(loaded!S859,atsi,0))</f>
        <v>#N/A</v>
      </c>
      <c r="H859" t="e">
        <f>INDEX(lang_codes,MATCH(loaded!U859,lang,0))</f>
        <v>#N/A</v>
      </c>
      <c r="I859" s="8">
        <f>loaded!W859</f>
        <v>0</v>
      </c>
      <c r="J859" t="e">
        <f>INDEX(us_acc_codes,MATCH(loaded!Y859,us_acc,0))</f>
        <v>#N/A</v>
      </c>
      <c r="K859" t="e">
        <f>INDEX(client_codes,MATCH(loaded!AA859,client,0))</f>
        <v>#N/A</v>
      </c>
      <c r="L859" t="e">
        <f>INDEX(src_ref_codes,MATCH(loaded!AC859,src_ref,0))</f>
        <v>#N/A</v>
      </c>
      <c r="M859" s="8">
        <f>loaded!AE859</f>
        <v>0</v>
      </c>
      <c r="N859" s="8">
        <f>loaded!AG859</f>
        <v>0</v>
      </c>
      <c r="O859" t="e">
        <f>INDEX(reces_codes,MATCH(loaded!AI859,reason,0))</f>
        <v>#N/A</v>
      </c>
      <c r="P859" t="e">
        <f>INDEX(TDS_codes,MATCH(loaded!AK859,TDS,0))</f>
        <v>#N/A</v>
      </c>
      <c r="Q859" t="e">
        <f>IF(K859=2,"",INDEX(method_codes,MATCH(loaded!AM859,method,0)))</f>
        <v>#N/A</v>
      </c>
      <c r="R859" t="e">
        <f>IF(K859=2,"",INDEX(inj_codes,MATCH(loaded!AO859,inj,0)))</f>
        <v>#N/A</v>
      </c>
      <c r="S859" t="e">
        <f>IF(K859=2,"",INDEX(drug_codes,MATCH(loaded!AQ859,drug,0)))</f>
        <v>#N/A</v>
      </c>
      <c r="T859" t="e">
        <f>IF(K859=2,"",_xlfn.IFNA(INDEX(drug_codes,MATCH(loaded!AS859,drug,0)),""))</f>
        <v>#N/A</v>
      </c>
      <c r="U859" t="e">
        <f>IF(K859=2,"",_xlfn.IFNA(INDEX(drug_codes,MATCH(loaded!AU859,drug,0)),""))</f>
        <v>#N/A</v>
      </c>
      <c r="V859" t="e">
        <f>IF(K859=2,"",_xlfn.IFNA(INDEX(drug_codes,MATCH(loaded!AW859,drug,0)),""))</f>
        <v>#N/A</v>
      </c>
      <c r="W859" t="e">
        <f>IF(K859=2,"",_xlfn.IFNA(INDEX(drug_codes,MATCH(loaded!AY859,drug,0)),""))</f>
        <v>#N/A</v>
      </c>
      <c r="X859" t="e">
        <f>IF(K859=2,"",_xlfn.IFNA(INDEX(drug_codes,MATCH(loaded!BA859,drug,0)),""))</f>
        <v>#N/A</v>
      </c>
      <c r="Y859" t="e">
        <f>INDEX(MTT_codes,MATCH(loaded!BC859,MTT,0))</f>
        <v>#N/A</v>
      </c>
      <c r="Z859" t="str">
        <f>_xlfn.IFNA(INDEX(MTT_codes,MATCH(loaded!BE859,MTT,0)),"")</f>
        <v/>
      </c>
      <c r="AA859" t="str">
        <f>_xlfn.IFNA(INDEX(MTT_codes,MATCH(loaded!BG859,MTT,0)),"")</f>
        <v/>
      </c>
      <c r="AB859" t="str">
        <f>_xlfn.IFNA(INDEX(MTT_codes,MATCH(loaded!BI859,MTT,0)),"")</f>
        <v/>
      </c>
      <c r="AC859" t="str">
        <f>_xlfn.IFNA(INDEX(MTT_codes,MATCH(loaded!BK859,MTT,0)),"")</f>
        <v/>
      </c>
      <c r="AD859" t="str">
        <f>_xlfn.IFNA(INDEX(MTT_codes,MATCH(loaded!BM859,MTT,0)),"")</f>
        <v/>
      </c>
      <c r="AE859" t="e">
        <f>INDEX(liv_ar_codes,MATCH(loaded!BO859,liv_ar,0))</f>
        <v>#N/A</v>
      </c>
      <c r="AF859" t="str">
        <f>_xlfn.IFNA(INDEX(MTT_codes,MATCH(loaded!BQ859,MTT,0)),"")</f>
        <v/>
      </c>
      <c r="AG859">
        <f>_xlfn.IFNA(INDEX(mental_codes,MATCH(loaded!BS859,mental,0)),9)</f>
        <v>9</v>
      </c>
    </row>
    <row r="860" spans="1:33" x14ac:dyDescent="0.25">
      <c r="A860">
        <f>loaded!C860</f>
        <v>0</v>
      </c>
      <c r="B860">
        <f>loaded!I860</f>
        <v>0</v>
      </c>
      <c r="C860">
        <f>IF(loaded!K860="Male",1,IF(loaded!K860="Female",2,9))</f>
        <v>9</v>
      </c>
      <c r="D860" s="8">
        <f>loaded!M860</f>
        <v>0</v>
      </c>
      <c r="E860" t="str">
        <f>LEFT(loaded!O860,3)</f>
        <v/>
      </c>
      <c r="F860" t="e">
        <f>INDEX(cntry_codes,MATCH(loaded!Q860,countries,0))</f>
        <v>#N/A</v>
      </c>
      <c r="G860" t="e">
        <f>INDEX(atsi_codes,MATCH(loaded!S860,atsi,0))</f>
        <v>#N/A</v>
      </c>
      <c r="H860" t="e">
        <f>INDEX(lang_codes,MATCH(loaded!U860,lang,0))</f>
        <v>#N/A</v>
      </c>
      <c r="I860" s="8">
        <f>loaded!W860</f>
        <v>0</v>
      </c>
      <c r="J860" t="e">
        <f>INDEX(us_acc_codes,MATCH(loaded!Y860,us_acc,0))</f>
        <v>#N/A</v>
      </c>
      <c r="K860" t="e">
        <f>INDEX(client_codes,MATCH(loaded!AA860,client,0))</f>
        <v>#N/A</v>
      </c>
      <c r="L860" t="e">
        <f>INDEX(src_ref_codes,MATCH(loaded!AC860,src_ref,0))</f>
        <v>#N/A</v>
      </c>
      <c r="M860" s="8">
        <f>loaded!AE860</f>
        <v>0</v>
      </c>
      <c r="N860" s="8">
        <f>loaded!AG860</f>
        <v>0</v>
      </c>
      <c r="O860" t="e">
        <f>INDEX(reces_codes,MATCH(loaded!AI860,reason,0))</f>
        <v>#N/A</v>
      </c>
      <c r="P860" t="e">
        <f>INDEX(TDS_codes,MATCH(loaded!AK860,TDS,0))</f>
        <v>#N/A</v>
      </c>
      <c r="Q860" t="e">
        <f>IF(K860=2,"",INDEX(method_codes,MATCH(loaded!AM860,method,0)))</f>
        <v>#N/A</v>
      </c>
      <c r="R860" t="e">
        <f>IF(K860=2,"",INDEX(inj_codes,MATCH(loaded!AO860,inj,0)))</f>
        <v>#N/A</v>
      </c>
      <c r="S860" t="e">
        <f>IF(K860=2,"",INDEX(drug_codes,MATCH(loaded!AQ860,drug,0)))</f>
        <v>#N/A</v>
      </c>
      <c r="T860" t="e">
        <f>IF(K860=2,"",_xlfn.IFNA(INDEX(drug_codes,MATCH(loaded!AS860,drug,0)),""))</f>
        <v>#N/A</v>
      </c>
      <c r="U860" t="e">
        <f>IF(K860=2,"",_xlfn.IFNA(INDEX(drug_codes,MATCH(loaded!AU860,drug,0)),""))</f>
        <v>#N/A</v>
      </c>
      <c r="V860" t="e">
        <f>IF(K860=2,"",_xlfn.IFNA(INDEX(drug_codes,MATCH(loaded!AW860,drug,0)),""))</f>
        <v>#N/A</v>
      </c>
      <c r="W860" t="e">
        <f>IF(K860=2,"",_xlfn.IFNA(INDEX(drug_codes,MATCH(loaded!AY860,drug,0)),""))</f>
        <v>#N/A</v>
      </c>
      <c r="X860" t="e">
        <f>IF(K860=2,"",_xlfn.IFNA(INDEX(drug_codes,MATCH(loaded!BA860,drug,0)),""))</f>
        <v>#N/A</v>
      </c>
      <c r="Y860" t="e">
        <f>INDEX(MTT_codes,MATCH(loaded!BC860,MTT,0))</f>
        <v>#N/A</v>
      </c>
      <c r="Z860" t="str">
        <f>_xlfn.IFNA(INDEX(MTT_codes,MATCH(loaded!BE860,MTT,0)),"")</f>
        <v/>
      </c>
      <c r="AA860" t="str">
        <f>_xlfn.IFNA(INDEX(MTT_codes,MATCH(loaded!BG860,MTT,0)),"")</f>
        <v/>
      </c>
      <c r="AB860" t="str">
        <f>_xlfn.IFNA(INDEX(MTT_codes,MATCH(loaded!BI860,MTT,0)),"")</f>
        <v/>
      </c>
      <c r="AC860" t="str">
        <f>_xlfn.IFNA(INDEX(MTT_codes,MATCH(loaded!BK860,MTT,0)),"")</f>
        <v/>
      </c>
      <c r="AD860" t="str">
        <f>_xlfn.IFNA(INDEX(MTT_codes,MATCH(loaded!BM860,MTT,0)),"")</f>
        <v/>
      </c>
      <c r="AE860" t="e">
        <f>INDEX(liv_ar_codes,MATCH(loaded!BO860,liv_ar,0))</f>
        <v>#N/A</v>
      </c>
      <c r="AF860" t="str">
        <f>_xlfn.IFNA(INDEX(MTT_codes,MATCH(loaded!BQ860,MTT,0)),"")</f>
        <v/>
      </c>
      <c r="AG860">
        <f>_xlfn.IFNA(INDEX(mental_codes,MATCH(loaded!BS860,mental,0)),9)</f>
        <v>9</v>
      </c>
    </row>
    <row r="861" spans="1:33" x14ac:dyDescent="0.25">
      <c r="A861">
        <f>loaded!C861</f>
        <v>0</v>
      </c>
      <c r="B861">
        <f>loaded!I861</f>
        <v>0</v>
      </c>
      <c r="C861">
        <f>IF(loaded!K861="Male",1,IF(loaded!K861="Female",2,9))</f>
        <v>9</v>
      </c>
      <c r="D861" s="8">
        <f>loaded!M861</f>
        <v>0</v>
      </c>
      <c r="E861" t="str">
        <f>LEFT(loaded!O861,3)</f>
        <v/>
      </c>
      <c r="F861" t="e">
        <f>INDEX(cntry_codes,MATCH(loaded!Q861,countries,0))</f>
        <v>#N/A</v>
      </c>
      <c r="G861" t="e">
        <f>INDEX(atsi_codes,MATCH(loaded!S861,atsi,0))</f>
        <v>#N/A</v>
      </c>
      <c r="H861" t="e">
        <f>INDEX(lang_codes,MATCH(loaded!U861,lang,0))</f>
        <v>#N/A</v>
      </c>
      <c r="I861" s="8">
        <f>loaded!W861</f>
        <v>0</v>
      </c>
      <c r="J861" t="e">
        <f>INDEX(us_acc_codes,MATCH(loaded!Y861,us_acc,0))</f>
        <v>#N/A</v>
      </c>
      <c r="K861" t="e">
        <f>INDEX(client_codes,MATCH(loaded!AA861,client,0))</f>
        <v>#N/A</v>
      </c>
      <c r="L861" t="e">
        <f>INDEX(src_ref_codes,MATCH(loaded!AC861,src_ref,0))</f>
        <v>#N/A</v>
      </c>
      <c r="M861" s="8">
        <f>loaded!AE861</f>
        <v>0</v>
      </c>
      <c r="N861" s="8">
        <f>loaded!AG861</f>
        <v>0</v>
      </c>
      <c r="O861" t="e">
        <f>INDEX(reces_codes,MATCH(loaded!AI861,reason,0))</f>
        <v>#N/A</v>
      </c>
      <c r="P861" t="e">
        <f>INDEX(TDS_codes,MATCH(loaded!AK861,TDS,0))</f>
        <v>#N/A</v>
      </c>
      <c r="Q861" t="e">
        <f>IF(K861=2,"",INDEX(method_codes,MATCH(loaded!AM861,method,0)))</f>
        <v>#N/A</v>
      </c>
      <c r="R861" t="e">
        <f>IF(K861=2,"",INDEX(inj_codes,MATCH(loaded!AO861,inj,0)))</f>
        <v>#N/A</v>
      </c>
      <c r="S861" t="e">
        <f>IF(K861=2,"",INDEX(drug_codes,MATCH(loaded!AQ861,drug,0)))</f>
        <v>#N/A</v>
      </c>
      <c r="T861" t="e">
        <f>IF(K861=2,"",_xlfn.IFNA(INDEX(drug_codes,MATCH(loaded!AS861,drug,0)),""))</f>
        <v>#N/A</v>
      </c>
      <c r="U861" t="e">
        <f>IF(K861=2,"",_xlfn.IFNA(INDEX(drug_codes,MATCH(loaded!AU861,drug,0)),""))</f>
        <v>#N/A</v>
      </c>
      <c r="V861" t="e">
        <f>IF(K861=2,"",_xlfn.IFNA(INDEX(drug_codes,MATCH(loaded!AW861,drug,0)),""))</f>
        <v>#N/A</v>
      </c>
      <c r="W861" t="e">
        <f>IF(K861=2,"",_xlfn.IFNA(INDEX(drug_codes,MATCH(loaded!AY861,drug,0)),""))</f>
        <v>#N/A</v>
      </c>
      <c r="X861" t="e">
        <f>IF(K861=2,"",_xlfn.IFNA(INDEX(drug_codes,MATCH(loaded!BA861,drug,0)),""))</f>
        <v>#N/A</v>
      </c>
      <c r="Y861" t="e">
        <f>INDEX(MTT_codes,MATCH(loaded!BC861,MTT,0))</f>
        <v>#N/A</v>
      </c>
      <c r="Z861" t="str">
        <f>_xlfn.IFNA(INDEX(MTT_codes,MATCH(loaded!BE861,MTT,0)),"")</f>
        <v/>
      </c>
      <c r="AA861" t="str">
        <f>_xlfn.IFNA(INDEX(MTT_codes,MATCH(loaded!BG861,MTT,0)),"")</f>
        <v/>
      </c>
      <c r="AB861" t="str">
        <f>_xlfn.IFNA(INDEX(MTT_codes,MATCH(loaded!BI861,MTT,0)),"")</f>
        <v/>
      </c>
      <c r="AC861" t="str">
        <f>_xlfn.IFNA(INDEX(MTT_codes,MATCH(loaded!BK861,MTT,0)),"")</f>
        <v/>
      </c>
      <c r="AD861" t="str">
        <f>_xlfn.IFNA(INDEX(MTT_codes,MATCH(loaded!BM861,MTT,0)),"")</f>
        <v/>
      </c>
      <c r="AE861" t="e">
        <f>INDEX(liv_ar_codes,MATCH(loaded!BO861,liv_ar,0))</f>
        <v>#N/A</v>
      </c>
      <c r="AF861" t="str">
        <f>_xlfn.IFNA(INDEX(MTT_codes,MATCH(loaded!BQ861,MTT,0)),"")</f>
        <v/>
      </c>
      <c r="AG861">
        <f>_xlfn.IFNA(INDEX(mental_codes,MATCH(loaded!BS861,mental,0)),9)</f>
        <v>9</v>
      </c>
    </row>
    <row r="862" spans="1:33" x14ac:dyDescent="0.25">
      <c r="A862">
        <f>loaded!C862</f>
        <v>0</v>
      </c>
      <c r="B862">
        <f>loaded!I862</f>
        <v>0</v>
      </c>
      <c r="C862">
        <f>IF(loaded!K862="Male",1,IF(loaded!K862="Female",2,9))</f>
        <v>9</v>
      </c>
      <c r="D862" s="8">
        <f>loaded!M862</f>
        <v>0</v>
      </c>
      <c r="E862" t="str">
        <f>LEFT(loaded!O862,3)</f>
        <v/>
      </c>
      <c r="F862" t="e">
        <f>INDEX(cntry_codes,MATCH(loaded!Q862,countries,0))</f>
        <v>#N/A</v>
      </c>
      <c r="G862" t="e">
        <f>INDEX(atsi_codes,MATCH(loaded!S862,atsi,0))</f>
        <v>#N/A</v>
      </c>
      <c r="H862" t="e">
        <f>INDEX(lang_codes,MATCH(loaded!U862,lang,0))</f>
        <v>#N/A</v>
      </c>
      <c r="I862" s="8">
        <f>loaded!W862</f>
        <v>0</v>
      </c>
      <c r="J862" t="e">
        <f>INDEX(us_acc_codes,MATCH(loaded!Y862,us_acc,0))</f>
        <v>#N/A</v>
      </c>
      <c r="K862" t="e">
        <f>INDEX(client_codes,MATCH(loaded!AA862,client,0))</f>
        <v>#N/A</v>
      </c>
      <c r="L862" t="e">
        <f>INDEX(src_ref_codes,MATCH(loaded!AC862,src_ref,0))</f>
        <v>#N/A</v>
      </c>
      <c r="M862" s="8">
        <f>loaded!AE862</f>
        <v>0</v>
      </c>
      <c r="N862" s="8">
        <f>loaded!AG862</f>
        <v>0</v>
      </c>
      <c r="O862" t="e">
        <f>INDEX(reces_codes,MATCH(loaded!AI862,reason,0))</f>
        <v>#N/A</v>
      </c>
      <c r="P862" t="e">
        <f>INDEX(TDS_codes,MATCH(loaded!AK862,TDS,0))</f>
        <v>#N/A</v>
      </c>
      <c r="Q862" t="e">
        <f>IF(K862=2,"",INDEX(method_codes,MATCH(loaded!AM862,method,0)))</f>
        <v>#N/A</v>
      </c>
      <c r="R862" t="e">
        <f>IF(K862=2,"",INDEX(inj_codes,MATCH(loaded!AO862,inj,0)))</f>
        <v>#N/A</v>
      </c>
      <c r="S862" t="e">
        <f>IF(K862=2,"",INDEX(drug_codes,MATCH(loaded!AQ862,drug,0)))</f>
        <v>#N/A</v>
      </c>
      <c r="T862" t="e">
        <f>IF(K862=2,"",_xlfn.IFNA(INDEX(drug_codes,MATCH(loaded!AS862,drug,0)),""))</f>
        <v>#N/A</v>
      </c>
      <c r="U862" t="e">
        <f>IF(K862=2,"",_xlfn.IFNA(INDEX(drug_codes,MATCH(loaded!AU862,drug,0)),""))</f>
        <v>#N/A</v>
      </c>
      <c r="V862" t="e">
        <f>IF(K862=2,"",_xlfn.IFNA(INDEX(drug_codes,MATCH(loaded!AW862,drug,0)),""))</f>
        <v>#N/A</v>
      </c>
      <c r="W862" t="e">
        <f>IF(K862=2,"",_xlfn.IFNA(INDEX(drug_codes,MATCH(loaded!AY862,drug,0)),""))</f>
        <v>#N/A</v>
      </c>
      <c r="X862" t="e">
        <f>IF(K862=2,"",_xlfn.IFNA(INDEX(drug_codes,MATCH(loaded!BA862,drug,0)),""))</f>
        <v>#N/A</v>
      </c>
      <c r="Y862" t="e">
        <f>INDEX(MTT_codes,MATCH(loaded!BC862,MTT,0))</f>
        <v>#N/A</v>
      </c>
      <c r="Z862" t="str">
        <f>_xlfn.IFNA(INDEX(MTT_codes,MATCH(loaded!BE862,MTT,0)),"")</f>
        <v/>
      </c>
      <c r="AA862" t="str">
        <f>_xlfn.IFNA(INDEX(MTT_codes,MATCH(loaded!BG862,MTT,0)),"")</f>
        <v/>
      </c>
      <c r="AB862" t="str">
        <f>_xlfn.IFNA(INDEX(MTT_codes,MATCH(loaded!BI862,MTT,0)),"")</f>
        <v/>
      </c>
      <c r="AC862" t="str">
        <f>_xlfn.IFNA(INDEX(MTT_codes,MATCH(loaded!BK862,MTT,0)),"")</f>
        <v/>
      </c>
      <c r="AD862" t="str">
        <f>_xlfn.IFNA(INDEX(MTT_codes,MATCH(loaded!BM862,MTT,0)),"")</f>
        <v/>
      </c>
      <c r="AE862" t="e">
        <f>INDEX(liv_ar_codes,MATCH(loaded!BO862,liv_ar,0))</f>
        <v>#N/A</v>
      </c>
      <c r="AF862" t="str">
        <f>_xlfn.IFNA(INDEX(MTT_codes,MATCH(loaded!BQ862,MTT,0)),"")</f>
        <v/>
      </c>
      <c r="AG862">
        <f>_xlfn.IFNA(INDEX(mental_codes,MATCH(loaded!BS862,mental,0)),9)</f>
        <v>9</v>
      </c>
    </row>
    <row r="863" spans="1:33" x14ac:dyDescent="0.25">
      <c r="A863">
        <f>loaded!C863</f>
        <v>0</v>
      </c>
      <c r="B863">
        <f>loaded!I863</f>
        <v>0</v>
      </c>
      <c r="C863">
        <f>IF(loaded!K863="Male",1,IF(loaded!K863="Female",2,9))</f>
        <v>9</v>
      </c>
      <c r="D863" s="8">
        <f>loaded!M863</f>
        <v>0</v>
      </c>
      <c r="E863" t="str">
        <f>LEFT(loaded!O863,3)</f>
        <v/>
      </c>
      <c r="F863" t="e">
        <f>INDEX(cntry_codes,MATCH(loaded!Q863,countries,0))</f>
        <v>#N/A</v>
      </c>
      <c r="G863" t="e">
        <f>INDEX(atsi_codes,MATCH(loaded!S863,atsi,0))</f>
        <v>#N/A</v>
      </c>
      <c r="H863" t="e">
        <f>INDEX(lang_codes,MATCH(loaded!U863,lang,0))</f>
        <v>#N/A</v>
      </c>
      <c r="I863" s="8">
        <f>loaded!W863</f>
        <v>0</v>
      </c>
      <c r="J863" t="e">
        <f>INDEX(us_acc_codes,MATCH(loaded!Y863,us_acc,0))</f>
        <v>#N/A</v>
      </c>
      <c r="K863" t="e">
        <f>INDEX(client_codes,MATCH(loaded!AA863,client,0))</f>
        <v>#N/A</v>
      </c>
      <c r="L863" t="e">
        <f>INDEX(src_ref_codes,MATCH(loaded!AC863,src_ref,0))</f>
        <v>#N/A</v>
      </c>
      <c r="M863" s="8">
        <f>loaded!AE863</f>
        <v>0</v>
      </c>
      <c r="N863" s="8">
        <f>loaded!AG863</f>
        <v>0</v>
      </c>
      <c r="O863" t="e">
        <f>INDEX(reces_codes,MATCH(loaded!AI863,reason,0))</f>
        <v>#N/A</v>
      </c>
      <c r="P863" t="e">
        <f>INDEX(TDS_codes,MATCH(loaded!AK863,TDS,0))</f>
        <v>#N/A</v>
      </c>
      <c r="Q863" t="e">
        <f>IF(K863=2,"",INDEX(method_codes,MATCH(loaded!AM863,method,0)))</f>
        <v>#N/A</v>
      </c>
      <c r="R863" t="e">
        <f>IF(K863=2,"",INDEX(inj_codes,MATCH(loaded!AO863,inj,0)))</f>
        <v>#N/A</v>
      </c>
      <c r="S863" t="e">
        <f>IF(K863=2,"",INDEX(drug_codes,MATCH(loaded!AQ863,drug,0)))</f>
        <v>#N/A</v>
      </c>
      <c r="T863" t="e">
        <f>IF(K863=2,"",_xlfn.IFNA(INDEX(drug_codes,MATCH(loaded!AS863,drug,0)),""))</f>
        <v>#N/A</v>
      </c>
      <c r="U863" t="e">
        <f>IF(K863=2,"",_xlfn.IFNA(INDEX(drug_codes,MATCH(loaded!AU863,drug,0)),""))</f>
        <v>#N/A</v>
      </c>
      <c r="V863" t="e">
        <f>IF(K863=2,"",_xlfn.IFNA(INDEX(drug_codes,MATCH(loaded!AW863,drug,0)),""))</f>
        <v>#N/A</v>
      </c>
      <c r="W863" t="e">
        <f>IF(K863=2,"",_xlfn.IFNA(INDEX(drug_codes,MATCH(loaded!AY863,drug,0)),""))</f>
        <v>#N/A</v>
      </c>
      <c r="X863" t="e">
        <f>IF(K863=2,"",_xlfn.IFNA(INDEX(drug_codes,MATCH(loaded!BA863,drug,0)),""))</f>
        <v>#N/A</v>
      </c>
      <c r="Y863" t="e">
        <f>INDEX(MTT_codes,MATCH(loaded!BC863,MTT,0))</f>
        <v>#N/A</v>
      </c>
      <c r="Z863" t="str">
        <f>_xlfn.IFNA(INDEX(MTT_codes,MATCH(loaded!BE863,MTT,0)),"")</f>
        <v/>
      </c>
      <c r="AA863" t="str">
        <f>_xlfn.IFNA(INDEX(MTT_codes,MATCH(loaded!BG863,MTT,0)),"")</f>
        <v/>
      </c>
      <c r="AB863" t="str">
        <f>_xlfn.IFNA(INDEX(MTT_codes,MATCH(loaded!BI863,MTT,0)),"")</f>
        <v/>
      </c>
      <c r="AC863" t="str">
        <f>_xlfn.IFNA(INDEX(MTT_codes,MATCH(loaded!BK863,MTT,0)),"")</f>
        <v/>
      </c>
      <c r="AD863" t="str">
        <f>_xlfn.IFNA(INDEX(MTT_codes,MATCH(loaded!BM863,MTT,0)),"")</f>
        <v/>
      </c>
      <c r="AE863" t="e">
        <f>INDEX(liv_ar_codes,MATCH(loaded!BO863,liv_ar,0))</f>
        <v>#N/A</v>
      </c>
      <c r="AF863" t="str">
        <f>_xlfn.IFNA(INDEX(MTT_codes,MATCH(loaded!BQ863,MTT,0)),"")</f>
        <v/>
      </c>
      <c r="AG863">
        <f>_xlfn.IFNA(INDEX(mental_codes,MATCH(loaded!BS863,mental,0)),9)</f>
        <v>9</v>
      </c>
    </row>
    <row r="864" spans="1:33" x14ac:dyDescent="0.25">
      <c r="A864">
        <f>loaded!C864</f>
        <v>0</v>
      </c>
      <c r="B864">
        <f>loaded!I864</f>
        <v>0</v>
      </c>
      <c r="C864">
        <f>IF(loaded!K864="Male",1,IF(loaded!K864="Female",2,9))</f>
        <v>9</v>
      </c>
      <c r="D864" s="8">
        <f>loaded!M864</f>
        <v>0</v>
      </c>
      <c r="E864" t="str">
        <f>LEFT(loaded!O864,3)</f>
        <v/>
      </c>
      <c r="F864" t="e">
        <f>INDEX(cntry_codes,MATCH(loaded!Q864,countries,0))</f>
        <v>#N/A</v>
      </c>
      <c r="G864" t="e">
        <f>INDEX(atsi_codes,MATCH(loaded!S864,atsi,0))</f>
        <v>#N/A</v>
      </c>
      <c r="H864" t="e">
        <f>INDEX(lang_codes,MATCH(loaded!U864,lang,0))</f>
        <v>#N/A</v>
      </c>
      <c r="I864" s="8">
        <f>loaded!W864</f>
        <v>0</v>
      </c>
      <c r="J864" t="e">
        <f>INDEX(us_acc_codes,MATCH(loaded!Y864,us_acc,0))</f>
        <v>#N/A</v>
      </c>
      <c r="K864" t="e">
        <f>INDEX(client_codes,MATCH(loaded!AA864,client,0))</f>
        <v>#N/A</v>
      </c>
      <c r="L864" t="e">
        <f>INDEX(src_ref_codes,MATCH(loaded!AC864,src_ref,0))</f>
        <v>#N/A</v>
      </c>
      <c r="M864" s="8">
        <f>loaded!AE864</f>
        <v>0</v>
      </c>
      <c r="N864" s="8">
        <f>loaded!AG864</f>
        <v>0</v>
      </c>
      <c r="O864" t="e">
        <f>INDEX(reces_codes,MATCH(loaded!AI864,reason,0))</f>
        <v>#N/A</v>
      </c>
      <c r="P864" t="e">
        <f>INDEX(TDS_codes,MATCH(loaded!AK864,TDS,0))</f>
        <v>#N/A</v>
      </c>
      <c r="Q864" t="e">
        <f>IF(K864=2,"",INDEX(method_codes,MATCH(loaded!AM864,method,0)))</f>
        <v>#N/A</v>
      </c>
      <c r="R864" t="e">
        <f>IF(K864=2,"",INDEX(inj_codes,MATCH(loaded!AO864,inj,0)))</f>
        <v>#N/A</v>
      </c>
      <c r="S864" t="e">
        <f>IF(K864=2,"",INDEX(drug_codes,MATCH(loaded!AQ864,drug,0)))</f>
        <v>#N/A</v>
      </c>
      <c r="T864" t="e">
        <f>IF(K864=2,"",_xlfn.IFNA(INDEX(drug_codes,MATCH(loaded!AS864,drug,0)),""))</f>
        <v>#N/A</v>
      </c>
      <c r="U864" t="e">
        <f>IF(K864=2,"",_xlfn.IFNA(INDEX(drug_codes,MATCH(loaded!AU864,drug,0)),""))</f>
        <v>#N/A</v>
      </c>
      <c r="V864" t="e">
        <f>IF(K864=2,"",_xlfn.IFNA(INDEX(drug_codes,MATCH(loaded!AW864,drug,0)),""))</f>
        <v>#N/A</v>
      </c>
      <c r="W864" t="e">
        <f>IF(K864=2,"",_xlfn.IFNA(INDEX(drug_codes,MATCH(loaded!AY864,drug,0)),""))</f>
        <v>#N/A</v>
      </c>
      <c r="X864" t="e">
        <f>IF(K864=2,"",_xlfn.IFNA(INDEX(drug_codes,MATCH(loaded!BA864,drug,0)),""))</f>
        <v>#N/A</v>
      </c>
      <c r="Y864" t="e">
        <f>INDEX(MTT_codes,MATCH(loaded!BC864,MTT,0))</f>
        <v>#N/A</v>
      </c>
      <c r="Z864" t="str">
        <f>_xlfn.IFNA(INDEX(MTT_codes,MATCH(loaded!BE864,MTT,0)),"")</f>
        <v/>
      </c>
      <c r="AA864" t="str">
        <f>_xlfn.IFNA(INDEX(MTT_codes,MATCH(loaded!BG864,MTT,0)),"")</f>
        <v/>
      </c>
      <c r="AB864" t="str">
        <f>_xlfn.IFNA(INDEX(MTT_codes,MATCH(loaded!BI864,MTT,0)),"")</f>
        <v/>
      </c>
      <c r="AC864" t="str">
        <f>_xlfn.IFNA(INDEX(MTT_codes,MATCH(loaded!BK864,MTT,0)),"")</f>
        <v/>
      </c>
      <c r="AD864" t="str">
        <f>_xlfn.IFNA(INDEX(MTT_codes,MATCH(loaded!BM864,MTT,0)),"")</f>
        <v/>
      </c>
      <c r="AE864" t="e">
        <f>INDEX(liv_ar_codes,MATCH(loaded!BO864,liv_ar,0))</f>
        <v>#N/A</v>
      </c>
      <c r="AF864" t="str">
        <f>_xlfn.IFNA(INDEX(MTT_codes,MATCH(loaded!BQ864,MTT,0)),"")</f>
        <v/>
      </c>
      <c r="AG864">
        <f>_xlfn.IFNA(INDEX(mental_codes,MATCH(loaded!BS864,mental,0)),9)</f>
        <v>9</v>
      </c>
    </row>
    <row r="865" spans="1:33" x14ac:dyDescent="0.25">
      <c r="A865">
        <f>loaded!C865</f>
        <v>0</v>
      </c>
      <c r="B865">
        <f>loaded!I865</f>
        <v>0</v>
      </c>
      <c r="C865">
        <f>IF(loaded!K865="Male",1,IF(loaded!K865="Female",2,9))</f>
        <v>9</v>
      </c>
      <c r="D865" s="8">
        <f>loaded!M865</f>
        <v>0</v>
      </c>
      <c r="E865" t="str">
        <f>LEFT(loaded!O865,3)</f>
        <v/>
      </c>
      <c r="F865" t="e">
        <f>INDEX(cntry_codes,MATCH(loaded!Q865,countries,0))</f>
        <v>#N/A</v>
      </c>
      <c r="G865" t="e">
        <f>INDEX(atsi_codes,MATCH(loaded!S865,atsi,0))</f>
        <v>#N/A</v>
      </c>
      <c r="H865" t="e">
        <f>INDEX(lang_codes,MATCH(loaded!U865,lang,0))</f>
        <v>#N/A</v>
      </c>
      <c r="I865" s="8">
        <f>loaded!W865</f>
        <v>0</v>
      </c>
      <c r="J865" t="e">
        <f>INDEX(us_acc_codes,MATCH(loaded!Y865,us_acc,0))</f>
        <v>#N/A</v>
      </c>
      <c r="K865" t="e">
        <f>INDEX(client_codes,MATCH(loaded!AA865,client,0))</f>
        <v>#N/A</v>
      </c>
      <c r="L865" t="e">
        <f>INDEX(src_ref_codes,MATCH(loaded!AC865,src_ref,0))</f>
        <v>#N/A</v>
      </c>
      <c r="M865" s="8">
        <f>loaded!AE865</f>
        <v>0</v>
      </c>
      <c r="N865" s="8">
        <f>loaded!AG865</f>
        <v>0</v>
      </c>
      <c r="O865" t="e">
        <f>INDEX(reces_codes,MATCH(loaded!AI865,reason,0))</f>
        <v>#N/A</v>
      </c>
      <c r="P865" t="e">
        <f>INDEX(TDS_codes,MATCH(loaded!AK865,TDS,0))</f>
        <v>#N/A</v>
      </c>
      <c r="Q865" t="e">
        <f>IF(K865=2,"",INDEX(method_codes,MATCH(loaded!AM865,method,0)))</f>
        <v>#N/A</v>
      </c>
      <c r="R865" t="e">
        <f>IF(K865=2,"",INDEX(inj_codes,MATCH(loaded!AO865,inj,0)))</f>
        <v>#N/A</v>
      </c>
      <c r="S865" t="e">
        <f>IF(K865=2,"",INDEX(drug_codes,MATCH(loaded!AQ865,drug,0)))</f>
        <v>#N/A</v>
      </c>
      <c r="T865" t="e">
        <f>IF(K865=2,"",_xlfn.IFNA(INDEX(drug_codes,MATCH(loaded!AS865,drug,0)),""))</f>
        <v>#N/A</v>
      </c>
      <c r="U865" t="e">
        <f>IF(K865=2,"",_xlfn.IFNA(INDEX(drug_codes,MATCH(loaded!AU865,drug,0)),""))</f>
        <v>#N/A</v>
      </c>
      <c r="V865" t="e">
        <f>IF(K865=2,"",_xlfn.IFNA(INDEX(drug_codes,MATCH(loaded!AW865,drug,0)),""))</f>
        <v>#N/A</v>
      </c>
      <c r="W865" t="e">
        <f>IF(K865=2,"",_xlfn.IFNA(INDEX(drug_codes,MATCH(loaded!AY865,drug,0)),""))</f>
        <v>#N/A</v>
      </c>
      <c r="X865" t="e">
        <f>IF(K865=2,"",_xlfn.IFNA(INDEX(drug_codes,MATCH(loaded!BA865,drug,0)),""))</f>
        <v>#N/A</v>
      </c>
      <c r="Y865" t="e">
        <f>INDEX(MTT_codes,MATCH(loaded!BC865,MTT,0))</f>
        <v>#N/A</v>
      </c>
      <c r="Z865" t="str">
        <f>_xlfn.IFNA(INDEX(MTT_codes,MATCH(loaded!BE865,MTT,0)),"")</f>
        <v/>
      </c>
      <c r="AA865" t="str">
        <f>_xlfn.IFNA(INDEX(MTT_codes,MATCH(loaded!BG865,MTT,0)),"")</f>
        <v/>
      </c>
      <c r="AB865" t="str">
        <f>_xlfn.IFNA(INDEX(MTT_codes,MATCH(loaded!BI865,MTT,0)),"")</f>
        <v/>
      </c>
      <c r="AC865" t="str">
        <f>_xlfn.IFNA(INDEX(MTT_codes,MATCH(loaded!BK865,MTT,0)),"")</f>
        <v/>
      </c>
      <c r="AD865" t="str">
        <f>_xlfn.IFNA(INDEX(MTT_codes,MATCH(loaded!BM865,MTT,0)),"")</f>
        <v/>
      </c>
      <c r="AE865" t="e">
        <f>INDEX(liv_ar_codes,MATCH(loaded!BO865,liv_ar,0))</f>
        <v>#N/A</v>
      </c>
      <c r="AF865" t="str">
        <f>_xlfn.IFNA(INDEX(MTT_codes,MATCH(loaded!BQ865,MTT,0)),"")</f>
        <v/>
      </c>
      <c r="AG865">
        <f>_xlfn.IFNA(INDEX(mental_codes,MATCH(loaded!BS865,mental,0)),9)</f>
        <v>9</v>
      </c>
    </row>
    <row r="866" spans="1:33" x14ac:dyDescent="0.25">
      <c r="A866">
        <f>loaded!C866</f>
        <v>0</v>
      </c>
      <c r="B866">
        <f>loaded!I866</f>
        <v>0</v>
      </c>
      <c r="C866">
        <f>IF(loaded!K866="Male",1,IF(loaded!K866="Female",2,9))</f>
        <v>9</v>
      </c>
      <c r="D866" s="8">
        <f>loaded!M866</f>
        <v>0</v>
      </c>
      <c r="E866" t="str">
        <f>LEFT(loaded!O866,3)</f>
        <v/>
      </c>
      <c r="F866" t="e">
        <f>INDEX(cntry_codes,MATCH(loaded!Q866,countries,0))</f>
        <v>#N/A</v>
      </c>
      <c r="G866" t="e">
        <f>INDEX(atsi_codes,MATCH(loaded!S866,atsi,0))</f>
        <v>#N/A</v>
      </c>
      <c r="H866" t="e">
        <f>INDEX(lang_codes,MATCH(loaded!U866,lang,0))</f>
        <v>#N/A</v>
      </c>
      <c r="I866" s="8">
        <f>loaded!W866</f>
        <v>0</v>
      </c>
      <c r="J866" t="e">
        <f>INDEX(us_acc_codes,MATCH(loaded!Y866,us_acc,0))</f>
        <v>#N/A</v>
      </c>
      <c r="K866" t="e">
        <f>INDEX(client_codes,MATCH(loaded!AA866,client,0))</f>
        <v>#N/A</v>
      </c>
      <c r="L866" t="e">
        <f>INDEX(src_ref_codes,MATCH(loaded!AC866,src_ref,0))</f>
        <v>#N/A</v>
      </c>
      <c r="M866" s="8">
        <f>loaded!AE866</f>
        <v>0</v>
      </c>
      <c r="N866" s="8">
        <f>loaded!AG866</f>
        <v>0</v>
      </c>
      <c r="O866" t="e">
        <f>INDEX(reces_codes,MATCH(loaded!AI866,reason,0))</f>
        <v>#N/A</v>
      </c>
      <c r="P866" t="e">
        <f>INDEX(TDS_codes,MATCH(loaded!AK866,TDS,0))</f>
        <v>#N/A</v>
      </c>
      <c r="Q866" t="e">
        <f>IF(K866=2,"",INDEX(method_codes,MATCH(loaded!AM866,method,0)))</f>
        <v>#N/A</v>
      </c>
      <c r="R866" t="e">
        <f>IF(K866=2,"",INDEX(inj_codes,MATCH(loaded!AO866,inj,0)))</f>
        <v>#N/A</v>
      </c>
      <c r="S866" t="e">
        <f>IF(K866=2,"",INDEX(drug_codes,MATCH(loaded!AQ866,drug,0)))</f>
        <v>#N/A</v>
      </c>
      <c r="T866" t="e">
        <f>IF(K866=2,"",_xlfn.IFNA(INDEX(drug_codes,MATCH(loaded!AS866,drug,0)),""))</f>
        <v>#N/A</v>
      </c>
      <c r="U866" t="e">
        <f>IF(K866=2,"",_xlfn.IFNA(INDEX(drug_codes,MATCH(loaded!AU866,drug,0)),""))</f>
        <v>#N/A</v>
      </c>
      <c r="V866" t="e">
        <f>IF(K866=2,"",_xlfn.IFNA(INDEX(drug_codes,MATCH(loaded!AW866,drug,0)),""))</f>
        <v>#N/A</v>
      </c>
      <c r="W866" t="e">
        <f>IF(K866=2,"",_xlfn.IFNA(INDEX(drug_codes,MATCH(loaded!AY866,drug,0)),""))</f>
        <v>#N/A</v>
      </c>
      <c r="X866" t="e">
        <f>IF(K866=2,"",_xlfn.IFNA(INDEX(drug_codes,MATCH(loaded!BA866,drug,0)),""))</f>
        <v>#N/A</v>
      </c>
      <c r="Y866" t="e">
        <f>INDEX(MTT_codes,MATCH(loaded!BC866,MTT,0))</f>
        <v>#N/A</v>
      </c>
      <c r="Z866" t="str">
        <f>_xlfn.IFNA(INDEX(MTT_codes,MATCH(loaded!BE866,MTT,0)),"")</f>
        <v/>
      </c>
      <c r="AA866" t="str">
        <f>_xlfn.IFNA(INDEX(MTT_codes,MATCH(loaded!BG866,MTT,0)),"")</f>
        <v/>
      </c>
      <c r="AB866" t="str">
        <f>_xlfn.IFNA(INDEX(MTT_codes,MATCH(loaded!BI866,MTT,0)),"")</f>
        <v/>
      </c>
      <c r="AC866" t="str">
        <f>_xlfn.IFNA(INDEX(MTT_codes,MATCH(loaded!BK866,MTT,0)),"")</f>
        <v/>
      </c>
      <c r="AD866" t="str">
        <f>_xlfn.IFNA(INDEX(MTT_codes,MATCH(loaded!BM866,MTT,0)),"")</f>
        <v/>
      </c>
      <c r="AE866" t="e">
        <f>INDEX(liv_ar_codes,MATCH(loaded!BO866,liv_ar,0))</f>
        <v>#N/A</v>
      </c>
      <c r="AF866" t="str">
        <f>_xlfn.IFNA(INDEX(MTT_codes,MATCH(loaded!BQ866,MTT,0)),"")</f>
        <v/>
      </c>
      <c r="AG866">
        <f>_xlfn.IFNA(INDEX(mental_codes,MATCH(loaded!BS866,mental,0)),9)</f>
        <v>9</v>
      </c>
    </row>
    <row r="867" spans="1:33" x14ac:dyDescent="0.25">
      <c r="A867">
        <f>loaded!C867</f>
        <v>0</v>
      </c>
      <c r="B867">
        <f>loaded!I867</f>
        <v>0</v>
      </c>
      <c r="C867">
        <f>IF(loaded!K867="Male",1,IF(loaded!K867="Female",2,9))</f>
        <v>9</v>
      </c>
      <c r="D867" s="8">
        <f>loaded!M867</f>
        <v>0</v>
      </c>
      <c r="E867" t="str">
        <f>LEFT(loaded!O867,3)</f>
        <v/>
      </c>
      <c r="F867" t="e">
        <f>INDEX(cntry_codes,MATCH(loaded!Q867,countries,0))</f>
        <v>#N/A</v>
      </c>
      <c r="G867" t="e">
        <f>INDEX(atsi_codes,MATCH(loaded!S867,atsi,0))</f>
        <v>#N/A</v>
      </c>
      <c r="H867" t="e">
        <f>INDEX(lang_codes,MATCH(loaded!U867,lang,0))</f>
        <v>#N/A</v>
      </c>
      <c r="I867" s="8">
        <f>loaded!W867</f>
        <v>0</v>
      </c>
      <c r="J867" t="e">
        <f>INDEX(us_acc_codes,MATCH(loaded!Y867,us_acc,0))</f>
        <v>#N/A</v>
      </c>
      <c r="K867" t="e">
        <f>INDEX(client_codes,MATCH(loaded!AA867,client,0))</f>
        <v>#N/A</v>
      </c>
      <c r="L867" t="e">
        <f>INDEX(src_ref_codes,MATCH(loaded!AC867,src_ref,0))</f>
        <v>#N/A</v>
      </c>
      <c r="M867" s="8">
        <f>loaded!AE867</f>
        <v>0</v>
      </c>
      <c r="N867" s="8">
        <f>loaded!AG867</f>
        <v>0</v>
      </c>
      <c r="O867" t="e">
        <f>INDEX(reces_codes,MATCH(loaded!AI867,reason,0))</f>
        <v>#N/A</v>
      </c>
      <c r="P867" t="e">
        <f>INDEX(TDS_codes,MATCH(loaded!AK867,TDS,0))</f>
        <v>#N/A</v>
      </c>
      <c r="Q867" t="e">
        <f>IF(K867=2,"",INDEX(method_codes,MATCH(loaded!AM867,method,0)))</f>
        <v>#N/A</v>
      </c>
      <c r="R867" t="e">
        <f>IF(K867=2,"",INDEX(inj_codes,MATCH(loaded!AO867,inj,0)))</f>
        <v>#N/A</v>
      </c>
      <c r="S867" t="e">
        <f>IF(K867=2,"",INDEX(drug_codes,MATCH(loaded!AQ867,drug,0)))</f>
        <v>#N/A</v>
      </c>
      <c r="T867" t="e">
        <f>IF(K867=2,"",_xlfn.IFNA(INDEX(drug_codes,MATCH(loaded!AS867,drug,0)),""))</f>
        <v>#N/A</v>
      </c>
      <c r="U867" t="e">
        <f>IF(K867=2,"",_xlfn.IFNA(INDEX(drug_codes,MATCH(loaded!AU867,drug,0)),""))</f>
        <v>#N/A</v>
      </c>
      <c r="V867" t="e">
        <f>IF(K867=2,"",_xlfn.IFNA(INDEX(drug_codes,MATCH(loaded!AW867,drug,0)),""))</f>
        <v>#N/A</v>
      </c>
      <c r="W867" t="e">
        <f>IF(K867=2,"",_xlfn.IFNA(INDEX(drug_codes,MATCH(loaded!AY867,drug,0)),""))</f>
        <v>#N/A</v>
      </c>
      <c r="X867" t="e">
        <f>IF(K867=2,"",_xlfn.IFNA(INDEX(drug_codes,MATCH(loaded!BA867,drug,0)),""))</f>
        <v>#N/A</v>
      </c>
      <c r="Y867" t="e">
        <f>INDEX(MTT_codes,MATCH(loaded!BC867,MTT,0))</f>
        <v>#N/A</v>
      </c>
      <c r="Z867" t="str">
        <f>_xlfn.IFNA(INDEX(MTT_codes,MATCH(loaded!BE867,MTT,0)),"")</f>
        <v/>
      </c>
      <c r="AA867" t="str">
        <f>_xlfn.IFNA(INDEX(MTT_codes,MATCH(loaded!BG867,MTT,0)),"")</f>
        <v/>
      </c>
      <c r="AB867" t="str">
        <f>_xlfn.IFNA(INDEX(MTT_codes,MATCH(loaded!BI867,MTT,0)),"")</f>
        <v/>
      </c>
      <c r="AC867" t="str">
        <f>_xlfn.IFNA(INDEX(MTT_codes,MATCH(loaded!BK867,MTT,0)),"")</f>
        <v/>
      </c>
      <c r="AD867" t="str">
        <f>_xlfn.IFNA(INDEX(MTT_codes,MATCH(loaded!BM867,MTT,0)),"")</f>
        <v/>
      </c>
      <c r="AE867" t="e">
        <f>INDEX(liv_ar_codes,MATCH(loaded!BO867,liv_ar,0))</f>
        <v>#N/A</v>
      </c>
      <c r="AF867" t="str">
        <f>_xlfn.IFNA(INDEX(MTT_codes,MATCH(loaded!BQ867,MTT,0)),"")</f>
        <v/>
      </c>
      <c r="AG867">
        <f>_xlfn.IFNA(INDEX(mental_codes,MATCH(loaded!BS867,mental,0)),9)</f>
        <v>9</v>
      </c>
    </row>
    <row r="868" spans="1:33" x14ac:dyDescent="0.25">
      <c r="A868">
        <f>loaded!C868</f>
        <v>0</v>
      </c>
      <c r="B868">
        <f>loaded!I868</f>
        <v>0</v>
      </c>
      <c r="C868">
        <f>IF(loaded!K868="Male",1,IF(loaded!K868="Female",2,9))</f>
        <v>9</v>
      </c>
      <c r="D868" s="8">
        <f>loaded!M868</f>
        <v>0</v>
      </c>
      <c r="E868" t="str">
        <f>LEFT(loaded!O868,3)</f>
        <v/>
      </c>
      <c r="F868" t="e">
        <f>INDEX(cntry_codes,MATCH(loaded!Q868,countries,0))</f>
        <v>#N/A</v>
      </c>
      <c r="G868" t="e">
        <f>INDEX(atsi_codes,MATCH(loaded!S868,atsi,0))</f>
        <v>#N/A</v>
      </c>
      <c r="H868" t="e">
        <f>INDEX(lang_codes,MATCH(loaded!U868,lang,0))</f>
        <v>#N/A</v>
      </c>
      <c r="I868" s="8">
        <f>loaded!W868</f>
        <v>0</v>
      </c>
      <c r="J868" t="e">
        <f>INDEX(us_acc_codes,MATCH(loaded!Y868,us_acc,0))</f>
        <v>#N/A</v>
      </c>
      <c r="K868" t="e">
        <f>INDEX(client_codes,MATCH(loaded!AA868,client,0))</f>
        <v>#N/A</v>
      </c>
      <c r="L868" t="e">
        <f>INDEX(src_ref_codes,MATCH(loaded!AC868,src_ref,0))</f>
        <v>#N/A</v>
      </c>
      <c r="M868" s="8">
        <f>loaded!AE868</f>
        <v>0</v>
      </c>
      <c r="N868" s="8">
        <f>loaded!AG868</f>
        <v>0</v>
      </c>
      <c r="O868" t="e">
        <f>INDEX(reces_codes,MATCH(loaded!AI868,reason,0))</f>
        <v>#N/A</v>
      </c>
      <c r="P868" t="e">
        <f>INDEX(TDS_codes,MATCH(loaded!AK868,TDS,0))</f>
        <v>#N/A</v>
      </c>
      <c r="Q868" t="e">
        <f>IF(K868=2,"",INDEX(method_codes,MATCH(loaded!AM868,method,0)))</f>
        <v>#N/A</v>
      </c>
      <c r="R868" t="e">
        <f>IF(K868=2,"",INDEX(inj_codes,MATCH(loaded!AO868,inj,0)))</f>
        <v>#N/A</v>
      </c>
      <c r="S868" t="e">
        <f>IF(K868=2,"",INDEX(drug_codes,MATCH(loaded!AQ868,drug,0)))</f>
        <v>#N/A</v>
      </c>
      <c r="T868" t="e">
        <f>IF(K868=2,"",_xlfn.IFNA(INDEX(drug_codes,MATCH(loaded!AS868,drug,0)),""))</f>
        <v>#N/A</v>
      </c>
      <c r="U868" t="e">
        <f>IF(K868=2,"",_xlfn.IFNA(INDEX(drug_codes,MATCH(loaded!AU868,drug,0)),""))</f>
        <v>#N/A</v>
      </c>
      <c r="V868" t="e">
        <f>IF(K868=2,"",_xlfn.IFNA(INDEX(drug_codes,MATCH(loaded!AW868,drug,0)),""))</f>
        <v>#N/A</v>
      </c>
      <c r="W868" t="e">
        <f>IF(K868=2,"",_xlfn.IFNA(INDEX(drug_codes,MATCH(loaded!AY868,drug,0)),""))</f>
        <v>#N/A</v>
      </c>
      <c r="X868" t="e">
        <f>IF(K868=2,"",_xlfn.IFNA(INDEX(drug_codes,MATCH(loaded!BA868,drug,0)),""))</f>
        <v>#N/A</v>
      </c>
      <c r="Y868" t="e">
        <f>INDEX(MTT_codes,MATCH(loaded!BC868,MTT,0))</f>
        <v>#N/A</v>
      </c>
      <c r="Z868" t="str">
        <f>_xlfn.IFNA(INDEX(MTT_codes,MATCH(loaded!BE868,MTT,0)),"")</f>
        <v/>
      </c>
      <c r="AA868" t="str">
        <f>_xlfn.IFNA(INDEX(MTT_codes,MATCH(loaded!BG868,MTT,0)),"")</f>
        <v/>
      </c>
      <c r="AB868" t="str">
        <f>_xlfn.IFNA(INDEX(MTT_codes,MATCH(loaded!BI868,MTT,0)),"")</f>
        <v/>
      </c>
      <c r="AC868" t="str">
        <f>_xlfn.IFNA(INDEX(MTT_codes,MATCH(loaded!BK868,MTT,0)),"")</f>
        <v/>
      </c>
      <c r="AD868" t="str">
        <f>_xlfn.IFNA(INDEX(MTT_codes,MATCH(loaded!BM868,MTT,0)),"")</f>
        <v/>
      </c>
      <c r="AE868" t="e">
        <f>INDEX(liv_ar_codes,MATCH(loaded!BO868,liv_ar,0))</f>
        <v>#N/A</v>
      </c>
      <c r="AF868" t="str">
        <f>_xlfn.IFNA(INDEX(MTT_codes,MATCH(loaded!BQ868,MTT,0)),"")</f>
        <v/>
      </c>
      <c r="AG868">
        <f>_xlfn.IFNA(INDEX(mental_codes,MATCH(loaded!BS868,mental,0)),9)</f>
        <v>9</v>
      </c>
    </row>
    <row r="869" spans="1:33" x14ac:dyDescent="0.25">
      <c r="A869">
        <f>loaded!C869</f>
        <v>0</v>
      </c>
      <c r="B869">
        <f>loaded!I869</f>
        <v>0</v>
      </c>
      <c r="C869">
        <f>IF(loaded!K869="Male",1,IF(loaded!K869="Female",2,9))</f>
        <v>9</v>
      </c>
      <c r="D869" s="8">
        <f>loaded!M869</f>
        <v>0</v>
      </c>
      <c r="E869" t="str">
        <f>LEFT(loaded!O869,3)</f>
        <v/>
      </c>
      <c r="F869" t="e">
        <f>INDEX(cntry_codes,MATCH(loaded!Q869,countries,0))</f>
        <v>#N/A</v>
      </c>
      <c r="G869" t="e">
        <f>INDEX(atsi_codes,MATCH(loaded!S869,atsi,0))</f>
        <v>#N/A</v>
      </c>
      <c r="H869" t="e">
        <f>INDEX(lang_codes,MATCH(loaded!U869,lang,0))</f>
        <v>#N/A</v>
      </c>
      <c r="I869" s="8">
        <f>loaded!W869</f>
        <v>0</v>
      </c>
      <c r="J869" t="e">
        <f>INDEX(us_acc_codes,MATCH(loaded!Y869,us_acc,0))</f>
        <v>#N/A</v>
      </c>
      <c r="K869" t="e">
        <f>INDEX(client_codes,MATCH(loaded!AA869,client,0))</f>
        <v>#N/A</v>
      </c>
      <c r="L869" t="e">
        <f>INDEX(src_ref_codes,MATCH(loaded!AC869,src_ref,0))</f>
        <v>#N/A</v>
      </c>
      <c r="M869" s="8">
        <f>loaded!AE869</f>
        <v>0</v>
      </c>
      <c r="N869" s="8">
        <f>loaded!AG869</f>
        <v>0</v>
      </c>
      <c r="O869" t="e">
        <f>INDEX(reces_codes,MATCH(loaded!AI869,reason,0))</f>
        <v>#N/A</v>
      </c>
      <c r="P869" t="e">
        <f>INDEX(TDS_codes,MATCH(loaded!AK869,TDS,0))</f>
        <v>#N/A</v>
      </c>
      <c r="Q869" t="e">
        <f>IF(K869=2,"",INDEX(method_codes,MATCH(loaded!AM869,method,0)))</f>
        <v>#N/A</v>
      </c>
      <c r="R869" t="e">
        <f>IF(K869=2,"",INDEX(inj_codes,MATCH(loaded!AO869,inj,0)))</f>
        <v>#N/A</v>
      </c>
      <c r="S869" t="e">
        <f>IF(K869=2,"",INDEX(drug_codes,MATCH(loaded!AQ869,drug,0)))</f>
        <v>#N/A</v>
      </c>
      <c r="T869" t="e">
        <f>IF(K869=2,"",_xlfn.IFNA(INDEX(drug_codes,MATCH(loaded!AS869,drug,0)),""))</f>
        <v>#N/A</v>
      </c>
      <c r="U869" t="e">
        <f>IF(K869=2,"",_xlfn.IFNA(INDEX(drug_codes,MATCH(loaded!AU869,drug,0)),""))</f>
        <v>#N/A</v>
      </c>
      <c r="V869" t="e">
        <f>IF(K869=2,"",_xlfn.IFNA(INDEX(drug_codes,MATCH(loaded!AW869,drug,0)),""))</f>
        <v>#N/A</v>
      </c>
      <c r="W869" t="e">
        <f>IF(K869=2,"",_xlfn.IFNA(INDEX(drug_codes,MATCH(loaded!AY869,drug,0)),""))</f>
        <v>#N/A</v>
      </c>
      <c r="X869" t="e">
        <f>IF(K869=2,"",_xlfn.IFNA(INDEX(drug_codes,MATCH(loaded!BA869,drug,0)),""))</f>
        <v>#N/A</v>
      </c>
      <c r="Y869" t="e">
        <f>INDEX(MTT_codes,MATCH(loaded!BC869,MTT,0))</f>
        <v>#N/A</v>
      </c>
      <c r="Z869" t="str">
        <f>_xlfn.IFNA(INDEX(MTT_codes,MATCH(loaded!BE869,MTT,0)),"")</f>
        <v/>
      </c>
      <c r="AA869" t="str">
        <f>_xlfn.IFNA(INDEX(MTT_codes,MATCH(loaded!BG869,MTT,0)),"")</f>
        <v/>
      </c>
      <c r="AB869" t="str">
        <f>_xlfn.IFNA(INDEX(MTT_codes,MATCH(loaded!BI869,MTT,0)),"")</f>
        <v/>
      </c>
      <c r="AC869" t="str">
        <f>_xlfn.IFNA(INDEX(MTT_codes,MATCH(loaded!BK869,MTT,0)),"")</f>
        <v/>
      </c>
      <c r="AD869" t="str">
        <f>_xlfn.IFNA(INDEX(MTT_codes,MATCH(loaded!BM869,MTT,0)),"")</f>
        <v/>
      </c>
      <c r="AE869" t="e">
        <f>INDEX(liv_ar_codes,MATCH(loaded!BO869,liv_ar,0))</f>
        <v>#N/A</v>
      </c>
      <c r="AF869" t="str">
        <f>_xlfn.IFNA(INDEX(MTT_codes,MATCH(loaded!BQ869,MTT,0)),"")</f>
        <v/>
      </c>
      <c r="AG869">
        <f>_xlfn.IFNA(INDEX(mental_codes,MATCH(loaded!BS869,mental,0)),9)</f>
        <v>9</v>
      </c>
    </row>
    <row r="870" spans="1:33" x14ac:dyDescent="0.25">
      <c r="A870">
        <f>loaded!C870</f>
        <v>0</v>
      </c>
      <c r="B870">
        <f>loaded!I870</f>
        <v>0</v>
      </c>
      <c r="C870">
        <f>IF(loaded!K870="Male",1,IF(loaded!K870="Female",2,9))</f>
        <v>9</v>
      </c>
      <c r="D870" s="8">
        <f>loaded!M870</f>
        <v>0</v>
      </c>
      <c r="E870" t="str">
        <f>LEFT(loaded!O870,3)</f>
        <v/>
      </c>
      <c r="F870" t="e">
        <f>INDEX(cntry_codes,MATCH(loaded!Q870,countries,0))</f>
        <v>#N/A</v>
      </c>
      <c r="G870" t="e">
        <f>INDEX(atsi_codes,MATCH(loaded!S870,atsi,0))</f>
        <v>#N/A</v>
      </c>
      <c r="H870" t="e">
        <f>INDEX(lang_codes,MATCH(loaded!U870,lang,0))</f>
        <v>#N/A</v>
      </c>
      <c r="I870" s="8">
        <f>loaded!W870</f>
        <v>0</v>
      </c>
      <c r="J870" t="e">
        <f>INDEX(us_acc_codes,MATCH(loaded!Y870,us_acc,0))</f>
        <v>#N/A</v>
      </c>
      <c r="K870" t="e">
        <f>INDEX(client_codes,MATCH(loaded!AA870,client,0))</f>
        <v>#N/A</v>
      </c>
      <c r="L870" t="e">
        <f>INDEX(src_ref_codes,MATCH(loaded!AC870,src_ref,0))</f>
        <v>#N/A</v>
      </c>
      <c r="M870" s="8">
        <f>loaded!AE870</f>
        <v>0</v>
      </c>
      <c r="N870" s="8">
        <f>loaded!AG870</f>
        <v>0</v>
      </c>
      <c r="O870" t="e">
        <f>INDEX(reces_codes,MATCH(loaded!AI870,reason,0))</f>
        <v>#N/A</v>
      </c>
      <c r="P870" t="e">
        <f>INDEX(TDS_codes,MATCH(loaded!AK870,TDS,0))</f>
        <v>#N/A</v>
      </c>
      <c r="Q870" t="e">
        <f>IF(K870=2,"",INDEX(method_codes,MATCH(loaded!AM870,method,0)))</f>
        <v>#N/A</v>
      </c>
      <c r="R870" t="e">
        <f>IF(K870=2,"",INDEX(inj_codes,MATCH(loaded!AO870,inj,0)))</f>
        <v>#N/A</v>
      </c>
      <c r="S870" t="e">
        <f>IF(K870=2,"",INDEX(drug_codes,MATCH(loaded!AQ870,drug,0)))</f>
        <v>#N/A</v>
      </c>
      <c r="T870" t="e">
        <f>IF(K870=2,"",_xlfn.IFNA(INDEX(drug_codes,MATCH(loaded!AS870,drug,0)),""))</f>
        <v>#N/A</v>
      </c>
      <c r="U870" t="e">
        <f>IF(K870=2,"",_xlfn.IFNA(INDEX(drug_codes,MATCH(loaded!AU870,drug,0)),""))</f>
        <v>#N/A</v>
      </c>
      <c r="V870" t="e">
        <f>IF(K870=2,"",_xlfn.IFNA(INDEX(drug_codes,MATCH(loaded!AW870,drug,0)),""))</f>
        <v>#N/A</v>
      </c>
      <c r="W870" t="e">
        <f>IF(K870=2,"",_xlfn.IFNA(INDEX(drug_codes,MATCH(loaded!AY870,drug,0)),""))</f>
        <v>#N/A</v>
      </c>
      <c r="X870" t="e">
        <f>IF(K870=2,"",_xlfn.IFNA(INDEX(drug_codes,MATCH(loaded!BA870,drug,0)),""))</f>
        <v>#N/A</v>
      </c>
      <c r="Y870" t="e">
        <f>INDEX(MTT_codes,MATCH(loaded!BC870,MTT,0))</f>
        <v>#N/A</v>
      </c>
      <c r="Z870" t="str">
        <f>_xlfn.IFNA(INDEX(MTT_codes,MATCH(loaded!BE870,MTT,0)),"")</f>
        <v/>
      </c>
      <c r="AA870" t="str">
        <f>_xlfn.IFNA(INDEX(MTT_codes,MATCH(loaded!BG870,MTT,0)),"")</f>
        <v/>
      </c>
      <c r="AB870" t="str">
        <f>_xlfn.IFNA(INDEX(MTT_codes,MATCH(loaded!BI870,MTT,0)),"")</f>
        <v/>
      </c>
      <c r="AC870" t="str">
        <f>_xlfn.IFNA(INDEX(MTT_codes,MATCH(loaded!BK870,MTT,0)),"")</f>
        <v/>
      </c>
      <c r="AD870" t="str">
        <f>_xlfn.IFNA(INDEX(MTT_codes,MATCH(loaded!BM870,MTT,0)),"")</f>
        <v/>
      </c>
      <c r="AE870" t="e">
        <f>INDEX(liv_ar_codes,MATCH(loaded!BO870,liv_ar,0))</f>
        <v>#N/A</v>
      </c>
      <c r="AF870" t="str">
        <f>_xlfn.IFNA(INDEX(MTT_codes,MATCH(loaded!BQ870,MTT,0)),"")</f>
        <v/>
      </c>
      <c r="AG870">
        <f>_xlfn.IFNA(INDEX(mental_codes,MATCH(loaded!BS870,mental,0)),9)</f>
        <v>9</v>
      </c>
    </row>
    <row r="871" spans="1:33" x14ac:dyDescent="0.25">
      <c r="A871">
        <f>loaded!C871</f>
        <v>0</v>
      </c>
      <c r="B871">
        <f>loaded!I871</f>
        <v>0</v>
      </c>
      <c r="C871">
        <f>IF(loaded!K871="Male",1,IF(loaded!K871="Female",2,9))</f>
        <v>9</v>
      </c>
      <c r="D871" s="8">
        <f>loaded!M871</f>
        <v>0</v>
      </c>
      <c r="E871" t="str">
        <f>LEFT(loaded!O871,3)</f>
        <v/>
      </c>
      <c r="F871" t="e">
        <f>INDEX(cntry_codes,MATCH(loaded!Q871,countries,0))</f>
        <v>#N/A</v>
      </c>
      <c r="G871" t="e">
        <f>INDEX(atsi_codes,MATCH(loaded!S871,atsi,0))</f>
        <v>#N/A</v>
      </c>
      <c r="H871" t="e">
        <f>INDEX(lang_codes,MATCH(loaded!U871,lang,0))</f>
        <v>#N/A</v>
      </c>
      <c r="I871" s="8">
        <f>loaded!W871</f>
        <v>0</v>
      </c>
      <c r="J871" t="e">
        <f>INDEX(us_acc_codes,MATCH(loaded!Y871,us_acc,0))</f>
        <v>#N/A</v>
      </c>
      <c r="K871" t="e">
        <f>INDEX(client_codes,MATCH(loaded!AA871,client,0))</f>
        <v>#N/A</v>
      </c>
      <c r="L871" t="e">
        <f>INDEX(src_ref_codes,MATCH(loaded!AC871,src_ref,0))</f>
        <v>#N/A</v>
      </c>
      <c r="M871" s="8">
        <f>loaded!AE871</f>
        <v>0</v>
      </c>
      <c r="N871" s="8">
        <f>loaded!AG871</f>
        <v>0</v>
      </c>
      <c r="O871" t="e">
        <f>INDEX(reces_codes,MATCH(loaded!AI871,reason,0))</f>
        <v>#N/A</v>
      </c>
      <c r="P871" t="e">
        <f>INDEX(TDS_codes,MATCH(loaded!AK871,TDS,0))</f>
        <v>#N/A</v>
      </c>
      <c r="Q871" t="e">
        <f>IF(K871=2,"",INDEX(method_codes,MATCH(loaded!AM871,method,0)))</f>
        <v>#N/A</v>
      </c>
      <c r="R871" t="e">
        <f>IF(K871=2,"",INDEX(inj_codes,MATCH(loaded!AO871,inj,0)))</f>
        <v>#N/A</v>
      </c>
      <c r="S871" t="e">
        <f>IF(K871=2,"",INDEX(drug_codes,MATCH(loaded!AQ871,drug,0)))</f>
        <v>#N/A</v>
      </c>
      <c r="T871" t="e">
        <f>IF(K871=2,"",_xlfn.IFNA(INDEX(drug_codes,MATCH(loaded!AS871,drug,0)),""))</f>
        <v>#N/A</v>
      </c>
      <c r="U871" t="e">
        <f>IF(K871=2,"",_xlfn.IFNA(INDEX(drug_codes,MATCH(loaded!AU871,drug,0)),""))</f>
        <v>#N/A</v>
      </c>
      <c r="V871" t="e">
        <f>IF(K871=2,"",_xlfn.IFNA(INDEX(drug_codes,MATCH(loaded!AW871,drug,0)),""))</f>
        <v>#N/A</v>
      </c>
      <c r="W871" t="e">
        <f>IF(K871=2,"",_xlfn.IFNA(INDEX(drug_codes,MATCH(loaded!AY871,drug,0)),""))</f>
        <v>#N/A</v>
      </c>
      <c r="X871" t="e">
        <f>IF(K871=2,"",_xlfn.IFNA(INDEX(drug_codes,MATCH(loaded!BA871,drug,0)),""))</f>
        <v>#N/A</v>
      </c>
      <c r="Y871" t="e">
        <f>INDEX(MTT_codes,MATCH(loaded!BC871,MTT,0))</f>
        <v>#N/A</v>
      </c>
      <c r="Z871" t="str">
        <f>_xlfn.IFNA(INDEX(MTT_codes,MATCH(loaded!BE871,MTT,0)),"")</f>
        <v/>
      </c>
      <c r="AA871" t="str">
        <f>_xlfn.IFNA(INDEX(MTT_codes,MATCH(loaded!BG871,MTT,0)),"")</f>
        <v/>
      </c>
      <c r="AB871" t="str">
        <f>_xlfn.IFNA(INDEX(MTT_codes,MATCH(loaded!BI871,MTT,0)),"")</f>
        <v/>
      </c>
      <c r="AC871" t="str">
        <f>_xlfn.IFNA(INDEX(MTT_codes,MATCH(loaded!BK871,MTT,0)),"")</f>
        <v/>
      </c>
      <c r="AD871" t="str">
        <f>_xlfn.IFNA(INDEX(MTT_codes,MATCH(loaded!BM871,MTT,0)),"")</f>
        <v/>
      </c>
      <c r="AE871" t="e">
        <f>INDEX(liv_ar_codes,MATCH(loaded!BO871,liv_ar,0))</f>
        <v>#N/A</v>
      </c>
      <c r="AF871" t="str">
        <f>_xlfn.IFNA(INDEX(MTT_codes,MATCH(loaded!BQ871,MTT,0)),"")</f>
        <v/>
      </c>
      <c r="AG871">
        <f>_xlfn.IFNA(INDEX(mental_codes,MATCH(loaded!BS871,mental,0)),9)</f>
        <v>9</v>
      </c>
    </row>
    <row r="872" spans="1:33" x14ac:dyDescent="0.25">
      <c r="A872">
        <f>loaded!C872</f>
        <v>0</v>
      </c>
      <c r="B872">
        <f>loaded!I872</f>
        <v>0</v>
      </c>
      <c r="C872">
        <f>IF(loaded!K872="Male",1,IF(loaded!K872="Female",2,9))</f>
        <v>9</v>
      </c>
      <c r="D872" s="8">
        <f>loaded!M872</f>
        <v>0</v>
      </c>
      <c r="E872" t="str">
        <f>LEFT(loaded!O872,3)</f>
        <v/>
      </c>
      <c r="F872" t="e">
        <f>INDEX(cntry_codes,MATCH(loaded!Q872,countries,0))</f>
        <v>#N/A</v>
      </c>
      <c r="G872" t="e">
        <f>INDEX(atsi_codes,MATCH(loaded!S872,atsi,0))</f>
        <v>#N/A</v>
      </c>
      <c r="H872" t="e">
        <f>INDEX(lang_codes,MATCH(loaded!U872,lang,0))</f>
        <v>#N/A</v>
      </c>
      <c r="I872" s="8">
        <f>loaded!W872</f>
        <v>0</v>
      </c>
      <c r="J872" t="e">
        <f>INDEX(us_acc_codes,MATCH(loaded!Y872,us_acc,0))</f>
        <v>#N/A</v>
      </c>
      <c r="K872" t="e">
        <f>INDEX(client_codes,MATCH(loaded!AA872,client,0))</f>
        <v>#N/A</v>
      </c>
      <c r="L872" t="e">
        <f>INDEX(src_ref_codes,MATCH(loaded!AC872,src_ref,0))</f>
        <v>#N/A</v>
      </c>
      <c r="M872" s="8">
        <f>loaded!AE872</f>
        <v>0</v>
      </c>
      <c r="N872" s="8">
        <f>loaded!AG872</f>
        <v>0</v>
      </c>
      <c r="O872" t="e">
        <f>INDEX(reces_codes,MATCH(loaded!AI872,reason,0))</f>
        <v>#N/A</v>
      </c>
      <c r="P872" t="e">
        <f>INDEX(TDS_codes,MATCH(loaded!AK872,TDS,0))</f>
        <v>#N/A</v>
      </c>
      <c r="Q872" t="e">
        <f>IF(K872=2,"",INDEX(method_codes,MATCH(loaded!AM872,method,0)))</f>
        <v>#N/A</v>
      </c>
      <c r="R872" t="e">
        <f>IF(K872=2,"",INDEX(inj_codes,MATCH(loaded!AO872,inj,0)))</f>
        <v>#N/A</v>
      </c>
      <c r="S872" t="e">
        <f>IF(K872=2,"",INDEX(drug_codes,MATCH(loaded!AQ872,drug,0)))</f>
        <v>#N/A</v>
      </c>
      <c r="T872" t="e">
        <f>IF(K872=2,"",_xlfn.IFNA(INDEX(drug_codes,MATCH(loaded!AS872,drug,0)),""))</f>
        <v>#N/A</v>
      </c>
      <c r="U872" t="e">
        <f>IF(K872=2,"",_xlfn.IFNA(INDEX(drug_codes,MATCH(loaded!AU872,drug,0)),""))</f>
        <v>#N/A</v>
      </c>
      <c r="V872" t="e">
        <f>IF(K872=2,"",_xlfn.IFNA(INDEX(drug_codes,MATCH(loaded!AW872,drug,0)),""))</f>
        <v>#N/A</v>
      </c>
      <c r="W872" t="e">
        <f>IF(K872=2,"",_xlfn.IFNA(INDEX(drug_codes,MATCH(loaded!AY872,drug,0)),""))</f>
        <v>#N/A</v>
      </c>
      <c r="X872" t="e">
        <f>IF(K872=2,"",_xlfn.IFNA(INDEX(drug_codes,MATCH(loaded!BA872,drug,0)),""))</f>
        <v>#N/A</v>
      </c>
      <c r="Y872" t="e">
        <f>INDEX(MTT_codes,MATCH(loaded!BC872,MTT,0))</f>
        <v>#N/A</v>
      </c>
      <c r="Z872" t="str">
        <f>_xlfn.IFNA(INDEX(MTT_codes,MATCH(loaded!BE872,MTT,0)),"")</f>
        <v/>
      </c>
      <c r="AA872" t="str">
        <f>_xlfn.IFNA(INDEX(MTT_codes,MATCH(loaded!BG872,MTT,0)),"")</f>
        <v/>
      </c>
      <c r="AB872" t="str">
        <f>_xlfn.IFNA(INDEX(MTT_codes,MATCH(loaded!BI872,MTT,0)),"")</f>
        <v/>
      </c>
      <c r="AC872" t="str">
        <f>_xlfn.IFNA(INDEX(MTT_codes,MATCH(loaded!BK872,MTT,0)),"")</f>
        <v/>
      </c>
      <c r="AD872" t="str">
        <f>_xlfn.IFNA(INDEX(MTT_codes,MATCH(loaded!BM872,MTT,0)),"")</f>
        <v/>
      </c>
      <c r="AE872" t="e">
        <f>INDEX(liv_ar_codes,MATCH(loaded!BO872,liv_ar,0))</f>
        <v>#N/A</v>
      </c>
      <c r="AF872" t="str">
        <f>_xlfn.IFNA(INDEX(MTT_codes,MATCH(loaded!BQ872,MTT,0)),"")</f>
        <v/>
      </c>
      <c r="AG872">
        <f>_xlfn.IFNA(INDEX(mental_codes,MATCH(loaded!BS872,mental,0)),9)</f>
        <v>9</v>
      </c>
    </row>
    <row r="873" spans="1:33" x14ac:dyDescent="0.25">
      <c r="A873">
        <f>loaded!C873</f>
        <v>0</v>
      </c>
      <c r="B873">
        <f>loaded!I873</f>
        <v>0</v>
      </c>
      <c r="C873">
        <f>IF(loaded!K873="Male",1,IF(loaded!K873="Female",2,9))</f>
        <v>9</v>
      </c>
      <c r="D873" s="8">
        <f>loaded!M873</f>
        <v>0</v>
      </c>
      <c r="E873" t="str">
        <f>LEFT(loaded!O873,3)</f>
        <v/>
      </c>
      <c r="F873" t="e">
        <f>INDEX(cntry_codes,MATCH(loaded!Q873,countries,0))</f>
        <v>#N/A</v>
      </c>
      <c r="G873" t="e">
        <f>INDEX(atsi_codes,MATCH(loaded!S873,atsi,0))</f>
        <v>#N/A</v>
      </c>
      <c r="H873" t="e">
        <f>INDEX(lang_codes,MATCH(loaded!U873,lang,0))</f>
        <v>#N/A</v>
      </c>
      <c r="I873" s="8">
        <f>loaded!W873</f>
        <v>0</v>
      </c>
      <c r="J873" t="e">
        <f>INDEX(us_acc_codes,MATCH(loaded!Y873,us_acc,0))</f>
        <v>#N/A</v>
      </c>
      <c r="K873" t="e">
        <f>INDEX(client_codes,MATCH(loaded!AA873,client,0))</f>
        <v>#N/A</v>
      </c>
      <c r="L873" t="e">
        <f>INDEX(src_ref_codes,MATCH(loaded!AC873,src_ref,0))</f>
        <v>#N/A</v>
      </c>
      <c r="M873" s="8">
        <f>loaded!AE873</f>
        <v>0</v>
      </c>
      <c r="N873" s="8">
        <f>loaded!AG873</f>
        <v>0</v>
      </c>
      <c r="O873" t="e">
        <f>INDEX(reces_codes,MATCH(loaded!AI873,reason,0))</f>
        <v>#N/A</v>
      </c>
      <c r="P873" t="e">
        <f>INDEX(TDS_codes,MATCH(loaded!AK873,TDS,0))</f>
        <v>#N/A</v>
      </c>
      <c r="Q873" t="e">
        <f>IF(K873=2,"",INDEX(method_codes,MATCH(loaded!AM873,method,0)))</f>
        <v>#N/A</v>
      </c>
      <c r="R873" t="e">
        <f>IF(K873=2,"",INDEX(inj_codes,MATCH(loaded!AO873,inj,0)))</f>
        <v>#N/A</v>
      </c>
      <c r="S873" t="e">
        <f>IF(K873=2,"",INDEX(drug_codes,MATCH(loaded!AQ873,drug,0)))</f>
        <v>#N/A</v>
      </c>
      <c r="T873" t="e">
        <f>IF(K873=2,"",_xlfn.IFNA(INDEX(drug_codes,MATCH(loaded!AS873,drug,0)),""))</f>
        <v>#N/A</v>
      </c>
      <c r="U873" t="e">
        <f>IF(K873=2,"",_xlfn.IFNA(INDEX(drug_codes,MATCH(loaded!AU873,drug,0)),""))</f>
        <v>#N/A</v>
      </c>
      <c r="V873" t="e">
        <f>IF(K873=2,"",_xlfn.IFNA(INDEX(drug_codes,MATCH(loaded!AW873,drug,0)),""))</f>
        <v>#N/A</v>
      </c>
      <c r="W873" t="e">
        <f>IF(K873=2,"",_xlfn.IFNA(INDEX(drug_codes,MATCH(loaded!AY873,drug,0)),""))</f>
        <v>#N/A</v>
      </c>
      <c r="X873" t="e">
        <f>IF(K873=2,"",_xlfn.IFNA(INDEX(drug_codes,MATCH(loaded!BA873,drug,0)),""))</f>
        <v>#N/A</v>
      </c>
      <c r="Y873" t="e">
        <f>INDEX(MTT_codes,MATCH(loaded!BC873,MTT,0))</f>
        <v>#N/A</v>
      </c>
      <c r="Z873" t="str">
        <f>_xlfn.IFNA(INDEX(MTT_codes,MATCH(loaded!BE873,MTT,0)),"")</f>
        <v/>
      </c>
      <c r="AA873" t="str">
        <f>_xlfn.IFNA(INDEX(MTT_codes,MATCH(loaded!BG873,MTT,0)),"")</f>
        <v/>
      </c>
      <c r="AB873" t="str">
        <f>_xlfn.IFNA(INDEX(MTT_codes,MATCH(loaded!BI873,MTT,0)),"")</f>
        <v/>
      </c>
      <c r="AC873" t="str">
        <f>_xlfn.IFNA(INDEX(MTT_codes,MATCH(loaded!BK873,MTT,0)),"")</f>
        <v/>
      </c>
      <c r="AD873" t="str">
        <f>_xlfn.IFNA(INDEX(MTT_codes,MATCH(loaded!BM873,MTT,0)),"")</f>
        <v/>
      </c>
      <c r="AE873" t="e">
        <f>INDEX(liv_ar_codes,MATCH(loaded!BO873,liv_ar,0))</f>
        <v>#N/A</v>
      </c>
      <c r="AF873" t="str">
        <f>_xlfn.IFNA(INDEX(MTT_codes,MATCH(loaded!BQ873,MTT,0)),"")</f>
        <v/>
      </c>
      <c r="AG873">
        <f>_xlfn.IFNA(INDEX(mental_codes,MATCH(loaded!BS873,mental,0)),9)</f>
        <v>9</v>
      </c>
    </row>
    <row r="874" spans="1:33" x14ac:dyDescent="0.25">
      <c r="A874">
        <f>loaded!C874</f>
        <v>0</v>
      </c>
      <c r="B874">
        <f>loaded!I874</f>
        <v>0</v>
      </c>
      <c r="C874">
        <f>IF(loaded!K874="Male",1,IF(loaded!K874="Female",2,9))</f>
        <v>9</v>
      </c>
      <c r="D874" s="8">
        <f>loaded!M874</f>
        <v>0</v>
      </c>
      <c r="E874" t="str">
        <f>LEFT(loaded!O874,3)</f>
        <v/>
      </c>
      <c r="F874" t="e">
        <f>INDEX(cntry_codes,MATCH(loaded!Q874,countries,0))</f>
        <v>#N/A</v>
      </c>
      <c r="G874" t="e">
        <f>INDEX(atsi_codes,MATCH(loaded!S874,atsi,0))</f>
        <v>#N/A</v>
      </c>
      <c r="H874" t="e">
        <f>INDEX(lang_codes,MATCH(loaded!U874,lang,0))</f>
        <v>#N/A</v>
      </c>
      <c r="I874" s="8">
        <f>loaded!W874</f>
        <v>0</v>
      </c>
      <c r="J874" t="e">
        <f>INDEX(us_acc_codes,MATCH(loaded!Y874,us_acc,0))</f>
        <v>#N/A</v>
      </c>
      <c r="K874" t="e">
        <f>INDEX(client_codes,MATCH(loaded!AA874,client,0))</f>
        <v>#N/A</v>
      </c>
      <c r="L874" t="e">
        <f>INDEX(src_ref_codes,MATCH(loaded!AC874,src_ref,0))</f>
        <v>#N/A</v>
      </c>
      <c r="M874" s="8">
        <f>loaded!AE874</f>
        <v>0</v>
      </c>
      <c r="N874" s="8">
        <f>loaded!AG874</f>
        <v>0</v>
      </c>
      <c r="O874" t="e">
        <f>INDEX(reces_codes,MATCH(loaded!AI874,reason,0))</f>
        <v>#N/A</v>
      </c>
      <c r="P874" t="e">
        <f>INDEX(TDS_codes,MATCH(loaded!AK874,TDS,0))</f>
        <v>#N/A</v>
      </c>
      <c r="Q874" t="e">
        <f>IF(K874=2,"",INDEX(method_codes,MATCH(loaded!AM874,method,0)))</f>
        <v>#N/A</v>
      </c>
      <c r="R874" t="e">
        <f>IF(K874=2,"",INDEX(inj_codes,MATCH(loaded!AO874,inj,0)))</f>
        <v>#N/A</v>
      </c>
      <c r="S874" t="e">
        <f>IF(K874=2,"",INDEX(drug_codes,MATCH(loaded!AQ874,drug,0)))</f>
        <v>#N/A</v>
      </c>
      <c r="T874" t="e">
        <f>IF(K874=2,"",_xlfn.IFNA(INDEX(drug_codes,MATCH(loaded!AS874,drug,0)),""))</f>
        <v>#N/A</v>
      </c>
      <c r="U874" t="e">
        <f>IF(K874=2,"",_xlfn.IFNA(INDEX(drug_codes,MATCH(loaded!AU874,drug,0)),""))</f>
        <v>#N/A</v>
      </c>
      <c r="V874" t="e">
        <f>IF(K874=2,"",_xlfn.IFNA(INDEX(drug_codes,MATCH(loaded!AW874,drug,0)),""))</f>
        <v>#N/A</v>
      </c>
      <c r="W874" t="e">
        <f>IF(K874=2,"",_xlfn.IFNA(INDEX(drug_codes,MATCH(loaded!AY874,drug,0)),""))</f>
        <v>#N/A</v>
      </c>
      <c r="X874" t="e">
        <f>IF(K874=2,"",_xlfn.IFNA(INDEX(drug_codes,MATCH(loaded!BA874,drug,0)),""))</f>
        <v>#N/A</v>
      </c>
      <c r="Y874" t="e">
        <f>INDEX(MTT_codes,MATCH(loaded!BC874,MTT,0))</f>
        <v>#N/A</v>
      </c>
      <c r="Z874" t="str">
        <f>_xlfn.IFNA(INDEX(MTT_codes,MATCH(loaded!BE874,MTT,0)),"")</f>
        <v/>
      </c>
      <c r="AA874" t="str">
        <f>_xlfn.IFNA(INDEX(MTT_codes,MATCH(loaded!BG874,MTT,0)),"")</f>
        <v/>
      </c>
      <c r="AB874" t="str">
        <f>_xlfn.IFNA(INDEX(MTT_codes,MATCH(loaded!BI874,MTT,0)),"")</f>
        <v/>
      </c>
      <c r="AC874" t="str">
        <f>_xlfn.IFNA(INDEX(MTT_codes,MATCH(loaded!BK874,MTT,0)),"")</f>
        <v/>
      </c>
      <c r="AD874" t="str">
        <f>_xlfn.IFNA(INDEX(MTT_codes,MATCH(loaded!BM874,MTT,0)),"")</f>
        <v/>
      </c>
      <c r="AE874" t="e">
        <f>INDEX(liv_ar_codes,MATCH(loaded!BO874,liv_ar,0))</f>
        <v>#N/A</v>
      </c>
      <c r="AF874" t="str">
        <f>_xlfn.IFNA(INDEX(MTT_codes,MATCH(loaded!BQ874,MTT,0)),"")</f>
        <v/>
      </c>
      <c r="AG874">
        <f>_xlfn.IFNA(INDEX(mental_codes,MATCH(loaded!BS874,mental,0)),9)</f>
        <v>9</v>
      </c>
    </row>
    <row r="875" spans="1:33" x14ac:dyDescent="0.25">
      <c r="A875">
        <f>loaded!C875</f>
        <v>0</v>
      </c>
      <c r="B875">
        <f>loaded!I875</f>
        <v>0</v>
      </c>
      <c r="C875">
        <f>IF(loaded!K875="Male",1,IF(loaded!K875="Female",2,9))</f>
        <v>9</v>
      </c>
      <c r="D875" s="8">
        <f>loaded!M875</f>
        <v>0</v>
      </c>
      <c r="E875" t="str">
        <f>LEFT(loaded!O875,3)</f>
        <v/>
      </c>
      <c r="F875" t="e">
        <f>INDEX(cntry_codes,MATCH(loaded!Q875,countries,0))</f>
        <v>#N/A</v>
      </c>
      <c r="G875" t="e">
        <f>INDEX(atsi_codes,MATCH(loaded!S875,atsi,0))</f>
        <v>#N/A</v>
      </c>
      <c r="H875" t="e">
        <f>INDEX(lang_codes,MATCH(loaded!U875,lang,0))</f>
        <v>#N/A</v>
      </c>
      <c r="I875" s="8">
        <f>loaded!W875</f>
        <v>0</v>
      </c>
      <c r="J875" t="e">
        <f>INDEX(us_acc_codes,MATCH(loaded!Y875,us_acc,0))</f>
        <v>#N/A</v>
      </c>
      <c r="K875" t="e">
        <f>INDEX(client_codes,MATCH(loaded!AA875,client,0))</f>
        <v>#N/A</v>
      </c>
      <c r="L875" t="e">
        <f>INDEX(src_ref_codes,MATCH(loaded!AC875,src_ref,0))</f>
        <v>#N/A</v>
      </c>
      <c r="M875" s="8">
        <f>loaded!AE875</f>
        <v>0</v>
      </c>
      <c r="N875" s="8">
        <f>loaded!AG875</f>
        <v>0</v>
      </c>
      <c r="O875" t="e">
        <f>INDEX(reces_codes,MATCH(loaded!AI875,reason,0))</f>
        <v>#N/A</v>
      </c>
      <c r="P875" t="e">
        <f>INDEX(TDS_codes,MATCH(loaded!AK875,TDS,0))</f>
        <v>#N/A</v>
      </c>
      <c r="Q875" t="e">
        <f>IF(K875=2,"",INDEX(method_codes,MATCH(loaded!AM875,method,0)))</f>
        <v>#N/A</v>
      </c>
      <c r="R875" t="e">
        <f>IF(K875=2,"",INDEX(inj_codes,MATCH(loaded!AO875,inj,0)))</f>
        <v>#N/A</v>
      </c>
      <c r="S875" t="e">
        <f>IF(K875=2,"",INDEX(drug_codes,MATCH(loaded!AQ875,drug,0)))</f>
        <v>#N/A</v>
      </c>
      <c r="T875" t="e">
        <f>IF(K875=2,"",_xlfn.IFNA(INDEX(drug_codes,MATCH(loaded!AS875,drug,0)),""))</f>
        <v>#N/A</v>
      </c>
      <c r="U875" t="e">
        <f>IF(K875=2,"",_xlfn.IFNA(INDEX(drug_codes,MATCH(loaded!AU875,drug,0)),""))</f>
        <v>#N/A</v>
      </c>
      <c r="V875" t="e">
        <f>IF(K875=2,"",_xlfn.IFNA(INDEX(drug_codes,MATCH(loaded!AW875,drug,0)),""))</f>
        <v>#N/A</v>
      </c>
      <c r="W875" t="e">
        <f>IF(K875=2,"",_xlfn.IFNA(INDEX(drug_codes,MATCH(loaded!AY875,drug,0)),""))</f>
        <v>#N/A</v>
      </c>
      <c r="X875" t="e">
        <f>IF(K875=2,"",_xlfn.IFNA(INDEX(drug_codes,MATCH(loaded!BA875,drug,0)),""))</f>
        <v>#N/A</v>
      </c>
      <c r="Y875" t="e">
        <f>INDEX(MTT_codes,MATCH(loaded!BC875,MTT,0))</f>
        <v>#N/A</v>
      </c>
      <c r="Z875" t="str">
        <f>_xlfn.IFNA(INDEX(MTT_codes,MATCH(loaded!BE875,MTT,0)),"")</f>
        <v/>
      </c>
      <c r="AA875" t="str">
        <f>_xlfn.IFNA(INDEX(MTT_codes,MATCH(loaded!BG875,MTT,0)),"")</f>
        <v/>
      </c>
      <c r="AB875" t="str">
        <f>_xlfn.IFNA(INDEX(MTT_codes,MATCH(loaded!BI875,MTT,0)),"")</f>
        <v/>
      </c>
      <c r="AC875" t="str">
        <f>_xlfn.IFNA(INDEX(MTT_codes,MATCH(loaded!BK875,MTT,0)),"")</f>
        <v/>
      </c>
      <c r="AD875" t="str">
        <f>_xlfn.IFNA(INDEX(MTT_codes,MATCH(loaded!BM875,MTT,0)),"")</f>
        <v/>
      </c>
      <c r="AE875" t="e">
        <f>INDEX(liv_ar_codes,MATCH(loaded!BO875,liv_ar,0))</f>
        <v>#N/A</v>
      </c>
      <c r="AF875" t="str">
        <f>_xlfn.IFNA(INDEX(MTT_codes,MATCH(loaded!BQ875,MTT,0)),"")</f>
        <v/>
      </c>
      <c r="AG875">
        <f>_xlfn.IFNA(INDEX(mental_codes,MATCH(loaded!BS875,mental,0)),9)</f>
        <v>9</v>
      </c>
    </row>
    <row r="876" spans="1:33" x14ac:dyDescent="0.25">
      <c r="A876">
        <f>loaded!C876</f>
        <v>0</v>
      </c>
      <c r="B876">
        <f>loaded!I876</f>
        <v>0</v>
      </c>
      <c r="C876">
        <f>IF(loaded!K876="Male",1,IF(loaded!K876="Female",2,9))</f>
        <v>9</v>
      </c>
      <c r="D876" s="8">
        <f>loaded!M876</f>
        <v>0</v>
      </c>
      <c r="E876" t="str">
        <f>LEFT(loaded!O876,3)</f>
        <v/>
      </c>
      <c r="F876" t="e">
        <f>INDEX(cntry_codes,MATCH(loaded!Q876,countries,0))</f>
        <v>#N/A</v>
      </c>
      <c r="G876" t="e">
        <f>INDEX(atsi_codes,MATCH(loaded!S876,atsi,0))</f>
        <v>#N/A</v>
      </c>
      <c r="H876" t="e">
        <f>INDEX(lang_codes,MATCH(loaded!U876,lang,0))</f>
        <v>#N/A</v>
      </c>
      <c r="I876" s="8">
        <f>loaded!W876</f>
        <v>0</v>
      </c>
      <c r="J876" t="e">
        <f>INDEX(us_acc_codes,MATCH(loaded!Y876,us_acc,0))</f>
        <v>#N/A</v>
      </c>
      <c r="K876" t="e">
        <f>INDEX(client_codes,MATCH(loaded!AA876,client,0))</f>
        <v>#N/A</v>
      </c>
      <c r="L876" t="e">
        <f>INDEX(src_ref_codes,MATCH(loaded!AC876,src_ref,0))</f>
        <v>#N/A</v>
      </c>
      <c r="M876" s="8">
        <f>loaded!AE876</f>
        <v>0</v>
      </c>
      <c r="N876" s="8">
        <f>loaded!AG876</f>
        <v>0</v>
      </c>
      <c r="O876" t="e">
        <f>INDEX(reces_codes,MATCH(loaded!AI876,reason,0))</f>
        <v>#N/A</v>
      </c>
      <c r="P876" t="e">
        <f>INDEX(TDS_codes,MATCH(loaded!AK876,TDS,0))</f>
        <v>#N/A</v>
      </c>
      <c r="Q876" t="e">
        <f>IF(K876=2,"",INDEX(method_codes,MATCH(loaded!AM876,method,0)))</f>
        <v>#N/A</v>
      </c>
      <c r="R876" t="e">
        <f>IF(K876=2,"",INDEX(inj_codes,MATCH(loaded!AO876,inj,0)))</f>
        <v>#N/A</v>
      </c>
      <c r="S876" t="e">
        <f>IF(K876=2,"",INDEX(drug_codes,MATCH(loaded!AQ876,drug,0)))</f>
        <v>#N/A</v>
      </c>
      <c r="T876" t="e">
        <f>IF(K876=2,"",_xlfn.IFNA(INDEX(drug_codes,MATCH(loaded!AS876,drug,0)),""))</f>
        <v>#N/A</v>
      </c>
      <c r="U876" t="e">
        <f>IF(K876=2,"",_xlfn.IFNA(INDEX(drug_codes,MATCH(loaded!AU876,drug,0)),""))</f>
        <v>#N/A</v>
      </c>
      <c r="V876" t="e">
        <f>IF(K876=2,"",_xlfn.IFNA(INDEX(drug_codes,MATCH(loaded!AW876,drug,0)),""))</f>
        <v>#N/A</v>
      </c>
      <c r="W876" t="e">
        <f>IF(K876=2,"",_xlfn.IFNA(INDEX(drug_codes,MATCH(loaded!AY876,drug,0)),""))</f>
        <v>#N/A</v>
      </c>
      <c r="X876" t="e">
        <f>IF(K876=2,"",_xlfn.IFNA(INDEX(drug_codes,MATCH(loaded!BA876,drug,0)),""))</f>
        <v>#N/A</v>
      </c>
      <c r="Y876" t="e">
        <f>INDEX(MTT_codes,MATCH(loaded!BC876,MTT,0))</f>
        <v>#N/A</v>
      </c>
      <c r="Z876" t="str">
        <f>_xlfn.IFNA(INDEX(MTT_codes,MATCH(loaded!BE876,MTT,0)),"")</f>
        <v/>
      </c>
      <c r="AA876" t="str">
        <f>_xlfn.IFNA(INDEX(MTT_codes,MATCH(loaded!BG876,MTT,0)),"")</f>
        <v/>
      </c>
      <c r="AB876" t="str">
        <f>_xlfn.IFNA(INDEX(MTT_codes,MATCH(loaded!BI876,MTT,0)),"")</f>
        <v/>
      </c>
      <c r="AC876" t="str">
        <f>_xlfn.IFNA(INDEX(MTT_codes,MATCH(loaded!BK876,MTT,0)),"")</f>
        <v/>
      </c>
      <c r="AD876" t="str">
        <f>_xlfn.IFNA(INDEX(MTT_codes,MATCH(loaded!BM876,MTT,0)),"")</f>
        <v/>
      </c>
      <c r="AE876" t="e">
        <f>INDEX(liv_ar_codes,MATCH(loaded!BO876,liv_ar,0))</f>
        <v>#N/A</v>
      </c>
      <c r="AF876" t="str">
        <f>_xlfn.IFNA(INDEX(MTT_codes,MATCH(loaded!BQ876,MTT,0)),"")</f>
        <v/>
      </c>
      <c r="AG876">
        <f>_xlfn.IFNA(INDEX(mental_codes,MATCH(loaded!BS876,mental,0)),9)</f>
        <v>9</v>
      </c>
    </row>
    <row r="877" spans="1:33" x14ac:dyDescent="0.25">
      <c r="A877">
        <f>loaded!C877</f>
        <v>0</v>
      </c>
      <c r="B877">
        <f>loaded!I877</f>
        <v>0</v>
      </c>
      <c r="C877">
        <f>IF(loaded!K877="Male",1,IF(loaded!K877="Female",2,9))</f>
        <v>9</v>
      </c>
      <c r="D877" s="8">
        <f>loaded!M877</f>
        <v>0</v>
      </c>
      <c r="E877" t="str">
        <f>LEFT(loaded!O877,3)</f>
        <v/>
      </c>
      <c r="F877" t="e">
        <f>INDEX(cntry_codes,MATCH(loaded!Q877,countries,0))</f>
        <v>#N/A</v>
      </c>
      <c r="G877" t="e">
        <f>INDEX(atsi_codes,MATCH(loaded!S877,atsi,0))</f>
        <v>#N/A</v>
      </c>
      <c r="H877" t="e">
        <f>INDEX(lang_codes,MATCH(loaded!U877,lang,0))</f>
        <v>#N/A</v>
      </c>
      <c r="I877" s="8">
        <f>loaded!W877</f>
        <v>0</v>
      </c>
      <c r="J877" t="e">
        <f>INDEX(us_acc_codes,MATCH(loaded!Y877,us_acc,0))</f>
        <v>#N/A</v>
      </c>
      <c r="K877" t="e">
        <f>INDEX(client_codes,MATCH(loaded!AA877,client,0))</f>
        <v>#N/A</v>
      </c>
      <c r="L877" t="e">
        <f>INDEX(src_ref_codes,MATCH(loaded!AC877,src_ref,0))</f>
        <v>#N/A</v>
      </c>
      <c r="M877" s="8">
        <f>loaded!AE877</f>
        <v>0</v>
      </c>
      <c r="N877" s="8">
        <f>loaded!AG877</f>
        <v>0</v>
      </c>
      <c r="O877" t="e">
        <f>INDEX(reces_codes,MATCH(loaded!AI877,reason,0))</f>
        <v>#N/A</v>
      </c>
      <c r="P877" t="e">
        <f>INDEX(TDS_codes,MATCH(loaded!AK877,TDS,0))</f>
        <v>#N/A</v>
      </c>
      <c r="Q877" t="e">
        <f>IF(K877=2,"",INDEX(method_codes,MATCH(loaded!AM877,method,0)))</f>
        <v>#N/A</v>
      </c>
      <c r="R877" t="e">
        <f>IF(K877=2,"",INDEX(inj_codes,MATCH(loaded!AO877,inj,0)))</f>
        <v>#N/A</v>
      </c>
      <c r="S877" t="e">
        <f>IF(K877=2,"",INDEX(drug_codes,MATCH(loaded!AQ877,drug,0)))</f>
        <v>#N/A</v>
      </c>
      <c r="T877" t="e">
        <f>IF(K877=2,"",_xlfn.IFNA(INDEX(drug_codes,MATCH(loaded!AS877,drug,0)),""))</f>
        <v>#N/A</v>
      </c>
      <c r="U877" t="e">
        <f>IF(K877=2,"",_xlfn.IFNA(INDEX(drug_codes,MATCH(loaded!AU877,drug,0)),""))</f>
        <v>#N/A</v>
      </c>
      <c r="V877" t="e">
        <f>IF(K877=2,"",_xlfn.IFNA(INDEX(drug_codes,MATCH(loaded!AW877,drug,0)),""))</f>
        <v>#N/A</v>
      </c>
      <c r="W877" t="e">
        <f>IF(K877=2,"",_xlfn.IFNA(INDEX(drug_codes,MATCH(loaded!AY877,drug,0)),""))</f>
        <v>#N/A</v>
      </c>
      <c r="X877" t="e">
        <f>IF(K877=2,"",_xlfn.IFNA(INDEX(drug_codes,MATCH(loaded!BA877,drug,0)),""))</f>
        <v>#N/A</v>
      </c>
      <c r="Y877" t="e">
        <f>INDEX(MTT_codes,MATCH(loaded!BC877,MTT,0))</f>
        <v>#N/A</v>
      </c>
      <c r="Z877" t="str">
        <f>_xlfn.IFNA(INDEX(MTT_codes,MATCH(loaded!BE877,MTT,0)),"")</f>
        <v/>
      </c>
      <c r="AA877" t="str">
        <f>_xlfn.IFNA(INDEX(MTT_codes,MATCH(loaded!BG877,MTT,0)),"")</f>
        <v/>
      </c>
      <c r="AB877" t="str">
        <f>_xlfn.IFNA(INDEX(MTT_codes,MATCH(loaded!BI877,MTT,0)),"")</f>
        <v/>
      </c>
      <c r="AC877" t="str">
        <f>_xlfn.IFNA(INDEX(MTT_codes,MATCH(loaded!BK877,MTT,0)),"")</f>
        <v/>
      </c>
      <c r="AD877" t="str">
        <f>_xlfn.IFNA(INDEX(MTT_codes,MATCH(loaded!BM877,MTT,0)),"")</f>
        <v/>
      </c>
      <c r="AE877" t="e">
        <f>INDEX(liv_ar_codes,MATCH(loaded!BO877,liv_ar,0))</f>
        <v>#N/A</v>
      </c>
      <c r="AF877" t="str">
        <f>_xlfn.IFNA(INDEX(MTT_codes,MATCH(loaded!BQ877,MTT,0)),"")</f>
        <v/>
      </c>
      <c r="AG877">
        <f>_xlfn.IFNA(INDEX(mental_codes,MATCH(loaded!BS877,mental,0)),9)</f>
        <v>9</v>
      </c>
    </row>
    <row r="878" spans="1:33" x14ac:dyDescent="0.25">
      <c r="A878">
        <f>loaded!C878</f>
        <v>0</v>
      </c>
      <c r="B878">
        <f>loaded!I878</f>
        <v>0</v>
      </c>
      <c r="C878">
        <f>IF(loaded!K878="Male",1,IF(loaded!K878="Female",2,9))</f>
        <v>9</v>
      </c>
      <c r="D878" s="8">
        <f>loaded!M878</f>
        <v>0</v>
      </c>
      <c r="E878" t="str">
        <f>LEFT(loaded!O878,3)</f>
        <v/>
      </c>
      <c r="F878" t="e">
        <f>INDEX(cntry_codes,MATCH(loaded!Q878,countries,0))</f>
        <v>#N/A</v>
      </c>
      <c r="G878" t="e">
        <f>INDEX(atsi_codes,MATCH(loaded!S878,atsi,0))</f>
        <v>#N/A</v>
      </c>
      <c r="H878" t="e">
        <f>INDEX(lang_codes,MATCH(loaded!U878,lang,0))</f>
        <v>#N/A</v>
      </c>
      <c r="I878" s="8">
        <f>loaded!W878</f>
        <v>0</v>
      </c>
      <c r="J878" t="e">
        <f>INDEX(us_acc_codes,MATCH(loaded!Y878,us_acc,0))</f>
        <v>#N/A</v>
      </c>
      <c r="K878" t="e">
        <f>INDEX(client_codes,MATCH(loaded!AA878,client,0))</f>
        <v>#N/A</v>
      </c>
      <c r="L878" t="e">
        <f>INDEX(src_ref_codes,MATCH(loaded!AC878,src_ref,0))</f>
        <v>#N/A</v>
      </c>
      <c r="M878" s="8">
        <f>loaded!AE878</f>
        <v>0</v>
      </c>
      <c r="N878" s="8">
        <f>loaded!AG878</f>
        <v>0</v>
      </c>
      <c r="O878" t="e">
        <f>INDEX(reces_codes,MATCH(loaded!AI878,reason,0))</f>
        <v>#N/A</v>
      </c>
      <c r="P878" t="e">
        <f>INDEX(TDS_codes,MATCH(loaded!AK878,TDS,0))</f>
        <v>#N/A</v>
      </c>
      <c r="Q878" t="e">
        <f>IF(K878=2,"",INDEX(method_codes,MATCH(loaded!AM878,method,0)))</f>
        <v>#N/A</v>
      </c>
      <c r="R878" t="e">
        <f>IF(K878=2,"",INDEX(inj_codes,MATCH(loaded!AO878,inj,0)))</f>
        <v>#N/A</v>
      </c>
      <c r="S878" t="e">
        <f>IF(K878=2,"",INDEX(drug_codes,MATCH(loaded!AQ878,drug,0)))</f>
        <v>#N/A</v>
      </c>
      <c r="T878" t="e">
        <f>IF(K878=2,"",_xlfn.IFNA(INDEX(drug_codes,MATCH(loaded!AS878,drug,0)),""))</f>
        <v>#N/A</v>
      </c>
      <c r="U878" t="e">
        <f>IF(K878=2,"",_xlfn.IFNA(INDEX(drug_codes,MATCH(loaded!AU878,drug,0)),""))</f>
        <v>#N/A</v>
      </c>
      <c r="V878" t="e">
        <f>IF(K878=2,"",_xlfn.IFNA(INDEX(drug_codes,MATCH(loaded!AW878,drug,0)),""))</f>
        <v>#N/A</v>
      </c>
      <c r="W878" t="e">
        <f>IF(K878=2,"",_xlfn.IFNA(INDEX(drug_codes,MATCH(loaded!AY878,drug,0)),""))</f>
        <v>#N/A</v>
      </c>
      <c r="X878" t="e">
        <f>IF(K878=2,"",_xlfn.IFNA(INDEX(drug_codes,MATCH(loaded!BA878,drug,0)),""))</f>
        <v>#N/A</v>
      </c>
      <c r="Y878" t="e">
        <f>INDEX(MTT_codes,MATCH(loaded!BC878,MTT,0))</f>
        <v>#N/A</v>
      </c>
      <c r="Z878" t="str">
        <f>_xlfn.IFNA(INDEX(MTT_codes,MATCH(loaded!BE878,MTT,0)),"")</f>
        <v/>
      </c>
      <c r="AA878" t="str">
        <f>_xlfn.IFNA(INDEX(MTT_codes,MATCH(loaded!BG878,MTT,0)),"")</f>
        <v/>
      </c>
      <c r="AB878" t="str">
        <f>_xlfn.IFNA(INDEX(MTT_codes,MATCH(loaded!BI878,MTT,0)),"")</f>
        <v/>
      </c>
      <c r="AC878" t="str">
        <f>_xlfn.IFNA(INDEX(MTT_codes,MATCH(loaded!BK878,MTT,0)),"")</f>
        <v/>
      </c>
      <c r="AD878" t="str">
        <f>_xlfn.IFNA(INDEX(MTT_codes,MATCH(loaded!BM878,MTT,0)),"")</f>
        <v/>
      </c>
      <c r="AE878" t="e">
        <f>INDEX(liv_ar_codes,MATCH(loaded!BO878,liv_ar,0))</f>
        <v>#N/A</v>
      </c>
      <c r="AF878" t="str">
        <f>_xlfn.IFNA(INDEX(MTT_codes,MATCH(loaded!BQ878,MTT,0)),"")</f>
        <v/>
      </c>
      <c r="AG878">
        <f>_xlfn.IFNA(INDEX(mental_codes,MATCH(loaded!BS878,mental,0)),9)</f>
        <v>9</v>
      </c>
    </row>
    <row r="879" spans="1:33" x14ac:dyDescent="0.25">
      <c r="A879">
        <f>loaded!C879</f>
        <v>0</v>
      </c>
      <c r="B879">
        <f>loaded!I879</f>
        <v>0</v>
      </c>
      <c r="C879">
        <f>IF(loaded!K879="Male",1,IF(loaded!K879="Female",2,9))</f>
        <v>9</v>
      </c>
      <c r="D879" s="8">
        <f>loaded!M879</f>
        <v>0</v>
      </c>
      <c r="E879" t="str">
        <f>LEFT(loaded!O879,3)</f>
        <v/>
      </c>
      <c r="F879" t="e">
        <f>INDEX(cntry_codes,MATCH(loaded!Q879,countries,0))</f>
        <v>#N/A</v>
      </c>
      <c r="G879" t="e">
        <f>INDEX(atsi_codes,MATCH(loaded!S879,atsi,0))</f>
        <v>#N/A</v>
      </c>
      <c r="H879" t="e">
        <f>INDEX(lang_codes,MATCH(loaded!U879,lang,0))</f>
        <v>#N/A</v>
      </c>
      <c r="I879" s="8">
        <f>loaded!W879</f>
        <v>0</v>
      </c>
      <c r="J879" t="e">
        <f>INDEX(us_acc_codes,MATCH(loaded!Y879,us_acc,0))</f>
        <v>#N/A</v>
      </c>
      <c r="K879" t="e">
        <f>INDEX(client_codes,MATCH(loaded!AA879,client,0))</f>
        <v>#N/A</v>
      </c>
      <c r="L879" t="e">
        <f>INDEX(src_ref_codes,MATCH(loaded!AC879,src_ref,0))</f>
        <v>#N/A</v>
      </c>
      <c r="M879" s="8">
        <f>loaded!AE879</f>
        <v>0</v>
      </c>
      <c r="N879" s="8">
        <f>loaded!AG879</f>
        <v>0</v>
      </c>
      <c r="O879" t="e">
        <f>INDEX(reces_codes,MATCH(loaded!AI879,reason,0))</f>
        <v>#N/A</v>
      </c>
      <c r="P879" t="e">
        <f>INDEX(TDS_codes,MATCH(loaded!AK879,TDS,0))</f>
        <v>#N/A</v>
      </c>
      <c r="Q879" t="e">
        <f>IF(K879=2,"",INDEX(method_codes,MATCH(loaded!AM879,method,0)))</f>
        <v>#N/A</v>
      </c>
      <c r="R879" t="e">
        <f>IF(K879=2,"",INDEX(inj_codes,MATCH(loaded!AO879,inj,0)))</f>
        <v>#N/A</v>
      </c>
      <c r="S879" t="e">
        <f>IF(K879=2,"",INDEX(drug_codes,MATCH(loaded!AQ879,drug,0)))</f>
        <v>#N/A</v>
      </c>
      <c r="T879" t="e">
        <f>IF(K879=2,"",_xlfn.IFNA(INDEX(drug_codes,MATCH(loaded!AS879,drug,0)),""))</f>
        <v>#N/A</v>
      </c>
      <c r="U879" t="e">
        <f>IF(K879=2,"",_xlfn.IFNA(INDEX(drug_codes,MATCH(loaded!AU879,drug,0)),""))</f>
        <v>#N/A</v>
      </c>
      <c r="V879" t="e">
        <f>IF(K879=2,"",_xlfn.IFNA(INDEX(drug_codes,MATCH(loaded!AW879,drug,0)),""))</f>
        <v>#N/A</v>
      </c>
      <c r="W879" t="e">
        <f>IF(K879=2,"",_xlfn.IFNA(INDEX(drug_codes,MATCH(loaded!AY879,drug,0)),""))</f>
        <v>#N/A</v>
      </c>
      <c r="X879" t="e">
        <f>IF(K879=2,"",_xlfn.IFNA(INDEX(drug_codes,MATCH(loaded!BA879,drug,0)),""))</f>
        <v>#N/A</v>
      </c>
      <c r="Y879" t="e">
        <f>INDEX(MTT_codes,MATCH(loaded!BC879,MTT,0))</f>
        <v>#N/A</v>
      </c>
      <c r="Z879" t="str">
        <f>_xlfn.IFNA(INDEX(MTT_codes,MATCH(loaded!BE879,MTT,0)),"")</f>
        <v/>
      </c>
      <c r="AA879" t="str">
        <f>_xlfn.IFNA(INDEX(MTT_codes,MATCH(loaded!BG879,MTT,0)),"")</f>
        <v/>
      </c>
      <c r="AB879" t="str">
        <f>_xlfn.IFNA(INDEX(MTT_codes,MATCH(loaded!BI879,MTT,0)),"")</f>
        <v/>
      </c>
      <c r="AC879" t="str">
        <f>_xlfn.IFNA(INDEX(MTT_codes,MATCH(loaded!BK879,MTT,0)),"")</f>
        <v/>
      </c>
      <c r="AD879" t="str">
        <f>_xlfn.IFNA(INDEX(MTT_codes,MATCH(loaded!BM879,MTT,0)),"")</f>
        <v/>
      </c>
      <c r="AE879" t="e">
        <f>INDEX(liv_ar_codes,MATCH(loaded!BO879,liv_ar,0))</f>
        <v>#N/A</v>
      </c>
      <c r="AF879" t="str">
        <f>_xlfn.IFNA(INDEX(MTT_codes,MATCH(loaded!BQ879,MTT,0)),"")</f>
        <v/>
      </c>
      <c r="AG879">
        <f>_xlfn.IFNA(INDEX(mental_codes,MATCH(loaded!BS879,mental,0)),9)</f>
        <v>9</v>
      </c>
    </row>
    <row r="880" spans="1:33" x14ac:dyDescent="0.25">
      <c r="A880">
        <f>loaded!C880</f>
        <v>0</v>
      </c>
      <c r="B880">
        <f>loaded!I880</f>
        <v>0</v>
      </c>
      <c r="C880">
        <f>IF(loaded!K880="Male",1,IF(loaded!K880="Female",2,9))</f>
        <v>9</v>
      </c>
      <c r="D880" s="8">
        <f>loaded!M880</f>
        <v>0</v>
      </c>
      <c r="E880" t="str">
        <f>LEFT(loaded!O880,3)</f>
        <v/>
      </c>
      <c r="F880" t="e">
        <f>INDEX(cntry_codes,MATCH(loaded!Q880,countries,0))</f>
        <v>#N/A</v>
      </c>
      <c r="G880" t="e">
        <f>INDEX(atsi_codes,MATCH(loaded!S880,atsi,0))</f>
        <v>#N/A</v>
      </c>
      <c r="H880" t="e">
        <f>INDEX(lang_codes,MATCH(loaded!U880,lang,0))</f>
        <v>#N/A</v>
      </c>
      <c r="I880" s="8">
        <f>loaded!W880</f>
        <v>0</v>
      </c>
      <c r="J880" t="e">
        <f>INDEX(us_acc_codes,MATCH(loaded!Y880,us_acc,0))</f>
        <v>#N/A</v>
      </c>
      <c r="K880" t="e">
        <f>INDEX(client_codes,MATCH(loaded!AA880,client,0))</f>
        <v>#N/A</v>
      </c>
      <c r="L880" t="e">
        <f>INDEX(src_ref_codes,MATCH(loaded!AC880,src_ref,0))</f>
        <v>#N/A</v>
      </c>
      <c r="M880" s="8">
        <f>loaded!AE880</f>
        <v>0</v>
      </c>
      <c r="N880" s="8">
        <f>loaded!AG880</f>
        <v>0</v>
      </c>
      <c r="O880" t="e">
        <f>INDEX(reces_codes,MATCH(loaded!AI880,reason,0))</f>
        <v>#N/A</v>
      </c>
      <c r="P880" t="e">
        <f>INDEX(TDS_codes,MATCH(loaded!AK880,TDS,0))</f>
        <v>#N/A</v>
      </c>
      <c r="Q880" t="e">
        <f>IF(K880=2,"",INDEX(method_codes,MATCH(loaded!AM880,method,0)))</f>
        <v>#N/A</v>
      </c>
      <c r="R880" t="e">
        <f>IF(K880=2,"",INDEX(inj_codes,MATCH(loaded!AO880,inj,0)))</f>
        <v>#N/A</v>
      </c>
      <c r="S880" t="e">
        <f>IF(K880=2,"",INDEX(drug_codes,MATCH(loaded!AQ880,drug,0)))</f>
        <v>#N/A</v>
      </c>
      <c r="T880" t="e">
        <f>IF(K880=2,"",_xlfn.IFNA(INDEX(drug_codes,MATCH(loaded!AS880,drug,0)),""))</f>
        <v>#N/A</v>
      </c>
      <c r="U880" t="e">
        <f>IF(K880=2,"",_xlfn.IFNA(INDEX(drug_codes,MATCH(loaded!AU880,drug,0)),""))</f>
        <v>#N/A</v>
      </c>
      <c r="V880" t="e">
        <f>IF(K880=2,"",_xlfn.IFNA(INDEX(drug_codes,MATCH(loaded!AW880,drug,0)),""))</f>
        <v>#N/A</v>
      </c>
      <c r="W880" t="e">
        <f>IF(K880=2,"",_xlfn.IFNA(INDEX(drug_codes,MATCH(loaded!AY880,drug,0)),""))</f>
        <v>#N/A</v>
      </c>
      <c r="X880" t="e">
        <f>IF(K880=2,"",_xlfn.IFNA(INDEX(drug_codes,MATCH(loaded!BA880,drug,0)),""))</f>
        <v>#N/A</v>
      </c>
      <c r="Y880" t="e">
        <f>INDEX(MTT_codes,MATCH(loaded!BC880,MTT,0))</f>
        <v>#N/A</v>
      </c>
      <c r="Z880" t="str">
        <f>_xlfn.IFNA(INDEX(MTT_codes,MATCH(loaded!BE880,MTT,0)),"")</f>
        <v/>
      </c>
      <c r="AA880" t="str">
        <f>_xlfn.IFNA(INDEX(MTT_codes,MATCH(loaded!BG880,MTT,0)),"")</f>
        <v/>
      </c>
      <c r="AB880" t="str">
        <f>_xlfn.IFNA(INDEX(MTT_codes,MATCH(loaded!BI880,MTT,0)),"")</f>
        <v/>
      </c>
      <c r="AC880" t="str">
        <f>_xlfn.IFNA(INDEX(MTT_codes,MATCH(loaded!BK880,MTT,0)),"")</f>
        <v/>
      </c>
      <c r="AD880" t="str">
        <f>_xlfn.IFNA(INDEX(MTT_codes,MATCH(loaded!BM880,MTT,0)),"")</f>
        <v/>
      </c>
      <c r="AE880" t="e">
        <f>INDEX(liv_ar_codes,MATCH(loaded!BO880,liv_ar,0))</f>
        <v>#N/A</v>
      </c>
      <c r="AF880" t="str">
        <f>_xlfn.IFNA(INDEX(MTT_codes,MATCH(loaded!BQ880,MTT,0)),"")</f>
        <v/>
      </c>
      <c r="AG880">
        <f>_xlfn.IFNA(INDEX(mental_codes,MATCH(loaded!BS880,mental,0)),9)</f>
        <v>9</v>
      </c>
    </row>
    <row r="881" spans="1:33" x14ac:dyDescent="0.25">
      <c r="A881">
        <f>loaded!C881</f>
        <v>0</v>
      </c>
      <c r="B881">
        <f>loaded!I881</f>
        <v>0</v>
      </c>
      <c r="C881">
        <f>IF(loaded!K881="Male",1,IF(loaded!K881="Female",2,9))</f>
        <v>9</v>
      </c>
      <c r="D881" s="8">
        <f>loaded!M881</f>
        <v>0</v>
      </c>
      <c r="E881" t="str">
        <f>LEFT(loaded!O881,3)</f>
        <v/>
      </c>
      <c r="F881" t="e">
        <f>INDEX(cntry_codes,MATCH(loaded!Q881,countries,0))</f>
        <v>#N/A</v>
      </c>
      <c r="G881" t="e">
        <f>INDEX(atsi_codes,MATCH(loaded!S881,atsi,0))</f>
        <v>#N/A</v>
      </c>
      <c r="H881" t="e">
        <f>INDEX(lang_codes,MATCH(loaded!U881,lang,0))</f>
        <v>#N/A</v>
      </c>
      <c r="I881" s="8">
        <f>loaded!W881</f>
        <v>0</v>
      </c>
      <c r="J881" t="e">
        <f>INDEX(us_acc_codes,MATCH(loaded!Y881,us_acc,0))</f>
        <v>#N/A</v>
      </c>
      <c r="K881" t="e">
        <f>INDEX(client_codes,MATCH(loaded!AA881,client,0))</f>
        <v>#N/A</v>
      </c>
      <c r="L881" t="e">
        <f>INDEX(src_ref_codes,MATCH(loaded!AC881,src_ref,0))</f>
        <v>#N/A</v>
      </c>
      <c r="M881" s="8">
        <f>loaded!AE881</f>
        <v>0</v>
      </c>
      <c r="N881" s="8">
        <f>loaded!AG881</f>
        <v>0</v>
      </c>
      <c r="O881" t="e">
        <f>INDEX(reces_codes,MATCH(loaded!AI881,reason,0))</f>
        <v>#N/A</v>
      </c>
      <c r="P881" t="e">
        <f>INDEX(TDS_codes,MATCH(loaded!AK881,TDS,0))</f>
        <v>#N/A</v>
      </c>
      <c r="Q881" t="e">
        <f>IF(K881=2,"",INDEX(method_codes,MATCH(loaded!AM881,method,0)))</f>
        <v>#N/A</v>
      </c>
      <c r="R881" t="e">
        <f>IF(K881=2,"",INDEX(inj_codes,MATCH(loaded!AO881,inj,0)))</f>
        <v>#N/A</v>
      </c>
      <c r="S881" t="e">
        <f>IF(K881=2,"",INDEX(drug_codes,MATCH(loaded!AQ881,drug,0)))</f>
        <v>#N/A</v>
      </c>
      <c r="T881" t="e">
        <f>IF(K881=2,"",_xlfn.IFNA(INDEX(drug_codes,MATCH(loaded!AS881,drug,0)),""))</f>
        <v>#N/A</v>
      </c>
      <c r="U881" t="e">
        <f>IF(K881=2,"",_xlfn.IFNA(INDEX(drug_codes,MATCH(loaded!AU881,drug,0)),""))</f>
        <v>#N/A</v>
      </c>
      <c r="V881" t="e">
        <f>IF(K881=2,"",_xlfn.IFNA(INDEX(drug_codes,MATCH(loaded!AW881,drug,0)),""))</f>
        <v>#N/A</v>
      </c>
      <c r="W881" t="e">
        <f>IF(K881=2,"",_xlfn.IFNA(INDEX(drug_codes,MATCH(loaded!AY881,drug,0)),""))</f>
        <v>#N/A</v>
      </c>
      <c r="X881" t="e">
        <f>IF(K881=2,"",_xlfn.IFNA(INDEX(drug_codes,MATCH(loaded!BA881,drug,0)),""))</f>
        <v>#N/A</v>
      </c>
      <c r="Y881" t="e">
        <f>INDEX(MTT_codes,MATCH(loaded!BC881,MTT,0))</f>
        <v>#N/A</v>
      </c>
      <c r="Z881" t="str">
        <f>_xlfn.IFNA(INDEX(MTT_codes,MATCH(loaded!BE881,MTT,0)),"")</f>
        <v/>
      </c>
      <c r="AA881" t="str">
        <f>_xlfn.IFNA(INDEX(MTT_codes,MATCH(loaded!BG881,MTT,0)),"")</f>
        <v/>
      </c>
      <c r="AB881" t="str">
        <f>_xlfn.IFNA(INDEX(MTT_codes,MATCH(loaded!BI881,MTT,0)),"")</f>
        <v/>
      </c>
      <c r="AC881" t="str">
        <f>_xlfn.IFNA(INDEX(MTT_codes,MATCH(loaded!BK881,MTT,0)),"")</f>
        <v/>
      </c>
      <c r="AD881" t="str">
        <f>_xlfn.IFNA(INDEX(MTT_codes,MATCH(loaded!BM881,MTT,0)),"")</f>
        <v/>
      </c>
      <c r="AE881" t="e">
        <f>INDEX(liv_ar_codes,MATCH(loaded!BO881,liv_ar,0))</f>
        <v>#N/A</v>
      </c>
      <c r="AF881" t="str">
        <f>_xlfn.IFNA(INDEX(MTT_codes,MATCH(loaded!BQ881,MTT,0)),"")</f>
        <v/>
      </c>
      <c r="AG881">
        <f>_xlfn.IFNA(INDEX(mental_codes,MATCH(loaded!BS881,mental,0)),9)</f>
        <v>9</v>
      </c>
    </row>
    <row r="882" spans="1:33" x14ac:dyDescent="0.25">
      <c r="A882">
        <f>loaded!C882</f>
        <v>0</v>
      </c>
      <c r="B882">
        <f>loaded!I882</f>
        <v>0</v>
      </c>
      <c r="C882">
        <f>IF(loaded!K882="Male",1,IF(loaded!K882="Female",2,9))</f>
        <v>9</v>
      </c>
      <c r="D882" s="8">
        <f>loaded!M882</f>
        <v>0</v>
      </c>
      <c r="E882" t="str">
        <f>LEFT(loaded!O882,3)</f>
        <v/>
      </c>
      <c r="F882" t="e">
        <f>INDEX(cntry_codes,MATCH(loaded!Q882,countries,0))</f>
        <v>#N/A</v>
      </c>
      <c r="G882" t="e">
        <f>INDEX(atsi_codes,MATCH(loaded!S882,atsi,0))</f>
        <v>#N/A</v>
      </c>
      <c r="H882" t="e">
        <f>INDEX(lang_codes,MATCH(loaded!U882,lang,0))</f>
        <v>#N/A</v>
      </c>
      <c r="I882" s="8">
        <f>loaded!W882</f>
        <v>0</v>
      </c>
      <c r="J882" t="e">
        <f>INDEX(us_acc_codes,MATCH(loaded!Y882,us_acc,0))</f>
        <v>#N/A</v>
      </c>
      <c r="K882" t="e">
        <f>INDEX(client_codes,MATCH(loaded!AA882,client,0))</f>
        <v>#N/A</v>
      </c>
      <c r="L882" t="e">
        <f>INDEX(src_ref_codes,MATCH(loaded!AC882,src_ref,0))</f>
        <v>#N/A</v>
      </c>
      <c r="M882" s="8">
        <f>loaded!AE882</f>
        <v>0</v>
      </c>
      <c r="N882" s="8">
        <f>loaded!AG882</f>
        <v>0</v>
      </c>
      <c r="O882" t="e">
        <f>INDEX(reces_codes,MATCH(loaded!AI882,reason,0))</f>
        <v>#N/A</v>
      </c>
      <c r="P882" t="e">
        <f>INDEX(TDS_codes,MATCH(loaded!AK882,TDS,0))</f>
        <v>#N/A</v>
      </c>
      <c r="Q882" t="e">
        <f>IF(K882=2,"",INDEX(method_codes,MATCH(loaded!AM882,method,0)))</f>
        <v>#N/A</v>
      </c>
      <c r="R882" t="e">
        <f>IF(K882=2,"",INDEX(inj_codes,MATCH(loaded!AO882,inj,0)))</f>
        <v>#N/A</v>
      </c>
      <c r="S882" t="e">
        <f>IF(K882=2,"",INDEX(drug_codes,MATCH(loaded!AQ882,drug,0)))</f>
        <v>#N/A</v>
      </c>
      <c r="T882" t="e">
        <f>IF(K882=2,"",_xlfn.IFNA(INDEX(drug_codes,MATCH(loaded!AS882,drug,0)),""))</f>
        <v>#N/A</v>
      </c>
      <c r="U882" t="e">
        <f>IF(K882=2,"",_xlfn.IFNA(INDEX(drug_codes,MATCH(loaded!AU882,drug,0)),""))</f>
        <v>#N/A</v>
      </c>
      <c r="V882" t="e">
        <f>IF(K882=2,"",_xlfn.IFNA(INDEX(drug_codes,MATCH(loaded!AW882,drug,0)),""))</f>
        <v>#N/A</v>
      </c>
      <c r="W882" t="e">
        <f>IF(K882=2,"",_xlfn.IFNA(INDEX(drug_codes,MATCH(loaded!AY882,drug,0)),""))</f>
        <v>#N/A</v>
      </c>
      <c r="X882" t="e">
        <f>IF(K882=2,"",_xlfn.IFNA(INDEX(drug_codes,MATCH(loaded!BA882,drug,0)),""))</f>
        <v>#N/A</v>
      </c>
      <c r="Y882" t="e">
        <f>INDEX(MTT_codes,MATCH(loaded!BC882,MTT,0))</f>
        <v>#N/A</v>
      </c>
      <c r="Z882" t="str">
        <f>_xlfn.IFNA(INDEX(MTT_codes,MATCH(loaded!BE882,MTT,0)),"")</f>
        <v/>
      </c>
      <c r="AA882" t="str">
        <f>_xlfn.IFNA(INDEX(MTT_codes,MATCH(loaded!BG882,MTT,0)),"")</f>
        <v/>
      </c>
      <c r="AB882" t="str">
        <f>_xlfn.IFNA(INDEX(MTT_codes,MATCH(loaded!BI882,MTT,0)),"")</f>
        <v/>
      </c>
      <c r="AC882" t="str">
        <f>_xlfn.IFNA(INDEX(MTT_codes,MATCH(loaded!BK882,MTT,0)),"")</f>
        <v/>
      </c>
      <c r="AD882" t="str">
        <f>_xlfn.IFNA(INDEX(MTT_codes,MATCH(loaded!BM882,MTT,0)),"")</f>
        <v/>
      </c>
      <c r="AE882" t="e">
        <f>INDEX(liv_ar_codes,MATCH(loaded!BO882,liv_ar,0))</f>
        <v>#N/A</v>
      </c>
      <c r="AF882" t="str">
        <f>_xlfn.IFNA(INDEX(MTT_codes,MATCH(loaded!BQ882,MTT,0)),"")</f>
        <v/>
      </c>
      <c r="AG882">
        <f>_xlfn.IFNA(INDEX(mental_codes,MATCH(loaded!BS882,mental,0)),9)</f>
        <v>9</v>
      </c>
    </row>
    <row r="883" spans="1:33" x14ac:dyDescent="0.25">
      <c r="A883">
        <f>loaded!C883</f>
        <v>0</v>
      </c>
      <c r="B883">
        <f>loaded!I883</f>
        <v>0</v>
      </c>
      <c r="C883">
        <f>IF(loaded!K883="Male",1,IF(loaded!K883="Female",2,9))</f>
        <v>9</v>
      </c>
      <c r="D883" s="8">
        <f>loaded!M883</f>
        <v>0</v>
      </c>
      <c r="E883" t="str">
        <f>LEFT(loaded!O883,3)</f>
        <v/>
      </c>
      <c r="F883" t="e">
        <f>INDEX(cntry_codes,MATCH(loaded!Q883,countries,0))</f>
        <v>#N/A</v>
      </c>
      <c r="G883" t="e">
        <f>INDEX(atsi_codes,MATCH(loaded!S883,atsi,0))</f>
        <v>#N/A</v>
      </c>
      <c r="H883" t="e">
        <f>INDEX(lang_codes,MATCH(loaded!U883,lang,0))</f>
        <v>#N/A</v>
      </c>
      <c r="I883" s="8">
        <f>loaded!W883</f>
        <v>0</v>
      </c>
      <c r="J883" t="e">
        <f>INDEX(us_acc_codes,MATCH(loaded!Y883,us_acc,0))</f>
        <v>#N/A</v>
      </c>
      <c r="K883" t="e">
        <f>INDEX(client_codes,MATCH(loaded!AA883,client,0))</f>
        <v>#N/A</v>
      </c>
      <c r="L883" t="e">
        <f>INDEX(src_ref_codes,MATCH(loaded!AC883,src_ref,0))</f>
        <v>#N/A</v>
      </c>
      <c r="M883" s="8">
        <f>loaded!AE883</f>
        <v>0</v>
      </c>
      <c r="N883" s="8">
        <f>loaded!AG883</f>
        <v>0</v>
      </c>
      <c r="O883" t="e">
        <f>INDEX(reces_codes,MATCH(loaded!AI883,reason,0))</f>
        <v>#N/A</v>
      </c>
      <c r="P883" t="e">
        <f>INDEX(TDS_codes,MATCH(loaded!AK883,TDS,0))</f>
        <v>#N/A</v>
      </c>
      <c r="Q883" t="e">
        <f>IF(K883=2,"",INDEX(method_codes,MATCH(loaded!AM883,method,0)))</f>
        <v>#N/A</v>
      </c>
      <c r="R883" t="e">
        <f>IF(K883=2,"",INDEX(inj_codes,MATCH(loaded!AO883,inj,0)))</f>
        <v>#N/A</v>
      </c>
      <c r="S883" t="e">
        <f>IF(K883=2,"",INDEX(drug_codes,MATCH(loaded!AQ883,drug,0)))</f>
        <v>#N/A</v>
      </c>
      <c r="T883" t="e">
        <f>IF(K883=2,"",_xlfn.IFNA(INDEX(drug_codes,MATCH(loaded!AS883,drug,0)),""))</f>
        <v>#N/A</v>
      </c>
      <c r="U883" t="e">
        <f>IF(K883=2,"",_xlfn.IFNA(INDEX(drug_codes,MATCH(loaded!AU883,drug,0)),""))</f>
        <v>#N/A</v>
      </c>
      <c r="V883" t="e">
        <f>IF(K883=2,"",_xlfn.IFNA(INDEX(drug_codes,MATCH(loaded!AW883,drug,0)),""))</f>
        <v>#N/A</v>
      </c>
      <c r="W883" t="e">
        <f>IF(K883=2,"",_xlfn.IFNA(INDEX(drug_codes,MATCH(loaded!AY883,drug,0)),""))</f>
        <v>#N/A</v>
      </c>
      <c r="X883" t="e">
        <f>IF(K883=2,"",_xlfn.IFNA(INDEX(drug_codes,MATCH(loaded!BA883,drug,0)),""))</f>
        <v>#N/A</v>
      </c>
      <c r="Y883" t="e">
        <f>INDEX(MTT_codes,MATCH(loaded!BC883,MTT,0))</f>
        <v>#N/A</v>
      </c>
      <c r="Z883" t="str">
        <f>_xlfn.IFNA(INDEX(MTT_codes,MATCH(loaded!BE883,MTT,0)),"")</f>
        <v/>
      </c>
      <c r="AA883" t="str">
        <f>_xlfn.IFNA(INDEX(MTT_codes,MATCH(loaded!BG883,MTT,0)),"")</f>
        <v/>
      </c>
      <c r="AB883" t="str">
        <f>_xlfn.IFNA(INDEX(MTT_codes,MATCH(loaded!BI883,MTT,0)),"")</f>
        <v/>
      </c>
      <c r="AC883" t="str">
        <f>_xlfn.IFNA(INDEX(MTT_codes,MATCH(loaded!BK883,MTT,0)),"")</f>
        <v/>
      </c>
      <c r="AD883" t="str">
        <f>_xlfn.IFNA(INDEX(MTT_codes,MATCH(loaded!BM883,MTT,0)),"")</f>
        <v/>
      </c>
      <c r="AE883" t="e">
        <f>INDEX(liv_ar_codes,MATCH(loaded!BO883,liv_ar,0))</f>
        <v>#N/A</v>
      </c>
      <c r="AF883" t="str">
        <f>_xlfn.IFNA(INDEX(MTT_codes,MATCH(loaded!BQ883,MTT,0)),"")</f>
        <v/>
      </c>
      <c r="AG883">
        <f>_xlfn.IFNA(INDEX(mental_codes,MATCH(loaded!BS883,mental,0)),9)</f>
        <v>9</v>
      </c>
    </row>
    <row r="884" spans="1:33" x14ac:dyDescent="0.25">
      <c r="A884">
        <f>loaded!C884</f>
        <v>0</v>
      </c>
      <c r="B884">
        <f>loaded!I884</f>
        <v>0</v>
      </c>
      <c r="C884">
        <f>IF(loaded!K884="Male",1,IF(loaded!K884="Female",2,9))</f>
        <v>9</v>
      </c>
      <c r="D884" s="8">
        <f>loaded!M884</f>
        <v>0</v>
      </c>
      <c r="E884" t="str">
        <f>LEFT(loaded!O884,3)</f>
        <v/>
      </c>
      <c r="F884" t="e">
        <f>INDEX(cntry_codes,MATCH(loaded!Q884,countries,0))</f>
        <v>#N/A</v>
      </c>
      <c r="G884" t="e">
        <f>INDEX(atsi_codes,MATCH(loaded!S884,atsi,0))</f>
        <v>#N/A</v>
      </c>
      <c r="H884" t="e">
        <f>INDEX(lang_codes,MATCH(loaded!U884,lang,0))</f>
        <v>#N/A</v>
      </c>
      <c r="I884" s="8">
        <f>loaded!W884</f>
        <v>0</v>
      </c>
      <c r="J884" t="e">
        <f>INDEX(us_acc_codes,MATCH(loaded!Y884,us_acc,0))</f>
        <v>#N/A</v>
      </c>
      <c r="K884" t="e">
        <f>INDEX(client_codes,MATCH(loaded!AA884,client,0))</f>
        <v>#N/A</v>
      </c>
      <c r="L884" t="e">
        <f>INDEX(src_ref_codes,MATCH(loaded!AC884,src_ref,0))</f>
        <v>#N/A</v>
      </c>
      <c r="M884" s="8">
        <f>loaded!AE884</f>
        <v>0</v>
      </c>
      <c r="N884" s="8">
        <f>loaded!AG884</f>
        <v>0</v>
      </c>
      <c r="O884" t="e">
        <f>INDEX(reces_codes,MATCH(loaded!AI884,reason,0))</f>
        <v>#N/A</v>
      </c>
      <c r="P884" t="e">
        <f>INDEX(TDS_codes,MATCH(loaded!AK884,TDS,0))</f>
        <v>#N/A</v>
      </c>
      <c r="Q884" t="e">
        <f>IF(K884=2,"",INDEX(method_codes,MATCH(loaded!AM884,method,0)))</f>
        <v>#N/A</v>
      </c>
      <c r="R884" t="e">
        <f>IF(K884=2,"",INDEX(inj_codes,MATCH(loaded!AO884,inj,0)))</f>
        <v>#N/A</v>
      </c>
      <c r="S884" t="e">
        <f>IF(K884=2,"",INDEX(drug_codes,MATCH(loaded!AQ884,drug,0)))</f>
        <v>#N/A</v>
      </c>
      <c r="T884" t="e">
        <f>IF(K884=2,"",_xlfn.IFNA(INDEX(drug_codes,MATCH(loaded!AS884,drug,0)),""))</f>
        <v>#N/A</v>
      </c>
      <c r="U884" t="e">
        <f>IF(K884=2,"",_xlfn.IFNA(INDEX(drug_codes,MATCH(loaded!AU884,drug,0)),""))</f>
        <v>#N/A</v>
      </c>
      <c r="V884" t="e">
        <f>IF(K884=2,"",_xlfn.IFNA(INDEX(drug_codes,MATCH(loaded!AW884,drug,0)),""))</f>
        <v>#N/A</v>
      </c>
      <c r="W884" t="e">
        <f>IF(K884=2,"",_xlfn.IFNA(INDEX(drug_codes,MATCH(loaded!AY884,drug,0)),""))</f>
        <v>#N/A</v>
      </c>
      <c r="X884" t="e">
        <f>IF(K884=2,"",_xlfn.IFNA(INDEX(drug_codes,MATCH(loaded!BA884,drug,0)),""))</f>
        <v>#N/A</v>
      </c>
      <c r="Y884" t="e">
        <f>INDEX(MTT_codes,MATCH(loaded!BC884,MTT,0))</f>
        <v>#N/A</v>
      </c>
      <c r="Z884" t="str">
        <f>_xlfn.IFNA(INDEX(MTT_codes,MATCH(loaded!BE884,MTT,0)),"")</f>
        <v/>
      </c>
      <c r="AA884" t="str">
        <f>_xlfn.IFNA(INDEX(MTT_codes,MATCH(loaded!BG884,MTT,0)),"")</f>
        <v/>
      </c>
      <c r="AB884" t="str">
        <f>_xlfn.IFNA(INDEX(MTT_codes,MATCH(loaded!BI884,MTT,0)),"")</f>
        <v/>
      </c>
      <c r="AC884" t="str">
        <f>_xlfn.IFNA(INDEX(MTT_codes,MATCH(loaded!BK884,MTT,0)),"")</f>
        <v/>
      </c>
      <c r="AD884" t="str">
        <f>_xlfn.IFNA(INDEX(MTT_codes,MATCH(loaded!BM884,MTT,0)),"")</f>
        <v/>
      </c>
      <c r="AE884" t="e">
        <f>INDEX(liv_ar_codes,MATCH(loaded!BO884,liv_ar,0))</f>
        <v>#N/A</v>
      </c>
      <c r="AF884" t="str">
        <f>_xlfn.IFNA(INDEX(MTT_codes,MATCH(loaded!BQ884,MTT,0)),"")</f>
        <v/>
      </c>
      <c r="AG884">
        <f>_xlfn.IFNA(INDEX(mental_codes,MATCH(loaded!BS884,mental,0)),9)</f>
        <v>9</v>
      </c>
    </row>
    <row r="885" spans="1:33" x14ac:dyDescent="0.25">
      <c r="A885">
        <f>loaded!C885</f>
        <v>0</v>
      </c>
      <c r="B885">
        <f>loaded!I885</f>
        <v>0</v>
      </c>
      <c r="C885">
        <f>IF(loaded!K885="Male",1,IF(loaded!K885="Female",2,9))</f>
        <v>9</v>
      </c>
      <c r="D885" s="8">
        <f>loaded!M885</f>
        <v>0</v>
      </c>
      <c r="E885" t="str">
        <f>LEFT(loaded!O885,3)</f>
        <v/>
      </c>
      <c r="F885" t="e">
        <f>INDEX(cntry_codes,MATCH(loaded!Q885,countries,0))</f>
        <v>#N/A</v>
      </c>
      <c r="G885" t="e">
        <f>INDEX(atsi_codes,MATCH(loaded!S885,atsi,0))</f>
        <v>#N/A</v>
      </c>
      <c r="H885" t="e">
        <f>INDEX(lang_codes,MATCH(loaded!U885,lang,0))</f>
        <v>#N/A</v>
      </c>
      <c r="I885" s="8">
        <f>loaded!W885</f>
        <v>0</v>
      </c>
      <c r="J885" t="e">
        <f>INDEX(us_acc_codes,MATCH(loaded!Y885,us_acc,0))</f>
        <v>#N/A</v>
      </c>
      <c r="K885" t="e">
        <f>INDEX(client_codes,MATCH(loaded!AA885,client,0))</f>
        <v>#N/A</v>
      </c>
      <c r="L885" t="e">
        <f>INDEX(src_ref_codes,MATCH(loaded!AC885,src_ref,0))</f>
        <v>#N/A</v>
      </c>
      <c r="M885" s="8">
        <f>loaded!AE885</f>
        <v>0</v>
      </c>
      <c r="N885" s="8">
        <f>loaded!AG885</f>
        <v>0</v>
      </c>
      <c r="O885" t="e">
        <f>INDEX(reces_codes,MATCH(loaded!AI885,reason,0))</f>
        <v>#N/A</v>
      </c>
      <c r="P885" t="e">
        <f>INDEX(TDS_codes,MATCH(loaded!AK885,TDS,0))</f>
        <v>#N/A</v>
      </c>
      <c r="Q885" t="e">
        <f>IF(K885=2,"",INDEX(method_codes,MATCH(loaded!AM885,method,0)))</f>
        <v>#N/A</v>
      </c>
      <c r="R885" t="e">
        <f>IF(K885=2,"",INDEX(inj_codes,MATCH(loaded!AO885,inj,0)))</f>
        <v>#N/A</v>
      </c>
      <c r="S885" t="e">
        <f>IF(K885=2,"",INDEX(drug_codes,MATCH(loaded!AQ885,drug,0)))</f>
        <v>#N/A</v>
      </c>
      <c r="T885" t="e">
        <f>IF(K885=2,"",_xlfn.IFNA(INDEX(drug_codes,MATCH(loaded!AS885,drug,0)),""))</f>
        <v>#N/A</v>
      </c>
      <c r="U885" t="e">
        <f>IF(K885=2,"",_xlfn.IFNA(INDEX(drug_codes,MATCH(loaded!AU885,drug,0)),""))</f>
        <v>#N/A</v>
      </c>
      <c r="V885" t="e">
        <f>IF(K885=2,"",_xlfn.IFNA(INDEX(drug_codes,MATCH(loaded!AW885,drug,0)),""))</f>
        <v>#N/A</v>
      </c>
      <c r="W885" t="e">
        <f>IF(K885=2,"",_xlfn.IFNA(INDEX(drug_codes,MATCH(loaded!AY885,drug,0)),""))</f>
        <v>#N/A</v>
      </c>
      <c r="X885" t="e">
        <f>IF(K885=2,"",_xlfn.IFNA(INDEX(drug_codes,MATCH(loaded!BA885,drug,0)),""))</f>
        <v>#N/A</v>
      </c>
      <c r="Y885" t="e">
        <f>INDEX(MTT_codes,MATCH(loaded!BC885,MTT,0))</f>
        <v>#N/A</v>
      </c>
      <c r="Z885" t="str">
        <f>_xlfn.IFNA(INDEX(MTT_codes,MATCH(loaded!BE885,MTT,0)),"")</f>
        <v/>
      </c>
      <c r="AA885" t="str">
        <f>_xlfn.IFNA(INDEX(MTT_codes,MATCH(loaded!BG885,MTT,0)),"")</f>
        <v/>
      </c>
      <c r="AB885" t="str">
        <f>_xlfn.IFNA(INDEX(MTT_codes,MATCH(loaded!BI885,MTT,0)),"")</f>
        <v/>
      </c>
      <c r="AC885" t="str">
        <f>_xlfn.IFNA(INDEX(MTT_codes,MATCH(loaded!BK885,MTT,0)),"")</f>
        <v/>
      </c>
      <c r="AD885" t="str">
        <f>_xlfn.IFNA(INDEX(MTT_codes,MATCH(loaded!BM885,MTT,0)),"")</f>
        <v/>
      </c>
      <c r="AE885" t="e">
        <f>INDEX(liv_ar_codes,MATCH(loaded!BO885,liv_ar,0))</f>
        <v>#N/A</v>
      </c>
      <c r="AF885" t="str">
        <f>_xlfn.IFNA(INDEX(MTT_codes,MATCH(loaded!BQ885,MTT,0)),"")</f>
        <v/>
      </c>
      <c r="AG885">
        <f>_xlfn.IFNA(INDEX(mental_codes,MATCH(loaded!BS885,mental,0)),9)</f>
        <v>9</v>
      </c>
    </row>
    <row r="886" spans="1:33" x14ac:dyDescent="0.25">
      <c r="A886">
        <f>loaded!C886</f>
        <v>0</v>
      </c>
      <c r="B886">
        <f>loaded!I886</f>
        <v>0</v>
      </c>
      <c r="C886">
        <f>IF(loaded!K886="Male",1,IF(loaded!K886="Female",2,9))</f>
        <v>9</v>
      </c>
      <c r="D886" s="8">
        <f>loaded!M886</f>
        <v>0</v>
      </c>
      <c r="E886" t="str">
        <f>LEFT(loaded!O886,3)</f>
        <v/>
      </c>
      <c r="F886" t="e">
        <f>INDEX(cntry_codes,MATCH(loaded!Q886,countries,0))</f>
        <v>#N/A</v>
      </c>
      <c r="G886" t="e">
        <f>INDEX(atsi_codes,MATCH(loaded!S886,atsi,0))</f>
        <v>#N/A</v>
      </c>
      <c r="H886" t="e">
        <f>INDEX(lang_codes,MATCH(loaded!U886,lang,0))</f>
        <v>#N/A</v>
      </c>
      <c r="I886" s="8">
        <f>loaded!W886</f>
        <v>0</v>
      </c>
      <c r="J886" t="e">
        <f>INDEX(us_acc_codes,MATCH(loaded!Y886,us_acc,0))</f>
        <v>#N/A</v>
      </c>
      <c r="K886" t="e">
        <f>INDEX(client_codes,MATCH(loaded!AA886,client,0))</f>
        <v>#N/A</v>
      </c>
      <c r="L886" t="e">
        <f>INDEX(src_ref_codes,MATCH(loaded!AC886,src_ref,0))</f>
        <v>#N/A</v>
      </c>
      <c r="M886" s="8">
        <f>loaded!AE886</f>
        <v>0</v>
      </c>
      <c r="N886" s="8">
        <f>loaded!AG886</f>
        <v>0</v>
      </c>
      <c r="O886" t="e">
        <f>INDEX(reces_codes,MATCH(loaded!AI886,reason,0))</f>
        <v>#N/A</v>
      </c>
      <c r="P886" t="e">
        <f>INDEX(TDS_codes,MATCH(loaded!AK886,TDS,0))</f>
        <v>#N/A</v>
      </c>
      <c r="Q886" t="e">
        <f>IF(K886=2,"",INDEX(method_codes,MATCH(loaded!AM886,method,0)))</f>
        <v>#N/A</v>
      </c>
      <c r="R886" t="e">
        <f>IF(K886=2,"",INDEX(inj_codes,MATCH(loaded!AO886,inj,0)))</f>
        <v>#N/A</v>
      </c>
      <c r="S886" t="e">
        <f>IF(K886=2,"",INDEX(drug_codes,MATCH(loaded!AQ886,drug,0)))</f>
        <v>#N/A</v>
      </c>
      <c r="T886" t="e">
        <f>IF(K886=2,"",_xlfn.IFNA(INDEX(drug_codes,MATCH(loaded!AS886,drug,0)),""))</f>
        <v>#N/A</v>
      </c>
      <c r="U886" t="e">
        <f>IF(K886=2,"",_xlfn.IFNA(INDEX(drug_codes,MATCH(loaded!AU886,drug,0)),""))</f>
        <v>#N/A</v>
      </c>
      <c r="V886" t="e">
        <f>IF(K886=2,"",_xlfn.IFNA(INDEX(drug_codes,MATCH(loaded!AW886,drug,0)),""))</f>
        <v>#N/A</v>
      </c>
      <c r="W886" t="e">
        <f>IF(K886=2,"",_xlfn.IFNA(INDEX(drug_codes,MATCH(loaded!AY886,drug,0)),""))</f>
        <v>#N/A</v>
      </c>
      <c r="X886" t="e">
        <f>IF(K886=2,"",_xlfn.IFNA(INDEX(drug_codes,MATCH(loaded!BA886,drug,0)),""))</f>
        <v>#N/A</v>
      </c>
      <c r="Y886" t="e">
        <f>INDEX(MTT_codes,MATCH(loaded!BC886,MTT,0))</f>
        <v>#N/A</v>
      </c>
      <c r="Z886" t="str">
        <f>_xlfn.IFNA(INDEX(MTT_codes,MATCH(loaded!BE886,MTT,0)),"")</f>
        <v/>
      </c>
      <c r="AA886" t="str">
        <f>_xlfn.IFNA(INDEX(MTT_codes,MATCH(loaded!BG886,MTT,0)),"")</f>
        <v/>
      </c>
      <c r="AB886" t="str">
        <f>_xlfn.IFNA(INDEX(MTT_codes,MATCH(loaded!BI886,MTT,0)),"")</f>
        <v/>
      </c>
      <c r="AC886" t="str">
        <f>_xlfn.IFNA(INDEX(MTT_codes,MATCH(loaded!BK886,MTT,0)),"")</f>
        <v/>
      </c>
      <c r="AD886" t="str">
        <f>_xlfn.IFNA(INDEX(MTT_codes,MATCH(loaded!BM886,MTT,0)),"")</f>
        <v/>
      </c>
      <c r="AE886" t="e">
        <f>INDEX(liv_ar_codes,MATCH(loaded!BO886,liv_ar,0))</f>
        <v>#N/A</v>
      </c>
      <c r="AF886" t="str">
        <f>_xlfn.IFNA(INDEX(MTT_codes,MATCH(loaded!BQ886,MTT,0)),"")</f>
        <v/>
      </c>
      <c r="AG886">
        <f>_xlfn.IFNA(INDEX(mental_codes,MATCH(loaded!BS886,mental,0)),9)</f>
        <v>9</v>
      </c>
    </row>
    <row r="887" spans="1:33" x14ac:dyDescent="0.25">
      <c r="A887">
        <f>loaded!C887</f>
        <v>0</v>
      </c>
      <c r="B887">
        <f>loaded!I887</f>
        <v>0</v>
      </c>
      <c r="C887">
        <f>IF(loaded!K887="Male",1,IF(loaded!K887="Female",2,9))</f>
        <v>9</v>
      </c>
      <c r="D887" s="8">
        <f>loaded!M887</f>
        <v>0</v>
      </c>
      <c r="E887" t="str">
        <f>LEFT(loaded!O887,3)</f>
        <v/>
      </c>
      <c r="F887" t="e">
        <f>INDEX(cntry_codes,MATCH(loaded!Q887,countries,0))</f>
        <v>#N/A</v>
      </c>
      <c r="G887" t="e">
        <f>INDEX(atsi_codes,MATCH(loaded!S887,atsi,0))</f>
        <v>#N/A</v>
      </c>
      <c r="H887" t="e">
        <f>INDEX(lang_codes,MATCH(loaded!U887,lang,0))</f>
        <v>#N/A</v>
      </c>
      <c r="I887" s="8">
        <f>loaded!W887</f>
        <v>0</v>
      </c>
      <c r="J887" t="e">
        <f>INDEX(us_acc_codes,MATCH(loaded!Y887,us_acc,0))</f>
        <v>#N/A</v>
      </c>
      <c r="K887" t="e">
        <f>INDEX(client_codes,MATCH(loaded!AA887,client,0))</f>
        <v>#N/A</v>
      </c>
      <c r="L887" t="e">
        <f>INDEX(src_ref_codes,MATCH(loaded!AC887,src_ref,0))</f>
        <v>#N/A</v>
      </c>
      <c r="M887" s="8">
        <f>loaded!AE887</f>
        <v>0</v>
      </c>
      <c r="N887" s="8">
        <f>loaded!AG887</f>
        <v>0</v>
      </c>
      <c r="O887" t="e">
        <f>INDEX(reces_codes,MATCH(loaded!AI887,reason,0))</f>
        <v>#N/A</v>
      </c>
      <c r="P887" t="e">
        <f>INDEX(TDS_codes,MATCH(loaded!AK887,TDS,0))</f>
        <v>#N/A</v>
      </c>
      <c r="Q887" t="e">
        <f>IF(K887=2,"",INDEX(method_codes,MATCH(loaded!AM887,method,0)))</f>
        <v>#N/A</v>
      </c>
      <c r="R887" t="e">
        <f>IF(K887=2,"",INDEX(inj_codes,MATCH(loaded!AO887,inj,0)))</f>
        <v>#N/A</v>
      </c>
      <c r="S887" t="e">
        <f>IF(K887=2,"",INDEX(drug_codes,MATCH(loaded!AQ887,drug,0)))</f>
        <v>#N/A</v>
      </c>
      <c r="T887" t="e">
        <f>IF(K887=2,"",_xlfn.IFNA(INDEX(drug_codes,MATCH(loaded!AS887,drug,0)),""))</f>
        <v>#N/A</v>
      </c>
      <c r="U887" t="e">
        <f>IF(K887=2,"",_xlfn.IFNA(INDEX(drug_codes,MATCH(loaded!AU887,drug,0)),""))</f>
        <v>#N/A</v>
      </c>
      <c r="V887" t="e">
        <f>IF(K887=2,"",_xlfn.IFNA(INDEX(drug_codes,MATCH(loaded!AW887,drug,0)),""))</f>
        <v>#N/A</v>
      </c>
      <c r="W887" t="e">
        <f>IF(K887=2,"",_xlfn.IFNA(INDEX(drug_codes,MATCH(loaded!AY887,drug,0)),""))</f>
        <v>#N/A</v>
      </c>
      <c r="X887" t="e">
        <f>IF(K887=2,"",_xlfn.IFNA(INDEX(drug_codes,MATCH(loaded!BA887,drug,0)),""))</f>
        <v>#N/A</v>
      </c>
      <c r="Y887" t="e">
        <f>INDEX(MTT_codes,MATCH(loaded!BC887,MTT,0))</f>
        <v>#N/A</v>
      </c>
      <c r="Z887" t="str">
        <f>_xlfn.IFNA(INDEX(MTT_codes,MATCH(loaded!BE887,MTT,0)),"")</f>
        <v/>
      </c>
      <c r="AA887" t="str">
        <f>_xlfn.IFNA(INDEX(MTT_codes,MATCH(loaded!BG887,MTT,0)),"")</f>
        <v/>
      </c>
      <c r="AB887" t="str">
        <f>_xlfn.IFNA(INDEX(MTT_codes,MATCH(loaded!BI887,MTT,0)),"")</f>
        <v/>
      </c>
      <c r="AC887" t="str">
        <f>_xlfn.IFNA(INDEX(MTT_codes,MATCH(loaded!BK887,MTT,0)),"")</f>
        <v/>
      </c>
      <c r="AD887" t="str">
        <f>_xlfn.IFNA(INDEX(MTT_codes,MATCH(loaded!BM887,MTT,0)),"")</f>
        <v/>
      </c>
      <c r="AE887" t="e">
        <f>INDEX(liv_ar_codes,MATCH(loaded!BO887,liv_ar,0))</f>
        <v>#N/A</v>
      </c>
      <c r="AF887" t="str">
        <f>_xlfn.IFNA(INDEX(MTT_codes,MATCH(loaded!BQ887,MTT,0)),"")</f>
        <v/>
      </c>
      <c r="AG887">
        <f>_xlfn.IFNA(INDEX(mental_codes,MATCH(loaded!BS887,mental,0)),9)</f>
        <v>9</v>
      </c>
    </row>
    <row r="888" spans="1:33" x14ac:dyDescent="0.25">
      <c r="A888">
        <f>loaded!C888</f>
        <v>0</v>
      </c>
      <c r="B888">
        <f>loaded!I888</f>
        <v>0</v>
      </c>
      <c r="C888">
        <f>IF(loaded!K888="Male",1,IF(loaded!K888="Female",2,9))</f>
        <v>9</v>
      </c>
      <c r="D888" s="8">
        <f>loaded!M888</f>
        <v>0</v>
      </c>
      <c r="E888" t="str">
        <f>LEFT(loaded!O888,3)</f>
        <v/>
      </c>
      <c r="F888" t="e">
        <f>INDEX(cntry_codes,MATCH(loaded!Q888,countries,0))</f>
        <v>#N/A</v>
      </c>
      <c r="G888" t="e">
        <f>INDEX(atsi_codes,MATCH(loaded!S888,atsi,0))</f>
        <v>#N/A</v>
      </c>
      <c r="H888" t="e">
        <f>INDEX(lang_codes,MATCH(loaded!U888,lang,0))</f>
        <v>#N/A</v>
      </c>
      <c r="I888" s="8">
        <f>loaded!W888</f>
        <v>0</v>
      </c>
      <c r="J888" t="e">
        <f>INDEX(us_acc_codes,MATCH(loaded!Y888,us_acc,0))</f>
        <v>#N/A</v>
      </c>
      <c r="K888" t="e">
        <f>INDEX(client_codes,MATCH(loaded!AA888,client,0))</f>
        <v>#N/A</v>
      </c>
      <c r="L888" t="e">
        <f>INDEX(src_ref_codes,MATCH(loaded!AC888,src_ref,0))</f>
        <v>#N/A</v>
      </c>
      <c r="M888" s="8">
        <f>loaded!AE888</f>
        <v>0</v>
      </c>
      <c r="N888" s="8">
        <f>loaded!AG888</f>
        <v>0</v>
      </c>
      <c r="O888" t="e">
        <f>INDEX(reces_codes,MATCH(loaded!AI888,reason,0))</f>
        <v>#N/A</v>
      </c>
      <c r="P888" t="e">
        <f>INDEX(TDS_codes,MATCH(loaded!AK888,TDS,0))</f>
        <v>#N/A</v>
      </c>
      <c r="Q888" t="e">
        <f>IF(K888=2,"",INDEX(method_codes,MATCH(loaded!AM888,method,0)))</f>
        <v>#N/A</v>
      </c>
      <c r="R888" t="e">
        <f>IF(K888=2,"",INDEX(inj_codes,MATCH(loaded!AO888,inj,0)))</f>
        <v>#N/A</v>
      </c>
      <c r="S888" t="e">
        <f>IF(K888=2,"",INDEX(drug_codes,MATCH(loaded!AQ888,drug,0)))</f>
        <v>#N/A</v>
      </c>
      <c r="T888" t="e">
        <f>IF(K888=2,"",_xlfn.IFNA(INDEX(drug_codes,MATCH(loaded!AS888,drug,0)),""))</f>
        <v>#N/A</v>
      </c>
      <c r="U888" t="e">
        <f>IF(K888=2,"",_xlfn.IFNA(INDEX(drug_codes,MATCH(loaded!AU888,drug,0)),""))</f>
        <v>#N/A</v>
      </c>
      <c r="V888" t="e">
        <f>IF(K888=2,"",_xlfn.IFNA(INDEX(drug_codes,MATCH(loaded!AW888,drug,0)),""))</f>
        <v>#N/A</v>
      </c>
      <c r="W888" t="e">
        <f>IF(K888=2,"",_xlfn.IFNA(INDEX(drug_codes,MATCH(loaded!AY888,drug,0)),""))</f>
        <v>#N/A</v>
      </c>
      <c r="X888" t="e">
        <f>IF(K888=2,"",_xlfn.IFNA(INDEX(drug_codes,MATCH(loaded!BA888,drug,0)),""))</f>
        <v>#N/A</v>
      </c>
      <c r="Y888" t="e">
        <f>INDEX(MTT_codes,MATCH(loaded!BC888,MTT,0))</f>
        <v>#N/A</v>
      </c>
      <c r="Z888" t="str">
        <f>_xlfn.IFNA(INDEX(MTT_codes,MATCH(loaded!BE888,MTT,0)),"")</f>
        <v/>
      </c>
      <c r="AA888" t="str">
        <f>_xlfn.IFNA(INDEX(MTT_codes,MATCH(loaded!BG888,MTT,0)),"")</f>
        <v/>
      </c>
      <c r="AB888" t="str">
        <f>_xlfn.IFNA(INDEX(MTT_codes,MATCH(loaded!BI888,MTT,0)),"")</f>
        <v/>
      </c>
      <c r="AC888" t="str">
        <f>_xlfn.IFNA(INDEX(MTT_codes,MATCH(loaded!BK888,MTT,0)),"")</f>
        <v/>
      </c>
      <c r="AD888" t="str">
        <f>_xlfn.IFNA(INDEX(MTT_codes,MATCH(loaded!BM888,MTT,0)),"")</f>
        <v/>
      </c>
      <c r="AE888" t="e">
        <f>INDEX(liv_ar_codes,MATCH(loaded!BO888,liv_ar,0))</f>
        <v>#N/A</v>
      </c>
      <c r="AF888" t="str">
        <f>_xlfn.IFNA(INDEX(MTT_codes,MATCH(loaded!BQ888,MTT,0)),"")</f>
        <v/>
      </c>
      <c r="AG888">
        <f>_xlfn.IFNA(INDEX(mental_codes,MATCH(loaded!BS888,mental,0)),9)</f>
        <v>9</v>
      </c>
    </row>
    <row r="889" spans="1:33" x14ac:dyDescent="0.25">
      <c r="A889">
        <f>loaded!C889</f>
        <v>0</v>
      </c>
      <c r="B889">
        <f>loaded!I889</f>
        <v>0</v>
      </c>
      <c r="C889">
        <f>IF(loaded!K889="Male",1,IF(loaded!K889="Female",2,9))</f>
        <v>9</v>
      </c>
      <c r="D889" s="8">
        <f>loaded!M889</f>
        <v>0</v>
      </c>
      <c r="E889" t="str">
        <f>LEFT(loaded!O889,3)</f>
        <v/>
      </c>
      <c r="F889" t="e">
        <f>INDEX(cntry_codes,MATCH(loaded!Q889,countries,0))</f>
        <v>#N/A</v>
      </c>
      <c r="G889" t="e">
        <f>INDEX(atsi_codes,MATCH(loaded!S889,atsi,0))</f>
        <v>#N/A</v>
      </c>
      <c r="H889" t="e">
        <f>INDEX(lang_codes,MATCH(loaded!U889,lang,0))</f>
        <v>#N/A</v>
      </c>
      <c r="I889" s="8">
        <f>loaded!W889</f>
        <v>0</v>
      </c>
      <c r="J889" t="e">
        <f>INDEX(us_acc_codes,MATCH(loaded!Y889,us_acc,0))</f>
        <v>#N/A</v>
      </c>
      <c r="K889" t="e">
        <f>INDEX(client_codes,MATCH(loaded!AA889,client,0))</f>
        <v>#N/A</v>
      </c>
      <c r="L889" t="e">
        <f>INDEX(src_ref_codes,MATCH(loaded!AC889,src_ref,0))</f>
        <v>#N/A</v>
      </c>
      <c r="M889" s="8">
        <f>loaded!AE889</f>
        <v>0</v>
      </c>
      <c r="N889" s="8">
        <f>loaded!AG889</f>
        <v>0</v>
      </c>
      <c r="O889" t="e">
        <f>INDEX(reces_codes,MATCH(loaded!AI889,reason,0))</f>
        <v>#N/A</v>
      </c>
      <c r="P889" t="e">
        <f>INDEX(TDS_codes,MATCH(loaded!AK889,TDS,0))</f>
        <v>#N/A</v>
      </c>
      <c r="Q889" t="e">
        <f>IF(K889=2,"",INDEX(method_codes,MATCH(loaded!AM889,method,0)))</f>
        <v>#N/A</v>
      </c>
      <c r="R889" t="e">
        <f>IF(K889=2,"",INDEX(inj_codes,MATCH(loaded!AO889,inj,0)))</f>
        <v>#N/A</v>
      </c>
      <c r="S889" t="e">
        <f>IF(K889=2,"",INDEX(drug_codes,MATCH(loaded!AQ889,drug,0)))</f>
        <v>#N/A</v>
      </c>
      <c r="T889" t="e">
        <f>IF(K889=2,"",_xlfn.IFNA(INDEX(drug_codes,MATCH(loaded!AS889,drug,0)),""))</f>
        <v>#N/A</v>
      </c>
      <c r="U889" t="e">
        <f>IF(K889=2,"",_xlfn.IFNA(INDEX(drug_codes,MATCH(loaded!AU889,drug,0)),""))</f>
        <v>#N/A</v>
      </c>
      <c r="V889" t="e">
        <f>IF(K889=2,"",_xlfn.IFNA(INDEX(drug_codes,MATCH(loaded!AW889,drug,0)),""))</f>
        <v>#N/A</v>
      </c>
      <c r="W889" t="e">
        <f>IF(K889=2,"",_xlfn.IFNA(INDEX(drug_codes,MATCH(loaded!AY889,drug,0)),""))</f>
        <v>#N/A</v>
      </c>
      <c r="X889" t="e">
        <f>IF(K889=2,"",_xlfn.IFNA(INDEX(drug_codes,MATCH(loaded!BA889,drug,0)),""))</f>
        <v>#N/A</v>
      </c>
      <c r="Y889" t="e">
        <f>INDEX(MTT_codes,MATCH(loaded!BC889,MTT,0))</f>
        <v>#N/A</v>
      </c>
      <c r="Z889" t="str">
        <f>_xlfn.IFNA(INDEX(MTT_codes,MATCH(loaded!BE889,MTT,0)),"")</f>
        <v/>
      </c>
      <c r="AA889" t="str">
        <f>_xlfn.IFNA(INDEX(MTT_codes,MATCH(loaded!BG889,MTT,0)),"")</f>
        <v/>
      </c>
      <c r="AB889" t="str">
        <f>_xlfn.IFNA(INDEX(MTT_codes,MATCH(loaded!BI889,MTT,0)),"")</f>
        <v/>
      </c>
      <c r="AC889" t="str">
        <f>_xlfn.IFNA(INDEX(MTT_codes,MATCH(loaded!BK889,MTT,0)),"")</f>
        <v/>
      </c>
      <c r="AD889" t="str">
        <f>_xlfn.IFNA(INDEX(MTT_codes,MATCH(loaded!BM889,MTT,0)),"")</f>
        <v/>
      </c>
      <c r="AE889" t="e">
        <f>INDEX(liv_ar_codes,MATCH(loaded!BO889,liv_ar,0))</f>
        <v>#N/A</v>
      </c>
      <c r="AF889" t="str">
        <f>_xlfn.IFNA(INDEX(MTT_codes,MATCH(loaded!BQ889,MTT,0)),"")</f>
        <v/>
      </c>
      <c r="AG889">
        <f>_xlfn.IFNA(INDEX(mental_codes,MATCH(loaded!BS889,mental,0)),9)</f>
        <v>9</v>
      </c>
    </row>
    <row r="890" spans="1:33" x14ac:dyDescent="0.25">
      <c r="A890">
        <f>loaded!C890</f>
        <v>0</v>
      </c>
      <c r="B890">
        <f>loaded!I890</f>
        <v>0</v>
      </c>
      <c r="C890">
        <f>IF(loaded!K890="Male",1,IF(loaded!K890="Female",2,9))</f>
        <v>9</v>
      </c>
      <c r="D890" s="8">
        <f>loaded!M890</f>
        <v>0</v>
      </c>
      <c r="E890" t="str">
        <f>LEFT(loaded!O890,3)</f>
        <v/>
      </c>
      <c r="F890" t="e">
        <f>INDEX(cntry_codes,MATCH(loaded!Q890,countries,0))</f>
        <v>#N/A</v>
      </c>
      <c r="G890" t="e">
        <f>INDEX(atsi_codes,MATCH(loaded!S890,atsi,0))</f>
        <v>#N/A</v>
      </c>
      <c r="H890" t="e">
        <f>INDEX(lang_codes,MATCH(loaded!U890,lang,0))</f>
        <v>#N/A</v>
      </c>
      <c r="I890" s="8">
        <f>loaded!W890</f>
        <v>0</v>
      </c>
      <c r="J890" t="e">
        <f>INDEX(us_acc_codes,MATCH(loaded!Y890,us_acc,0))</f>
        <v>#N/A</v>
      </c>
      <c r="K890" t="e">
        <f>INDEX(client_codes,MATCH(loaded!AA890,client,0))</f>
        <v>#N/A</v>
      </c>
      <c r="L890" t="e">
        <f>INDEX(src_ref_codes,MATCH(loaded!AC890,src_ref,0))</f>
        <v>#N/A</v>
      </c>
      <c r="M890" s="8">
        <f>loaded!AE890</f>
        <v>0</v>
      </c>
      <c r="N890" s="8">
        <f>loaded!AG890</f>
        <v>0</v>
      </c>
      <c r="O890" t="e">
        <f>INDEX(reces_codes,MATCH(loaded!AI890,reason,0))</f>
        <v>#N/A</v>
      </c>
      <c r="P890" t="e">
        <f>INDEX(TDS_codes,MATCH(loaded!AK890,TDS,0))</f>
        <v>#N/A</v>
      </c>
      <c r="Q890" t="e">
        <f>IF(K890=2,"",INDEX(method_codes,MATCH(loaded!AM890,method,0)))</f>
        <v>#N/A</v>
      </c>
      <c r="R890" t="e">
        <f>IF(K890=2,"",INDEX(inj_codes,MATCH(loaded!AO890,inj,0)))</f>
        <v>#N/A</v>
      </c>
      <c r="S890" t="e">
        <f>IF(K890=2,"",INDEX(drug_codes,MATCH(loaded!AQ890,drug,0)))</f>
        <v>#N/A</v>
      </c>
      <c r="T890" t="e">
        <f>IF(K890=2,"",_xlfn.IFNA(INDEX(drug_codes,MATCH(loaded!AS890,drug,0)),""))</f>
        <v>#N/A</v>
      </c>
      <c r="U890" t="e">
        <f>IF(K890=2,"",_xlfn.IFNA(INDEX(drug_codes,MATCH(loaded!AU890,drug,0)),""))</f>
        <v>#N/A</v>
      </c>
      <c r="V890" t="e">
        <f>IF(K890=2,"",_xlfn.IFNA(INDEX(drug_codes,MATCH(loaded!AW890,drug,0)),""))</f>
        <v>#N/A</v>
      </c>
      <c r="W890" t="e">
        <f>IF(K890=2,"",_xlfn.IFNA(INDEX(drug_codes,MATCH(loaded!AY890,drug,0)),""))</f>
        <v>#N/A</v>
      </c>
      <c r="X890" t="e">
        <f>IF(K890=2,"",_xlfn.IFNA(INDEX(drug_codes,MATCH(loaded!BA890,drug,0)),""))</f>
        <v>#N/A</v>
      </c>
      <c r="Y890" t="e">
        <f>INDEX(MTT_codes,MATCH(loaded!BC890,MTT,0))</f>
        <v>#N/A</v>
      </c>
      <c r="Z890" t="str">
        <f>_xlfn.IFNA(INDEX(MTT_codes,MATCH(loaded!BE890,MTT,0)),"")</f>
        <v/>
      </c>
      <c r="AA890" t="str">
        <f>_xlfn.IFNA(INDEX(MTT_codes,MATCH(loaded!BG890,MTT,0)),"")</f>
        <v/>
      </c>
      <c r="AB890" t="str">
        <f>_xlfn.IFNA(INDEX(MTT_codes,MATCH(loaded!BI890,MTT,0)),"")</f>
        <v/>
      </c>
      <c r="AC890" t="str">
        <f>_xlfn.IFNA(INDEX(MTT_codes,MATCH(loaded!BK890,MTT,0)),"")</f>
        <v/>
      </c>
      <c r="AD890" t="str">
        <f>_xlfn.IFNA(INDEX(MTT_codes,MATCH(loaded!BM890,MTT,0)),"")</f>
        <v/>
      </c>
      <c r="AE890" t="e">
        <f>INDEX(liv_ar_codes,MATCH(loaded!BO890,liv_ar,0))</f>
        <v>#N/A</v>
      </c>
      <c r="AF890" t="str">
        <f>_xlfn.IFNA(INDEX(MTT_codes,MATCH(loaded!BQ890,MTT,0)),"")</f>
        <v/>
      </c>
      <c r="AG890">
        <f>_xlfn.IFNA(INDEX(mental_codes,MATCH(loaded!BS890,mental,0)),9)</f>
        <v>9</v>
      </c>
    </row>
    <row r="891" spans="1:33" x14ac:dyDescent="0.25">
      <c r="A891">
        <f>loaded!C891</f>
        <v>0</v>
      </c>
      <c r="B891">
        <f>loaded!I891</f>
        <v>0</v>
      </c>
      <c r="C891">
        <f>IF(loaded!K891="Male",1,IF(loaded!K891="Female",2,9))</f>
        <v>9</v>
      </c>
      <c r="D891" s="8">
        <f>loaded!M891</f>
        <v>0</v>
      </c>
      <c r="E891" t="str">
        <f>LEFT(loaded!O891,3)</f>
        <v/>
      </c>
      <c r="F891" t="e">
        <f>INDEX(cntry_codes,MATCH(loaded!Q891,countries,0))</f>
        <v>#N/A</v>
      </c>
      <c r="G891" t="e">
        <f>INDEX(atsi_codes,MATCH(loaded!S891,atsi,0))</f>
        <v>#N/A</v>
      </c>
      <c r="H891" t="e">
        <f>INDEX(lang_codes,MATCH(loaded!U891,lang,0))</f>
        <v>#N/A</v>
      </c>
      <c r="I891" s="8">
        <f>loaded!W891</f>
        <v>0</v>
      </c>
      <c r="J891" t="e">
        <f>INDEX(us_acc_codes,MATCH(loaded!Y891,us_acc,0))</f>
        <v>#N/A</v>
      </c>
      <c r="K891" t="e">
        <f>INDEX(client_codes,MATCH(loaded!AA891,client,0))</f>
        <v>#N/A</v>
      </c>
      <c r="L891" t="e">
        <f>INDEX(src_ref_codes,MATCH(loaded!AC891,src_ref,0))</f>
        <v>#N/A</v>
      </c>
      <c r="M891" s="8">
        <f>loaded!AE891</f>
        <v>0</v>
      </c>
      <c r="N891" s="8">
        <f>loaded!AG891</f>
        <v>0</v>
      </c>
      <c r="O891" t="e">
        <f>INDEX(reces_codes,MATCH(loaded!AI891,reason,0))</f>
        <v>#N/A</v>
      </c>
      <c r="P891" t="e">
        <f>INDEX(TDS_codes,MATCH(loaded!AK891,TDS,0))</f>
        <v>#N/A</v>
      </c>
      <c r="Q891" t="e">
        <f>IF(K891=2,"",INDEX(method_codes,MATCH(loaded!AM891,method,0)))</f>
        <v>#N/A</v>
      </c>
      <c r="R891" t="e">
        <f>IF(K891=2,"",INDEX(inj_codes,MATCH(loaded!AO891,inj,0)))</f>
        <v>#N/A</v>
      </c>
      <c r="S891" t="e">
        <f>IF(K891=2,"",INDEX(drug_codes,MATCH(loaded!AQ891,drug,0)))</f>
        <v>#N/A</v>
      </c>
      <c r="T891" t="e">
        <f>IF(K891=2,"",_xlfn.IFNA(INDEX(drug_codes,MATCH(loaded!AS891,drug,0)),""))</f>
        <v>#N/A</v>
      </c>
      <c r="U891" t="e">
        <f>IF(K891=2,"",_xlfn.IFNA(INDEX(drug_codes,MATCH(loaded!AU891,drug,0)),""))</f>
        <v>#N/A</v>
      </c>
      <c r="V891" t="e">
        <f>IF(K891=2,"",_xlfn.IFNA(INDEX(drug_codes,MATCH(loaded!AW891,drug,0)),""))</f>
        <v>#N/A</v>
      </c>
      <c r="W891" t="e">
        <f>IF(K891=2,"",_xlfn.IFNA(INDEX(drug_codes,MATCH(loaded!AY891,drug,0)),""))</f>
        <v>#N/A</v>
      </c>
      <c r="X891" t="e">
        <f>IF(K891=2,"",_xlfn.IFNA(INDEX(drug_codes,MATCH(loaded!BA891,drug,0)),""))</f>
        <v>#N/A</v>
      </c>
      <c r="Y891" t="e">
        <f>INDEX(MTT_codes,MATCH(loaded!BC891,MTT,0))</f>
        <v>#N/A</v>
      </c>
      <c r="Z891" t="str">
        <f>_xlfn.IFNA(INDEX(MTT_codes,MATCH(loaded!BE891,MTT,0)),"")</f>
        <v/>
      </c>
      <c r="AA891" t="str">
        <f>_xlfn.IFNA(INDEX(MTT_codes,MATCH(loaded!BG891,MTT,0)),"")</f>
        <v/>
      </c>
      <c r="AB891" t="str">
        <f>_xlfn.IFNA(INDEX(MTT_codes,MATCH(loaded!BI891,MTT,0)),"")</f>
        <v/>
      </c>
      <c r="AC891" t="str">
        <f>_xlfn.IFNA(INDEX(MTT_codes,MATCH(loaded!BK891,MTT,0)),"")</f>
        <v/>
      </c>
      <c r="AD891" t="str">
        <f>_xlfn.IFNA(INDEX(MTT_codes,MATCH(loaded!BM891,MTT,0)),"")</f>
        <v/>
      </c>
      <c r="AE891" t="e">
        <f>INDEX(liv_ar_codes,MATCH(loaded!BO891,liv_ar,0))</f>
        <v>#N/A</v>
      </c>
      <c r="AF891" t="str">
        <f>_xlfn.IFNA(INDEX(MTT_codes,MATCH(loaded!BQ891,MTT,0)),"")</f>
        <v/>
      </c>
      <c r="AG891">
        <f>_xlfn.IFNA(INDEX(mental_codes,MATCH(loaded!BS891,mental,0)),9)</f>
        <v>9</v>
      </c>
    </row>
    <row r="892" spans="1:33" x14ac:dyDescent="0.25">
      <c r="A892">
        <f>loaded!C892</f>
        <v>0</v>
      </c>
      <c r="B892">
        <f>loaded!I892</f>
        <v>0</v>
      </c>
      <c r="C892">
        <f>IF(loaded!K892="Male",1,IF(loaded!K892="Female",2,9))</f>
        <v>9</v>
      </c>
      <c r="D892" s="8">
        <f>loaded!M892</f>
        <v>0</v>
      </c>
      <c r="E892" t="str">
        <f>LEFT(loaded!O892,3)</f>
        <v/>
      </c>
      <c r="F892" t="e">
        <f>INDEX(cntry_codes,MATCH(loaded!Q892,countries,0))</f>
        <v>#N/A</v>
      </c>
      <c r="G892" t="e">
        <f>INDEX(atsi_codes,MATCH(loaded!S892,atsi,0))</f>
        <v>#N/A</v>
      </c>
      <c r="H892" t="e">
        <f>INDEX(lang_codes,MATCH(loaded!U892,lang,0))</f>
        <v>#N/A</v>
      </c>
      <c r="I892" s="8">
        <f>loaded!W892</f>
        <v>0</v>
      </c>
      <c r="J892" t="e">
        <f>INDEX(us_acc_codes,MATCH(loaded!Y892,us_acc,0))</f>
        <v>#N/A</v>
      </c>
      <c r="K892" t="e">
        <f>INDEX(client_codes,MATCH(loaded!AA892,client,0))</f>
        <v>#N/A</v>
      </c>
      <c r="L892" t="e">
        <f>INDEX(src_ref_codes,MATCH(loaded!AC892,src_ref,0))</f>
        <v>#N/A</v>
      </c>
      <c r="M892" s="8">
        <f>loaded!AE892</f>
        <v>0</v>
      </c>
      <c r="N892" s="8">
        <f>loaded!AG892</f>
        <v>0</v>
      </c>
      <c r="O892" t="e">
        <f>INDEX(reces_codes,MATCH(loaded!AI892,reason,0))</f>
        <v>#N/A</v>
      </c>
      <c r="P892" t="e">
        <f>INDEX(TDS_codes,MATCH(loaded!AK892,TDS,0))</f>
        <v>#N/A</v>
      </c>
      <c r="Q892" t="e">
        <f>IF(K892=2,"",INDEX(method_codes,MATCH(loaded!AM892,method,0)))</f>
        <v>#N/A</v>
      </c>
      <c r="R892" t="e">
        <f>IF(K892=2,"",INDEX(inj_codes,MATCH(loaded!AO892,inj,0)))</f>
        <v>#N/A</v>
      </c>
      <c r="S892" t="e">
        <f>IF(K892=2,"",INDEX(drug_codes,MATCH(loaded!AQ892,drug,0)))</f>
        <v>#N/A</v>
      </c>
      <c r="T892" t="e">
        <f>IF(K892=2,"",_xlfn.IFNA(INDEX(drug_codes,MATCH(loaded!AS892,drug,0)),""))</f>
        <v>#N/A</v>
      </c>
      <c r="U892" t="e">
        <f>IF(K892=2,"",_xlfn.IFNA(INDEX(drug_codes,MATCH(loaded!AU892,drug,0)),""))</f>
        <v>#N/A</v>
      </c>
      <c r="V892" t="e">
        <f>IF(K892=2,"",_xlfn.IFNA(INDEX(drug_codes,MATCH(loaded!AW892,drug,0)),""))</f>
        <v>#N/A</v>
      </c>
      <c r="W892" t="e">
        <f>IF(K892=2,"",_xlfn.IFNA(INDEX(drug_codes,MATCH(loaded!AY892,drug,0)),""))</f>
        <v>#N/A</v>
      </c>
      <c r="X892" t="e">
        <f>IF(K892=2,"",_xlfn.IFNA(INDEX(drug_codes,MATCH(loaded!BA892,drug,0)),""))</f>
        <v>#N/A</v>
      </c>
      <c r="Y892" t="e">
        <f>INDEX(MTT_codes,MATCH(loaded!BC892,MTT,0))</f>
        <v>#N/A</v>
      </c>
      <c r="Z892" t="str">
        <f>_xlfn.IFNA(INDEX(MTT_codes,MATCH(loaded!BE892,MTT,0)),"")</f>
        <v/>
      </c>
      <c r="AA892" t="str">
        <f>_xlfn.IFNA(INDEX(MTT_codes,MATCH(loaded!BG892,MTT,0)),"")</f>
        <v/>
      </c>
      <c r="AB892" t="str">
        <f>_xlfn.IFNA(INDEX(MTT_codes,MATCH(loaded!BI892,MTT,0)),"")</f>
        <v/>
      </c>
      <c r="AC892" t="str">
        <f>_xlfn.IFNA(INDEX(MTT_codes,MATCH(loaded!BK892,MTT,0)),"")</f>
        <v/>
      </c>
      <c r="AD892" t="str">
        <f>_xlfn.IFNA(INDEX(MTT_codes,MATCH(loaded!BM892,MTT,0)),"")</f>
        <v/>
      </c>
      <c r="AE892" t="e">
        <f>INDEX(liv_ar_codes,MATCH(loaded!BO892,liv_ar,0))</f>
        <v>#N/A</v>
      </c>
      <c r="AF892" t="str">
        <f>_xlfn.IFNA(INDEX(MTT_codes,MATCH(loaded!BQ892,MTT,0)),"")</f>
        <v/>
      </c>
      <c r="AG892">
        <f>_xlfn.IFNA(INDEX(mental_codes,MATCH(loaded!BS892,mental,0)),9)</f>
        <v>9</v>
      </c>
    </row>
    <row r="893" spans="1:33" x14ac:dyDescent="0.25">
      <c r="A893">
        <f>loaded!C893</f>
        <v>0</v>
      </c>
      <c r="B893">
        <f>loaded!I893</f>
        <v>0</v>
      </c>
      <c r="C893">
        <f>IF(loaded!K893="Male",1,IF(loaded!K893="Female",2,9))</f>
        <v>9</v>
      </c>
      <c r="D893" s="8">
        <f>loaded!M893</f>
        <v>0</v>
      </c>
      <c r="E893" t="str">
        <f>LEFT(loaded!O893,3)</f>
        <v/>
      </c>
      <c r="F893" t="e">
        <f>INDEX(cntry_codes,MATCH(loaded!Q893,countries,0))</f>
        <v>#N/A</v>
      </c>
      <c r="G893" t="e">
        <f>INDEX(atsi_codes,MATCH(loaded!S893,atsi,0))</f>
        <v>#N/A</v>
      </c>
      <c r="H893" t="e">
        <f>INDEX(lang_codes,MATCH(loaded!U893,lang,0))</f>
        <v>#N/A</v>
      </c>
      <c r="I893" s="8">
        <f>loaded!W893</f>
        <v>0</v>
      </c>
      <c r="J893" t="e">
        <f>INDEX(us_acc_codes,MATCH(loaded!Y893,us_acc,0))</f>
        <v>#N/A</v>
      </c>
      <c r="K893" t="e">
        <f>INDEX(client_codes,MATCH(loaded!AA893,client,0))</f>
        <v>#N/A</v>
      </c>
      <c r="L893" t="e">
        <f>INDEX(src_ref_codes,MATCH(loaded!AC893,src_ref,0))</f>
        <v>#N/A</v>
      </c>
      <c r="M893" s="8">
        <f>loaded!AE893</f>
        <v>0</v>
      </c>
      <c r="N893" s="8">
        <f>loaded!AG893</f>
        <v>0</v>
      </c>
      <c r="O893" t="e">
        <f>INDEX(reces_codes,MATCH(loaded!AI893,reason,0))</f>
        <v>#N/A</v>
      </c>
      <c r="P893" t="e">
        <f>INDEX(TDS_codes,MATCH(loaded!AK893,TDS,0))</f>
        <v>#N/A</v>
      </c>
      <c r="Q893" t="e">
        <f>IF(K893=2,"",INDEX(method_codes,MATCH(loaded!AM893,method,0)))</f>
        <v>#N/A</v>
      </c>
      <c r="R893" t="e">
        <f>IF(K893=2,"",INDEX(inj_codes,MATCH(loaded!AO893,inj,0)))</f>
        <v>#N/A</v>
      </c>
      <c r="S893" t="e">
        <f>IF(K893=2,"",INDEX(drug_codes,MATCH(loaded!AQ893,drug,0)))</f>
        <v>#N/A</v>
      </c>
      <c r="T893" t="e">
        <f>IF(K893=2,"",_xlfn.IFNA(INDEX(drug_codes,MATCH(loaded!AS893,drug,0)),""))</f>
        <v>#N/A</v>
      </c>
      <c r="U893" t="e">
        <f>IF(K893=2,"",_xlfn.IFNA(INDEX(drug_codes,MATCH(loaded!AU893,drug,0)),""))</f>
        <v>#N/A</v>
      </c>
      <c r="V893" t="e">
        <f>IF(K893=2,"",_xlfn.IFNA(INDEX(drug_codes,MATCH(loaded!AW893,drug,0)),""))</f>
        <v>#N/A</v>
      </c>
      <c r="W893" t="e">
        <f>IF(K893=2,"",_xlfn.IFNA(INDEX(drug_codes,MATCH(loaded!AY893,drug,0)),""))</f>
        <v>#N/A</v>
      </c>
      <c r="X893" t="e">
        <f>IF(K893=2,"",_xlfn.IFNA(INDEX(drug_codes,MATCH(loaded!BA893,drug,0)),""))</f>
        <v>#N/A</v>
      </c>
      <c r="Y893" t="e">
        <f>INDEX(MTT_codes,MATCH(loaded!BC893,MTT,0))</f>
        <v>#N/A</v>
      </c>
      <c r="Z893" t="str">
        <f>_xlfn.IFNA(INDEX(MTT_codes,MATCH(loaded!BE893,MTT,0)),"")</f>
        <v/>
      </c>
      <c r="AA893" t="str">
        <f>_xlfn.IFNA(INDEX(MTT_codes,MATCH(loaded!BG893,MTT,0)),"")</f>
        <v/>
      </c>
      <c r="AB893" t="str">
        <f>_xlfn.IFNA(INDEX(MTT_codes,MATCH(loaded!BI893,MTT,0)),"")</f>
        <v/>
      </c>
      <c r="AC893" t="str">
        <f>_xlfn.IFNA(INDEX(MTT_codes,MATCH(loaded!BK893,MTT,0)),"")</f>
        <v/>
      </c>
      <c r="AD893" t="str">
        <f>_xlfn.IFNA(INDEX(MTT_codes,MATCH(loaded!BM893,MTT,0)),"")</f>
        <v/>
      </c>
      <c r="AE893" t="e">
        <f>INDEX(liv_ar_codes,MATCH(loaded!BO893,liv_ar,0))</f>
        <v>#N/A</v>
      </c>
      <c r="AF893" t="str">
        <f>_xlfn.IFNA(INDEX(MTT_codes,MATCH(loaded!BQ893,MTT,0)),"")</f>
        <v/>
      </c>
      <c r="AG893">
        <f>_xlfn.IFNA(INDEX(mental_codes,MATCH(loaded!BS893,mental,0)),9)</f>
        <v>9</v>
      </c>
    </row>
    <row r="894" spans="1:33" x14ac:dyDescent="0.25">
      <c r="A894">
        <f>loaded!C894</f>
        <v>0</v>
      </c>
      <c r="B894">
        <f>loaded!I894</f>
        <v>0</v>
      </c>
      <c r="C894">
        <f>IF(loaded!K894="Male",1,IF(loaded!K894="Female",2,9))</f>
        <v>9</v>
      </c>
      <c r="D894" s="8">
        <f>loaded!M894</f>
        <v>0</v>
      </c>
      <c r="E894" t="str">
        <f>LEFT(loaded!O894,3)</f>
        <v/>
      </c>
      <c r="F894" t="e">
        <f>INDEX(cntry_codes,MATCH(loaded!Q894,countries,0))</f>
        <v>#N/A</v>
      </c>
      <c r="G894" t="e">
        <f>INDEX(atsi_codes,MATCH(loaded!S894,atsi,0))</f>
        <v>#N/A</v>
      </c>
      <c r="H894" t="e">
        <f>INDEX(lang_codes,MATCH(loaded!U894,lang,0))</f>
        <v>#N/A</v>
      </c>
      <c r="I894" s="8">
        <f>loaded!W894</f>
        <v>0</v>
      </c>
      <c r="J894" t="e">
        <f>INDEX(us_acc_codes,MATCH(loaded!Y894,us_acc,0))</f>
        <v>#N/A</v>
      </c>
      <c r="K894" t="e">
        <f>INDEX(client_codes,MATCH(loaded!AA894,client,0))</f>
        <v>#N/A</v>
      </c>
      <c r="L894" t="e">
        <f>INDEX(src_ref_codes,MATCH(loaded!AC894,src_ref,0))</f>
        <v>#N/A</v>
      </c>
      <c r="M894" s="8">
        <f>loaded!AE894</f>
        <v>0</v>
      </c>
      <c r="N894" s="8">
        <f>loaded!AG894</f>
        <v>0</v>
      </c>
      <c r="O894" t="e">
        <f>INDEX(reces_codes,MATCH(loaded!AI894,reason,0))</f>
        <v>#N/A</v>
      </c>
      <c r="P894" t="e">
        <f>INDEX(TDS_codes,MATCH(loaded!AK894,TDS,0))</f>
        <v>#N/A</v>
      </c>
      <c r="Q894" t="e">
        <f>IF(K894=2,"",INDEX(method_codes,MATCH(loaded!AM894,method,0)))</f>
        <v>#N/A</v>
      </c>
      <c r="R894" t="e">
        <f>IF(K894=2,"",INDEX(inj_codes,MATCH(loaded!AO894,inj,0)))</f>
        <v>#N/A</v>
      </c>
      <c r="S894" t="e">
        <f>IF(K894=2,"",INDEX(drug_codes,MATCH(loaded!AQ894,drug,0)))</f>
        <v>#N/A</v>
      </c>
      <c r="T894" t="e">
        <f>IF(K894=2,"",_xlfn.IFNA(INDEX(drug_codes,MATCH(loaded!AS894,drug,0)),""))</f>
        <v>#N/A</v>
      </c>
      <c r="U894" t="e">
        <f>IF(K894=2,"",_xlfn.IFNA(INDEX(drug_codes,MATCH(loaded!AU894,drug,0)),""))</f>
        <v>#N/A</v>
      </c>
      <c r="V894" t="e">
        <f>IF(K894=2,"",_xlfn.IFNA(INDEX(drug_codes,MATCH(loaded!AW894,drug,0)),""))</f>
        <v>#N/A</v>
      </c>
      <c r="W894" t="e">
        <f>IF(K894=2,"",_xlfn.IFNA(INDEX(drug_codes,MATCH(loaded!AY894,drug,0)),""))</f>
        <v>#N/A</v>
      </c>
      <c r="X894" t="e">
        <f>IF(K894=2,"",_xlfn.IFNA(INDEX(drug_codes,MATCH(loaded!BA894,drug,0)),""))</f>
        <v>#N/A</v>
      </c>
      <c r="Y894" t="e">
        <f>INDEX(MTT_codes,MATCH(loaded!BC894,MTT,0))</f>
        <v>#N/A</v>
      </c>
      <c r="Z894" t="str">
        <f>_xlfn.IFNA(INDEX(MTT_codes,MATCH(loaded!BE894,MTT,0)),"")</f>
        <v/>
      </c>
      <c r="AA894" t="str">
        <f>_xlfn.IFNA(INDEX(MTT_codes,MATCH(loaded!BG894,MTT,0)),"")</f>
        <v/>
      </c>
      <c r="AB894" t="str">
        <f>_xlfn.IFNA(INDEX(MTT_codes,MATCH(loaded!BI894,MTT,0)),"")</f>
        <v/>
      </c>
      <c r="AC894" t="str">
        <f>_xlfn.IFNA(INDEX(MTT_codes,MATCH(loaded!BK894,MTT,0)),"")</f>
        <v/>
      </c>
      <c r="AD894" t="str">
        <f>_xlfn.IFNA(INDEX(MTT_codes,MATCH(loaded!BM894,MTT,0)),"")</f>
        <v/>
      </c>
      <c r="AE894" t="e">
        <f>INDEX(liv_ar_codes,MATCH(loaded!BO894,liv_ar,0))</f>
        <v>#N/A</v>
      </c>
      <c r="AF894" t="str">
        <f>_xlfn.IFNA(INDEX(MTT_codes,MATCH(loaded!BQ894,MTT,0)),"")</f>
        <v/>
      </c>
      <c r="AG894">
        <f>_xlfn.IFNA(INDEX(mental_codes,MATCH(loaded!BS894,mental,0)),9)</f>
        <v>9</v>
      </c>
    </row>
    <row r="895" spans="1:33" x14ac:dyDescent="0.25">
      <c r="A895">
        <f>loaded!C895</f>
        <v>0</v>
      </c>
      <c r="B895">
        <f>loaded!I895</f>
        <v>0</v>
      </c>
      <c r="C895">
        <f>IF(loaded!K895="Male",1,IF(loaded!K895="Female",2,9))</f>
        <v>9</v>
      </c>
      <c r="D895" s="8">
        <f>loaded!M895</f>
        <v>0</v>
      </c>
      <c r="E895" t="str">
        <f>LEFT(loaded!O895,3)</f>
        <v/>
      </c>
      <c r="F895" t="e">
        <f>INDEX(cntry_codes,MATCH(loaded!Q895,countries,0))</f>
        <v>#N/A</v>
      </c>
      <c r="G895" t="e">
        <f>INDEX(atsi_codes,MATCH(loaded!S895,atsi,0))</f>
        <v>#N/A</v>
      </c>
      <c r="H895" t="e">
        <f>INDEX(lang_codes,MATCH(loaded!U895,lang,0))</f>
        <v>#N/A</v>
      </c>
      <c r="I895" s="8">
        <f>loaded!W895</f>
        <v>0</v>
      </c>
      <c r="J895" t="e">
        <f>INDEX(us_acc_codes,MATCH(loaded!Y895,us_acc,0))</f>
        <v>#N/A</v>
      </c>
      <c r="K895" t="e">
        <f>INDEX(client_codes,MATCH(loaded!AA895,client,0))</f>
        <v>#N/A</v>
      </c>
      <c r="L895" t="e">
        <f>INDEX(src_ref_codes,MATCH(loaded!AC895,src_ref,0))</f>
        <v>#N/A</v>
      </c>
      <c r="M895" s="8">
        <f>loaded!AE895</f>
        <v>0</v>
      </c>
      <c r="N895" s="8">
        <f>loaded!AG895</f>
        <v>0</v>
      </c>
      <c r="O895" t="e">
        <f>INDEX(reces_codes,MATCH(loaded!AI895,reason,0))</f>
        <v>#N/A</v>
      </c>
      <c r="P895" t="e">
        <f>INDEX(TDS_codes,MATCH(loaded!AK895,TDS,0))</f>
        <v>#N/A</v>
      </c>
      <c r="Q895" t="e">
        <f>IF(K895=2,"",INDEX(method_codes,MATCH(loaded!AM895,method,0)))</f>
        <v>#N/A</v>
      </c>
      <c r="R895" t="e">
        <f>IF(K895=2,"",INDEX(inj_codes,MATCH(loaded!AO895,inj,0)))</f>
        <v>#N/A</v>
      </c>
      <c r="S895" t="e">
        <f>IF(K895=2,"",INDEX(drug_codes,MATCH(loaded!AQ895,drug,0)))</f>
        <v>#N/A</v>
      </c>
      <c r="T895" t="e">
        <f>IF(K895=2,"",_xlfn.IFNA(INDEX(drug_codes,MATCH(loaded!AS895,drug,0)),""))</f>
        <v>#N/A</v>
      </c>
      <c r="U895" t="e">
        <f>IF(K895=2,"",_xlfn.IFNA(INDEX(drug_codes,MATCH(loaded!AU895,drug,0)),""))</f>
        <v>#N/A</v>
      </c>
      <c r="V895" t="e">
        <f>IF(K895=2,"",_xlfn.IFNA(INDEX(drug_codes,MATCH(loaded!AW895,drug,0)),""))</f>
        <v>#N/A</v>
      </c>
      <c r="W895" t="e">
        <f>IF(K895=2,"",_xlfn.IFNA(INDEX(drug_codes,MATCH(loaded!AY895,drug,0)),""))</f>
        <v>#N/A</v>
      </c>
      <c r="X895" t="e">
        <f>IF(K895=2,"",_xlfn.IFNA(INDEX(drug_codes,MATCH(loaded!BA895,drug,0)),""))</f>
        <v>#N/A</v>
      </c>
      <c r="Y895" t="e">
        <f>INDEX(MTT_codes,MATCH(loaded!BC895,MTT,0))</f>
        <v>#N/A</v>
      </c>
      <c r="Z895" t="str">
        <f>_xlfn.IFNA(INDEX(MTT_codes,MATCH(loaded!BE895,MTT,0)),"")</f>
        <v/>
      </c>
      <c r="AA895" t="str">
        <f>_xlfn.IFNA(INDEX(MTT_codes,MATCH(loaded!BG895,MTT,0)),"")</f>
        <v/>
      </c>
      <c r="AB895" t="str">
        <f>_xlfn.IFNA(INDEX(MTT_codes,MATCH(loaded!BI895,MTT,0)),"")</f>
        <v/>
      </c>
      <c r="AC895" t="str">
        <f>_xlfn.IFNA(INDEX(MTT_codes,MATCH(loaded!BK895,MTT,0)),"")</f>
        <v/>
      </c>
      <c r="AD895" t="str">
        <f>_xlfn.IFNA(INDEX(MTT_codes,MATCH(loaded!BM895,MTT,0)),"")</f>
        <v/>
      </c>
      <c r="AE895" t="e">
        <f>INDEX(liv_ar_codes,MATCH(loaded!BO895,liv_ar,0))</f>
        <v>#N/A</v>
      </c>
      <c r="AF895" t="str">
        <f>_xlfn.IFNA(INDEX(MTT_codes,MATCH(loaded!BQ895,MTT,0)),"")</f>
        <v/>
      </c>
      <c r="AG895">
        <f>_xlfn.IFNA(INDEX(mental_codes,MATCH(loaded!BS895,mental,0)),9)</f>
        <v>9</v>
      </c>
    </row>
    <row r="896" spans="1:33" x14ac:dyDescent="0.25">
      <c r="A896">
        <f>loaded!C896</f>
        <v>0</v>
      </c>
      <c r="B896">
        <f>loaded!I896</f>
        <v>0</v>
      </c>
      <c r="C896">
        <f>IF(loaded!K896="Male",1,IF(loaded!K896="Female",2,9))</f>
        <v>9</v>
      </c>
      <c r="D896" s="8">
        <f>loaded!M896</f>
        <v>0</v>
      </c>
      <c r="E896" t="str">
        <f>LEFT(loaded!O896,3)</f>
        <v/>
      </c>
      <c r="F896" t="e">
        <f>INDEX(cntry_codes,MATCH(loaded!Q896,countries,0))</f>
        <v>#N/A</v>
      </c>
      <c r="G896" t="e">
        <f>INDEX(atsi_codes,MATCH(loaded!S896,atsi,0))</f>
        <v>#N/A</v>
      </c>
      <c r="H896" t="e">
        <f>INDEX(lang_codes,MATCH(loaded!U896,lang,0))</f>
        <v>#N/A</v>
      </c>
      <c r="I896" s="8">
        <f>loaded!W896</f>
        <v>0</v>
      </c>
      <c r="J896" t="e">
        <f>INDEX(us_acc_codes,MATCH(loaded!Y896,us_acc,0))</f>
        <v>#N/A</v>
      </c>
      <c r="K896" t="e">
        <f>INDEX(client_codes,MATCH(loaded!AA896,client,0))</f>
        <v>#N/A</v>
      </c>
      <c r="L896" t="e">
        <f>INDEX(src_ref_codes,MATCH(loaded!AC896,src_ref,0))</f>
        <v>#N/A</v>
      </c>
      <c r="M896" s="8">
        <f>loaded!AE896</f>
        <v>0</v>
      </c>
      <c r="N896" s="8">
        <f>loaded!AG896</f>
        <v>0</v>
      </c>
      <c r="O896" t="e">
        <f>INDEX(reces_codes,MATCH(loaded!AI896,reason,0))</f>
        <v>#N/A</v>
      </c>
      <c r="P896" t="e">
        <f>INDEX(TDS_codes,MATCH(loaded!AK896,TDS,0))</f>
        <v>#N/A</v>
      </c>
      <c r="Q896" t="e">
        <f>IF(K896=2,"",INDEX(method_codes,MATCH(loaded!AM896,method,0)))</f>
        <v>#N/A</v>
      </c>
      <c r="R896" t="e">
        <f>IF(K896=2,"",INDEX(inj_codes,MATCH(loaded!AO896,inj,0)))</f>
        <v>#N/A</v>
      </c>
      <c r="S896" t="e">
        <f>IF(K896=2,"",INDEX(drug_codes,MATCH(loaded!AQ896,drug,0)))</f>
        <v>#N/A</v>
      </c>
      <c r="T896" t="e">
        <f>IF(K896=2,"",_xlfn.IFNA(INDEX(drug_codes,MATCH(loaded!AS896,drug,0)),""))</f>
        <v>#N/A</v>
      </c>
      <c r="U896" t="e">
        <f>IF(K896=2,"",_xlfn.IFNA(INDEX(drug_codes,MATCH(loaded!AU896,drug,0)),""))</f>
        <v>#N/A</v>
      </c>
      <c r="V896" t="e">
        <f>IF(K896=2,"",_xlfn.IFNA(INDEX(drug_codes,MATCH(loaded!AW896,drug,0)),""))</f>
        <v>#N/A</v>
      </c>
      <c r="W896" t="e">
        <f>IF(K896=2,"",_xlfn.IFNA(INDEX(drug_codes,MATCH(loaded!AY896,drug,0)),""))</f>
        <v>#N/A</v>
      </c>
      <c r="X896" t="e">
        <f>IF(K896=2,"",_xlfn.IFNA(INDEX(drug_codes,MATCH(loaded!BA896,drug,0)),""))</f>
        <v>#N/A</v>
      </c>
      <c r="Y896" t="e">
        <f>INDEX(MTT_codes,MATCH(loaded!BC896,MTT,0))</f>
        <v>#N/A</v>
      </c>
      <c r="Z896" t="str">
        <f>_xlfn.IFNA(INDEX(MTT_codes,MATCH(loaded!BE896,MTT,0)),"")</f>
        <v/>
      </c>
      <c r="AA896" t="str">
        <f>_xlfn.IFNA(INDEX(MTT_codes,MATCH(loaded!BG896,MTT,0)),"")</f>
        <v/>
      </c>
      <c r="AB896" t="str">
        <f>_xlfn.IFNA(INDEX(MTT_codes,MATCH(loaded!BI896,MTT,0)),"")</f>
        <v/>
      </c>
      <c r="AC896" t="str">
        <f>_xlfn.IFNA(INDEX(MTT_codes,MATCH(loaded!BK896,MTT,0)),"")</f>
        <v/>
      </c>
      <c r="AD896" t="str">
        <f>_xlfn.IFNA(INDEX(MTT_codes,MATCH(loaded!BM896,MTT,0)),"")</f>
        <v/>
      </c>
      <c r="AE896" t="e">
        <f>INDEX(liv_ar_codes,MATCH(loaded!BO896,liv_ar,0))</f>
        <v>#N/A</v>
      </c>
      <c r="AF896" t="str">
        <f>_xlfn.IFNA(INDEX(MTT_codes,MATCH(loaded!BQ896,MTT,0)),"")</f>
        <v/>
      </c>
      <c r="AG896">
        <f>_xlfn.IFNA(INDEX(mental_codes,MATCH(loaded!BS896,mental,0)),9)</f>
        <v>9</v>
      </c>
    </row>
    <row r="897" spans="1:33" x14ac:dyDescent="0.25">
      <c r="A897">
        <f>loaded!C897</f>
        <v>0</v>
      </c>
      <c r="B897">
        <f>loaded!I897</f>
        <v>0</v>
      </c>
      <c r="C897">
        <f>IF(loaded!K897="Male",1,IF(loaded!K897="Female",2,9))</f>
        <v>9</v>
      </c>
      <c r="D897" s="8">
        <f>loaded!M897</f>
        <v>0</v>
      </c>
      <c r="E897" t="str">
        <f>LEFT(loaded!O897,3)</f>
        <v/>
      </c>
      <c r="F897" t="e">
        <f>INDEX(cntry_codes,MATCH(loaded!Q897,countries,0))</f>
        <v>#N/A</v>
      </c>
      <c r="G897" t="e">
        <f>INDEX(atsi_codes,MATCH(loaded!S897,atsi,0))</f>
        <v>#N/A</v>
      </c>
      <c r="H897" t="e">
        <f>INDEX(lang_codes,MATCH(loaded!U897,lang,0))</f>
        <v>#N/A</v>
      </c>
      <c r="I897" s="8">
        <f>loaded!W897</f>
        <v>0</v>
      </c>
      <c r="J897" t="e">
        <f>INDEX(us_acc_codes,MATCH(loaded!Y897,us_acc,0))</f>
        <v>#N/A</v>
      </c>
      <c r="K897" t="e">
        <f>INDEX(client_codes,MATCH(loaded!AA897,client,0))</f>
        <v>#N/A</v>
      </c>
      <c r="L897" t="e">
        <f>INDEX(src_ref_codes,MATCH(loaded!AC897,src_ref,0))</f>
        <v>#N/A</v>
      </c>
      <c r="M897" s="8">
        <f>loaded!AE897</f>
        <v>0</v>
      </c>
      <c r="N897" s="8">
        <f>loaded!AG897</f>
        <v>0</v>
      </c>
      <c r="O897" t="e">
        <f>INDEX(reces_codes,MATCH(loaded!AI897,reason,0))</f>
        <v>#N/A</v>
      </c>
      <c r="P897" t="e">
        <f>INDEX(TDS_codes,MATCH(loaded!AK897,TDS,0))</f>
        <v>#N/A</v>
      </c>
      <c r="Q897" t="e">
        <f>IF(K897=2,"",INDEX(method_codes,MATCH(loaded!AM897,method,0)))</f>
        <v>#N/A</v>
      </c>
      <c r="R897" t="e">
        <f>IF(K897=2,"",INDEX(inj_codes,MATCH(loaded!AO897,inj,0)))</f>
        <v>#N/A</v>
      </c>
      <c r="S897" t="e">
        <f>IF(K897=2,"",INDEX(drug_codes,MATCH(loaded!AQ897,drug,0)))</f>
        <v>#N/A</v>
      </c>
      <c r="T897" t="e">
        <f>IF(K897=2,"",_xlfn.IFNA(INDEX(drug_codes,MATCH(loaded!AS897,drug,0)),""))</f>
        <v>#N/A</v>
      </c>
      <c r="U897" t="e">
        <f>IF(K897=2,"",_xlfn.IFNA(INDEX(drug_codes,MATCH(loaded!AU897,drug,0)),""))</f>
        <v>#N/A</v>
      </c>
      <c r="V897" t="e">
        <f>IF(K897=2,"",_xlfn.IFNA(INDEX(drug_codes,MATCH(loaded!AW897,drug,0)),""))</f>
        <v>#N/A</v>
      </c>
      <c r="W897" t="e">
        <f>IF(K897=2,"",_xlfn.IFNA(INDEX(drug_codes,MATCH(loaded!AY897,drug,0)),""))</f>
        <v>#N/A</v>
      </c>
      <c r="X897" t="e">
        <f>IF(K897=2,"",_xlfn.IFNA(INDEX(drug_codes,MATCH(loaded!BA897,drug,0)),""))</f>
        <v>#N/A</v>
      </c>
      <c r="Y897" t="e">
        <f>INDEX(MTT_codes,MATCH(loaded!BC897,MTT,0))</f>
        <v>#N/A</v>
      </c>
      <c r="Z897" t="str">
        <f>_xlfn.IFNA(INDEX(MTT_codes,MATCH(loaded!BE897,MTT,0)),"")</f>
        <v/>
      </c>
      <c r="AA897" t="str">
        <f>_xlfn.IFNA(INDEX(MTT_codes,MATCH(loaded!BG897,MTT,0)),"")</f>
        <v/>
      </c>
      <c r="AB897" t="str">
        <f>_xlfn.IFNA(INDEX(MTT_codes,MATCH(loaded!BI897,MTT,0)),"")</f>
        <v/>
      </c>
      <c r="AC897" t="str">
        <f>_xlfn.IFNA(INDEX(MTT_codes,MATCH(loaded!BK897,MTT,0)),"")</f>
        <v/>
      </c>
      <c r="AD897" t="str">
        <f>_xlfn.IFNA(INDEX(MTT_codes,MATCH(loaded!BM897,MTT,0)),"")</f>
        <v/>
      </c>
      <c r="AE897" t="e">
        <f>INDEX(liv_ar_codes,MATCH(loaded!BO897,liv_ar,0))</f>
        <v>#N/A</v>
      </c>
      <c r="AF897" t="str">
        <f>_xlfn.IFNA(INDEX(MTT_codes,MATCH(loaded!BQ897,MTT,0)),"")</f>
        <v/>
      </c>
      <c r="AG897">
        <f>_xlfn.IFNA(INDEX(mental_codes,MATCH(loaded!BS897,mental,0)),9)</f>
        <v>9</v>
      </c>
    </row>
    <row r="898" spans="1:33" x14ac:dyDescent="0.25">
      <c r="A898">
        <f>loaded!C898</f>
        <v>0</v>
      </c>
      <c r="B898">
        <f>loaded!I898</f>
        <v>0</v>
      </c>
      <c r="C898">
        <f>IF(loaded!K898="Male",1,IF(loaded!K898="Female",2,9))</f>
        <v>9</v>
      </c>
      <c r="D898" s="8">
        <f>loaded!M898</f>
        <v>0</v>
      </c>
      <c r="E898" t="str">
        <f>LEFT(loaded!O898,3)</f>
        <v/>
      </c>
      <c r="F898" t="e">
        <f>INDEX(cntry_codes,MATCH(loaded!Q898,countries,0))</f>
        <v>#N/A</v>
      </c>
      <c r="G898" t="e">
        <f>INDEX(atsi_codes,MATCH(loaded!S898,atsi,0))</f>
        <v>#N/A</v>
      </c>
      <c r="H898" t="e">
        <f>INDEX(lang_codes,MATCH(loaded!U898,lang,0))</f>
        <v>#N/A</v>
      </c>
      <c r="I898" s="8">
        <f>loaded!W898</f>
        <v>0</v>
      </c>
      <c r="J898" t="e">
        <f>INDEX(us_acc_codes,MATCH(loaded!Y898,us_acc,0))</f>
        <v>#N/A</v>
      </c>
      <c r="K898" t="e">
        <f>INDEX(client_codes,MATCH(loaded!AA898,client,0))</f>
        <v>#N/A</v>
      </c>
      <c r="L898" t="e">
        <f>INDEX(src_ref_codes,MATCH(loaded!AC898,src_ref,0))</f>
        <v>#N/A</v>
      </c>
      <c r="M898" s="8">
        <f>loaded!AE898</f>
        <v>0</v>
      </c>
      <c r="N898" s="8">
        <f>loaded!AG898</f>
        <v>0</v>
      </c>
      <c r="O898" t="e">
        <f>INDEX(reces_codes,MATCH(loaded!AI898,reason,0))</f>
        <v>#N/A</v>
      </c>
      <c r="P898" t="e">
        <f>INDEX(TDS_codes,MATCH(loaded!AK898,TDS,0))</f>
        <v>#N/A</v>
      </c>
      <c r="Q898" t="e">
        <f>IF(K898=2,"",INDEX(method_codes,MATCH(loaded!AM898,method,0)))</f>
        <v>#N/A</v>
      </c>
      <c r="R898" t="e">
        <f>IF(K898=2,"",INDEX(inj_codes,MATCH(loaded!AO898,inj,0)))</f>
        <v>#N/A</v>
      </c>
      <c r="S898" t="e">
        <f>IF(K898=2,"",INDEX(drug_codes,MATCH(loaded!AQ898,drug,0)))</f>
        <v>#N/A</v>
      </c>
      <c r="T898" t="e">
        <f>IF(K898=2,"",_xlfn.IFNA(INDEX(drug_codes,MATCH(loaded!AS898,drug,0)),""))</f>
        <v>#N/A</v>
      </c>
      <c r="U898" t="e">
        <f>IF(K898=2,"",_xlfn.IFNA(INDEX(drug_codes,MATCH(loaded!AU898,drug,0)),""))</f>
        <v>#N/A</v>
      </c>
      <c r="V898" t="e">
        <f>IF(K898=2,"",_xlfn.IFNA(INDEX(drug_codes,MATCH(loaded!AW898,drug,0)),""))</f>
        <v>#N/A</v>
      </c>
      <c r="W898" t="e">
        <f>IF(K898=2,"",_xlfn.IFNA(INDEX(drug_codes,MATCH(loaded!AY898,drug,0)),""))</f>
        <v>#N/A</v>
      </c>
      <c r="X898" t="e">
        <f>IF(K898=2,"",_xlfn.IFNA(INDEX(drug_codes,MATCH(loaded!BA898,drug,0)),""))</f>
        <v>#N/A</v>
      </c>
      <c r="Y898" t="e">
        <f>INDEX(MTT_codes,MATCH(loaded!BC898,MTT,0))</f>
        <v>#N/A</v>
      </c>
      <c r="Z898" t="str">
        <f>_xlfn.IFNA(INDEX(MTT_codes,MATCH(loaded!BE898,MTT,0)),"")</f>
        <v/>
      </c>
      <c r="AA898" t="str">
        <f>_xlfn.IFNA(INDEX(MTT_codes,MATCH(loaded!BG898,MTT,0)),"")</f>
        <v/>
      </c>
      <c r="AB898" t="str">
        <f>_xlfn.IFNA(INDEX(MTT_codes,MATCH(loaded!BI898,MTT,0)),"")</f>
        <v/>
      </c>
      <c r="AC898" t="str">
        <f>_xlfn.IFNA(INDEX(MTT_codes,MATCH(loaded!BK898,MTT,0)),"")</f>
        <v/>
      </c>
      <c r="AD898" t="str">
        <f>_xlfn.IFNA(INDEX(MTT_codes,MATCH(loaded!BM898,MTT,0)),"")</f>
        <v/>
      </c>
      <c r="AE898" t="e">
        <f>INDEX(liv_ar_codes,MATCH(loaded!BO898,liv_ar,0))</f>
        <v>#N/A</v>
      </c>
      <c r="AF898" t="str">
        <f>_xlfn.IFNA(INDEX(MTT_codes,MATCH(loaded!BQ898,MTT,0)),"")</f>
        <v/>
      </c>
      <c r="AG898">
        <f>_xlfn.IFNA(INDEX(mental_codes,MATCH(loaded!BS898,mental,0)),9)</f>
        <v>9</v>
      </c>
    </row>
    <row r="899" spans="1:33" x14ac:dyDescent="0.25">
      <c r="A899">
        <f>loaded!C899</f>
        <v>0</v>
      </c>
      <c r="B899">
        <f>loaded!I899</f>
        <v>0</v>
      </c>
      <c r="C899">
        <f>IF(loaded!K899="Male",1,IF(loaded!K899="Female",2,9))</f>
        <v>9</v>
      </c>
      <c r="D899" s="8">
        <f>loaded!M899</f>
        <v>0</v>
      </c>
      <c r="E899" t="str">
        <f>LEFT(loaded!O899,3)</f>
        <v/>
      </c>
      <c r="F899" t="e">
        <f>INDEX(cntry_codes,MATCH(loaded!Q899,countries,0))</f>
        <v>#N/A</v>
      </c>
      <c r="G899" t="e">
        <f>INDEX(atsi_codes,MATCH(loaded!S899,atsi,0))</f>
        <v>#N/A</v>
      </c>
      <c r="H899" t="e">
        <f>INDEX(lang_codes,MATCH(loaded!U899,lang,0))</f>
        <v>#N/A</v>
      </c>
      <c r="I899" s="8">
        <f>loaded!W899</f>
        <v>0</v>
      </c>
      <c r="J899" t="e">
        <f>INDEX(us_acc_codes,MATCH(loaded!Y899,us_acc,0))</f>
        <v>#N/A</v>
      </c>
      <c r="K899" t="e">
        <f>INDEX(client_codes,MATCH(loaded!AA899,client,0))</f>
        <v>#N/A</v>
      </c>
      <c r="L899" t="e">
        <f>INDEX(src_ref_codes,MATCH(loaded!AC899,src_ref,0))</f>
        <v>#N/A</v>
      </c>
      <c r="M899" s="8">
        <f>loaded!AE899</f>
        <v>0</v>
      </c>
      <c r="N899" s="8">
        <f>loaded!AG899</f>
        <v>0</v>
      </c>
      <c r="O899" t="e">
        <f>INDEX(reces_codes,MATCH(loaded!AI899,reason,0))</f>
        <v>#N/A</v>
      </c>
      <c r="P899" t="e">
        <f>INDEX(TDS_codes,MATCH(loaded!AK899,TDS,0))</f>
        <v>#N/A</v>
      </c>
      <c r="Q899" t="e">
        <f>IF(K899=2,"",INDEX(method_codes,MATCH(loaded!AM899,method,0)))</f>
        <v>#N/A</v>
      </c>
      <c r="R899" t="e">
        <f>IF(K899=2,"",INDEX(inj_codes,MATCH(loaded!AO899,inj,0)))</f>
        <v>#N/A</v>
      </c>
      <c r="S899" t="e">
        <f>IF(K899=2,"",INDEX(drug_codes,MATCH(loaded!AQ899,drug,0)))</f>
        <v>#N/A</v>
      </c>
      <c r="T899" t="e">
        <f>IF(K899=2,"",_xlfn.IFNA(INDEX(drug_codes,MATCH(loaded!AS899,drug,0)),""))</f>
        <v>#N/A</v>
      </c>
      <c r="U899" t="e">
        <f>IF(K899=2,"",_xlfn.IFNA(INDEX(drug_codes,MATCH(loaded!AU899,drug,0)),""))</f>
        <v>#N/A</v>
      </c>
      <c r="V899" t="e">
        <f>IF(K899=2,"",_xlfn.IFNA(INDEX(drug_codes,MATCH(loaded!AW899,drug,0)),""))</f>
        <v>#N/A</v>
      </c>
      <c r="W899" t="e">
        <f>IF(K899=2,"",_xlfn.IFNA(INDEX(drug_codes,MATCH(loaded!AY899,drug,0)),""))</f>
        <v>#N/A</v>
      </c>
      <c r="X899" t="e">
        <f>IF(K899=2,"",_xlfn.IFNA(INDEX(drug_codes,MATCH(loaded!BA899,drug,0)),""))</f>
        <v>#N/A</v>
      </c>
      <c r="Y899" t="e">
        <f>INDEX(MTT_codes,MATCH(loaded!BC899,MTT,0))</f>
        <v>#N/A</v>
      </c>
      <c r="Z899" t="str">
        <f>_xlfn.IFNA(INDEX(MTT_codes,MATCH(loaded!BE899,MTT,0)),"")</f>
        <v/>
      </c>
      <c r="AA899" t="str">
        <f>_xlfn.IFNA(INDEX(MTT_codes,MATCH(loaded!BG899,MTT,0)),"")</f>
        <v/>
      </c>
      <c r="AB899" t="str">
        <f>_xlfn.IFNA(INDEX(MTT_codes,MATCH(loaded!BI899,MTT,0)),"")</f>
        <v/>
      </c>
      <c r="AC899" t="str">
        <f>_xlfn.IFNA(INDEX(MTT_codes,MATCH(loaded!BK899,MTT,0)),"")</f>
        <v/>
      </c>
      <c r="AD899" t="str">
        <f>_xlfn.IFNA(INDEX(MTT_codes,MATCH(loaded!BM899,MTT,0)),"")</f>
        <v/>
      </c>
      <c r="AE899" t="e">
        <f>INDEX(liv_ar_codes,MATCH(loaded!BO899,liv_ar,0))</f>
        <v>#N/A</v>
      </c>
      <c r="AF899" t="str">
        <f>_xlfn.IFNA(INDEX(MTT_codes,MATCH(loaded!BQ899,MTT,0)),"")</f>
        <v/>
      </c>
      <c r="AG899">
        <f>_xlfn.IFNA(INDEX(mental_codes,MATCH(loaded!BS899,mental,0)),9)</f>
        <v>9</v>
      </c>
    </row>
    <row r="900" spans="1:33" x14ac:dyDescent="0.25">
      <c r="A900">
        <f>loaded!C900</f>
        <v>0</v>
      </c>
      <c r="B900">
        <f>loaded!I900</f>
        <v>0</v>
      </c>
      <c r="C900">
        <f>IF(loaded!K900="Male",1,IF(loaded!K900="Female",2,9))</f>
        <v>9</v>
      </c>
      <c r="D900" s="8">
        <f>loaded!M900</f>
        <v>0</v>
      </c>
      <c r="E900" t="str">
        <f>LEFT(loaded!O900,3)</f>
        <v/>
      </c>
      <c r="F900" t="e">
        <f>INDEX(cntry_codes,MATCH(loaded!Q900,countries,0))</f>
        <v>#N/A</v>
      </c>
      <c r="G900" t="e">
        <f>INDEX(atsi_codes,MATCH(loaded!S900,atsi,0))</f>
        <v>#N/A</v>
      </c>
      <c r="H900" t="e">
        <f>INDEX(lang_codes,MATCH(loaded!U900,lang,0))</f>
        <v>#N/A</v>
      </c>
      <c r="I900" s="8">
        <f>loaded!W900</f>
        <v>0</v>
      </c>
      <c r="J900" t="e">
        <f>INDEX(us_acc_codes,MATCH(loaded!Y900,us_acc,0))</f>
        <v>#N/A</v>
      </c>
      <c r="K900" t="e">
        <f>INDEX(client_codes,MATCH(loaded!AA900,client,0))</f>
        <v>#N/A</v>
      </c>
      <c r="L900" t="e">
        <f>INDEX(src_ref_codes,MATCH(loaded!AC900,src_ref,0))</f>
        <v>#N/A</v>
      </c>
      <c r="M900" s="8">
        <f>loaded!AE900</f>
        <v>0</v>
      </c>
      <c r="N900" s="8">
        <f>loaded!AG900</f>
        <v>0</v>
      </c>
      <c r="O900" t="e">
        <f>INDEX(reces_codes,MATCH(loaded!AI900,reason,0))</f>
        <v>#N/A</v>
      </c>
      <c r="P900" t="e">
        <f>INDEX(TDS_codes,MATCH(loaded!AK900,TDS,0))</f>
        <v>#N/A</v>
      </c>
      <c r="Q900" t="e">
        <f>IF(K900=2,"",INDEX(method_codes,MATCH(loaded!AM900,method,0)))</f>
        <v>#N/A</v>
      </c>
      <c r="R900" t="e">
        <f>IF(K900=2,"",INDEX(inj_codes,MATCH(loaded!AO900,inj,0)))</f>
        <v>#N/A</v>
      </c>
      <c r="S900" t="e">
        <f>IF(K900=2,"",INDEX(drug_codes,MATCH(loaded!AQ900,drug,0)))</f>
        <v>#N/A</v>
      </c>
      <c r="T900" t="e">
        <f>IF(K900=2,"",_xlfn.IFNA(INDEX(drug_codes,MATCH(loaded!AS900,drug,0)),""))</f>
        <v>#N/A</v>
      </c>
      <c r="U900" t="e">
        <f>IF(K900=2,"",_xlfn.IFNA(INDEX(drug_codes,MATCH(loaded!AU900,drug,0)),""))</f>
        <v>#N/A</v>
      </c>
      <c r="V900" t="e">
        <f>IF(K900=2,"",_xlfn.IFNA(INDEX(drug_codes,MATCH(loaded!AW900,drug,0)),""))</f>
        <v>#N/A</v>
      </c>
      <c r="W900" t="e">
        <f>IF(K900=2,"",_xlfn.IFNA(INDEX(drug_codes,MATCH(loaded!AY900,drug,0)),""))</f>
        <v>#N/A</v>
      </c>
      <c r="X900" t="e">
        <f>IF(K900=2,"",_xlfn.IFNA(INDEX(drug_codes,MATCH(loaded!BA900,drug,0)),""))</f>
        <v>#N/A</v>
      </c>
      <c r="Y900" t="e">
        <f>INDEX(MTT_codes,MATCH(loaded!BC900,MTT,0))</f>
        <v>#N/A</v>
      </c>
      <c r="Z900" t="str">
        <f>_xlfn.IFNA(INDEX(MTT_codes,MATCH(loaded!BE900,MTT,0)),"")</f>
        <v/>
      </c>
      <c r="AA900" t="str">
        <f>_xlfn.IFNA(INDEX(MTT_codes,MATCH(loaded!BG900,MTT,0)),"")</f>
        <v/>
      </c>
      <c r="AB900" t="str">
        <f>_xlfn.IFNA(INDEX(MTT_codes,MATCH(loaded!BI900,MTT,0)),"")</f>
        <v/>
      </c>
      <c r="AC900" t="str">
        <f>_xlfn.IFNA(INDEX(MTT_codes,MATCH(loaded!BK900,MTT,0)),"")</f>
        <v/>
      </c>
      <c r="AD900" t="str">
        <f>_xlfn.IFNA(INDEX(MTT_codes,MATCH(loaded!BM900,MTT,0)),"")</f>
        <v/>
      </c>
      <c r="AE900" t="e">
        <f>INDEX(liv_ar_codes,MATCH(loaded!BO900,liv_ar,0))</f>
        <v>#N/A</v>
      </c>
      <c r="AF900" t="str">
        <f>_xlfn.IFNA(INDEX(MTT_codes,MATCH(loaded!BQ900,MTT,0)),"")</f>
        <v/>
      </c>
      <c r="AG900">
        <f>_xlfn.IFNA(INDEX(mental_codes,MATCH(loaded!BS900,mental,0)),9)</f>
        <v>9</v>
      </c>
    </row>
    <row r="901" spans="1:33" x14ac:dyDescent="0.25">
      <c r="A901">
        <f>loaded!C901</f>
        <v>0</v>
      </c>
      <c r="B901">
        <f>loaded!I901</f>
        <v>0</v>
      </c>
      <c r="C901">
        <f>IF(loaded!K901="Male",1,IF(loaded!K901="Female",2,9))</f>
        <v>9</v>
      </c>
      <c r="D901" s="8">
        <f>loaded!M901</f>
        <v>0</v>
      </c>
      <c r="E901" t="str">
        <f>LEFT(loaded!O901,3)</f>
        <v/>
      </c>
      <c r="F901" t="e">
        <f>INDEX(cntry_codes,MATCH(loaded!Q901,countries,0))</f>
        <v>#N/A</v>
      </c>
      <c r="G901" t="e">
        <f>INDEX(atsi_codes,MATCH(loaded!S901,atsi,0))</f>
        <v>#N/A</v>
      </c>
      <c r="H901" t="e">
        <f>INDEX(lang_codes,MATCH(loaded!U901,lang,0))</f>
        <v>#N/A</v>
      </c>
      <c r="I901" s="8">
        <f>loaded!W901</f>
        <v>0</v>
      </c>
      <c r="J901" t="e">
        <f>INDEX(us_acc_codes,MATCH(loaded!Y901,us_acc,0))</f>
        <v>#N/A</v>
      </c>
      <c r="K901" t="e">
        <f>INDEX(client_codes,MATCH(loaded!AA901,client,0))</f>
        <v>#N/A</v>
      </c>
      <c r="L901" t="e">
        <f>INDEX(src_ref_codes,MATCH(loaded!AC901,src_ref,0))</f>
        <v>#N/A</v>
      </c>
      <c r="M901" s="8">
        <f>loaded!AE901</f>
        <v>0</v>
      </c>
      <c r="N901" s="8">
        <f>loaded!AG901</f>
        <v>0</v>
      </c>
      <c r="O901" t="e">
        <f>INDEX(reces_codes,MATCH(loaded!AI901,reason,0))</f>
        <v>#N/A</v>
      </c>
      <c r="P901" t="e">
        <f>INDEX(TDS_codes,MATCH(loaded!AK901,TDS,0))</f>
        <v>#N/A</v>
      </c>
      <c r="Q901" t="e">
        <f>IF(K901=2,"",INDEX(method_codes,MATCH(loaded!AM901,method,0)))</f>
        <v>#N/A</v>
      </c>
      <c r="R901" t="e">
        <f>IF(K901=2,"",INDEX(inj_codes,MATCH(loaded!AO901,inj,0)))</f>
        <v>#N/A</v>
      </c>
      <c r="S901" t="e">
        <f>IF(K901=2,"",INDEX(drug_codes,MATCH(loaded!AQ901,drug,0)))</f>
        <v>#N/A</v>
      </c>
      <c r="T901" t="e">
        <f>IF(K901=2,"",_xlfn.IFNA(INDEX(drug_codes,MATCH(loaded!AS901,drug,0)),""))</f>
        <v>#N/A</v>
      </c>
      <c r="U901" t="e">
        <f>IF(K901=2,"",_xlfn.IFNA(INDEX(drug_codes,MATCH(loaded!AU901,drug,0)),""))</f>
        <v>#N/A</v>
      </c>
      <c r="V901" t="e">
        <f>IF(K901=2,"",_xlfn.IFNA(INDEX(drug_codes,MATCH(loaded!AW901,drug,0)),""))</f>
        <v>#N/A</v>
      </c>
      <c r="W901" t="e">
        <f>IF(K901=2,"",_xlfn.IFNA(INDEX(drug_codes,MATCH(loaded!AY901,drug,0)),""))</f>
        <v>#N/A</v>
      </c>
      <c r="X901" t="e">
        <f>IF(K901=2,"",_xlfn.IFNA(INDEX(drug_codes,MATCH(loaded!BA901,drug,0)),""))</f>
        <v>#N/A</v>
      </c>
      <c r="Y901" t="e">
        <f>INDEX(MTT_codes,MATCH(loaded!BC901,MTT,0))</f>
        <v>#N/A</v>
      </c>
      <c r="Z901" t="str">
        <f>_xlfn.IFNA(INDEX(MTT_codes,MATCH(loaded!BE901,MTT,0)),"")</f>
        <v/>
      </c>
      <c r="AA901" t="str">
        <f>_xlfn.IFNA(INDEX(MTT_codes,MATCH(loaded!BG901,MTT,0)),"")</f>
        <v/>
      </c>
      <c r="AB901" t="str">
        <f>_xlfn.IFNA(INDEX(MTT_codes,MATCH(loaded!BI901,MTT,0)),"")</f>
        <v/>
      </c>
      <c r="AC901" t="str">
        <f>_xlfn.IFNA(INDEX(MTT_codes,MATCH(loaded!BK901,MTT,0)),"")</f>
        <v/>
      </c>
      <c r="AD901" t="str">
        <f>_xlfn.IFNA(INDEX(MTT_codes,MATCH(loaded!BM901,MTT,0)),"")</f>
        <v/>
      </c>
      <c r="AE901" t="e">
        <f>INDEX(liv_ar_codes,MATCH(loaded!BO901,liv_ar,0))</f>
        <v>#N/A</v>
      </c>
      <c r="AF901" t="str">
        <f>_xlfn.IFNA(INDEX(MTT_codes,MATCH(loaded!BQ901,MTT,0)),"")</f>
        <v/>
      </c>
      <c r="AG901">
        <f>_xlfn.IFNA(INDEX(mental_codes,MATCH(loaded!BS901,mental,0)),9)</f>
        <v>9</v>
      </c>
    </row>
    <row r="902" spans="1:33" x14ac:dyDescent="0.25">
      <c r="A902">
        <f>loaded!C902</f>
        <v>0</v>
      </c>
      <c r="B902">
        <f>loaded!I902</f>
        <v>0</v>
      </c>
      <c r="C902">
        <f>IF(loaded!K902="Male",1,IF(loaded!K902="Female",2,9))</f>
        <v>9</v>
      </c>
      <c r="D902" s="8">
        <f>loaded!M902</f>
        <v>0</v>
      </c>
      <c r="E902" t="str">
        <f>LEFT(loaded!O902,3)</f>
        <v/>
      </c>
      <c r="F902" t="e">
        <f>INDEX(cntry_codes,MATCH(loaded!Q902,countries,0))</f>
        <v>#N/A</v>
      </c>
      <c r="G902" t="e">
        <f>INDEX(atsi_codes,MATCH(loaded!S902,atsi,0))</f>
        <v>#N/A</v>
      </c>
      <c r="H902" t="e">
        <f>INDEX(lang_codes,MATCH(loaded!U902,lang,0))</f>
        <v>#N/A</v>
      </c>
      <c r="I902" s="8">
        <f>loaded!W902</f>
        <v>0</v>
      </c>
      <c r="J902" t="e">
        <f>INDEX(us_acc_codes,MATCH(loaded!Y902,us_acc,0))</f>
        <v>#N/A</v>
      </c>
      <c r="K902" t="e">
        <f>INDEX(client_codes,MATCH(loaded!AA902,client,0))</f>
        <v>#N/A</v>
      </c>
      <c r="L902" t="e">
        <f>INDEX(src_ref_codes,MATCH(loaded!AC902,src_ref,0))</f>
        <v>#N/A</v>
      </c>
      <c r="M902" s="8">
        <f>loaded!AE902</f>
        <v>0</v>
      </c>
      <c r="N902" s="8">
        <f>loaded!AG902</f>
        <v>0</v>
      </c>
      <c r="O902" t="e">
        <f>INDEX(reces_codes,MATCH(loaded!AI902,reason,0))</f>
        <v>#N/A</v>
      </c>
      <c r="P902" t="e">
        <f>INDEX(TDS_codes,MATCH(loaded!AK902,TDS,0))</f>
        <v>#N/A</v>
      </c>
      <c r="Q902" t="e">
        <f>IF(K902=2,"",INDEX(method_codes,MATCH(loaded!AM902,method,0)))</f>
        <v>#N/A</v>
      </c>
      <c r="R902" t="e">
        <f>IF(K902=2,"",INDEX(inj_codes,MATCH(loaded!AO902,inj,0)))</f>
        <v>#N/A</v>
      </c>
      <c r="S902" t="e">
        <f>IF(K902=2,"",INDEX(drug_codes,MATCH(loaded!AQ902,drug,0)))</f>
        <v>#N/A</v>
      </c>
      <c r="T902" t="e">
        <f>IF(K902=2,"",_xlfn.IFNA(INDEX(drug_codes,MATCH(loaded!AS902,drug,0)),""))</f>
        <v>#N/A</v>
      </c>
      <c r="U902" t="e">
        <f>IF(K902=2,"",_xlfn.IFNA(INDEX(drug_codes,MATCH(loaded!AU902,drug,0)),""))</f>
        <v>#N/A</v>
      </c>
      <c r="V902" t="e">
        <f>IF(K902=2,"",_xlfn.IFNA(INDEX(drug_codes,MATCH(loaded!AW902,drug,0)),""))</f>
        <v>#N/A</v>
      </c>
      <c r="W902" t="e">
        <f>IF(K902=2,"",_xlfn.IFNA(INDEX(drug_codes,MATCH(loaded!AY902,drug,0)),""))</f>
        <v>#N/A</v>
      </c>
      <c r="X902" t="e">
        <f>IF(K902=2,"",_xlfn.IFNA(INDEX(drug_codes,MATCH(loaded!BA902,drug,0)),""))</f>
        <v>#N/A</v>
      </c>
      <c r="Y902" t="e">
        <f>INDEX(MTT_codes,MATCH(loaded!BC902,MTT,0))</f>
        <v>#N/A</v>
      </c>
      <c r="Z902" t="str">
        <f>_xlfn.IFNA(INDEX(MTT_codes,MATCH(loaded!BE902,MTT,0)),"")</f>
        <v/>
      </c>
      <c r="AA902" t="str">
        <f>_xlfn.IFNA(INDEX(MTT_codes,MATCH(loaded!BG902,MTT,0)),"")</f>
        <v/>
      </c>
      <c r="AB902" t="str">
        <f>_xlfn.IFNA(INDEX(MTT_codes,MATCH(loaded!BI902,MTT,0)),"")</f>
        <v/>
      </c>
      <c r="AC902" t="str">
        <f>_xlfn.IFNA(INDEX(MTT_codes,MATCH(loaded!BK902,MTT,0)),"")</f>
        <v/>
      </c>
      <c r="AD902" t="str">
        <f>_xlfn.IFNA(INDEX(MTT_codes,MATCH(loaded!BM902,MTT,0)),"")</f>
        <v/>
      </c>
      <c r="AE902" t="e">
        <f>INDEX(liv_ar_codes,MATCH(loaded!BO902,liv_ar,0))</f>
        <v>#N/A</v>
      </c>
      <c r="AF902" t="str">
        <f>_xlfn.IFNA(INDEX(MTT_codes,MATCH(loaded!BQ902,MTT,0)),"")</f>
        <v/>
      </c>
      <c r="AG902">
        <f>_xlfn.IFNA(INDEX(mental_codes,MATCH(loaded!BS902,mental,0)),9)</f>
        <v>9</v>
      </c>
    </row>
    <row r="903" spans="1:33" x14ac:dyDescent="0.25">
      <c r="A903">
        <f>loaded!C903</f>
        <v>0</v>
      </c>
      <c r="B903">
        <f>loaded!I903</f>
        <v>0</v>
      </c>
      <c r="C903">
        <f>IF(loaded!K903="Male",1,IF(loaded!K903="Female",2,9))</f>
        <v>9</v>
      </c>
      <c r="D903" s="8">
        <f>loaded!M903</f>
        <v>0</v>
      </c>
      <c r="E903" t="str">
        <f>LEFT(loaded!O903,3)</f>
        <v/>
      </c>
      <c r="F903" t="e">
        <f>INDEX(cntry_codes,MATCH(loaded!Q903,countries,0))</f>
        <v>#N/A</v>
      </c>
      <c r="G903" t="e">
        <f>INDEX(atsi_codes,MATCH(loaded!S903,atsi,0))</f>
        <v>#N/A</v>
      </c>
      <c r="H903" t="e">
        <f>INDEX(lang_codes,MATCH(loaded!U903,lang,0))</f>
        <v>#N/A</v>
      </c>
      <c r="I903" s="8">
        <f>loaded!W903</f>
        <v>0</v>
      </c>
      <c r="J903" t="e">
        <f>INDEX(us_acc_codes,MATCH(loaded!Y903,us_acc,0))</f>
        <v>#N/A</v>
      </c>
      <c r="K903" t="e">
        <f>INDEX(client_codes,MATCH(loaded!AA903,client,0))</f>
        <v>#N/A</v>
      </c>
      <c r="L903" t="e">
        <f>INDEX(src_ref_codes,MATCH(loaded!AC903,src_ref,0))</f>
        <v>#N/A</v>
      </c>
      <c r="M903" s="8">
        <f>loaded!AE903</f>
        <v>0</v>
      </c>
      <c r="N903" s="8">
        <f>loaded!AG903</f>
        <v>0</v>
      </c>
      <c r="O903" t="e">
        <f>INDEX(reces_codes,MATCH(loaded!AI903,reason,0))</f>
        <v>#N/A</v>
      </c>
      <c r="P903" t="e">
        <f>INDEX(TDS_codes,MATCH(loaded!AK903,TDS,0))</f>
        <v>#N/A</v>
      </c>
      <c r="Q903" t="e">
        <f>IF(K903=2,"",INDEX(method_codes,MATCH(loaded!AM903,method,0)))</f>
        <v>#N/A</v>
      </c>
      <c r="R903" t="e">
        <f>IF(K903=2,"",INDEX(inj_codes,MATCH(loaded!AO903,inj,0)))</f>
        <v>#N/A</v>
      </c>
      <c r="S903" t="e">
        <f>IF(K903=2,"",INDEX(drug_codes,MATCH(loaded!AQ903,drug,0)))</f>
        <v>#N/A</v>
      </c>
      <c r="T903" t="e">
        <f>IF(K903=2,"",_xlfn.IFNA(INDEX(drug_codes,MATCH(loaded!AS903,drug,0)),""))</f>
        <v>#N/A</v>
      </c>
      <c r="U903" t="e">
        <f>IF(K903=2,"",_xlfn.IFNA(INDEX(drug_codes,MATCH(loaded!AU903,drug,0)),""))</f>
        <v>#N/A</v>
      </c>
      <c r="V903" t="e">
        <f>IF(K903=2,"",_xlfn.IFNA(INDEX(drug_codes,MATCH(loaded!AW903,drug,0)),""))</f>
        <v>#N/A</v>
      </c>
      <c r="W903" t="e">
        <f>IF(K903=2,"",_xlfn.IFNA(INDEX(drug_codes,MATCH(loaded!AY903,drug,0)),""))</f>
        <v>#N/A</v>
      </c>
      <c r="X903" t="e">
        <f>IF(K903=2,"",_xlfn.IFNA(INDEX(drug_codes,MATCH(loaded!BA903,drug,0)),""))</f>
        <v>#N/A</v>
      </c>
      <c r="Y903" t="e">
        <f>INDEX(MTT_codes,MATCH(loaded!BC903,MTT,0))</f>
        <v>#N/A</v>
      </c>
      <c r="Z903" t="str">
        <f>_xlfn.IFNA(INDEX(MTT_codes,MATCH(loaded!BE903,MTT,0)),"")</f>
        <v/>
      </c>
      <c r="AA903" t="str">
        <f>_xlfn.IFNA(INDEX(MTT_codes,MATCH(loaded!BG903,MTT,0)),"")</f>
        <v/>
      </c>
      <c r="AB903" t="str">
        <f>_xlfn.IFNA(INDEX(MTT_codes,MATCH(loaded!BI903,MTT,0)),"")</f>
        <v/>
      </c>
      <c r="AC903" t="str">
        <f>_xlfn.IFNA(INDEX(MTT_codes,MATCH(loaded!BK903,MTT,0)),"")</f>
        <v/>
      </c>
      <c r="AD903" t="str">
        <f>_xlfn.IFNA(INDEX(MTT_codes,MATCH(loaded!BM903,MTT,0)),"")</f>
        <v/>
      </c>
      <c r="AE903" t="e">
        <f>INDEX(liv_ar_codes,MATCH(loaded!BO903,liv_ar,0))</f>
        <v>#N/A</v>
      </c>
      <c r="AF903" t="str">
        <f>_xlfn.IFNA(INDEX(MTT_codes,MATCH(loaded!BQ903,MTT,0)),"")</f>
        <v/>
      </c>
      <c r="AG903">
        <f>_xlfn.IFNA(INDEX(mental_codes,MATCH(loaded!BS903,mental,0)),9)</f>
        <v>9</v>
      </c>
    </row>
    <row r="904" spans="1:33" x14ac:dyDescent="0.25">
      <c r="A904">
        <f>loaded!C904</f>
        <v>0</v>
      </c>
      <c r="B904">
        <f>loaded!I904</f>
        <v>0</v>
      </c>
      <c r="C904">
        <f>IF(loaded!K904="Male",1,IF(loaded!K904="Female",2,9))</f>
        <v>9</v>
      </c>
      <c r="D904" s="8">
        <f>loaded!M904</f>
        <v>0</v>
      </c>
      <c r="E904" t="str">
        <f>LEFT(loaded!O904,3)</f>
        <v/>
      </c>
      <c r="F904" t="e">
        <f>INDEX(cntry_codes,MATCH(loaded!Q904,countries,0))</f>
        <v>#N/A</v>
      </c>
      <c r="G904" t="e">
        <f>INDEX(atsi_codes,MATCH(loaded!S904,atsi,0))</f>
        <v>#N/A</v>
      </c>
      <c r="H904" t="e">
        <f>INDEX(lang_codes,MATCH(loaded!U904,lang,0))</f>
        <v>#N/A</v>
      </c>
      <c r="I904" s="8">
        <f>loaded!W904</f>
        <v>0</v>
      </c>
      <c r="J904" t="e">
        <f>INDEX(us_acc_codes,MATCH(loaded!Y904,us_acc,0))</f>
        <v>#N/A</v>
      </c>
      <c r="K904" t="e">
        <f>INDEX(client_codes,MATCH(loaded!AA904,client,0))</f>
        <v>#N/A</v>
      </c>
      <c r="L904" t="e">
        <f>INDEX(src_ref_codes,MATCH(loaded!AC904,src_ref,0))</f>
        <v>#N/A</v>
      </c>
      <c r="M904" s="8">
        <f>loaded!AE904</f>
        <v>0</v>
      </c>
      <c r="N904" s="8">
        <f>loaded!AG904</f>
        <v>0</v>
      </c>
      <c r="O904" t="e">
        <f>INDEX(reces_codes,MATCH(loaded!AI904,reason,0))</f>
        <v>#N/A</v>
      </c>
      <c r="P904" t="e">
        <f>INDEX(TDS_codes,MATCH(loaded!AK904,TDS,0))</f>
        <v>#N/A</v>
      </c>
      <c r="Q904" t="e">
        <f>IF(K904=2,"",INDEX(method_codes,MATCH(loaded!AM904,method,0)))</f>
        <v>#N/A</v>
      </c>
      <c r="R904" t="e">
        <f>IF(K904=2,"",INDEX(inj_codes,MATCH(loaded!AO904,inj,0)))</f>
        <v>#N/A</v>
      </c>
      <c r="S904" t="e">
        <f>IF(K904=2,"",INDEX(drug_codes,MATCH(loaded!AQ904,drug,0)))</f>
        <v>#N/A</v>
      </c>
      <c r="T904" t="e">
        <f>IF(K904=2,"",_xlfn.IFNA(INDEX(drug_codes,MATCH(loaded!AS904,drug,0)),""))</f>
        <v>#N/A</v>
      </c>
      <c r="U904" t="e">
        <f>IF(K904=2,"",_xlfn.IFNA(INDEX(drug_codes,MATCH(loaded!AU904,drug,0)),""))</f>
        <v>#N/A</v>
      </c>
      <c r="V904" t="e">
        <f>IF(K904=2,"",_xlfn.IFNA(INDEX(drug_codes,MATCH(loaded!AW904,drug,0)),""))</f>
        <v>#N/A</v>
      </c>
      <c r="W904" t="e">
        <f>IF(K904=2,"",_xlfn.IFNA(INDEX(drug_codes,MATCH(loaded!AY904,drug,0)),""))</f>
        <v>#N/A</v>
      </c>
      <c r="X904" t="e">
        <f>IF(K904=2,"",_xlfn.IFNA(INDEX(drug_codes,MATCH(loaded!BA904,drug,0)),""))</f>
        <v>#N/A</v>
      </c>
      <c r="Y904" t="e">
        <f>INDEX(MTT_codes,MATCH(loaded!BC904,MTT,0))</f>
        <v>#N/A</v>
      </c>
      <c r="Z904" t="str">
        <f>_xlfn.IFNA(INDEX(MTT_codes,MATCH(loaded!BE904,MTT,0)),"")</f>
        <v/>
      </c>
      <c r="AA904" t="str">
        <f>_xlfn.IFNA(INDEX(MTT_codes,MATCH(loaded!BG904,MTT,0)),"")</f>
        <v/>
      </c>
      <c r="AB904" t="str">
        <f>_xlfn.IFNA(INDEX(MTT_codes,MATCH(loaded!BI904,MTT,0)),"")</f>
        <v/>
      </c>
      <c r="AC904" t="str">
        <f>_xlfn.IFNA(INDEX(MTT_codes,MATCH(loaded!BK904,MTT,0)),"")</f>
        <v/>
      </c>
      <c r="AD904" t="str">
        <f>_xlfn.IFNA(INDEX(MTT_codes,MATCH(loaded!BM904,MTT,0)),"")</f>
        <v/>
      </c>
      <c r="AE904" t="e">
        <f>INDEX(liv_ar_codes,MATCH(loaded!BO904,liv_ar,0))</f>
        <v>#N/A</v>
      </c>
      <c r="AF904" t="str">
        <f>_xlfn.IFNA(INDEX(MTT_codes,MATCH(loaded!BQ904,MTT,0)),"")</f>
        <v/>
      </c>
      <c r="AG904">
        <f>_xlfn.IFNA(INDEX(mental_codes,MATCH(loaded!BS904,mental,0)),9)</f>
        <v>9</v>
      </c>
    </row>
    <row r="905" spans="1:33" x14ac:dyDescent="0.25">
      <c r="A905">
        <f>loaded!C905</f>
        <v>0</v>
      </c>
      <c r="B905">
        <f>loaded!I905</f>
        <v>0</v>
      </c>
      <c r="C905">
        <f>IF(loaded!K905="Male",1,IF(loaded!K905="Female",2,9))</f>
        <v>9</v>
      </c>
      <c r="D905" s="8">
        <f>loaded!M905</f>
        <v>0</v>
      </c>
      <c r="E905" t="str">
        <f>LEFT(loaded!O905,3)</f>
        <v/>
      </c>
      <c r="F905" t="e">
        <f>INDEX(cntry_codes,MATCH(loaded!Q905,countries,0))</f>
        <v>#N/A</v>
      </c>
      <c r="G905" t="e">
        <f>INDEX(atsi_codes,MATCH(loaded!S905,atsi,0))</f>
        <v>#N/A</v>
      </c>
      <c r="H905" t="e">
        <f>INDEX(lang_codes,MATCH(loaded!U905,lang,0))</f>
        <v>#N/A</v>
      </c>
      <c r="I905" s="8">
        <f>loaded!W905</f>
        <v>0</v>
      </c>
      <c r="J905" t="e">
        <f>INDEX(us_acc_codes,MATCH(loaded!Y905,us_acc,0))</f>
        <v>#N/A</v>
      </c>
      <c r="K905" t="e">
        <f>INDEX(client_codes,MATCH(loaded!AA905,client,0))</f>
        <v>#N/A</v>
      </c>
      <c r="L905" t="e">
        <f>INDEX(src_ref_codes,MATCH(loaded!AC905,src_ref,0))</f>
        <v>#N/A</v>
      </c>
      <c r="M905" s="8">
        <f>loaded!AE905</f>
        <v>0</v>
      </c>
      <c r="N905" s="8">
        <f>loaded!AG905</f>
        <v>0</v>
      </c>
      <c r="O905" t="e">
        <f>INDEX(reces_codes,MATCH(loaded!AI905,reason,0))</f>
        <v>#N/A</v>
      </c>
      <c r="P905" t="e">
        <f>INDEX(TDS_codes,MATCH(loaded!AK905,TDS,0))</f>
        <v>#N/A</v>
      </c>
      <c r="Q905" t="e">
        <f>IF(K905=2,"",INDEX(method_codes,MATCH(loaded!AM905,method,0)))</f>
        <v>#N/A</v>
      </c>
      <c r="R905" t="e">
        <f>IF(K905=2,"",INDEX(inj_codes,MATCH(loaded!AO905,inj,0)))</f>
        <v>#N/A</v>
      </c>
      <c r="S905" t="e">
        <f>IF(K905=2,"",INDEX(drug_codes,MATCH(loaded!AQ905,drug,0)))</f>
        <v>#N/A</v>
      </c>
      <c r="T905" t="e">
        <f>IF(K905=2,"",_xlfn.IFNA(INDEX(drug_codes,MATCH(loaded!AS905,drug,0)),""))</f>
        <v>#N/A</v>
      </c>
      <c r="U905" t="e">
        <f>IF(K905=2,"",_xlfn.IFNA(INDEX(drug_codes,MATCH(loaded!AU905,drug,0)),""))</f>
        <v>#N/A</v>
      </c>
      <c r="V905" t="e">
        <f>IF(K905=2,"",_xlfn.IFNA(INDEX(drug_codes,MATCH(loaded!AW905,drug,0)),""))</f>
        <v>#N/A</v>
      </c>
      <c r="W905" t="e">
        <f>IF(K905=2,"",_xlfn.IFNA(INDEX(drug_codes,MATCH(loaded!AY905,drug,0)),""))</f>
        <v>#N/A</v>
      </c>
      <c r="X905" t="e">
        <f>IF(K905=2,"",_xlfn.IFNA(INDEX(drug_codes,MATCH(loaded!BA905,drug,0)),""))</f>
        <v>#N/A</v>
      </c>
      <c r="Y905" t="e">
        <f>INDEX(MTT_codes,MATCH(loaded!BC905,MTT,0))</f>
        <v>#N/A</v>
      </c>
      <c r="Z905" t="str">
        <f>_xlfn.IFNA(INDEX(MTT_codes,MATCH(loaded!BE905,MTT,0)),"")</f>
        <v/>
      </c>
      <c r="AA905" t="str">
        <f>_xlfn.IFNA(INDEX(MTT_codes,MATCH(loaded!BG905,MTT,0)),"")</f>
        <v/>
      </c>
      <c r="AB905" t="str">
        <f>_xlfn.IFNA(INDEX(MTT_codes,MATCH(loaded!BI905,MTT,0)),"")</f>
        <v/>
      </c>
      <c r="AC905" t="str">
        <f>_xlfn.IFNA(INDEX(MTT_codes,MATCH(loaded!BK905,MTT,0)),"")</f>
        <v/>
      </c>
      <c r="AD905" t="str">
        <f>_xlfn.IFNA(INDEX(MTT_codes,MATCH(loaded!BM905,MTT,0)),"")</f>
        <v/>
      </c>
      <c r="AE905" t="e">
        <f>INDEX(liv_ar_codes,MATCH(loaded!BO905,liv_ar,0))</f>
        <v>#N/A</v>
      </c>
      <c r="AF905" t="str">
        <f>_xlfn.IFNA(INDEX(MTT_codes,MATCH(loaded!BQ905,MTT,0)),"")</f>
        <v/>
      </c>
      <c r="AG905">
        <f>_xlfn.IFNA(INDEX(mental_codes,MATCH(loaded!BS905,mental,0)),9)</f>
        <v>9</v>
      </c>
    </row>
    <row r="906" spans="1:33" x14ac:dyDescent="0.25">
      <c r="A906">
        <f>loaded!C906</f>
        <v>0</v>
      </c>
      <c r="B906">
        <f>loaded!I906</f>
        <v>0</v>
      </c>
      <c r="C906">
        <f>IF(loaded!K906="Male",1,IF(loaded!K906="Female",2,9))</f>
        <v>9</v>
      </c>
      <c r="D906" s="8">
        <f>loaded!M906</f>
        <v>0</v>
      </c>
      <c r="E906" t="str">
        <f>LEFT(loaded!O906,3)</f>
        <v/>
      </c>
      <c r="F906" t="e">
        <f>INDEX(cntry_codes,MATCH(loaded!Q906,countries,0))</f>
        <v>#N/A</v>
      </c>
      <c r="G906" t="e">
        <f>INDEX(atsi_codes,MATCH(loaded!S906,atsi,0))</f>
        <v>#N/A</v>
      </c>
      <c r="H906" t="e">
        <f>INDEX(lang_codes,MATCH(loaded!U906,lang,0))</f>
        <v>#N/A</v>
      </c>
      <c r="I906" s="8">
        <f>loaded!W906</f>
        <v>0</v>
      </c>
      <c r="J906" t="e">
        <f>INDEX(us_acc_codes,MATCH(loaded!Y906,us_acc,0))</f>
        <v>#N/A</v>
      </c>
      <c r="K906" t="e">
        <f>INDEX(client_codes,MATCH(loaded!AA906,client,0))</f>
        <v>#N/A</v>
      </c>
      <c r="L906" t="e">
        <f>INDEX(src_ref_codes,MATCH(loaded!AC906,src_ref,0))</f>
        <v>#N/A</v>
      </c>
      <c r="M906" s="8">
        <f>loaded!AE906</f>
        <v>0</v>
      </c>
      <c r="N906" s="8">
        <f>loaded!AG906</f>
        <v>0</v>
      </c>
      <c r="O906" t="e">
        <f>INDEX(reces_codes,MATCH(loaded!AI906,reason,0))</f>
        <v>#N/A</v>
      </c>
      <c r="P906" t="e">
        <f>INDEX(TDS_codes,MATCH(loaded!AK906,TDS,0))</f>
        <v>#N/A</v>
      </c>
      <c r="Q906" t="e">
        <f>IF(K906=2,"",INDEX(method_codes,MATCH(loaded!AM906,method,0)))</f>
        <v>#N/A</v>
      </c>
      <c r="R906" t="e">
        <f>IF(K906=2,"",INDEX(inj_codes,MATCH(loaded!AO906,inj,0)))</f>
        <v>#N/A</v>
      </c>
      <c r="S906" t="e">
        <f>IF(K906=2,"",INDEX(drug_codes,MATCH(loaded!AQ906,drug,0)))</f>
        <v>#N/A</v>
      </c>
      <c r="T906" t="e">
        <f>IF(K906=2,"",_xlfn.IFNA(INDEX(drug_codes,MATCH(loaded!AS906,drug,0)),""))</f>
        <v>#N/A</v>
      </c>
      <c r="U906" t="e">
        <f>IF(K906=2,"",_xlfn.IFNA(INDEX(drug_codes,MATCH(loaded!AU906,drug,0)),""))</f>
        <v>#N/A</v>
      </c>
      <c r="V906" t="e">
        <f>IF(K906=2,"",_xlfn.IFNA(INDEX(drug_codes,MATCH(loaded!AW906,drug,0)),""))</f>
        <v>#N/A</v>
      </c>
      <c r="W906" t="e">
        <f>IF(K906=2,"",_xlfn.IFNA(INDEX(drug_codes,MATCH(loaded!AY906,drug,0)),""))</f>
        <v>#N/A</v>
      </c>
      <c r="X906" t="e">
        <f>IF(K906=2,"",_xlfn.IFNA(INDEX(drug_codes,MATCH(loaded!BA906,drug,0)),""))</f>
        <v>#N/A</v>
      </c>
      <c r="Y906" t="e">
        <f>INDEX(MTT_codes,MATCH(loaded!BC906,MTT,0))</f>
        <v>#N/A</v>
      </c>
      <c r="Z906" t="str">
        <f>_xlfn.IFNA(INDEX(MTT_codes,MATCH(loaded!BE906,MTT,0)),"")</f>
        <v/>
      </c>
      <c r="AA906" t="str">
        <f>_xlfn.IFNA(INDEX(MTT_codes,MATCH(loaded!BG906,MTT,0)),"")</f>
        <v/>
      </c>
      <c r="AB906" t="str">
        <f>_xlfn.IFNA(INDEX(MTT_codes,MATCH(loaded!BI906,MTT,0)),"")</f>
        <v/>
      </c>
      <c r="AC906" t="str">
        <f>_xlfn.IFNA(INDEX(MTT_codes,MATCH(loaded!BK906,MTT,0)),"")</f>
        <v/>
      </c>
      <c r="AD906" t="str">
        <f>_xlfn.IFNA(INDEX(MTT_codes,MATCH(loaded!BM906,MTT,0)),"")</f>
        <v/>
      </c>
      <c r="AE906" t="e">
        <f>INDEX(liv_ar_codes,MATCH(loaded!BO906,liv_ar,0))</f>
        <v>#N/A</v>
      </c>
      <c r="AF906" t="str">
        <f>_xlfn.IFNA(INDEX(MTT_codes,MATCH(loaded!BQ906,MTT,0)),"")</f>
        <v/>
      </c>
      <c r="AG906">
        <f>_xlfn.IFNA(INDEX(mental_codes,MATCH(loaded!BS906,mental,0)),9)</f>
        <v>9</v>
      </c>
    </row>
    <row r="907" spans="1:33" x14ac:dyDescent="0.25">
      <c r="A907">
        <f>loaded!C907</f>
        <v>0</v>
      </c>
      <c r="B907">
        <f>loaded!I907</f>
        <v>0</v>
      </c>
      <c r="C907">
        <f>IF(loaded!K907="Male",1,IF(loaded!K907="Female",2,9))</f>
        <v>9</v>
      </c>
      <c r="D907" s="8">
        <f>loaded!M907</f>
        <v>0</v>
      </c>
      <c r="E907" t="str">
        <f>LEFT(loaded!O907,3)</f>
        <v/>
      </c>
      <c r="F907" t="e">
        <f>INDEX(cntry_codes,MATCH(loaded!Q907,countries,0))</f>
        <v>#N/A</v>
      </c>
      <c r="G907" t="e">
        <f>INDEX(atsi_codes,MATCH(loaded!S907,atsi,0))</f>
        <v>#N/A</v>
      </c>
      <c r="H907" t="e">
        <f>INDEX(lang_codes,MATCH(loaded!U907,lang,0))</f>
        <v>#N/A</v>
      </c>
      <c r="I907" s="8">
        <f>loaded!W907</f>
        <v>0</v>
      </c>
      <c r="J907" t="e">
        <f>INDEX(us_acc_codes,MATCH(loaded!Y907,us_acc,0))</f>
        <v>#N/A</v>
      </c>
      <c r="K907" t="e">
        <f>INDEX(client_codes,MATCH(loaded!AA907,client,0))</f>
        <v>#N/A</v>
      </c>
      <c r="L907" t="e">
        <f>INDEX(src_ref_codes,MATCH(loaded!AC907,src_ref,0))</f>
        <v>#N/A</v>
      </c>
      <c r="M907" s="8">
        <f>loaded!AE907</f>
        <v>0</v>
      </c>
      <c r="N907" s="8">
        <f>loaded!AG907</f>
        <v>0</v>
      </c>
      <c r="O907" t="e">
        <f>INDEX(reces_codes,MATCH(loaded!AI907,reason,0))</f>
        <v>#N/A</v>
      </c>
      <c r="P907" t="e">
        <f>INDEX(TDS_codes,MATCH(loaded!AK907,TDS,0))</f>
        <v>#N/A</v>
      </c>
      <c r="Q907" t="e">
        <f>IF(K907=2,"",INDEX(method_codes,MATCH(loaded!AM907,method,0)))</f>
        <v>#N/A</v>
      </c>
      <c r="R907" t="e">
        <f>IF(K907=2,"",INDEX(inj_codes,MATCH(loaded!AO907,inj,0)))</f>
        <v>#N/A</v>
      </c>
      <c r="S907" t="e">
        <f>IF(K907=2,"",INDEX(drug_codes,MATCH(loaded!AQ907,drug,0)))</f>
        <v>#N/A</v>
      </c>
      <c r="T907" t="e">
        <f>IF(K907=2,"",_xlfn.IFNA(INDEX(drug_codes,MATCH(loaded!AS907,drug,0)),""))</f>
        <v>#N/A</v>
      </c>
      <c r="U907" t="e">
        <f>IF(K907=2,"",_xlfn.IFNA(INDEX(drug_codes,MATCH(loaded!AU907,drug,0)),""))</f>
        <v>#N/A</v>
      </c>
      <c r="V907" t="e">
        <f>IF(K907=2,"",_xlfn.IFNA(INDEX(drug_codes,MATCH(loaded!AW907,drug,0)),""))</f>
        <v>#N/A</v>
      </c>
      <c r="W907" t="e">
        <f>IF(K907=2,"",_xlfn.IFNA(INDEX(drug_codes,MATCH(loaded!AY907,drug,0)),""))</f>
        <v>#N/A</v>
      </c>
      <c r="X907" t="e">
        <f>IF(K907=2,"",_xlfn.IFNA(INDEX(drug_codes,MATCH(loaded!BA907,drug,0)),""))</f>
        <v>#N/A</v>
      </c>
      <c r="Y907" t="e">
        <f>INDEX(MTT_codes,MATCH(loaded!BC907,MTT,0))</f>
        <v>#N/A</v>
      </c>
      <c r="Z907" t="str">
        <f>_xlfn.IFNA(INDEX(MTT_codes,MATCH(loaded!BE907,MTT,0)),"")</f>
        <v/>
      </c>
      <c r="AA907" t="str">
        <f>_xlfn.IFNA(INDEX(MTT_codes,MATCH(loaded!BG907,MTT,0)),"")</f>
        <v/>
      </c>
      <c r="AB907" t="str">
        <f>_xlfn.IFNA(INDEX(MTT_codes,MATCH(loaded!BI907,MTT,0)),"")</f>
        <v/>
      </c>
      <c r="AC907" t="str">
        <f>_xlfn.IFNA(INDEX(MTT_codes,MATCH(loaded!BK907,MTT,0)),"")</f>
        <v/>
      </c>
      <c r="AD907" t="str">
        <f>_xlfn.IFNA(INDEX(MTT_codes,MATCH(loaded!BM907,MTT,0)),"")</f>
        <v/>
      </c>
      <c r="AE907" t="e">
        <f>INDEX(liv_ar_codes,MATCH(loaded!BO907,liv_ar,0))</f>
        <v>#N/A</v>
      </c>
      <c r="AF907" t="str">
        <f>_xlfn.IFNA(INDEX(MTT_codes,MATCH(loaded!BQ907,MTT,0)),"")</f>
        <v/>
      </c>
      <c r="AG907">
        <f>_xlfn.IFNA(INDEX(mental_codes,MATCH(loaded!BS907,mental,0)),9)</f>
        <v>9</v>
      </c>
    </row>
    <row r="908" spans="1:33" x14ac:dyDescent="0.25">
      <c r="A908">
        <f>loaded!C908</f>
        <v>0</v>
      </c>
      <c r="B908">
        <f>loaded!I908</f>
        <v>0</v>
      </c>
      <c r="C908">
        <f>IF(loaded!K908="Male",1,IF(loaded!K908="Female",2,9))</f>
        <v>9</v>
      </c>
      <c r="D908" s="8">
        <f>loaded!M908</f>
        <v>0</v>
      </c>
      <c r="E908" t="str">
        <f>LEFT(loaded!O908,3)</f>
        <v/>
      </c>
      <c r="F908" t="e">
        <f>INDEX(cntry_codes,MATCH(loaded!Q908,countries,0))</f>
        <v>#N/A</v>
      </c>
      <c r="G908" t="e">
        <f>INDEX(atsi_codes,MATCH(loaded!S908,atsi,0))</f>
        <v>#N/A</v>
      </c>
      <c r="H908" t="e">
        <f>INDEX(lang_codes,MATCH(loaded!U908,lang,0))</f>
        <v>#N/A</v>
      </c>
      <c r="I908" s="8">
        <f>loaded!W908</f>
        <v>0</v>
      </c>
      <c r="J908" t="e">
        <f>INDEX(us_acc_codes,MATCH(loaded!Y908,us_acc,0))</f>
        <v>#N/A</v>
      </c>
      <c r="K908" t="e">
        <f>INDEX(client_codes,MATCH(loaded!AA908,client,0))</f>
        <v>#N/A</v>
      </c>
      <c r="L908" t="e">
        <f>INDEX(src_ref_codes,MATCH(loaded!AC908,src_ref,0))</f>
        <v>#N/A</v>
      </c>
      <c r="M908" s="8">
        <f>loaded!AE908</f>
        <v>0</v>
      </c>
      <c r="N908" s="8">
        <f>loaded!AG908</f>
        <v>0</v>
      </c>
      <c r="O908" t="e">
        <f>INDEX(reces_codes,MATCH(loaded!AI908,reason,0))</f>
        <v>#N/A</v>
      </c>
      <c r="P908" t="e">
        <f>INDEX(TDS_codes,MATCH(loaded!AK908,TDS,0))</f>
        <v>#N/A</v>
      </c>
      <c r="Q908" t="e">
        <f>IF(K908=2,"",INDEX(method_codes,MATCH(loaded!AM908,method,0)))</f>
        <v>#N/A</v>
      </c>
      <c r="R908" t="e">
        <f>IF(K908=2,"",INDEX(inj_codes,MATCH(loaded!AO908,inj,0)))</f>
        <v>#N/A</v>
      </c>
      <c r="S908" t="e">
        <f>IF(K908=2,"",INDEX(drug_codes,MATCH(loaded!AQ908,drug,0)))</f>
        <v>#N/A</v>
      </c>
      <c r="T908" t="e">
        <f>IF(K908=2,"",_xlfn.IFNA(INDEX(drug_codes,MATCH(loaded!AS908,drug,0)),""))</f>
        <v>#N/A</v>
      </c>
      <c r="U908" t="e">
        <f>IF(K908=2,"",_xlfn.IFNA(INDEX(drug_codes,MATCH(loaded!AU908,drug,0)),""))</f>
        <v>#N/A</v>
      </c>
      <c r="V908" t="e">
        <f>IF(K908=2,"",_xlfn.IFNA(INDEX(drug_codes,MATCH(loaded!AW908,drug,0)),""))</f>
        <v>#N/A</v>
      </c>
      <c r="W908" t="e">
        <f>IF(K908=2,"",_xlfn.IFNA(INDEX(drug_codes,MATCH(loaded!AY908,drug,0)),""))</f>
        <v>#N/A</v>
      </c>
      <c r="X908" t="e">
        <f>IF(K908=2,"",_xlfn.IFNA(INDEX(drug_codes,MATCH(loaded!BA908,drug,0)),""))</f>
        <v>#N/A</v>
      </c>
      <c r="Y908" t="e">
        <f>INDEX(MTT_codes,MATCH(loaded!BC908,MTT,0))</f>
        <v>#N/A</v>
      </c>
      <c r="Z908" t="str">
        <f>_xlfn.IFNA(INDEX(MTT_codes,MATCH(loaded!BE908,MTT,0)),"")</f>
        <v/>
      </c>
      <c r="AA908" t="str">
        <f>_xlfn.IFNA(INDEX(MTT_codes,MATCH(loaded!BG908,MTT,0)),"")</f>
        <v/>
      </c>
      <c r="AB908" t="str">
        <f>_xlfn.IFNA(INDEX(MTT_codes,MATCH(loaded!BI908,MTT,0)),"")</f>
        <v/>
      </c>
      <c r="AC908" t="str">
        <f>_xlfn.IFNA(INDEX(MTT_codes,MATCH(loaded!BK908,MTT,0)),"")</f>
        <v/>
      </c>
      <c r="AD908" t="str">
        <f>_xlfn.IFNA(INDEX(MTT_codes,MATCH(loaded!BM908,MTT,0)),"")</f>
        <v/>
      </c>
      <c r="AE908" t="e">
        <f>INDEX(liv_ar_codes,MATCH(loaded!BO908,liv_ar,0))</f>
        <v>#N/A</v>
      </c>
      <c r="AF908" t="str">
        <f>_xlfn.IFNA(INDEX(MTT_codes,MATCH(loaded!BQ908,MTT,0)),"")</f>
        <v/>
      </c>
      <c r="AG908">
        <f>_xlfn.IFNA(INDEX(mental_codes,MATCH(loaded!BS908,mental,0)),9)</f>
        <v>9</v>
      </c>
    </row>
    <row r="909" spans="1:33" x14ac:dyDescent="0.25">
      <c r="A909">
        <f>loaded!C909</f>
        <v>0</v>
      </c>
      <c r="B909">
        <f>loaded!I909</f>
        <v>0</v>
      </c>
      <c r="C909">
        <f>IF(loaded!K909="Male",1,IF(loaded!K909="Female",2,9))</f>
        <v>9</v>
      </c>
      <c r="D909" s="8">
        <f>loaded!M909</f>
        <v>0</v>
      </c>
      <c r="E909" t="str">
        <f>LEFT(loaded!O909,3)</f>
        <v/>
      </c>
      <c r="F909" t="e">
        <f>INDEX(cntry_codes,MATCH(loaded!Q909,countries,0))</f>
        <v>#N/A</v>
      </c>
      <c r="G909" t="e">
        <f>INDEX(atsi_codes,MATCH(loaded!S909,atsi,0))</f>
        <v>#N/A</v>
      </c>
      <c r="H909" t="e">
        <f>INDEX(lang_codes,MATCH(loaded!U909,lang,0))</f>
        <v>#N/A</v>
      </c>
      <c r="I909" s="8">
        <f>loaded!W909</f>
        <v>0</v>
      </c>
      <c r="J909" t="e">
        <f>INDEX(us_acc_codes,MATCH(loaded!Y909,us_acc,0))</f>
        <v>#N/A</v>
      </c>
      <c r="K909" t="e">
        <f>INDEX(client_codes,MATCH(loaded!AA909,client,0))</f>
        <v>#N/A</v>
      </c>
      <c r="L909" t="e">
        <f>INDEX(src_ref_codes,MATCH(loaded!AC909,src_ref,0))</f>
        <v>#N/A</v>
      </c>
      <c r="M909" s="8">
        <f>loaded!AE909</f>
        <v>0</v>
      </c>
      <c r="N909" s="8">
        <f>loaded!AG909</f>
        <v>0</v>
      </c>
      <c r="O909" t="e">
        <f>INDEX(reces_codes,MATCH(loaded!AI909,reason,0))</f>
        <v>#N/A</v>
      </c>
      <c r="P909" t="e">
        <f>INDEX(TDS_codes,MATCH(loaded!AK909,TDS,0))</f>
        <v>#N/A</v>
      </c>
      <c r="Q909" t="e">
        <f>IF(K909=2,"",INDEX(method_codes,MATCH(loaded!AM909,method,0)))</f>
        <v>#N/A</v>
      </c>
      <c r="R909" t="e">
        <f>IF(K909=2,"",INDEX(inj_codes,MATCH(loaded!AO909,inj,0)))</f>
        <v>#N/A</v>
      </c>
      <c r="S909" t="e">
        <f>IF(K909=2,"",INDEX(drug_codes,MATCH(loaded!AQ909,drug,0)))</f>
        <v>#N/A</v>
      </c>
      <c r="T909" t="e">
        <f>IF(K909=2,"",_xlfn.IFNA(INDEX(drug_codes,MATCH(loaded!AS909,drug,0)),""))</f>
        <v>#N/A</v>
      </c>
      <c r="U909" t="e">
        <f>IF(K909=2,"",_xlfn.IFNA(INDEX(drug_codes,MATCH(loaded!AU909,drug,0)),""))</f>
        <v>#N/A</v>
      </c>
      <c r="V909" t="e">
        <f>IF(K909=2,"",_xlfn.IFNA(INDEX(drug_codes,MATCH(loaded!AW909,drug,0)),""))</f>
        <v>#N/A</v>
      </c>
      <c r="W909" t="e">
        <f>IF(K909=2,"",_xlfn.IFNA(INDEX(drug_codes,MATCH(loaded!AY909,drug,0)),""))</f>
        <v>#N/A</v>
      </c>
      <c r="X909" t="e">
        <f>IF(K909=2,"",_xlfn.IFNA(INDEX(drug_codes,MATCH(loaded!BA909,drug,0)),""))</f>
        <v>#N/A</v>
      </c>
      <c r="Y909" t="e">
        <f>INDEX(MTT_codes,MATCH(loaded!BC909,MTT,0))</f>
        <v>#N/A</v>
      </c>
      <c r="Z909" t="str">
        <f>_xlfn.IFNA(INDEX(MTT_codes,MATCH(loaded!BE909,MTT,0)),"")</f>
        <v/>
      </c>
      <c r="AA909" t="str">
        <f>_xlfn.IFNA(INDEX(MTT_codes,MATCH(loaded!BG909,MTT,0)),"")</f>
        <v/>
      </c>
      <c r="AB909" t="str">
        <f>_xlfn.IFNA(INDEX(MTT_codes,MATCH(loaded!BI909,MTT,0)),"")</f>
        <v/>
      </c>
      <c r="AC909" t="str">
        <f>_xlfn.IFNA(INDEX(MTT_codes,MATCH(loaded!BK909,MTT,0)),"")</f>
        <v/>
      </c>
      <c r="AD909" t="str">
        <f>_xlfn.IFNA(INDEX(MTT_codes,MATCH(loaded!BM909,MTT,0)),"")</f>
        <v/>
      </c>
      <c r="AE909" t="e">
        <f>INDEX(liv_ar_codes,MATCH(loaded!BO909,liv_ar,0))</f>
        <v>#N/A</v>
      </c>
      <c r="AF909" t="str">
        <f>_xlfn.IFNA(INDEX(MTT_codes,MATCH(loaded!BQ909,MTT,0)),"")</f>
        <v/>
      </c>
      <c r="AG909">
        <f>_xlfn.IFNA(INDEX(mental_codes,MATCH(loaded!BS909,mental,0)),9)</f>
        <v>9</v>
      </c>
    </row>
    <row r="910" spans="1:33" x14ac:dyDescent="0.25">
      <c r="A910">
        <f>loaded!C910</f>
        <v>0</v>
      </c>
      <c r="B910">
        <f>loaded!I910</f>
        <v>0</v>
      </c>
      <c r="C910">
        <f>IF(loaded!K910="Male",1,IF(loaded!K910="Female",2,9))</f>
        <v>9</v>
      </c>
      <c r="D910" s="8">
        <f>loaded!M910</f>
        <v>0</v>
      </c>
      <c r="E910" t="str">
        <f>LEFT(loaded!O910,3)</f>
        <v/>
      </c>
      <c r="F910" t="e">
        <f>INDEX(cntry_codes,MATCH(loaded!Q910,countries,0))</f>
        <v>#N/A</v>
      </c>
      <c r="G910" t="e">
        <f>INDEX(atsi_codes,MATCH(loaded!S910,atsi,0))</f>
        <v>#N/A</v>
      </c>
      <c r="H910" t="e">
        <f>INDEX(lang_codes,MATCH(loaded!U910,lang,0))</f>
        <v>#N/A</v>
      </c>
      <c r="I910" s="8">
        <f>loaded!W910</f>
        <v>0</v>
      </c>
      <c r="J910" t="e">
        <f>INDEX(us_acc_codes,MATCH(loaded!Y910,us_acc,0))</f>
        <v>#N/A</v>
      </c>
      <c r="K910" t="e">
        <f>INDEX(client_codes,MATCH(loaded!AA910,client,0))</f>
        <v>#N/A</v>
      </c>
      <c r="L910" t="e">
        <f>INDEX(src_ref_codes,MATCH(loaded!AC910,src_ref,0))</f>
        <v>#N/A</v>
      </c>
      <c r="M910" s="8">
        <f>loaded!AE910</f>
        <v>0</v>
      </c>
      <c r="N910" s="8">
        <f>loaded!AG910</f>
        <v>0</v>
      </c>
      <c r="O910" t="e">
        <f>INDEX(reces_codes,MATCH(loaded!AI910,reason,0))</f>
        <v>#N/A</v>
      </c>
      <c r="P910" t="e">
        <f>INDEX(TDS_codes,MATCH(loaded!AK910,TDS,0))</f>
        <v>#N/A</v>
      </c>
      <c r="Q910" t="e">
        <f>IF(K910=2,"",INDEX(method_codes,MATCH(loaded!AM910,method,0)))</f>
        <v>#N/A</v>
      </c>
      <c r="R910" t="e">
        <f>IF(K910=2,"",INDEX(inj_codes,MATCH(loaded!AO910,inj,0)))</f>
        <v>#N/A</v>
      </c>
      <c r="S910" t="e">
        <f>IF(K910=2,"",INDEX(drug_codes,MATCH(loaded!AQ910,drug,0)))</f>
        <v>#N/A</v>
      </c>
      <c r="T910" t="e">
        <f>IF(K910=2,"",_xlfn.IFNA(INDEX(drug_codes,MATCH(loaded!AS910,drug,0)),""))</f>
        <v>#N/A</v>
      </c>
      <c r="U910" t="e">
        <f>IF(K910=2,"",_xlfn.IFNA(INDEX(drug_codes,MATCH(loaded!AU910,drug,0)),""))</f>
        <v>#N/A</v>
      </c>
      <c r="V910" t="e">
        <f>IF(K910=2,"",_xlfn.IFNA(INDEX(drug_codes,MATCH(loaded!AW910,drug,0)),""))</f>
        <v>#N/A</v>
      </c>
      <c r="W910" t="e">
        <f>IF(K910=2,"",_xlfn.IFNA(INDEX(drug_codes,MATCH(loaded!AY910,drug,0)),""))</f>
        <v>#N/A</v>
      </c>
      <c r="X910" t="e">
        <f>IF(K910=2,"",_xlfn.IFNA(INDEX(drug_codes,MATCH(loaded!BA910,drug,0)),""))</f>
        <v>#N/A</v>
      </c>
      <c r="Y910" t="e">
        <f>INDEX(MTT_codes,MATCH(loaded!BC910,MTT,0))</f>
        <v>#N/A</v>
      </c>
      <c r="Z910" t="str">
        <f>_xlfn.IFNA(INDEX(MTT_codes,MATCH(loaded!BE910,MTT,0)),"")</f>
        <v/>
      </c>
      <c r="AA910" t="str">
        <f>_xlfn.IFNA(INDEX(MTT_codes,MATCH(loaded!BG910,MTT,0)),"")</f>
        <v/>
      </c>
      <c r="AB910" t="str">
        <f>_xlfn.IFNA(INDEX(MTT_codes,MATCH(loaded!BI910,MTT,0)),"")</f>
        <v/>
      </c>
      <c r="AC910" t="str">
        <f>_xlfn.IFNA(INDEX(MTT_codes,MATCH(loaded!BK910,MTT,0)),"")</f>
        <v/>
      </c>
      <c r="AD910" t="str">
        <f>_xlfn.IFNA(INDEX(MTT_codes,MATCH(loaded!BM910,MTT,0)),"")</f>
        <v/>
      </c>
      <c r="AE910" t="e">
        <f>INDEX(liv_ar_codes,MATCH(loaded!BO910,liv_ar,0))</f>
        <v>#N/A</v>
      </c>
      <c r="AF910" t="str">
        <f>_xlfn.IFNA(INDEX(MTT_codes,MATCH(loaded!BQ910,MTT,0)),"")</f>
        <v/>
      </c>
      <c r="AG910">
        <f>_xlfn.IFNA(INDEX(mental_codes,MATCH(loaded!BS910,mental,0)),9)</f>
        <v>9</v>
      </c>
    </row>
    <row r="911" spans="1:33" x14ac:dyDescent="0.25">
      <c r="A911">
        <f>loaded!C911</f>
        <v>0</v>
      </c>
      <c r="B911">
        <f>loaded!I911</f>
        <v>0</v>
      </c>
      <c r="C911">
        <f>IF(loaded!K911="Male",1,IF(loaded!K911="Female",2,9))</f>
        <v>9</v>
      </c>
      <c r="D911" s="8">
        <f>loaded!M911</f>
        <v>0</v>
      </c>
      <c r="E911" t="str">
        <f>LEFT(loaded!O911,3)</f>
        <v/>
      </c>
      <c r="F911" t="e">
        <f>INDEX(cntry_codes,MATCH(loaded!Q911,countries,0))</f>
        <v>#N/A</v>
      </c>
      <c r="G911" t="e">
        <f>INDEX(atsi_codes,MATCH(loaded!S911,atsi,0))</f>
        <v>#N/A</v>
      </c>
      <c r="H911" t="e">
        <f>INDEX(lang_codes,MATCH(loaded!U911,lang,0))</f>
        <v>#N/A</v>
      </c>
      <c r="I911" s="8">
        <f>loaded!W911</f>
        <v>0</v>
      </c>
      <c r="J911" t="e">
        <f>INDEX(us_acc_codes,MATCH(loaded!Y911,us_acc,0))</f>
        <v>#N/A</v>
      </c>
      <c r="K911" t="e">
        <f>INDEX(client_codes,MATCH(loaded!AA911,client,0))</f>
        <v>#N/A</v>
      </c>
      <c r="L911" t="e">
        <f>INDEX(src_ref_codes,MATCH(loaded!AC911,src_ref,0))</f>
        <v>#N/A</v>
      </c>
      <c r="M911" s="8">
        <f>loaded!AE911</f>
        <v>0</v>
      </c>
      <c r="N911" s="8">
        <f>loaded!AG911</f>
        <v>0</v>
      </c>
      <c r="O911" t="e">
        <f>INDEX(reces_codes,MATCH(loaded!AI911,reason,0))</f>
        <v>#N/A</v>
      </c>
      <c r="P911" t="e">
        <f>INDEX(TDS_codes,MATCH(loaded!AK911,TDS,0))</f>
        <v>#N/A</v>
      </c>
      <c r="Q911" t="e">
        <f>IF(K911=2,"",INDEX(method_codes,MATCH(loaded!AM911,method,0)))</f>
        <v>#N/A</v>
      </c>
      <c r="R911" t="e">
        <f>IF(K911=2,"",INDEX(inj_codes,MATCH(loaded!AO911,inj,0)))</f>
        <v>#N/A</v>
      </c>
      <c r="S911" t="e">
        <f>IF(K911=2,"",INDEX(drug_codes,MATCH(loaded!AQ911,drug,0)))</f>
        <v>#N/A</v>
      </c>
      <c r="T911" t="e">
        <f>IF(K911=2,"",_xlfn.IFNA(INDEX(drug_codes,MATCH(loaded!AS911,drug,0)),""))</f>
        <v>#N/A</v>
      </c>
      <c r="U911" t="e">
        <f>IF(K911=2,"",_xlfn.IFNA(INDEX(drug_codes,MATCH(loaded!AU911,drug,0)),""))</f>
        <v>#N/A</v>
      </c>
      <c r="V911" t="e">
        <f>IF(K911=2,"",_xlfn.IFNA(INDEX(drug_codes,MATCH(loaded!AW911,drug,0)),""))</f>
        <v>#N/A</v>
      </c>
      <c r="W911" t="e">
        <f>IF(K911=2,"",_xlfn.IFNA(INDEX(drug_codes,MATCH(loaded!AY911,drug,0)),""))</f>
        <v>#N/A</v>
      </c>
      <c r="X911" t="e">
        <f>IF(K911=2,"",_xlfn.IFNA(INDEX(drug_codes,MATCH(loaded!BA911,drug,0)),""))</f>
        <v>#N/A</v>
      </c>
      <c r="Y911" t="e">
        <f>INDEX(MTT_codes,MATCH(loaded!BC911,MTT,0))</f>
        <v>#N/A</v>
      </c>
      <c r="Z911" t="str">
        <f>_xlfn.IFNA(INDEX(MTT_codes,MATCH(loaded!BE911,MTT,0)),"")</f>
        <v/>
      </c>
      <c r="AA911" t="str">
        <f>_xlfn.IFNA(INDEX(MTT_codes,MATCH(loaded!BG911,MTT,0)),"")</f>
        <v/>
      </c>
      <c r="AB911" t="str">
        <f>_xlfn.IFNA(INDEX(MTT_codes,MATCH(loaded!BI911,MTT,0)),"")</f>
        <v/>
      </c>
      <c r="AC911" t="str">
        <f>_xlfn.IFNA(INDEX(MTT_codes,MATCH(loaded!BK911,MTT,0)),"")</f>
        <v/>
      </c>
      <c r="AD911" t="str">
        <f>_xlfn.IFNA(INDEX(MTT_codes,MATCH(loaded!BM911,MTT,0)),"")</f>
        <v/>
      </c>
      <c r="AE911" t="e">
        <f>INDEX(liv_ar_codes,MATCH(loaded!BO911,liv_ar,0))</f>
        <v>#N/A</v>
      </c>
      <c r="AF911" t="str">
        <f>_xlfn.IFNA(INDEX(MTT_codes,MATCH(loaded!BQ911,MTT,0)),"")</f>
        <v/>
      </c>
      <c r="AG911">
        <f>_xlfn.IFNA(INDEX(mental_codes,MATCH(loaded!BS911,mental,0)),9)</f>
        <v>9</v>
      </c>
    </row>
    <row r="912" spans="1:33" x14ac:dyDescent="0.25">
      <c r="A912">
        <f>loaded!C912</f>
        <v>0</v>
      </c>
      <c r="B912">
        <f>loaded!I912</f>
        <v>0</v>
      </c>
      <c r="C912">
        <f>IF(loaded!K912="Male",1,IF(loaded!K912="Female",2,9))</f>
        <v>9</v>
      </c>
      <c r="D912" s="8">
        <f>loaded!M912</f>
        <v>0</v>
      </c>
      <c r="E912" t="str">
        <f>LEFT(loaded!O912,3)</f>
        <v/>
      </c>
      <c r="F912" t="e">
        <f>INDEX(cntry_codes,MATCH(loaded!Q912,countries,0))</f>
        <v>#N/A</v>
      </c>
      <c r="G912" t="e">
        <f>INDEX(atsi_codes,MATCH(loaded!S912,atsi,0))</f>
        <v>#N/A</v>
      </c>
      <c r="H912" t="e">
        <f>INDEX(lang_codes,MATCH(loaded!U912,lang,0))</f>
        <v>#N/A</v>
      </c>
      <c r="I912" s="8">
        <f>loaded!W912</f>
        <v>0</v>
      </c>
      <c r="J912" t="e">
        <f>INDEX(us_acc_codes,MATCH(loaded!Y912,us_acc,0))</f>
        <v>#N/A</v>
      </c>
      <c r="K912" t="e">
        <f>INDEX(client_codes,MATCH(loaded!AA912,client,0))</f>
        <v>#N/A</v>
      </c>
      <c r="L912" t="e">
        <f>INDEX(src_ref_codes,MATCH(loaded!AC912,src_ref,0))</f>
        <v>#N/A</v>
      </c>
      <c r="M912" s="8">
        <f>loaded!AE912</f>
        <v>0</v>
      </c>
      <c r="N912" s="8">
        <f>loaded!AG912</f>
        <v>0</v>
      </c>
      <c r="O912" t="e">
        <f>INDEX(reces_codes,MATCH(loaded!AI912,reason,0))</f>
        <v>#N/A</v>
      </c>
      <c r="P912" t="e">
        <f>INDEX(TDS_codes,MATCH(loaded!AK912,TDS,0))</f>
        <v>#N/A</v>
      </c>
      <c r="Q912" t="e">
        <f>IF(K912=2,"",INDEX(method_codes,MATCH(loaded!AM912,method,0)))</f>
        <v>#N/A</v>
      </c>
      <c r="R912" t="e">
        <f>IF(K912=2,"",INDEX(inj_codes,MATCH(loaded!AO912,inj,0)))</f>
        <v>#N/A</v>
      </c>
      <c r="S912" t="e">
        <f>IF(K912=2,"",INDEX(drug_codes,MATCH(loaded!AQ912,drug,0)))</f>
        <v>#N/A</v>
      </c>
      <c r="T912" t="e">
        <f>IF(K912=2,"",_xlfn.IFNA(INDEX(drug_codes,MATCH(loaded!AS912,drug,0)),""))</f>
        <v>#N/A</v>
      </c>
      <c r="U912" t="e">
        <f>IF(K912=2,"",_xlfn.IFNA(INDEX(drug_codes,MATCH(loaded!AU912,drug,0)),""))</f>
        <v>#N/A</v>
      </c>
      <c r="V912" t="e">
        <f>IF(K912=2,"",_xlfn.IFNA(INDEX(drug_codes,MATCH(loaded!AW912,drug,0)),""))</f>
        <v>#N/A</v>
      </c>
      <c r="W912" t="e">
        <f>IF(K912=2,"",_xlfn.IFNA(INDEX(drug_codes,MATCH(loaded!AY912,drug,0)),""))</f>
        <v>#N/A</v>
      </c>
      <c r="X912" t="e">
        <f>IF(K912=2,"",_xlfn.IFNA(INDEX(drug_codes,MATCH(loaded!BA912,drug,0)),""))</f>
        <v>#N/A</v>
      </c>
      <c r="Y912" t="e">
        <f>INDEX(MTT_codes,MATCH(loaded!BC912,MTT,0))</f>
        <v>#N/A</v>
      </c>
      <c r="Z912" t="str">
        <f>_xlfn.IFNA(INDEX(MTT_codes,MATCH(loaded!BE912,MTT,0)),"")</f>
        <v/>
      </c>
      <c r="AA912" t="str">
        <f>_xlfn.IFNA(INDEX(MTT_codes,MATCH(loaded!BG912,MTT,0)),"")</f>
        <v/>
      </c>
      <c r="AB912" t="str">
        <f>_xlfn.IFNA(INDEX(MTT_codes,MATCH(loaded!BI912,MTT,0)),"")</f>
        <v/>
      </c>
      <c r="AC912" t="str">
        <f>_xlfn.IFNA(INDEX(MTT_codes,MATCH(loaded!BK912,MTT,0)),"")</f>
        <v/>
      </c>
      <c r="AD912" t="str">
        <f>_xlfn.IFNA(INDEX(MTT_codes,MATCH(loaded!BM912,MTT,0)),"")</f>
        <v/>
      </c>
      <c r="AE912" t="e">
        <f>INDEX(liv_ar_codes,MATCH(loaded!BO912,liv_ar,0))</f>
        <v>#N/A</v>
      </c>
      <c r="AF912" t="str">
        <f>_xlfn.IFNA(INDEX(MTT_codes,MATCH(loaded!BQ912,MTT,0)),"")</f>
        <v/>
      </c>
      <c r="AG912">
        <f>_xlfn.IFNA(INDEX(mental_codes,MATCH(loaded!BS912,mental,0)),9)</f>
        <v>9</v>
      </c>
    </row>
    <row r="913" spans="1:33" x14ac:dyDescent="0.25">
      <c r="A913">
        <f>loaded!C913</f>
        <v>0</v>
      </c>
      <c r="B913">
        <f>loaded!I913</f>
        <v>0</v>
      </c>
      <c r="C913">
        <f>IF(loaded!K913="Male",1,IF(loaded!K913="Female",2,9))</f>
        <v>9</v>
      </c>
      <c r="D913" s="8">
        <f>loaded!M913</f>
        <v>0</v>
      </c>
      <c r="E913" t="str">
        <f>LEFT(loaded!O913,3)</f>
        <v/>
      </c>
      <c r="F913" t="e">
        <f>INDEX(cntry_codes,MATCH(loaded!Q913,countries,0))</f>
        <v>#N/A</v>
      </c>
      <c r="G913" t="e">
        <f>INDEX(atsi_codes,MATCH(loaded!S913,atsi,0))</f>
        <v>#N/A</v>
      </c>
      <c r="H913" t="e">
        <f>INDEX(lang_codes,MATCH(loaded!U913,lang,0))</f>
        <v>#N/A</v>
      </c>
      <c r="I913" s="8">
        <f>loaded!W913</f>
        <v>0</v>
      </c>
      <c r="J913" t="e">
        <f>INDEX(us_acc_codes,MATCH(loaded!Y913,us_acc,0))</f>
        <v>#N/A</v>
      </c>
      <c r="K913" t="e">
        <f>INDEX(client_codes,MATCH(loaded!AA913,client,0))</f>
        <v>#N/A</v>
      </c>
      <c r="L913" t="e">
        <f>INDEX(src_ref_codes,MATCH(loaded!AC913,src_ref,0))</f>
        <v>#N/A</v>
      </c>
      <c r="M913" s="8">
        <f>loaded!AE913</f>
        <v>0</v>
      </c>
      <c r="N913" s="8">
        <f>loaded!AG913</f>
        <v>0</v>
      </c>
      <c r="O913" t="e">
        <f>INDEX(reces_codes,MATCH(loaded!AI913,reason,0))</f>
        <v>#N/A</v>
      </c>
      <c r="P913" t="e">
        <f>INDEX(TDS_codes,MATCH(loaded!AK913,TDS,0))</f>
        <v>#N/A</v>
      </c>
      <c r="Q913" t="e">
        <f>IF(K913=2,"",INDEX(method_codes,MATCH(loaded!AM913,method,0)))</f>
        <v>#N/A</v>
      </c>
      <c r="R913" t="e">
        <f>IF(K913=2,"",INDEX(inj_codes,MATCH(loaded!AO913,inj,0)))</f>
        <v>#N/A</v>
      </c>
      <c r="S913" t="e">
        <f>IF(K913=2,"",INDEX(drug_codes,MATCH(loaded!AQ913,drug,0)))</f>
        <v>#N/A</v>
      </c>
      <c r="T913" t="e">
        <f>IF(K913=2,"",_xlfn.IFNA(INDEX(drug_codes,MATCH(loaded!AS913,drug,0)),""))</f>
        <v>#N/A</v>
      </c>
      <c r="U913" t="e">
        <f>IF(K913=2,"",_xlfn.IFNA(INDEX(drug_codes,MATCH(loaded!AU913,drug,0)),""))</f>
        <v>#N/A</v>
      </c>
      <c r="V913" t="e">
        <f>IF(K913=2,"",_xlfn.IFNA(INDEX(drug_codes,MATCH(loaded!AW913,drug,0)),""))</f>
        <v>#N/A</v>
      </c>
      <c r="W913" t="e">
        <f>IF(K913=2,"",_xlfn.IFNA(INDEX(drug_codes,MATCH(loaded!AY913,drug,0)),""))</f>
        <v>#N/A</v>
      </c>
      <c r="X913" t="e">
        <f>IF(K913=2,"",_xlfn.IFNA(INDEX(drug_codes,MATCH(loaded!BA913,drug,0)),""))</f>
        <v>#N/A</v>
      </c>
      <c r="Y913" t="e">
        <f>INDEX(MTT_codes,MATCH(loaded!BC913,MTT,0))</f>
        <v>#N/A</v>
      </c>
      <c r="Z913" t="str">
        <f>_xlfn.IFNA(INDEX(MTT_codes,MATCH(loaded!BE913,MTT,0)),"")</f>
        <v/>
      </c>
      <c r="AA913" t="str">
        <f>_xlfn.IFNA(INDEX(MTT_codes,MATCH(loaded!BG913,MTT,0)),"")</f>
        <v/>
      </c>
      <c r="AB913" t="str">
        <f>_xlfn.IFNA(INDEX(MTT_codes,MATCH(loaded!BI913,MTT,0)),"")</f>
        <v/>
      </c>
      <c r="AC913" t="str">
        <f>_xlfn.IFNA(INDEX(MTT_codes,MATCH(loaded!BK913,MTT,0)),"")</f>
        <v/>
      </c>
      <c r="AD913" t="str">
        <f>_xlfn.IFNA(INDEX(MTT_codes,MATCH(loaded!BM913,MTT,0)),"")</f>
        <v/>
      </c>
      <c r="AE913" t="e">
        <f>INDEX(liv_ar_codes,MATCH(loaded!BO913,liv_ar,0))</f>
        <v>#N/A</v>
      </c>
      <c r="AF913" t="str">
        <f>_xlfn.IFNA(INDEX(MTT_codes,MATCH(loaded!BQ913,MTT,0)),"")</f>
        <v/>
      </c>
      <c r="AG913">
        <f>_xlfn.IFNA(INDEX(mental_codes,MATCH(loaded!BS913,mental,0)),9)</f>
        <v>9</v>
      </c>
    </row>
    <row r="914" spans="1:33" x14ac:dyDescent="0.25">
      <c r="A914">
        <f>loaded!C914</f>
        <v>0</v>
      </c>
      <c r="B914">
        <f>loaded!I914</f>
        <v>0</v>
      </c>
      <c r="C914">
        <f>IF(loaded!K914="Male",1,IF(loaded!K914="Female",2,9))</f>
        <v>9</v>
      </c>
      <c r="D914" s="8">
        <f>loaded!M914</f>
        <v>0</v>
      </c>
      <c r="E914" t="str">
        <f>LEFT(loaded!O914,3)</f>
        <v/>
      </c>
      <c r="F914" t="e">
        <f>INDEX(cntry_codes,MATCH(loaded!Q914,countries,0))</f>
        <v>#N/A</v>
      </c>
      <c r="G914" t="e">
        <f>INDEX(atsi_codes,MATCH(loaded!S914,atsi,0))</f>
        <v>#N/A</v>
      </c>
      <c r="H914" t="e">
        <f>INDEX(lang_codes,MATCH(loaded!U914,lang,0))</f>
        <v>#N/A</v>
      </c>
      <c r="I914" s="8">
        <f>loaded!W914</f>
        <v>0</v>
      </c>
      <c r="J914" t="e">
        <f>INDEX(us_acc_codes,MATCH(loaded!Y914,us_acc,0))</f>
        <v>#N/A</v>
      </c>
      <c r="K914" t="e">
        <f>INDEX(client_codes,MATCH(loaded!AA914,client,0))</f>
        <v>#N/A</v>
      </c>
      <c r="L914" t="e">
        <f>INDEX(src_ref_codes,MATCH(loaded!AC914,src_ref,0))</f>
        <v>#N/A</v>
      </c>
      <c r="M914" s="8">
        <f>loaded!AE914</f>
        <v>0</v>
      </c>
      <c r="N914" s="8">
        <f>loaded!AG914</f>
        <v>0</v>
      </c>
      <c r="O914" t="e">
        <f>INDEX(reces_codes,MATCH(loaded!AI914,reason,0))</f>
        <v>#N/A</v>
      </c>
      <c r="P914" t="e">
        <f>INDEX(TDS_codes,MATCH(loaded!AK914,TDS,0))</f>
        <v>#N/A</v>
      </c>
      <c r="Q914" t="e">
        <f>IF(K914=2,"",INDEX(method_codes,MATCH(loaded!AM914,method,0)))</f>
        <v>#N/A</v>
      </c>
      <c r="R914" t="e">
        <f>IF(K914=2,"",INDEX(inj_codes,MATCH(loaded!AO914,inj,0)))</f>
        <v>#N/A</v>
      </c>
      <c r="S914" t="e">
        <f>IF(K914=2,"",INDEX(drug_codes,MATCH(loaded!AQ914,drug,0)))</f>
        <v>#N/A</v>
      </c>
      <c r="T914" t="e">
        <f>IF(K914=2,"",_xlfn.IFNA(INDEX(drug_codes,MATCH(loaded!AS914,drug,0)),""))</f>
        <v>#N/A</v>
      </c>
      <c r="U914" t="e">
        <f>IF(K914=2,"",_xlfn.IFNA(INDEX(drug_codes,MATCH(loaded!AU914,drug,0)),""))</f>
        <v>#N/A</v>
      </c>
      <c r="V914" t="e">
        <f>IF(K914=2,"",_xlfn.IFNA(INDEX(drug_codes,MATCH(loaded!AW914,drug,0)),""))</f>
        <v>#N/A</v>
      </c>
      <c r="W914" t="e">
        <f>IF(K914=2,"",_xlfn.IFNA(INDEX(drug_codes,MATCH(loaded!AY914,drug,0)),""))</f>
        <v>#N/A</v>
      </c>
      <c r="X914" t="e">
        <f>IF(K914=2,"",_xlfn.IFNA(INDEX(drug_codes,MATCH(loaded!BA914,drug,0)),""))</f>
        <v>#N/A</v>
      </c>
      <c r="Y914" t="e">
        <f>INDEX(MTT_codes,MATCH(loaded!BC914,MTT,0))</f>
        <v>#N/A</v>
      </c>
      <c r="Z914" t="str">
        <f>_xlfn.IFNA(INDEX(MTT_codes,MATCH(loaded!BE914,MTT,0)),"")</f>
        <v/>
      </c>
      <c r="AA914" t="str">
        <f>_xlfn.IFNA(INDEX(MTT_codes,MATCH(loaded!BG914,MTT,0)),"")</f>
        <v/>
      </c>
      <c r="AB914" t="str">
        <f>_xlfn.IFNA(INDEX(MTT_codes,MATCH(loaded!BI914,MTT,0)),"")</f>
        <v/>
      </c>
      <c r="AC914" t="str">
        <f>_xlfn.IFNA(INDEX(MTT_codes,MATCH(loaded!BK914,MTT,0)),"")</f>
        <v/>
      </c>
      <c r="AD914" t="str">
        <f>_xlfn.IFNA(INDEX(MTT_codes,MATCH(loaded!BM914,MTT,0)),"")</f>
        <v/>
      </c>
      <c r="AE914" t="e">
        <f>INDEX(liv_ar_codes,MATCH(loaded!BO914,liv_ar,0))</f>
        <v>#N/A</v>
      </c>
      <c r="AF914" t="str">
        <f>_xlfn.IFNA(INDEX(MTT_codes,MATCH(loaded!BQ914,MTT,0)),"")</f>
        <v/>
      </c>
      <c r="AG914">
        <f>_xlfn.IFNA(INDEX(mental_codes,MATCH(loaded!BS914,mental,0)),9)</f>
        <v>9</v>
      </c>
    </row>
    <row r="915" spans="1:33" x14ac:dyDescent="0.25">
      <c r="A915">
        <f>loaded!C915</f>
        <v>0</v>
      </c>
      <c r="B915">
        <f>loaded!I915</f>
        <v>0</v>
      </c>
      <c r="C915">
        <f>IF(loaded!K915="Male",1,IF(loaded!K915="Female",2,9))</f>
        <v>9</v>
      </c>
      <c r="D915" s="8">
        <f>loaded!M915</f>
        <v>0</v>
      </c>
      <c r="E915" t="str">
        <f>LEFT(loaded!O915,3)</f>
        <v/>
      </c>
      <c r="F915" t="e">
        <f>INDEX(cntry_codes,MATCH(loaded!Q915,countries,0))</f>
        <v>#N/A</v>
      </c>
      <c r="G915" t="e">
        <f>INDEX(atsi_codes,MATCH(loaded!S915,atsi,0))</f>
        <v>#N/A</v>
      </c>
      <c r="H915" t="e">
        <f>INDEX(lang_codes,MATCH(loaded!U915,lang,0))</f>
        <v>#N/A</v>
      </c>
      <c r="I915" s="8">
        <f>loaded!W915</f>
        <v>0</v>
      </c>
      <c r="J915" t="e">
        <f>INDEX(us_acc_codes,MATCH(loaded!Y915,us_acc,0))</f>
        <v>#N/A</v>
      </c>
      <c r="K915" t="e">
        <f>INDEX(client_codes,MATCH(loaded!AA915,client,0))</f>
        <v>#N/A</v>
      </c>
      <c r="L915" t="e">
        <f>INDEX(src_ref_codes,MATCH(loaded!AC915,src_ref,0))</f>
        <v>#N/A</v>
      </c>
      <c r="M915" s="8">
        <f>loaded!AE915</f>
        <v>0</v>
      </c>
      <c r="N915" s="8">
        <f>loaded!AG915</f>
        <v>0</v>
      </c>
      <c r="O915" t="e">
        <f>INDEX(reces_codes,MATCH(loaded!AI915,reason,0))</f>
        <v>#N/A</v>
      </c>
      <c r="P915" t="e">
        <f>INDEX(TDS_codes,MATCH(loaded!AK915,TDS,0))</f>
        <v>#N/A</v>
      </c>
      <c r="Q915" t="e">
        <f>IF(K915=2,"",INDEX(method_codes,MATCH(loaded!AM915,method,0)))</f>
        <v>#N/A</v>
      </c>
      <c r="R915" t="e">
        <f>IF(K915=2,"",INDEX(inj_codes,MATCH(loaded!AO915,inj,0)))</f>
        <v>#N/A</v>
      </c>
      <c r="S915" t="e">
        <f>IF(K915=2,"",INDEX(drug_codes,MATCH(loaded!AQ915,drug,0)))</f>
        <v>#N/A</v>
      </c>
      <c r="T915" t="e">
        <f>IF(K915=2,"",_xlfn.IFNA(INDEX(drug_codes,MATCH(loaded!AS915,drug,0)),""))</f>
        <v>#N/A</v>
      </c>
      <c r="U915" t="e">
        <f>IF(K915=2,"",_xlfn.IFNA(INDEX(drug_codes,MATCH(loaded!AU915,drug,0)),""))</f>
        <v>#N/A</v>
      </c>
      <c r="V915" t="e">
        <f>IF(K915=2,"",_xlfn.IFNA(INDEX(drug_codes,MATCH(loaded!AW915,drug,0)),""))</f>
        <v>#N/A</v>
      </c>
      <c r="W915" t="e">
        <f>IF(K915=2,"",_xlfn.IFNA(INDEX(drug_codes,MATCH(loaded!AY915,drug,0)),""))</f>
        <v>#N/A</v>
      </c>
      <c r="X915" t="e">
        <f>IF(K915=2,"",_xlfn.IFNA(INDEX(drug_codes,MATCH(loaded!BA915,drug,0)),""))</f>
        <v>#N/A</v>
      </c>
      <c r="Y915" t="e">
        <f>INDEX(MTT_codes,MATCH(loaded!BC915,MTT,0))</f>
        <v>#N/A</v>
      </c>
      <c r="Z915" t="str">
        <f>_xlfn.IFNA(INDEX(MTT_codes,MATCH(loaded!BE915,MTT,0)),"")</f>
        <v/>
      </c>
      <c r="AA915" t="str">
        <f>_xlfn.IFNA(INDEX(MTT_codes,MATCH(loaded!BG915,MTT,0)),"")</f>
        <v/>
      </c>
      <c r="AB915" t="str">
        <f>_xlfn.IFNA(INDEX(MTT_codes,MATCH(loaded!BI915,MTT,0)),"")</f>
        <v/>
      </c>
      <c r="AC915" t="str">
        <f>_xlfn.IFNA(INDEX(MTT_codes,MATCH(loaded!BK915,MTT,0)),"")</f>
        <v/>
      </c>
      <c r="AD915" t="str">
        <f>_xlfn.IFNA(INDEX(MTT_codes,MATCH(loaded!BM915,MTT,0)),"")</f>
        <v/>
      </c>
      <c r="AE915" t="e">
        <f>INDEX(liv_ar_codes,MATCH(loaded!BO915,liv_ar,0))</f>
        <v>#N/A</v>
      </c>
      <c r="AF915" t="str">
        <f>_xlfn.IFNA(INDEX(MTT_codes,MATCH(loaded!BQ915,MTT,0)),"")</f>
        <v/>
      </c>
      <c r="AG915">
        <f>_xlfn.IFNA(INDEX(mental_codes,MATCH(loaded!BS915,mental,0)),9)</f>
        <v>9</v>
      </c>
    </row>
    <row r="916" spans="1:33" x14ac:dyDescent="0.25">
      <c r="A916">
        <f>loaded!C916</f>
        <v>0</v>
      </c>
      <c r="B916">
        <f>loaded!I916</f>
        <v>0</v>
      </c>
      <c r="C916">
        <f>IF(loaded!K916="Male",1,IF(loaded!K916="Female",2,9))</f>
        <v>9</v>
      </c>
      <c r="D916" s="8">
        <f>loaded!M916</f>
        <v>0</v>
      </c>
      <c r="E916" t="str">
        <f>LEFT(loaded!O916,3)</f>
        <v/>
      </c>
      <c r="F916" t="e">
        <f>INDEX(cntry_codes,MATCH(loaded!Q916,countries,0))</f>
        <v>#N/A</v>
      </c>
      <c r="G916" t="e">
        <f>INDEX(atsi_codes,MATCH(loaded!S916,atsi,0))</f>
        <v>#N/A</v>
      </c>
      <c r="H916" t="e">
        <f>INDEX(lang_codes,MATCH(loaded!U916,lang,0))</f>
        <v>#N/A</v>
      </c>
      <c r="I916" s="8">
        <f>loaded!W916</f>
        <v>0</v>
      </c>
      <c r="J916" t="e">
        <f>INDEX(us_acc_codes,MATCH(loaded!Y916,us_acc,0))</f>
        <v>#N/A</v>
      </c>
      <c r="K916" t="e">
        <f>INDEX(client_codes,MATCH(loaded!AA916,client,0))</f>
        <v>#N/A</v>
      </c>
      <c r="L916" t="e">
        <f>INDEX(src_ref_codes,MATCH(loaded!AC916,src_ref,0))</f>
        <v>#N/A</v>
      </c>
      <c r="M916" s="8">
        <f>loaded!AE916</f>
        <v>0</v>
      </c>
      <c r="N916" s="8">
        <f>loaded!AG916</f>
        <v>0</v>
      </c>
      <c r="O916" t="e">
        <f>INDEX(reces_codes,MATCH(loaded!AI916,reason,0))</f>
        <v>#N/A</v>
      </c>
      <c r="P916" t="e">
        <f>INDEX(TDS_codes,MATCH(loaded!AK916,TDS,0))</f>
        <v>#N/A</v>
      </c>
      <c r="Q916" t="e">
        <f>IF(K916=2,"",INDEX(method_codes,MATCH(loaded!AM916,method,0)))</f>
        <v>#N/A</v>
      </c>
      <c r="R916" t="e">
        <f>IF(K916=2,"",INDEX(inj_codes,MATCH(loaded!AO916,inj,0)))</f>
        <v>#N/A</v>
      </c>
      <c r="S916" t="e">
        <f>IF(K916=2,"",INDEX(drug_codes,MATCH(loaded!AQ916,drug,0)))</f>
        <v>#N/A</v>
      </c>
      <c r="T916" t="e">
        <f>IF(K916=2,"",_xlfn.IFNA(INDEX(drug_codes,MATCH(loaded!AS916,drug,0)),""))</f>
        <v>#N/A</v>
      </c>
      <c r="U916" t="e">
        <f>IF(K916=2,"",_xlfn.IFNA(INDEX(drug_codes,MATCH(loaded!AU916,drug,0)),""))</f>
        <v>#N/A</v>
      </c>
      <c r="V916" t="e">
        <f>IF(K916=2,"",_xlfn.IFNA(INDEX(drug_codes,MATCH(loaded!AW916,drug,0)),""))</f>
        <v>#N/A</v>
      </c>
      <c r="W916" t="e">
        <f>IF(K916=2,"",_xlfn.IFNA(INDEX(drug_codes,MATCH(loaded!AY916,drug,0)),""))</f>
        <v>#N/A</v>
      </c>
      <c r="X916" t="e">
        <f>IF(K916=2,"",_xlfn.IFNA(INDEX(drug_codes,MATCH(loaded!BA916,drug,0)),""))</f>
        <v>#N/A</v>
      </c>
      <c r="Y916" t="e">
        <f>INDEX(MTT_codes,MATCH(loaded!BC916,MTT,0))</f>
        <v>#N/A</v>
      </c>
      <c r="Z916" t="str">
        <f>_xlfn.IFNA(INDEX(MTT_codes,MATCH(loaded!BE916,MTT,0)),"")</f>
        <v/>
      </c>
      <c r="AA916" t="str">
        <f>_xlfn.IFNA(INDEX(MTT_codes,MATCH(loaded!BG916,MTT,0)),"")</f>
        <v/>
      </c>
      <c r="AB916" t="str">
        <f>_xlfn.IFNA(INDEX(MTT_codes,MATCH(loaded!BI916,MTT,0)),"")</f>
        <v/>
      </c>
      <c r="AC916" t="str">
        <f>_xlfn.IFNA(INDEX(MTT_codes,MATCH(loaded!BK916,MTT,0)),"")</f>
        <v/>
      </c>
      <c r="AD916" t="str">
        <f>_xlfn.IFNA(INDEX(MTT_codes,MATCH(loaded!BM916,MTT,0)),"")</f>
        <v/>
      </c>
      <c r="AE916" t="e">
        <f>INDEX(liv_ar_codes,MATCH(loaded!BO916,liv_ar,0))</f>
        <v>#N/A</v>
      </c>
      <c r="AF916" t="str">
        <f>_xlfn.IFNA(INDEX(MTT_codes,MATCH(loaded!BQ916,MTT,0)),"")</f>
        <v/>
      </c>
      <c r="AG916">
        <f>_xlfn.IFNA(INDEX(mental_codes,MATCH(loaded!BS916,mental,0)),9)</f>
        <v>9</v>
      </c>
    </row>
    <row r="917" spans="1:33" x14ac:dyDescent="0.25">
      <c r="A917">
        <f>loaded!C917</f>
        <v>0</v>
      </c>
      <c r="B917">
        <f>loaded!I917</f>
        <v>0</v>
      </c>
      <c r="C917">
        <f>IF(loaded!K917="Male",1,IF(loaded!K917="Female",2,9))</f>
        <v>9</v>
      </c>
      <c r="D917" s="8">
        <f>loaded!M917</f>
        <v>0</v>
      </c>
      <c r="E917" t="str">
        <f>LEFT(loaded!O917,3)</f>
        <v/>
      </c>
      <c r="F917" t="e">
        <f>INDEX(cntry_codes,MATCH(loaded!Q917,countries,0))</f>
        <v>#N/A</v>
      </c>
      <c r="G917" t="e">
        <f>INDEX(atsi_codes,MATCH(loaded!S917,atsi,0))</f>
        <v>#N/A</v>
      </c>
      <c r="H917" t="e">
        <f>INDEX(lang_codes,MATCH(loaded!U917,lang,0))</f>
        <v>#N/A</v>
      </c>
      <c r="I917" s="8">
        <f>loaded!W917</f>
        <v>0</v>
      </c>
      <c r="J917" t="e">
        <f>INDEX(us_acc_codes,MATCH(loaded!Y917,us_acc,0))</f>
        <v>#N/A</v>
      </c>
      <c r="K917" t="e">
        <f>INDEX(client_codes,MATCH(loaded!AA917,client,0))</f>
        <v>#N/A</v>
      </c>
      <c r="L917" t="e">
        <f>INDEX(src_ref_codes,MATCH(loaded!AC917,src_ref,0))</f>
        <v>#N/A</v>
      </c>
      <c r="M917" s="8">
        <f>loaded!AE917</f>
        <v>0</v>
      </c>
      <c r="N917" s="8">
        <f>loaded!AG917</f>
        <v>0</v>
      </c>
      <c r="O917" t="e">
        <f>INDEX(reces_codes,MATCH(loaded!AI917,reason,0))</f>
        <v>#N/A</v>
      </c>
      <c r="P917" t="e">
        <f>INDEX(TDS_codes,MATCH(loaded!AK917,TDS,0))</f>
        <v>#N/A</v>
      </c>
      <c r="Q917" t="e">
        <f>IF(K917=2,"",INDEX(method_codes,MATCH(loaded!AM917,method,0)))</f>
        <v>#N/A</v>
      </c>
      <c r="R917" t="e">
        <f>IF(K917=2,"",INDEX(inj_codes,MATCH(loaded!AO917,inj,0)))</f>
        <v>#N/A</v>
      </c>
      <c r="S917" t="e">
        <f>IF(K917=2,"",INDEX(drug_codes,MATCH(loaded!AQ917,drug,0)))</f>
        <v>#N/A</v>
      </c>
      <c r="T917" t="e">
        <f>IF(K917=2,"",_xlfn.IFNA(INDEX(drug_codes,MATCH(loaded!AS917,drug,0)),""))</f>
        <v>#N/A</v>
      </c>
      <c r="U917" t="e">
        <f>IF(K917=2,"",_xlfn.IFNA(INDEX(drug_codes,MATCH(loaded!AU917,drug,0)),""))</f>
        <v>#N/A</v>
      </c>
      <c r="V917" t="e">
        <f>IF(K917=2,"",_xlfn.IFNA(INDEX(drug_codes,MATCH(loaded!AW917,drug,0)),""))</f>
        <v>#N/A</v>
      </c>
      <c r="W917" t="e">
        <f>IF(K917=2,"",_xlfn.IFNA(INDEX(drug_codes,MATCH(loaded!AY917,drug,0)),""))</f>
        <v>#N/A</v>
      </c>
      <c r="X917" t="e">
        <f>IF(K917=2,"",_xlfn.IFNA(INDEX(drug_codes,MATCH(loaded!BA917,drug,0)),""))</f>
        <v>#N/A</v>
      </c>
      <c r="Y917" t="e">
        <f>INDEX(MTT_codes,MATCH(loaded!BC917,MTT,0))</f>
        <v>#N/A</v>
      </c>
      <c r="Z917" t="str">
        <f>_xlfn.IFNA(INDEX(MTT_codes,MATCH(loaded!BE917,MTT,0)),"")</f>
        <v/>
      </c>
      <c r="AA917" t="str">
        <f>_xlfn.IFNA(INDEX(MTT_codes,MATCH(loaded!BG917,MTT,0)),"")</f>
        <v/>
      </c>
      <c r="AB917" t="str">
        <f>_xlfn.IFNA(INDEX(MTT_codes,MATCH(loaded!BI917,MTT,0)),"")</f>
        <v/>
      </c>
      <c r="AC917" t="str">
        <f>_xlfn.IFNA(INDEX(MTT_codes,MATCH(loaded!BK917,MTT,0)),"")</f>
        <v/>
      </c>
      <c r="AD917" t="str">
        <f>_xlfn.IFNA(INDEX(MTT_codes,MATCH(loaded!BM917,MTT,0)),"")</f>
        <v/>
      </c>
      <c r="AE917" t="e">
        <f>INDEX(liv_ar_codes,MATCH(loaded!BO917,liv_ar,0))</f>
        <v>#N/A</v>
      </c>
      <c r="AF917" t="str">
        <f>_xlfn.IFNA(INDEX(MTT_codes,MATCH(loaded!BQ917,MTT,0)),"")</f>
        <v/>
      </c>
      <c r="AG917">
        <f>_xlfn.IFNA(INDEX(mental_codes,MATCH(loaded!BS917,mental,0)),9)</f>
        <v>9</v>
      </c>
    </row>
    <row r="918" spans="1:33" x14ac:dyDescent="0.25">
      <c r="A918">
        <f>loaded!C918</f>
        <v>0</v>
      </c>
      <c r="B918">
        <f>loaded!I918</f>
        <v>0</v>
      </c>
      <c r="C918">
        <f>IF(loaded!K918="Male",1,IF(loaded!K918="Female",2,9))</f>
        <v>9</v>
      </c>
      <c r="D918" s="8">
        <f>loaded!M918</f>
        <v>0</v>
      </c>
      <c r="E918" t="str">
        <f>LEFT(loaded!O918,3)</f>
        <v/>
      </c>
      <c r="F918" t="e">
        <f>INDEX(cntry_codes,MATCH(loaded!Q918,countries,0))</f>
        <v>#N/A</v>
      </c>
      <c r="G918" t="e">
        <f>INDEX(atsi_codes,MATCH(loaded!S918,atsi,0))</f>
        <v>#N/A</v>
      </c>
      <c r="H918" t="e">
        <f>INDEX(lang_codes,MATCH(loaded!U918,lang,0))</f>
        <v>#N/A</v>
      </c>
      <c r="I918" s="8">
        <f>loaded!W918</f>
        <v>0</v>
      </c>
      <c r="J918" t="e">
        <f>INDEX(us_acc_codes,MATCH(loaded!Y918,us_acc,0))</f>
        <v>#N/A</v>
      </c>
      <c r="K918" t="e">
        <f>INDEX(client_codes,MATCH(loaded!AA918,client,0))</f>
        <v>#N/A</v>
      </c>
      <c r="L918" t="e">
        <f>INDEX(src_ref_codes,MATCH(loaded!AC918,src_ref,0))</f>
        <v>#N/A</v>
      </c>
      <c r="M918" s="8">
        <f>loaded!AE918</f>
        <v>0</v>
      </c>
      <c r="N918" s="8">
        <f>loaded!AG918</f>
        <v>0</v>
      </c>
      <c r="O918" t="e">
        <f>INDEX(reces_codes,MATCH(loaded!AI918,reason,0))</f>
        <v>#N/A</v>
      </c>
      <c r="P918" t="e">
        <f>INDEX(TDS_codes,MATCH(loaded!AK918,TDS,0))</f>
        <v>#N/A</v>
      </c>
      <c r="Q918" t="e">
        <f>IF(K918=2,"",INDEX(method_codes,MATCH(loaded!AM918,method,0)))</f>
        <v>#N/A</v>
      </c>
      <c r="R918" t="e">
        <f>IF(K918=2,"",INDEX(inj_codes,MATCH(loaded!AO918,inj,0)))</f>
        <v>#N/A</v>
      </c>
      <c r="S918" t="e">
        <f>IF(K918=2,"",INDEX(drug_codes,MATCH(loaded!AQ918,drug,0)))</f>
        <v>#N/A</v>
      </c>
      <c r="T918" t="e">
        <f>IF(K918=2,"",_xlfn.IFNA(INDEX(drug_codes,MATCH(loaded!AS918,drug,0)),""))</f>
        <v>#N/A</v>
      </c>
      <c r="U918" t="e">
        <f>IF(K918=2,"",_xlfn.IFNA(INDEX(drug_codes,MATCH(loaded!AU918,drug,0)),""))</f>
        <v>#N/A</v>
      </c>
      <c r="V918" t="e">
        <f>IF(K918=2,"",_xlfn.IFNA(INDEX(drug_codes,MATCH(loaded!AW918,drug,0)),""))</f>
        <v>#N/A</v>
      </c>
      <c r="W918" t="e">
        <f>IF(K918=2,"",_xlfn.IFNA(INDEX(drug_codes,MATCH(loaded!AY918,drug,0)),""))</f>
        <v>#N/A</v>
      </c>
      <c r="X918" t="e">
        <f>IF(K918=2,"",_xlfn.IFNA(INDEX(drug_codes,MATCH(loaded!BA918,drug,0)),""))</f>
        <v>#N/A</v>
      </c>
      <c r="Y918" t="e">
        <f>INDEX(MTT_codes,MATCH(loaded!BC918,MTT,0))</f>
        <v>#N/A</v>
      </c>
      <c r="Z918" t="str">
        <f>_xlfn.IFNA(INDEX(MTT_codes,MATCH(loaded!BE918,MTT,0)),"")</f>
        <v/>
      </c>
      <c r="AA918" t="str">
        <f>_xlfn.IFNA(INDEX(MTT_codes,MATCH(loaded!BG918,MTT,0)),"")</f>
        <v/>
      </c>
      <c r="AB918" t="str">
        <f>_xlfn.IFNA(INDEX(MTT_codes,MATCH(loaded!BI918,MTT,0)),"")</f>
        <v/>
      </c>
      <c r="AC918" t="str">
        <f>_xlfn.IFNA(INDEX(MTT_codes,MATCH(loaded!BK918,MTT,0)),"")</f>
        <v/>
      </c>
      <c r="AD918" t="str">
        <f>_xlfn.IFNA(INDEX(MTT_codes,MATCH(loaded!BM918,MTT,0)),"")</f>
        <v/>
      </c>
      <c r="AE918" t="e">
        <f>INDEX(liv_ar_codes,MATCH(loaded!BO918,liv_ar,0))</f>
        <v>#N/A</v>
      </c>
      <c r="AF918" t="str">
        <f>_xlfn.IFNA(INDEX(MTT_codes,MATCH(loaded!BQ918,MTT,0)),"")</f>
        <v/>
      </c>
      <c r="AG918">
        <f>_xlfn.IFNA(INDEX(mental_codes,MATCH(loaded!BS918,mental,0)),9)</f>
        <v>9</v>
      </c>
    </row>
    <row r="919" spans="1:33" x14ac:dyDescent="0.25">
      <c r="A919">
        <f>loaded!C919</f>
        <v>0</v>
      </c>
      <c r="B919">
        <f>loaded!I919</f>
        <v>0</v>
      </c>
      <c r="C919">
        <f>IF(loaded!K919="Male",1,IF(loaded!K919="Female",2,9))</f>
        <v>9</v>
      </c>
      <c r="D919" s="8">
        <f>loaded!M919</f>
        <v>0</v>
      </c>
      <c r="E919" t="str">
        <f>LEFT(loaded!O919,3)</f>
        <v/>
      </c>
      <c r="F919" t="e">
        <f>INDEX(cntry_codes,MATCH(loaded!Q919,countries,0))</f>
        <v>#N/A</v>
      </c>
      <c r="G919" t="e">
        <f>INDEX(atsi_codes,MATCH(loaded!S919,atsi,0))</f>
        <v>#N/A</v>
      </c>
      <c r="H919" t="e">
        <f>INDEX(lang_codes,MATCH(loaded!U919,lang,0))</f>
        <v>#N/A</v>
      </c>
      <c r="I919" s="8">
        <f>loaded!W919</f>
        <v>0</v>
      </c>
      <c r="J919" t="e">
        <f>INDEX(us_acc_codes,MATCH(loaded!Y919,us_acc,0))</f>
        <v>#N/A</v>
      </c>
      <c r="K919" t="e">
        <f>INDEX(client_codes,MATCH(loaded!AA919,client,0))</f>
        <v>#N/A</v>
      </c>
      <c r="L919" t="e">
        <f>INDEX(src_ref_codes,MATCH(loaded!AC919,src_ref,0))</f>
        <v>#N/A</v>
      </c>
      <c r="M919" s="8">
        <f>loaded!AE919</f>
        <v>0</v>
      </c>
      <c r="N919" s="8">
        <f>loaded!AG919</f>
        <v>0</v>
      </c>
      <c r="O919" t="e">
        <f>INDEX(reces_codes,MATCH(loaded!AI919,reason,0))</f>
        <v>#N/A</v>
      </c>
      <c r="P919" t="e">
        <f>INDEX(TDS_codes,MATCH(loaded!AK919,TDS,0))</f>
        <v>#N/A</v>
      </c>
      <c r="Q919" t="e">
        <f>IF(K919=2,"",INDEX(method_codes,MATCH(loaded!AM919,method,0)))</f>
        <v>#N/A</v>
      </c>
      <c r="R919" t="e">
        <f>IF(K919=2,"",INDEX(inj_codes,MATCH(loaded!AO919,inj,0)))</f>
        <v>#N/A</v>
      </c>
      <c r="S919" t="e">
        <f>IF(K919=2,"",INDEX(drug_codes,MATCH(loaded!AQ919,drug,0)))</f>
        <v>#N/A</v>
      </c>
      <c r="T919" t="e">
        <f>IF(K919=2,"",_xlfn.IFNA(INDEX(drug_codes,MATCH(loaded!AS919,drug,0)),""))</f>
        <v>#N/A</v>
      </c>
      <c r="U919" t="e">
        <f>IF(K919=2,"",_xlfn.IFNA(INDEX(drug_codes,MATCH(loaded!AU919,drug,0)),""))</f>
        <v>#N/A</v>
      </c>
      <c r="V919" t="e">
        <f>IF(K919=2,"",_xlfn.IFNA(INDEX(drug_codes,MATCH(loaded!AW919,drug,0)),""))</f>
        <v>#N/A</v>
      </c>
      <c r="W919" t="e">
        <f>IF(K919=2,"",_xlfn.IFNA(INDEX(drug_codes,MATCH(loaded!AY919,drug,0)),""))</f>
        <v>#N/A</v>
      </c>
      <c r="X919" t="e">
        <f>IF(K919=2,"",_xlfn.IFNA(INDEX(drug_codes,MATCH(loaded!BA919,drug,0)),""))</f>
        <v>#N/A</v>
      </c>
      <c r="Y919" t="e">
        <f>INDEX(MTT_codes,MATCH(loaded!BC919,MTT,0))</f>
        <v>#N/A</v>
      </c>
      <c r="Z919" t="str">
        <f>_xlfn.IFNA(INDEX(MTT_codes,MATCH(loaded!BE919,MTT,0)),"")</f>
        <v/>
      </c>
      <c r="AA919" t="str">
        <f>_xlfn.IFNA(INDEX(MTT_codes,MATCH(loaded!BG919,MTT,0)),"")</f>
        <v/>
      </c>
      <c r="AB919" t="str">
        <f>_xlfn.IFNA(INDEX(MTT_codes,MATCH(loaded!BI919,MTT,0)),"")</f>
        <v/>
      </c>
      <c r="AC919" t="str">
        <f>_xlfn.IFNA(INDEX(MTT_codes,MATCH(loaded!BK919,MTT,0)),"")</f>
        <v/>
      </c>
      <c r="AD919" t="str">
        <f>_xlfn.IFNA(INDEX(MTT_codes,MATCH(loaded!BM919,MTT,0)),"")</f>
        <v/>
      </c>
      <c r="AE919" t="e">
        <f>INDEX(liv_ar_codes,MATCH(loaded!BO919,liv_ar,0))</f>
        <v>#N/A</v>
      </c>
      <c r="AF919" t="str">
        <f>_xlfn.IFNA(INDEX(MTT_codes,MATCH(loaded!BQ919,MTT,0)),"")</f>
        <v/>
      </c>
      <c r="AG919">
        <f>_xlfn.IFNA(INDEX(mental_codes,MATCH(loaded!BS919,mental,0)),9)</f>
        <v>9</v>
      </c>
    </row>
    <row r="920" spans="1:33" x14ac:dyDescent="0.25">
      <c r="A920">
        <f>loaded!C920</f>
        <v>0</v>
      </c>
      <c r="B920">
        <f>loaded!I920</f>
        <v>0</v>
      </c>
      <c r="C920">
        <f>IF(loaded!K920="Male",1,IF(loaded!K920="Female",2,9))</f>
        <v>9</v>
      </c>
      <c r="D920" s="8">
        <f>loaded!M920</f>
        <v>0</v>
      </c>
      <c r="E920" t="str">
        <f>LEFT(loaded!O920,3)</f>
        <v/>
      </c>
      <c r="F920" t="e">
        <f>INDEX(cntry_codes,MATCH(loaded!Q920,countries,0))</f>
        <v>#N/A</v>
      </c>
      <c r="G920" t="e">
        <f>INDEX(atsi_codes,MATCH(loaded!S920,atsi,0))</f>
        <v>#N/A</v>
      </c>
      <c r="H920" t="e">
        <f>INDEX(lang_codes,MATCH(loaded!U920,lang,0))</f>
        <v>#N/A</v>
      </c>
      <c r="I920" s="8">
        <f>loaded!W920</f>
        <v>0</v>
      </c>
      <c r="J920" t="e">
        <f>INDEX(us_acc_codes,MATCH(loaded!Y920,us_acc,0))</f>
        <v>#N/A</v>
      </c>
      <c r="K920" t="e">
        <f>INDEX(client_codes,MATCH(loaded!AA920,client,0))</f>
        <v>#N/A</v>
      </c>
      <c r="L920" t="e">
        <f>INDEX(src_ref_codes,MATCH(loaded!AC920,src_ref,0))</f>
        <v>#N/A</v>
      </c>
      <c r="M920" s="8">
        <f>loaded!AE920</f>
        <v>0</v>
      </c>
      <c r="N920" s="8">
        <f>loaded!AG920</f>
        <v>0</v>
      </c>
      <c r="O920" t="e">
        <f>INDEX(reces_codes,MATCH(loaded!AI920,reason,0))</f>
        <v>#N/A</v>
      </c>
      <c r="P920" t="e">
        <f>INDEX(TDS_codes,MATCH(loaded!AK920,TDS,0))</f>
        <v>#N/A</v>
      </c>
      <c r="Q920" t="e">
        <f>IF(K920=2,"",INDEX(method_codes,MATCH(loaded!AM920,method,0)))</f>
        <v>#N/A</v>
      </c>
      <c r="R920" t="e">
        <f>IF(K920=2,"",INDEX(inj_codes,MATCH(loaded!AO920,inj,0)))</f>
        <v>#N/A</v>
      </c>
      <c r="S920" t="e">
        <f>IF(K920=2,"",INDEX(drug_codes,MATCH(loaded!AQ920,drug,0)))</f>
        <v>#N/A</v>
      </c>
      <c r="T920" t="e">
        <f>IF(K920=2,"",_xlfn.IFNA(INDEX(drug_codes,MATCH(loaded!AS920,drug,0)),""))</f>
        <v>#N/A</v>
      </c>
      <c r="U920" t="e">
        <f>IF(K920=2,"",_xlfn.IFNA(INDEX(drug_codes,MATCH(loaded!AU920,drug,0)),""))</f>
        <v>#N/A</v>
      </c>
      <c r="V920" t="e">
        <f>IF(K920=2,"",_xlfn.IFNA(INDEX(drug_codes,MATCH(loaded!AW920,drug,0)),""))</f>
        <v>#N/A</v>
      </c>
      <c r="W920" t="e">
        <f>IF(K920=2,"",_xlfn.IFNA(INDEX(drug_codes,MATCH(loaded!AY920,drug,0)),""))</f>
        <v>#N/A</v>
      </c>
      <c r="X920" t="e">
        <f>IF(K920=2,"",_xlfn.IFNA(INDEX(drug_codes,MATCH(loaded!BA920,drug,0)),""))</f>
        <v>#N/A</v>
      </c>
      <c r="Y920" t="e">
        <f>INDEX(MTT_codes,MATCH(loaded!BC920,MTT,0))</f>
        <v>#N/A</v>
      </c>
      <c r="Z920" t="str">
        <f>_xlfn.IFNA(INDEX(MTT_codes,MATCH(loaded!BE920,MTT,0)),"")</f>
        <v/>
      </c>
      <c r="AA920" t="str">
        <f>_xlfn.IFNA(INDEX(MTT_codes,MATCH(loaded!BG920,MTT,0)),"")</f>
        <v/>
      </c>
      <c r="AB920" t="str">
        <f>_xlfn.IFNA(INDEX(MTT_codes,MATCH(loaded!BI920,MTT,0)),"")</f>
        <v/>
      </c>
      <c r="AC920" t="str">
        <f>_xlfn.IFNA(INDEX(MTT_codes,MATCH(loaded!BK920,MTT,0)),"")</f>
        <v/>
      </c>
      <c r="AD920" t="str">
        <f>_xlfn.IFNA(INDEX(MTT_codes,MATCH(loaded!BM920,MTT,0)),"")</f>
        <v/>
      </c>
      <c r="AE920" t="e">
        <f>INDEX(liv_ar_codes,MATCH(loaded!BO920,liv_ar,0))</f>
        <v>#N/A</v>
      </c>
      <c r="AF920" t="str">
        <f>_xlfn.IFNA(INDEX(MTT_codes,MATCH(loaded!BQ920,MTT,0)),"")</f>
        <v/>
      </c>
      <c r="AG920">
        <f>_xlfn.IFNA(INDEX(mental_codes,MATCH(loaded!BS920,mental,0)),9)</f>
        <v>9</v>
      </c>
    </row>
    <row r="921" spans="1:33" x14ac:dyDescent="0.25">
      <c r="A921">
        <f>loaded!C921</f>
        <v>0</v>
      </c>
      <c r="B921">
        <f>loaded!I921</f>
        <v>0</v>
      </c>
      <c r="C921">
        <f>IF(loaded!K921="Male",1,IF(loaded!K921="Female",2,9))</f>
        <v>9</v>
      </c>
      <c r="D921" s="8">
        <f>loaded!M921</f>
        <v>0</v>
      </c>
      <c r="E921" t="str">
        <f>LEFT(loaded!O921,3)</f>
        <v/>
      </c>
      <c r="F921" t="e">
        <f>INDEX(cntry_codes,MATCH(loaded!Q921,countries,0))</f>
        <v>#N/A</v>
      </c>
      <c r="G921" t="e">
        <f>INDEX(atsi_codes,MATCH(loaded!S921,atsi,0))</f>
        <v>#N/A</v>
      </c>
      <c r="H921" t="e">
        <f>INDEX(lang_codes,MATCH(loaded!U921,lang,0))</f>
        <v>#N/A</v>
      </c>
      <c r="I921" s="8">
        <f>loaded!W921</f>
        <v>0</v>
      </c>
      <c r="J921" t="e">
        <f>INDEX(us_acc_codes,MATCH(loaded!Y921,us_acc,0))</f>
        <v>#N/A</v>
      </c>
      <c r="K921" t="e">
        <f>INDEX(client_codes,MATCH(loaded!AA921,client,0))</f>
        <v>#N/A</v>
      </c>
      <c r="L921" t="e">
        <f>INDEX(src_ref_codes,MATCH(loaded!AC921,src_ref,0))</f>
        <v>#N/A</v>
      </c>
      <c r="M921" s="8">
        <f>loaded!AE921</f>
        <v>0</v>
      </c>
      <c r="N921" s="8">
        <f>loaded!AG921</f>
        <v>0</v>
      </c>
      <c r="O921" t="e">
        <f>INDEX(reces_codes,MATCH(loaded!AI921,reason,0))</f>
        <v>#N/A</v>
      </c>
      <c r="P921" t="e">
        <f>INDEX(TDS_codes,MATCH(loaded!AK921,TDS,0))</f>
        <v>#N/A</v>
      </c>
      <c r="Q921" t="e">
        <f>IF(K921=2,"",INDEX(method_codes,MATCH(loaded!AM921,method,0)))</f>
        <v>#N/A</v>
      </c>
      <c r="R921" t="e">
        <f>IF(K921=2,"",INDEX(inj_codes,MATCH(loaded!AO921,inj,0)))</f>
        <v>#N/A</v>
      </c>
      <c r="S921" t="e">
        <f>IF(K921=2,"",INDEX(drug_codes,MATCH(loaded!AQ921,drug,0)))</f>
        <v>#N/A</v>
      </c>
      <c r="T921" t="e">
        <f>IF(K921=2,"",_xlfn.IFNA(INDEX(drug_codes,MATCH(loaded!AS921,drug,0)),""))</f>
        <v>#N/A</v>
      </c>
      <c r="U921" t="e">
        <f>IF(K921=2,"",_xlfn.IFNA(INDEX(drug_codes,MATCH(loaded!AU921,drug,0)),""))</f>
        <v>#N/A</v>
      </c>
      <c r="V921" t="e">
        <f>IF(K921=2,"",_xlfn.IFNA(INDEX(drug_codes,MATCH(loaded!AW921,drug,0)),""))</f>
        <v>#N/A</v>
      </c>
      <c r="W921" t="e">
        <f>IF(K921=2,"",_xlfn.IFNA(INDEX(drug_codes,MATCH(loaded!AY921,drug,0)),""))</f>
        <v>#N/A</v>
      </c>
      <c r="X921" t="e">
        <f>IF(K921=2,"",_xlfn.IFNA(INDEX(drug_codes,MATCH(loaded!BA921,drug,0)),""))</f>
        <v>#N/A</v>
      </c>
      <c r="Y921" t="e">
        <f>INDEX(MTT_codes,MATCH(loaded!BC921,MTT,0))</f>
        <v>#N/A</v>
      </c>
      <c r="Z921" t="str">
        <f>_xlfn.IFNA(INDEX(MTT_codes,MATCH(loaded!BE921,MTT,0)),"")</f>
        <v/>
      </c>
      <c r="AA921" t="str">
        <f>_xlfn.IFNA(INDEX(MTT_codes,MATCH(loaded!BG921,MTT,0)),"")</f>
        <v/>
      </c>
      <c r="AB921" t="str">
        <f>_xlfn.IFNA(INDEX(MTT_codes,MATCH(loaded!BI921,MTT,0)),"")</f>
        <v/>
      </c>
      <c r="AC921" t="str">
        <f>_xlfn.IFNA(INDEX(MTT_codes,MATCH(loaded!BK921,MTT,0)),"")</f>
        <v/>
      </c>
      <c r="AD921" t="str">
        <f>_xlfn.IFNA(INDEX(MTT_codes,MATCH(loaded!BM921,MTT,0)),"")</f>
        <v/>
      </c>
      <c r="AE921" t="e">
        <f>INDEX(liv_ar_codes,MATCH(loaded!BO921,liv_ar,0))</f>
        <v>#N/A</v>
      </c>
      <c r="AF921" t="str">
        <f>_xlfn.IFNA(INDEX(MTT_codes,MATCH(loaded!BQ921,MTT,0)),"")</f>
        <v/>
      </c>
      <c r="AG921">
        <f>_xlfn.IFNA(INDEX(mental_codes,MATCH(loaded!BS921,mental,0)),9)</f>
        <v>9</v>
      </c>
    </row>
    <row r="922" spans="1:33" x14ac:dyDescent="0.25">
      <c r="A922">
        <f>loaded!C922</f>
        <v>0</v>
      </c>
      <c r="B922">
        <f>loaded!I922</f>
        <v>0</v>
      </c>
      <c r="C922">
        <f>IF(loaded!K922="Male",1,IF(loaded!K922="Female",2,9))</f>
        <v>9</v>
      </c>
      <c r="D922" s="8">
        <f>loaded!M922</f>
        <v>0</v>
      </c>
      <c r="E922" t="str">
        <f>LEFT(loaded!O922,3)</f>
        <v/>
      </c>
      <c r="F922" t="e">
        <f>INDEX(cntry_codes,MATCH(loaded!Q922,countries,0))</f>
        <v>#N/A</v>
      </c>
      <c r="G922" t="e">
        <f>INDEX(atsi_codes,MATCH(loaded!S922,atsi,0))</f>
        <v>#N/A</v>
      </c>
      <c r="H922" t="e">
        <f>INDEX(lang_codes,MATCH(loaded!U922,lang,0))</f>
        <v>#N/A</v>
      </c>
      <c r="I922" s="8">
        <f>loaded!W922</f>
        <v>0</v>
      </c>
      <c r="J922" t="e">
        <f>INDEX(us_acc_codes,MATCH(loaded!Y922,us_acc,0))</f>
        <v>#N/A</v>
      </c>
      <c r="K922" t="e">
        <f>INDEX(client_codes,MATCH(loaded!AA922,client,0))</f>
        <v>#N/A</v>
      </c>
      <c r="L922" t="e">
        <f>INDEX(src_ref_codes,MATCH(loaded!AC922,src_ref,0))</f>
        <v>#N/A</v>
      </c>
      <c r="M922" s="8">
        <f>loaded!AE922</f>
        <v>0</v>
      </c>
      <c r="N922" s="8">
        <f>loaded!AG922</f>
        <v>0</v>
      </c>
      <c r="O922" t="e">
        <f>INDEX(reces_codes,MATCH(loaded!AI922,reason,0))</f>
        <v>#N/A</v>
      </c>
      <c r="P922" t="e">
        <f>INDEX(TDS_codes,MATCH(loaded!AK922,TDS,0))</f>
        <v>#N/A</v>
      </c>
      <c r="Q922" t="e">
        <f>IF(K922=2,"",INDEX(method_codes,MATCH(loaded!AM922,method,0)))</f>
        <v>#N/A</v>
      </c>
      <c r="R922" t="e">
        <f>IF(K922=2,"",INDEX(inj_codes,MATCH(loaded!AO922,inj,0)))</f>
        <v>#N/A</v>
      </c>
      <c r="S922" t="e">
        <f>IF(K922=2,"",INDEX(drug_codes,MATCH(loaded!AQ922,drug,0)))</f>
        <v>#N/A</v>
      </c>
      <c r="T922" t="e">
        <f>IF(K922=2,"",_xlfn.IFNA(INDEX(drug_codes,MATCH(loaded!AS922,drug,0)),""))</f>
        <v>#N/A</v>
      </c>
      <c r="U922" t="e">
        <f>IF(K922=2,"",_xlfn.IFNA(INDEX(drug_codes,MATCH(loaded!AU922,drug,0)),""))</f>
        <v>#N/A</v>
      </c>
      <c r="V922" t="e">
        <f>IF(K922=2,"",_xlfn.IFNA(INDEX(drug_codes,MATCH(loaded!AW922,drug,0)),""))</f>
        <v>#N/A</v>
      </c>
      <c r="W922" t="e">
        <f>IF(K922=2,"",_xlfn.IFNA(INDEX(drug_codes,MATCH(loaded!AY922,drug,0)),""))</f>
        <v>#N/A</v>
      </c>
      <c r="X922" t="e">
        <f>IF(K922=2,"",_xlfn.IFNA(INDEX(drug_codes,MATCH(loaded!BA922,drug,0)),""))</f>
        <v>#N/A</v>
      </c>
      <c r="Y922" t="e">
        <f>INDEX(MTT_codes,MATCH(loaded!BC922,MTT,0))</f>
        <v>#N/A</v>
      </c>
      <c r="Z922" t="str">
        <f>_xlfn.IFNA(INDEX(MTT_codes,MATCH(loaded!BE922,MTT,0)),"")</f>
        <v/>
      </c>
      <c r="AA922" t="str">
        <f>_xlfn.IFNA(INDEX(MTT_codes,MATCH(loaded!BG922,MTT,0)),"")</f>
        <v/>
      </c>
      <c r="AB922" t="str">
        <f>_xlfn.IFNA(INDEX(MTT_codes,MATCH(loaded!BI922,MTT,0)),"")</f>
        <v/>
      </c>
      <c r="AC922" t="str">
        <f>_xlfn.IFNA(INDEX(MTT_codes,MATCH(loaded!BK922,MTT,0)),"")</f>
        <v/>
      </c>
      <c r="AD922" t="str">
        <f>_xlfn.IFNA(INDEX(MTT_codes,MATCH(loaded!BM922,MTT,0)),"")</f>
        <v/>
      </c>
      <c r="AE922" t="e">
        <f>INDEX(liv_ar_codes,MATCH(loaded!BO922,liv_ar,0))</f>
        <v>#N/A</v>
      </c>
      <c r="AF922" t="str">
        <f>_xlfn.IFNA(INDEX(MTT_codes,MATCH(loaded!BQ922,MTT,0)),"")</f>
        <v/>
      </c>
      <c r="AG922">
        <f>_xlfn.IFNA(INDEX(mental_codes,MATCH(loaded!BS922,mental,0)),9)</f>
        <v>9</v>
      </c>
    </row>
    <row r="923" spans="1:33" x14ac:dyDescent="0.25">
      <c r="A923">
        <f>loaded!C923</f>
        <v>0</v>
      </c>
      <c r="B923">
        <f>loaded!I923</f>
        <v>0</v>
      </c>
      <c r="C923">
        <f>IF(loaded!K923="Male",1,IF(loaded!K923="Female",2,9))</f>
        <v>9</v>
      </c>
      <c r="D923" s="8">
        <f>loaded!M923</f>
        <v>0</v>
      </c>
      <c r="E923" t="str">
        <f>LEFT(loaded!O923,3)</f>
        <v/>
      </c>
      <c r="F923" t="e">
        <f>INDEX(cntry_codes,MATCH(loaded!Q923,countries,0))</f>
        <v>#N/A</v>
      </c>
      <c r="G923" t="e">
        <f>INDEX(atsi_codes,MATCH(loaded!S923,atsi,0))</f>
        <v>#N/A</v>
      </c>
      <c r="H923" t="e">
        <f>INDEX(lang_codes,MATCH(loaded!U923,lang,0))</f>
        <v>#N/A</v>
      </c>
      <c r="I923" s="8">
        <f>loaded!W923</f>
        <v>0</v>
      </c>
      <c r="J923" t="e">
        <f>INDEX(us_acc_codes,MATCH(loaded!Y923,us_acc,0))</f>
        <v>#N/A</v>
      </c>
      <c r="K923" t="e">
        <f>INDEX(client_codes,MATCH(loaded!AA923,client,0))</f>
        <v>#N/A</v>
      </c>
      <c r="L923" t="e">
        <f>INDEX(src_ref_codes,MATCH(loaded!AC923,src_ref,0))</f>
        <v>#N/A</v>
      </c>
      <c r="M923" s="8">
        <f>loaded!AE923</f>
        <v>0</v>
      </c>
      <c r="N923" s="8">
        <f>loaded!AG923</f>
        <v>0</v>
      </c>
      <c r="O923" t="e">
        <f>INDEX(reces_codes,MATCH(loaded!AI923,reason,0))</f>
        <v>#N/A</v>
      </c>
      <c r="P923" t="e">
        <f>INDEX(TDS_codes,MATCH(loaded!AK923,TDS,0))</f>
        <v>#N/A</v>
      </c>
      <c r="Q923" t="e">
        <f>IF(K923=2,"",INDEX(method_codes,MATCH(loaded!AM923,method,0)))</f>
        <v>#N/A</v>
      </c>
      <c r="R923" t="e">
        <f>IF(K923=2,"",INDEX(inj_codes,MATCH(loaded!AO923,inj,0)))</f>
        <v>#N/A</v>
      </c>
      <c r="S923" t="e">
        <f>IF(K923=2,"",INDEX(drug_codes,MATCH(loaded!AQ923,drug,0)))</f>
        <v>#N/A</v>
      </c>
      <c r="T923" t="e">
        <f>IF(K923=2,"",_xlfn.IFNA(INDEX(drug_codes,MATCH(loaded!AS923,drug,0)),""))</f>
        <v>#N/A</v>
      </c>
      <c r="U923" t="e">
        <f>IF(K923=2,"",_xlfn.IFNA(INDEX(drug_codes,MATCH(loaded!AU923,drug,0)),""))</f>
        <v>#N/A</v>
      </c>
      <c r="V923" t="e">
        <f>IF(K923=2,"",_xlfn.IFNA(INDEX(drug_codes,MATCH(loaded!AW923,drug,0)),""))</f>
        <v>#N/A</v>
      </c>
      <c r="W923" t="e">
        <f>IF(K923=2,"",_xlfn.IFNA(INDEX(drug_codes,MATCH(loaded!AY923,drug,0)),""))</f>
        <v>#N/A</v>
      </c>
      <c r="X923" t="e">
        <f>IF(K923=2,"",_xlfn.IFNA(INDEX(drug_codes,MATCH(loaded!BA923,drug,0)),""))</f>
        <v>#N/A</v>
      </c>
      <c r="Y923" t="e">
        <f>INDEX(MTT_codes,MATCH(loaded!BC923,MTT,0))</f>
        <v>#N/A</v>
      </c>
      <c r="Z923" t="str">
        <f>_xlfn.IFNA(INDEX(MTT_codes,MATCH(loaded!BE923,MTT,0)),"")</f>
        <v/>
      </c>
      <c r="AA923" t="str">
        <f>_xlfn.IFNA(INDEX(MTT_codes,MATCH(loaded!BG923,MTT,0)),"")</f>
        <v/>
      </c>
      <c r="AB923" t="str">
        <f>_xlfn.IFNA(INDEX(MTT_codes,MATCH(loaded!BI923,MTT,0)),"")</f>
        <v/>
      </c>
      <c r="AC923" t="str">
        <f>_xlfn.IFNA(INDEX(MTT_codes,MATCH(loaded!BK923,MTT,0)),"")</f>
        <v/>
      </c>
      <c r="AD923" t="str">
        <f>_xlfn.IFNA(INDEX(MTT_codes,MATCH(loaded!BM923,MTT,0)),"")</f>
        <v/>
      </c>
      <c r="AE923" t="e">
        <f>INDEX(liv_ar_codes,MATCH(loaded!BO923,liv_ar,0))</f>
        <v>#N/A</v>
      </c>
      <c r="AF923" t="str">
        <f>_xlfn.IFNA(INDEX(MTT_codes,MATCH(loaded!BQ923,MTT,0)),"")</f>
        <v/>
      </c>
      <c r="AG923">
        <f>_xlfn.IFNA(INDEX(mental_codes,MATCH(loaded!BS923,mental,0)),9)</f>
        <v>9</v>
      </c>
    </row>
    <row r="924" spans="1:33" x14ac:dyDescent="0.25">
      <c r="A924">
        <f>loaded!C924</f>
        <v>0</v>
      </c>
      <c r="B924">
        <f>loaded!I924</f>
        <v>0</v>
      </c>
      <c r="C924">
        <f>IF(loaded!K924="Male",1,IF(loaded!K924="Female",2,9))</f>
        <v>9</v>
      </c>
      <c r="D924" s="8">
        <f>loaded!M924</f>
        <v>0</v>
      </c>
      <c r="E924" t="str">
        <f>LEFT(loaded!O924,3)</f>
        <v/>
      </c>
      <c r="F924" t="e">
        <f>INDEX(cntry_codes,MATCH(loaded!Q924,countries,0))</f>
        <v>#N/A</v>
      </c>
      <c r="G924" t="e">
        <f>INDEX(atsi_codes,MATCH(loaded!S924,atsi,0))</f>
        <v>#N/A</v>
      </c>
      <c r="H924" t="e">
        <f>INDEX(lang_codes,MATCH(loaded!U924,lang,0))</f>
        <v>#N/A</v>
      </c>
      <c r="I924" s="8">
        <f>loaded!W924</f>
        <v>0</v>
      </c>
      <c r="J924" t="e">
        <f>INDEX(us_acc_codes,MATCH(loaded!Y924,us_acc,0))</f>
        <v>#N/A</v>
      </c>
      <c r="K924" t="e">
        <f>INDEX(client_codes,MATCH(loaded!AA924,client,0))</f>
        <v>#N/A</v>
      </c>
      <c r="L924" t="e">
        <f>INDEX(src_ref_codes,MATCH(loaded!AC924,src_ref,0))</f>
        <v>#N/A</v>
      </c>
      <c r="M924" s="8">
        <f>loaded!AE924</f>
        <v>0</v>
      </c>
      <c r="N924" s="8">
        <f>loaded!AG924</f>
        <v>0</v>
      </c>
      <c r="O924" t="e">
        <f>INDEX(reces_codes,MATCH(loaded!AI924,reason,0))</f>
        <v>#N/A</v>
      </c>
      <c r="P924" t="e">
        <f>INDEX(TDS_codes,MATCH(loaded!AK924,TDS,0))</f>
        <v>#N/A</v>
      </c>
      <c r="Q924" t="e">
        <f>IF(K924=2,"",INDEX(method_codes,MATCH(loaded!AM924,method,0)))</f>
        <v>#N/A</v>
      </c>
      <c r="R924" t="e">
        <f>IF(K924=2,"",INDEX(inj_codes,MATCH(loaded!AO924,inj,0)))</f>
        <v>#N/A</v>
      </c>
      <c r="S924" t="e">
        <f>IF(K924=2,"",INDEX(drug_codes,MATCH(loaded!AQ924,drug,0)))</f>
        <v>#N/A</v>
      </c>
      <c r="T924" t="e">
        <f>IF(K924=2,"",_xlfn.IFNA(INDEX(drug_codes,MATCH(loaded!AS924,drug,0)),""))</f>
        <v>#N/A</v>
      </c>
      <c r="U924" t="e">
        <f>IF(K924=2,"",_xlfn.IFNA(INDEX(drug_codes,MATCH(loaded!AU924,drug,0)),""))</f>
        <v>#N/A</v>
      </c>
      <c r="V924" t="e">
        <f>IF(K924=2,"",_xlfn.IFNA(INDEX(drug_codes,MATCH(loaded!AW924,drug,0)),""))</f>
        <v>#N/A</v>
      </c>
      <c r="W924" t="e">
        <f>IF(K924=2,"",_xlfn.IFNA(INDEX(drug_codes,MATCH(loaded!AY924,drug,0)),""))</f>
        <v>#N/A</v>
      </c>
      <c r="X924" t="e">
        <f>IF(K924=2,"",_xlfn.IFNA(INDEX(drug_codes,MATCH(loaded!BA924,drug,0)),""))</f>
        <v>#N/A</v>
      </c>
      <c r="Y924" t="e">
        <f>INDEX(MTT_codes,MATCH(loaded!BC924,MTT,0))</f>
        <v>#N/A</v>
      </c>
      <c r="Z924" t="str">
        <f>_xlfn.IFNA(INDEX(MTT_codes,MATCH(loaded!BE924,MTT,0)),"")</f>
        <v/>
      </c>
      <c r="AA924" t="str">
        <f>_xlfn.IFNA(INDEX(MTT_codes,MATCH(loaded!BG924,MTT,0)),"")</f>
        <v/>
      </c>
      <c r="AB924" t="str">
        <f>_xlfn.IFNA(INDEX(MTT_codes,MATCH(loaded!BI924,MTT,0)),"")</f>
        <v/>
      </c>
      <c r="AC924" t="str">
        <f>_xlfn.IFNA(INDEX(MTT_codes,MATCH(loaded!BK924,MTT,0)),"")</f>
        <v/>
      </c>
      <c r="AD924" t="str">
        <f>_xlfn.IFNA(INDEX(MTT_codes,MATCH(loaded!BM924,MTT,0)),"")</f>
        <v/>
      </c>
      <c r="AE924" t="e">
        <f>INDEX(liv_ar_codes,MATCH(loaded!BO924,liv_ar,0))</f>
        <v>#N/A</v>
      </c>
      <c r="AF924" t="str">
        <f>_xlfn.IFNA(INDEX(MTT_codes,MATCH(loaded!BQ924,MTT,0)),"")</f>
        <v/>
      </c>
      <c r="AG924">
        <f>_xlfn.IFNA(INDEX(mental_codes,MATCH(loaded!BS924,mental,0)),9)</f>
        <v>9</v>
      </c>
    </row>
    <row r="925" spans="1:33" x14ac:dyDescent="0.25">
      <c r="A925">
        <f>loaded!C925</f>
        <v>0</v>
      </c>
      <c r="B925">
        <f>loaded!I925</f>
        <v>0</v>
      </c>
      <c r="C925">
        <f>IF(loaded!K925="Male",1,IF(loaded!K925="Female",2,9))</f>
        <v>9</v>
      </c>
      <c r="D925" s="8">
        <f>loaded!M925</f>
        <v>0</v>
      </c>
      <c r="E925" t="str">
        <f>LEFT(loaded!O925,3)</f>
        <v/>
      </c>
      <c r="F925" t="e">
        <f>INDEX(cntry_codes,MATCH(loaded!Q925,countries,0))</f>
        <v>#N/A</v>
      </c>
      <c r="G925" t="e">
        <f>INDEX(atsi_codes,MATCH(loaded!S925,atsi,0))</f>
        <v>#N/A</v>
      </c>
      <c r="H925" t="e">
        <f>INDEX(lang_codes,MATCH(loaded!U925,lang,0))</f>
        <v>#N/A</v>
      </c>
      <c r="I925" s="8">
        <f>loaded!W925</f>
        <v>0</v>
      </c>
      <c r="J925" t="e">
        <f>INDEX(us_acc_codes,MATCH(loaded!Y925,us_acc,0))</f>
        <v>#N/A</v>
      </c>
      <c r="K925" t="e">
        <f>INDEX(client_codes,MATCH(loaded!AA925,client,0))</f>
        <v>#N/A</v>
      </c>
      <c r="L925" t="e">
        <f>INDEX(src_ref_codes,MATCH(loaded!AC925,src_ref,0))</f>
        <v>#N/A</v>
      </c>
      <c r="M925" s="8">
        <f>loaded!AE925</f>
        <v>0</v>
      </c>
      <c r="N925" s="8">
        <f>loaded!AG925</f>
        <v>0</v>
      </c>
      <c r="O925" t="e">
        <f>INDEX(reces_codes,MATCH(loaded!AI925,reason,0))</f>
        <v>#N/A</v>
      </c>
      <c r="P925" t="e">
        <f>INDEX(TDS_codes,MATCH(loaded!AK925,TDS,0))</f>
        <v>#N/A</v>
      </c>
      <c r="Q925" t="e">
        <f>IF(K925=2,"",INDEX(method_codes,MATCH(loaded!AM925,method,0)))</f>
        <v>#N/A</v>
      </c>
      <c r="R925" t="e">
        <f>IF(K925=2,"",INDEX(inj_codes,MATCH(loaded!AO925,inj,0)))</f>
        <v>#N/A</v>
      </c>
      <c r="S925" t="e">
        <f>IF(K925=2,"",INDEX(drug_codes,MATCH(loaded!AQ925,drug,0)))</f>
        <v>#N/A</v>
      </c>
      <c r="T925" t="e">
        <f>IF(K925=2,"",_xlfn.IFNA(INDEX(drug_codes,MATCH(loaded!AS925,drug,0)),""))</f>
        <v>#N/A</v>
      </c>
      <c r="U925" t="e">
        <f>IF(K925=2,"",_xlfn.IFNA(INDEX(drug_codes,MATCH(loaded!AU925,drug,0)),""))</f>
        <v>#N/A</v>
      </c>
      <c r="V925" t="e">
        <f>IF(K925=2,"",_xlfn.IFNA(INDEX(drug_codes,MATCH(loaded!AW925,drug,0)),""))</f>
        <v>#N/A</v>
      </c>
      <c r="W925" t="e">
        <f>IF(K925=2,"",_xlfn.IFNA(INDEX(drug_codes,MATCH(loaded!AY925,drug,0)),""))</f>
        <v>#N/A</v>
      </c>
      <c r="X925" t="e">
        <f>IF(K925=2,"",_xlfn.IFNA(INDEX(drug_codes,MATCH(loaded!BA925,drug,0)),""))</f>
        <v>#N/A</v>
      </c>
      <c r="Y925" t="e">
        <f>INDEX(MTT_codes,MATCH(loaded!BC925,MTT,0))</f>
        <v>#N/A</v>
      </c>
      <c r="Z925" t="str">
        <f>_xlfn.IFNA(INDEX(MTT_codes,MATCH(loaded!BE925,MTT,0)),"")</f>
        <v/>
      </c>
      <c r="AA925" t="str">
        <f>_xlfn.IFNA(INDEX(MTT_codes,MATCH(loaded!BG925,MTT,0)),"")</f>
        <v/>
      </c>
      <c r="AB925" t="str">
        <f>_xlfn.IFNA(INDEX(MTT_codes,MATCH(loaded!BI925,MTT,0)),"")</f>
        <v/>
      </c>
      <c r="AC925" t="str">
        <f>_xlfn.IFNA(INDEX(MTT_codes,MATCH(loaded!BK925,MTT,0)),"")</f>
        <v/>
      </c>
      <c r="AD925" t="str">
        <f>_xlfn.IFNA(INDEX(MTT_codes,MATCH(loaded!BM925,MTT,0)),"")</f>
        <v/>
      </c>
      <c r="AE925" t="e">
        <f>INDEX(liv_ar_codes,MATCH(loaded!BO925,liv_ar,0))</f>
        <v>#N/A</v>
      </c>
      <c r="AF925" t="str">
        <f>_xlfn.IFNA(INDEX(MTT_codes,MATCH(loaded!BQ925,MTT,0)),"")</f>
        <v/>
      </c>
      <c r="AG925">
        <f>_xlfn.IFNA(INDEX(mental_codes,MATCH(loaded!BS925,mental,0)),9)</f>
        <v>9</v>
      </c>
    </row>
    <row r="926" spans="1:33" x14ac:dyDescent="0.25">
      <c r="A926">
        <f>loaded!C926</f>
        <v>0</v>
      </c>
      <c r="B926">
        <f>loaded!I926</f>
        <v>0</v>
      </c>
      <c r="C926">
        <f>IF(loaded!K926="Male",1,IF(loaded!K926="Female",2,9))</f>
        <v>9</v>
      </c>
      <c r="D926" s="8">
        <f>loaded!M926</f>
        <v>0</v>
      </c>
      <c r="E926" t="str">
        <f>LEFT(loaded!O926,3)</f>
        <v/>
      </c>
      <c r="F926" t="e">
        <f>INDEX(cntry_codes,MATCH(loaded!Q926,countries,0))</f>
        <v>#N/A</v>
      </c>
      <c r="G926" t="e">
        <f>INDEX(atsi_codes,MATCH(loaded!S926,atsi,0))</f>
        <v>#N/A</v>
      </c>
      <c r="H926" t="e">
        <f>INDEX(lang_codes,MATCH(loaded!U926,lang,0))</f>
        <v>#N/A</v>
      </c>
      <c r="I926" s="8">
        <f>loaded!W926</f>
        <v>0</v>
      </c>
      <c r="J926" t="e">
        <f>INDEX(us_acc_codes,MATCH(loaded!Y926,us_acc,0))</f>
        <v>#N/A</v>
      </c>
      <c r="K926" t="e">
        <f>INDEX(client_codes,MATCH(loaded!AA926,client,0))</f>
        <v>#N/A</v>
      </c>
      <c r="L926" t="e">
        <f>INDEX(src_ref_codes,MATCH(loaded!AC926,src_ref,0))</f>
        <v>#N/A</v>
      </c>
      <c r="M926" s="8">
        <f>loaded!AE926</f>
        <v>0</v>
      </c>
      <c r="N926" s="8">
        <f>loaded!AG926</f>
        <v>0</v>
      </c>
      <c r="O926" t="e">
        <f>INDEX(reces_codes,MATCH(loaded!AI926,reason,0))</f>
        <v>#N/A</v>
      </c>
      <c r="P926" t="e">
        <f>INDEX(TDS_codes,MATCH(loaded!AK926,TDS,0))</f>
        <v>#N/A</v>
      </c>
      <c r="Q926" t="e">
        <f>IF(K926=2,"",INDEX(method_codes,MATCH(loaded!AM926,method,0)))</f>
        <v>#N/A</v>
      </c>
      <c r="R926" t="e">
        <f>IF(K926=2,"",INDEX(inj_codes,MATCH(loaded!AO926,inj,0)))</f>
        <v>#N/A</v>
      </c>
      <c r="S926" t="e">
        <f>IF(K926=2,"",INDEX(drug_codes,MATCH(loaded!AQ926,drug,0)))</f>
        <v>#N/A</v>
      </c>
      <c r="T926" t="e">
        <f>IF(K926=2,"",_xlfn.IFNA(INDEX(drug_codes,MATCH(loaded!AS926,drug,0)),""))</f>
        <v>#N/A</v>
      </c>
      <c r="U926" t="e">
        <f>IF(K926=2,"",_xlfn.IFNA(INDEX(drug_codes,MATCH(loaded!AU926,drug,0)),""))</f>
        <v>#N/A</v>
      </c>
      <c r="V926" t="e">
        <f>IF(K926=2,"",_xlfn.IFNA(INDEX(drug_codes,MATCH(loaded!AW926,drug,0)),""))</f>
        <v>#N/A</v>
      </c>
      <c r="W926" t="e">
        <f>IF(K926=2,"",_xlfn.IFNA(INDEX(drug_codes,MATCH(loaded!AY926,drug,0)),""))</f>
        <v>#N/A</v>
      </c>
      <c r="X926" t="e">
        <f>IF(K926=2,"",_xlfn.IFNA(INDEX(drug_codes,MATCH(loaded!BA926,drug,0)),""))</f>
        <v>#N/A</v>
      </c>
      <c r="Y926" t="e">
        <f>INDEX(MTT_codes,MATCH(loaded!BC926,MTT,0))</f>
        <v>#N/A</v>
      </c>
      <c r="Z926" t="str">
        <f>_xlfn.IFNA(INDEX(MTT_codes,MATCH(loaded!BE926,MTT,0)),"")</f>
        <v/>
      </c>
      <c r="AA926" t="str">
        <f>_xlfn.IFNA(INDEX(MTT_codes,MATCH(loaded!BG926,MTT,0)),"")</f>
        <v/>
      </c>
      <c r="AB926" t="str">
        <f>_xlfn.IFNA(INDEX(MTT_codes,MATCH(loaded!BI926,MTT,0)),"")</f>
        <v/>
      </c>
      <c r="AC926" t="str">
        <f>_xlfn.IFNA(INDEX(MTT_codes,MATCH(loaded!BK926,MTT,0)),"")</f>
        <v/>
      </c>
      <c r="AD926" t="str">
        <f>_xlfn.IFNA(INDEX(MTT_codes,MATCH(loaded!BM926,MTT,0)),"")</f>
        <v/>
      </c>
      <c r="AE926" t="e">
        <f>INDEX(liv_ar_codes,MATCH(loaded!BO926,liv_ar,0))</f>
        <v>#N/A</v>
      </c>
      <c r="AF926" t="str">
        <f>_xlfn.IFNA(INDEX(MTT_codes,MATCH(loaded!BQ926,MTT,0)),"")</f>
        <v/>
      </c>
      <c r="AG926">
        <f>_xlfn.IFNA(INDEX(mental_codes,MATCH(loaded!BS926,mental,0)),9)</f>
        <v>9</v>
      </c>
    </row>
    <row r="927" spans="1:33" x14ac:dyDescent="0.25">
      <c r="A927">
        <f>loaded!C927</f>
        <v>0</v>
      </c>
      <c r="B927">
        <f>loaded!I927</f>
        <v>0</v>
      </c>
      <c r="C927">
        <f>IF(loaded!K927="Male",1,IF(loaded!K927="Female",2,9))</f>
        <v>9</v>
      </c>
      <c r="D927" s="8">
        <f>loaded!M927</f>
        <v>0</v>
      </c>
      <c r="E927" t="str">
        <f>LEFT(loaded!O927,3)</f>
        <v/>
      </c>
      <c r="F927" t="e">
        <f>INDEX(cntry_codes,MATCH(loaded!Q927,countries,0))</f>
        <v>#N/A</v>
      </c>
      <c r="G927" t="e">
        <f>INDEX(atsi_codes,MATCH(loaded!S927,atsi,0))</f>
        <v>#N/A</v>
      </c>
      <c r="H927" t="e">
        <f>INDEX(lang_codes,MATCH(loaded!U927,lang,0))</f>
        <v>#N/A</v>
      </c>
      <c r="I927" s="8">
        <f>loaded!W927</f>
        <v>0</v>
      </c>
      <c r="J927" t="e">
        <f>INDEX(us_acc_codes,MATCH(loaded!Y927,us_acc,0))</f>
        <v>#N/A</v>
      </c>
      <c r="K927" t="e">
        <f>INDEX(client_codes,MATCH(loaded!AA927,client,0))</f>
        <v>#N/A</v>
      </c>
      <c r="L927" t="e">
        <f>INDEX(src_ref_codes,MATCH(loaded!AC927,src_ref,0))</f>
        <v>#N/A</v>
      </c>
      <c r="M927" s="8">
        <f>loaded!AE927</f>
        <v>0</v>
      </c>
      <c r="N927" s="8">
        <f>loaded!AG927</f>
        <v>0</v>
      </c>
      <c r="O927" t="e">
        <f>INDEX(reces_codes,MATCH(loaded!AI927,reason,0))</f>
        <v>#N/A</v>
      </c>
      <c r="P927" t="e">
        <f>INDEX(TDS_codes,MATCH(loaded!AK927,TDS,0))</f>
        <v>#N/A</v>
      </c>
      <c r="Q927" t="e">
        <f>IF(K927=2,"",INDEX(method_codes,MATCH(loaded!AM927,method,0)))</f>
        <v>#N/A</v>
      </c>
      <c r="R927" t="e">
        <f>IF(K927=2,"",INDEX(inj_codes,MATCH(loaded!AO927,inj,0)))</f>
        <v>#N/A</v>
      </c>
      <c r="S927" t="e">
        <f>IF(K927=2,"",INDEX(drug_codes,MATCH(loaded!AQ927,drug,0)))</f>
        <v>#N/A</v>
      </c>
      <c r="T927" t="e">
        <f>IF(K927=2,"",_xlfn.IFNA(INDEX(drug_codes,MATCH(loaded!AS927,drug,0)),""))</f>
        <v>#N/A</v>
      </c>
      <c r="U927" t="e">
        <f>IF(K927=2,"",_xlfn.IFNA(INDEX(drug_codes,MATCH(loaded!AU927,drug,0)),""))</f>
        <v>#N/A</v>
      </c>
      <c r="V927" t="e">
        <f>IF(K927=2,"",_xlfn.IFNA(INDEX(drug_codes,MATCH(loaded!AW927,drug,0)),""))</f>
        <v>#N/A</v>
      </c>
      <c r="W927" t="e">
        <f>IF(K927=2,"",_xlfn.IFNA(INDEX(drug_codes,MATCH(loaded!AY927,drug,0)),""))</f>
        <v>#N/A</v>
      </c>
      <c r="X927" t="e">
        <f>IF(K927=2,"",_xlfn.IFNA(INDEX(drug_codes,MATCH(loaded!BA927,drug,0)),""))</f>
        <v>#N/A</v>
      </c>
      <c r="Y927" t="e">
        <f>INDEX(MTT_codes,MATCH(loaded!BC927,MTT,0))</f>
        <v>#N/A</v>
      </c>
      <c r="Z927" t="str">
        <f>_xlfn.IFNA(INDEX(MTT_codes,MATCH(loaded!BE927,MTT,0)),"")</f>
        <v/>
      </c>
      <c r="AA927" t="str">
        <f>_xlfn.IFNA(INDEX(MTT_codes,MATCH(loaded!BG927,MTT,0)),"")</f>
        <v/>
      </c>
      <c r="AB927" t="str">
        <f>_xlfn.IFNA(INDEX(MTT_codes,MATCH(loaded!BI927,MTT,0)),"")</f>
        <v/>
      </c>
      <c r="AC927" t="str">
        <f>_xlfn.IFNA(INDEX(MTT_codes,MATCH(loaded!BK927,MTT,0)),"")</f>
        <v/>
      </c>
      <c r="AD927" t="str">
        <f>_xlfn.IFNA(INDEX(MTT_codes,MATCH(loaded!BM927,MTT,0)),"")</f>
        <v/>
      </c>
      <c r="AE927" t="e">
        <f>INDEX(liv_ar_codes,MATCH(loaded!BO927,liv_ar,0))</f>
        <v>#N/A</v>
      </c>
      <c r="AF927" t="str">
        <f>_xlfn.IFNA(INDEX(MTT_codes,MATCH(loaded!BQ927,MTT,0)),"")</f>
        <v/>
      </c>
      <c r="AG927">
        <f>_xlfn.IFNA(INDEX(mental_codes,MATCH(loaded!BS927,mental,0)),9)</f>
        <v>9</v>
      </c>
    </row>
    <row r="928" spans="1:33" x14ac:dyDescent="0.25">
      <c r="A928">
        <f>loaded!C928</f>
        <v>0</v>
      </c>
      <c r="B928">
        <f>loaded!I928</f>
        <v>0</v>
      </c>
      <c r="C928">
        <f>IF(loaded!K928="Male",1,IF(loaded!K928="Female",2,9))</f>
        <v>9</v>
      </c>
      <c r="D928" s="8">
        <f>loaded!M928</f>
        <v>0</v>
      </c>
      <c r="E928" t="str">
        <f>LEFT(loaded!O928,3)</f>
        <v/>
      </c>
      <c r="F928" t="e">
        <f>INDEX(cntry_codes,MATCH(loaded!Q928,countries,0))</f>
        <v>#N/A</v>
      </c>
      <c r="G928" t="e">
        <f>INDEX(atsi_codes,MATCH(loaded!S928,atsi,0))</f>
        <v>#N/A</v>
      </c>
      <c r="H928" t="e">
        <f>INDEX(lang_codes,MATCH(loaded!U928,lang,0))</f>
        <v>#N/A</v>
      </c>
      <c r="I928" s="8">
        <f>loaded!W928</f>
        <v>0</v>
      </c>
      <c r="J928" t="e">
        <f>INDEX(us_acc_codes,MATCH(loaded!Y928,us_acc,0))</f>
        <v>#N/A</v>
      </c>
      <c r="K928" t="e">
        <f>INDEX(client_codes,MATCH(loaded!AA928,client,0))</f>
        <v>#N/A</v>
      </c>
      <c r="L928" t="e">
        <f>INDEX(src_ref_codes,MATCH(loaded!AC928,src_ref,0))</f>
        <v>#N/A</v>
      </c>
      <c r="M928" s="8">
        <f>loaded!AE928</f>
        <v>0</v>
      </c>
      <c r="N928" s="8">
        <f>loaded!AG928</f>
        <v>0</v>
      </c>
      <c r="O928" t="e">
        <f>INDEX(reces_codes,MATCH(loaded!AI928,reason,0))</f>
        <v>#N/A</v>
      </c>
      <c r="P928" t="e">
        <f>INDEX(TDS_codes,MATCH(loaded!AK928,TDS,0))</f>
        <v>#N/A</v>
      </c>
      <c r="Q928" t="e">
        <f>IF(K928=2,"",INDEX(method_codes,MATCH(loaded!AM928,method,0)))</f>
        <v>#N/A</v>
      </c>
      <c r="R928" t="e">
        <f>IF(K928=2,"",INDEX(inj_codes,MATCH(loaded!AO928,inj,0)))</f>
        <v>#N/A</v>
      </c>
      <c r="S928" t="e">
        <f>IF(K928=2,"",INDEX(drug_codes,MATCH(loaded!AQ928,drug,0)))</f>
        <v>#N/A</v>
      </c>
      <c r="T928" t="e">
        <f>IF(K928=2,"",_xlfn.IFNA(INDEX(drug_codes,MATCH(loaded!AS928,drug,0)),""))</f>
        <v>#N/A</v>
      </c>
      <c r="U928" t="e">
        <f>IF(K928=2,"",_xlfn.IFNA(INDEX(drug_codes,MATCH(loaded!AU928,drug,0)),""))</f>
        <v>#N/A</v>
      </c>
      <c r="V928" t="e">
        <f>IF(K928=2,"",_xlfn.IFNA(INDEX(drug_codes,MATCH(loaded!AW928,drug,0)),""))</f>
        <v>#N/A</v>
      </c>
      <c r="W928" t="e">
        <f>IF(K928=2,"",_xlfn.IFNA(INDEX(drug_codes,MATCH(loaded!AY928,drug,0)),""))</f>
        <v>#N/A</v>
      </c>
      <c r="X928" t="e">
        <f>IF(K928=2,"",_xlfn.IFNA(INDEX(drug_codes,MATCH(loaded!BA928,drug,0)),""))</f>
        <v>#N/A</v>
      </c>
      <c r="Y928" t="e">
        <f>INDEX(MTT_codes,MATCH(loaded!BC928,MTT,0))</f>
        <v>#N/A</v>
      </c>
      <c r="Z928" t="str">
        <f>_xlfn.IFNA(INDEX(MTT_codes,MATCH(loaded!BE928,MTT,0)),"")</f>
        <v/>
      </c>
      <c r="AA928" t="str">
        <f>_xlfn.IFNA(INDEX(MTT_codes,MATCH(loaded!BG928,MTT,0)),"")</f>
        <v/>
      </c>
      <c r="AB928" t="str">
        <f>_xlfn.IFNA(INDEX(MTT_codes,MATCH(loaded!BI928,MTT,0)),"")</f>
        <v/>
      </c>
      <c r="AC928" t="str">
        <f>_xlfn.IFNA(INDEX(MTT_codes,MATCH(loaded!BK928,MTT,0)),"")</f>
        <v/>
      </c>
      <c r="AD928" t="str">
        <f>_xlfn.IFNA(INDEX(MTT_codes,MATCH(loaded!BM928,MTT,0)),"")</f>
        <v/>
      </c>
      <c r="AE928" t="e">
        <f>INDEX(liv_ar_codes,MATCH(loaded!BO928,liv_ar,0))</f>
        <v>#N/A</v>
      </c>
      <c r="AF928" t="str">
        <f>_xlfn.IFNA(INDEX(MTT_codes,MATCH(loaded!BQ928,MTT,0)),"")</f>
        <v/>
      </c>
      <c r="AG928">
        <f>_xlfn.IFNA(INDEX(mental_codes,MATCH(loaded!BS928,mental,0)),9)</f>
        <v>9</v>
      </c>
    </row>
    <row r="929" spans="1:33" x14ac:dyDescent="0.25">
      <c r="A929">
        <f>loaded!C929</f>
        <v>0</v>
      </c>
      <c r="B929">
        <f>loaded!I929</f>
        <v>0</v>
      </c>
      <c r="C929">
        <f>IF(loaded!K929="Male",1,IF(loaded!K929="Female",2,9))</f>
        <v>9</v>
      </c>
      <c r="D929" s="8">
        <f>loaded!M929</f>
        <v>0</v>
      </c>
      <c r="E929" t="str">
        <f>LEFT(loaded!O929,3)</f>
        <v/>
      </c>
      <c r="F929" t="e">
        <f>INDEX(cntry_codes,MATCH(loaded!Q929,countries,0))</f>
        <v>#N/A</v>
      </c>
      <c r="G929" t="e">
        <f>INDEX(atsi_codes,MATCH(loaded!S929,atsi,0))</f>
        <v>#N/A</v>
      </c>
      <c r="H929" t="e">
        <f>INDEX(lang_codes,MATCH(loaded!U929,lang,0))</f>
        <v>#N/A</v>
      </c>
      <c r="I929" s="8">
        <f>loaded!W929</f>
        <v>0</v>
      </c>
      <c r="J929" t="e">
        <f>INDEX(us_acc_codes,MATCH(loaded!Y929,us_acc,0))</f>
        <v>#N/A</v>
      </c>
      <c r="K929" t="e">
        <f>INDEX(client_codes,MATCH(loaded!AA929,client,0))</f>
        <v>#N/A</v>
      </c>
      <c r="L929" t="e">
        <f>INDEX(src_ref_codes,MATCH(loaded!AC929,src_ref,0))</f>
        <v>#N/A</v>
      </c>
      <c r="M929" s="8">
        <f>loaded!AE929</f>
        <v>0</v>
      </c>
      <c r="N929" s="8">
        <f>loaded!AG929</f>
        <v>0</v>
      </c>
      <c r="O929" t="e">
        <f>INDEX(reces_codes,MATCH(loaded!AI929,reason,0))</f>
        <v>#N/A</v>
      </c>
      <c r="P929" t="e">
        <f>INDEX(TDS_codes,MATCH(loaded!AK929,TDS,0))</f>
        <v>#N/A</v>
      </c>
      <c r="Q929" t="e">
        <f>IF(K929=2,"",INDEX(method_codes,MATCH(loaded!AM929,method,0)))</f>
        <v>#N/A</v>
      </c>
      <c r="R929" t="e">
        <f>IF(K929=2,"",INDEX(inj_codes,MATCH(loaded!AO929,inj,0)))</f>
        <v>#N/A</v>
      </c>
      <c r="S929" t="e">
        <f>IF(K929=2,"",INDEX(drug_codes,MATCH(loaded!AQ929,drug,0)))</f>
        <v>#N/A</v>
      </c>
      <c r="T929" t="e">
        <f>IF(K929=2,"",_xlfn.IFNA(INDEX(drug_codes,MATCH(loaded!AS929,drug,0)),""))</f>
        <v>#N/A</v>
      </c>
      <c r="U929" t="e">
        <f>IF(K929=2,"",_xlfn.IFNA(INDEX(drug_codes,MATCH(loaded!AU929,drug,0)),""))</f>
        <v>#N/A</v>
      </c>
      <c r="V929" t="e">
        <f>IF(K929=2,"",_xlfn.IFNA(INDEX(drug_codes,MATCH(loaded!AW929,drug,0)),""))</f>
        <v>#N/A</v>
      </c>
      <c r="W929" t="e">
        <f>IF(K929=2,"",_xlfn.IFNA(INDEX(drug_codes,MATCH(loaded!AY929,drug,0)),""))</f>
        <v>#N/A</v>
      </c>
      <c r="X929" t="e">
        <f>IF(K929=2,"",_xlfn.IFNA(INDEX(drug_codes,MATCH(loaded!BA929,drug,0)),""))</f>
        <v>#N/A</v>
      </c>
      <c r="Y929" t="e">
        <f>INDEX(MTT_codes,MATCH(loaded!BC929,MTT,0))</f>
        <v>#N/A</v>
      </c>
      <c r="Z929" t="str">
        <f>_xlfn.IFNA(INDEX(MTT_codes,MATCH(loaded!BE929,MTT,0)),"")</f>
        <v/>
      </c>
      <c r="AA929" t="str">
        <f>_xlfn.IFNA(INDEX(MTT_codes,MATCH(loaded!BG929,MTT,0)),"")</f>
        <v/>
      </c>
      <c r="AB929" t="str">
        <f>_xlfn.IFNA(INDEX(MTT_codes,MATCH(loaded!BI929,MTT,0)),"")</f>
        <v/>
      </c>
      <c r="AC929" t="str">
        <f>_xlfn.IFNA(INDEX(MTT_codes,MATCH(loaded!BK929,MTT,0)),"")</f>
        <v/>
      </c>
      <c r="AD929" t="str">
        <f>_xlfn.IFNA(INDEX(MTT_codes,MATCH(loaded!BM929,MTT,0)),"")</f>
        <v/>
      </c>
      <c r="AE929" t="e">
        <f>INDEX(liv_ar_codes,MATCH(loaded!BO929,liv_ar,0))</f>
        <v>#N/A</v>
      </c>
      <c r="AF929" t="str">
        <f>_xlfn.IFNA(INDEX(MTT_codes,MATCH(loaded!BQ929,MTT,0)),"")</f>
        <v/>
      </c>
      <c r="AG929">
        <f>_xlfn.IFNA(INDEX(mental_codes,MATCH(loaded!BS929,mental,0)),9)</f>
        <v>9</v>
      </c>
    </row>
    <row r="930" spans="1:33" x14ac:dyDescent="0.25">
      <c r="A930">
        <f>loaded!C930</f>
        <v>0</v>
      </c>
      <c r="B930">
        <f>loaded!I930</f>
        <v>0</v>
      </c>
      <c r="C930">
        <f>IF(loaded!K930="Male",1,IF(loaded!K930="Female",2,9))</f>
        <v>9</v>
      </c>
      <c r="D930" s="8">
        <f>loaded!M930</f>
        <v>0</v>
      </c>
      <c r="E930" t="str">
        <f>LEFT(loaded!O930,3)</f>
        <v/>
      </c>
      <c r="F930" t="e">
        <f>INDEX(cntry_codes,MATCH(loaded!Q930,countries,0))</f>
        <v>#N/A</v>
      </c>
      <c r="G930" t="e">
        <f>INDEX(atsi_codes,MATCH(loaded!S930,atsi,0))</f>
        <v>#N/A</v>
      </c>
      <c r="H930" t="e">
        <f>INDEX(lang_codes,MATCH(loaded!U930,lang,0))</f>
        <v>#N/A</v>
      </c>
      <c r="I930" s="8">
        <f>loaded!W930</f>
        <v>0</v>
      </c>
      <c r="J930" t="e">
        <f>INDEX(us_acc_codes,MATCH(loaded!Y930,us_acc,0))</f>
        <v>#N/A</v>
      </c>
      <c r="K930" t="e">
        <f>INDEX(client_codes,MATCH(loaded!AA930,client,0))</f>
        <v>#N/A</v>
      </c>
      <c r="L930" t="e">
        <f>INDEX(src_ref_codes,MATCH(loaded!AC930,src_ref,0))</f>
        <v>#N/A</v>
      </c>
      <c r="M930" s="8">
        <f>loaded!AE930</f>
        <v>0</v>
      </c>
      <c r="N930" s="8">
        <f>loaded!AG930</f>
        <v>0</v>
      </c>
      <c r="O930" t="e">
        <f>INDEX(reces_codes,MATCH(loaded!AI930,reason,0))</f>
        <v>#N/A</v>
      </c>
      <c r="P930" t="e">
        <f>INDEX(TDS_codes,MATCH(loaded!AK930,TDS,0))</f>
        <v>#N/A</v>
      </c>
      <c r="Q930" t="e">
        <f>IF(K930=2,"",INDEX(method_codes,MATCH(loaded!AM930,method,0)))</f>
        <v>#N/A</v>
      </c>
      <c r="R930" t="e">
        <f>IF(K930=2,"",INDEX(inj_codes,MATCH(loaded!AO930,inj,0)))</f>
        <v>#N/A</v>
      </c>
      <c r="S930" t="e">
        <f>IF(K930=2,"",INDEX(drug_codes,MATCH(loaded!AQ930,drug,0)))</f>
        <v>#N/A</v>
      </c>
      <c r="T930" t="e">
        <f>IF(K930=2,"",_xlfn.IFNA(INDEX(drug_codes,MATCH(loaded!AS930,drug,0)),""))</f>
        <v>#N/A</v>
      </c>
      <c r="U930" t="e">
        <f>IF(K930=2,"",_xlfn.IFNA(INDEX(drug_codes,MATCH(loaded!AU930,drug,0)),""))</f>
        <v>#N/A</v>
      </c>
      <c r="V930" t="e">
        <f>IF(K930=2,"",_xlfn.IFNA(INDEX(drug_codes,MATCH(loaded!AW930,drug,0)),""))</f>
        <v>#N/A</v>
      </c>
      <c r="W930" t="e">
        <f>IF(K930=2,"",_xlfn.IFNA(INDEX(drug_codes,MATCH(loaded!AY930,drug,0)),""))</f>
        <v>#N/A</v>
      </c>
      <c r="X930" t="e">
        <f>IF(K930=2,"",_xlfn.IFNA(INDEX(drug_codes,MATCH(loaded!BA930,drug,0)),""))</f>
        <v>#N/A</v>
      </c>
      <c r="Y930" t="e">
        <f>INDEX(MTT_codes,MATCH(loaded!BC930,MTT,0))</f>
        <v>#N/A</v>
      </c>
      <c r="Z930" t="str">
        <f>_xlfn.IFNA(INDEX(MTT_codes,MATCH(loaded!BE930,MTT,0)),"")</f>
        <v/>
      </c>
      <c r="AA930" t="str">
        <f>_xlfn.IFNA(INDEX(MTT_codes,MATCH(loaded!BG930,MTT,0)),"")</f>
        <v/>
      </c>
      <c r="AB930" t="str">
        <f>_xlfn.IFNA(INDEX(MTT_codes,MATCH(loaded!BI930,MTT,0)),"")</f>
        <v/>
      </c>
      <c r="AC930" t="str">
        <f>_xlfn.IFNA(INDEX(MTT_codes,MATCH(loaded!BK930,MTT,0)),"")</f>
        <v/>
      </c>
      <c r="AD930" t="str">
        <f>_xlfn.IFNA(INDEX(MTT_codes,MATCH(loaded!BM930,MTT,0)),"")</f>
        <v/>
      </c>
      <c r="AE930" t="e">
        <f>INDEX(liv_ar_codes,MATCH(loaded!BO930,liv_ar,0))</f>
        <v>#N/A</v>
      </c>
      <c r="AF930" t="str">
        <f>_xlfn.IFNA(INDEX(MTT_codes,MATCH(loaded!BQ930,MTT,0)),"")</f>
        <v/>
      </c>
      <c r="AG930">
        <f>_xlfn.IFNA(INDEX(mental_codes,MATCH(loaded!BS930,mental,0)),9)</f>
        <v>9</v>
      </c>
    </row>
    <row r="931" spans="1:33" x14ac:dyDescent="0.25">
      <c r="A931">
        <f>loaded!C931</f>
        <v>0</v>
      </c>
      <c r="B931">
        <f>loaded!I931</f>
        <v>0</v>
      </c>
      <c r="C931">
        <f>IF(loaded!K931="Male",1,IF(loaded!K931="Female",2,9))</f>
        <v>9</v>
      </c>
      <c r="D931" s="8">
        <f>loaded!M931</f>
        <v>0</v>
      </c>
      <c r="E931" t="str">
        <f>LEFT(loaded!O931,3)</f>
        <v/>
      </c>
      <c r="F931" t="e">
        <f>INDEX(cntry_codes,MATCH(loaded!Q931,countries,0))</f>
        <v>#N/A</v>
      </c>
      <c r="G931" t="e">
        <f>INDEX(atsi_codes,MATCH(loaded!S931,atsi,0))</f>
        <v>#N/A</v>
      </c>
      <c r="H931" t="e">
        <f>INDEX(lang_codes,MATCH(loaded!U931,lang,0))</f>
        <v>#N/A</v>
      </c>
      <c r="I931" s="8">
        <f>loaded!W931</f>
        <v>0</v>
      </c>
      <c r="J931" t="e">
        <f>INDEX(us_acc_codes,MATCH(loaded!Y931,us_acc,0))</f>
        <v>#N/A</v>
      </c>
      <c r="K931" t="e">
        <f>INDEX(client_codes,MATCH(loaded!AA931,client,0))</f>
        <v>#N/A</v>
      </c>
      <c r="L931" t="e">
        <f>INDEX(src_ref_codes,MATCH(loaded!AC931,src_ref,0))</f>
        <v>#N/A</v>
      </c>
      <c r="M931" s="8">
        <f>loaded!AE931</f>
        <v>0</v>
      </c>
      <c r="N931" s="8">
        <f>loaded!AG931</f>
        <v>0</v>
      </c>
      <c r="O931" t="e">
        <f>INDEX(reces_codes,MATCH(loaded!AI931,reason,0))</f>
        <v>#N/A</v>
      </c>
      <c r="P931" t="e">
        <f>INDEX(TDS_codes,MATCH(loaded!AK931,TDS,0))</f>
        <v>#N/A</v>
      </c>
      <c r="Q931" t="e">
        <f>IF(K931=2,"",INDEX(method_codes,MATCH(loaded!AM931,method,0)))</f>
        <v>#N/A</v>
      </c>
      <c r="R931" t="e">
        <f>IF(K931=2,"",INDEX(inj_codes,MATCH(loaded!AO931,inj,0)))</f>
        <v>#N/A</v>
      </c>
      <c r="S931" t="e">
        <f>IF(K931=2,"",INDEX(drug_codes,MATCH(loaded!AQ931,drug,0)))</f>
        <v>#N/A</v>
      </c>
      <c r="T931" t="e">
        <f>IF(K931=2,"",_xlfn.IFNA(INDEX(drug_codes,MATCH(loaded!AS931,drug,0)),""))</f>
        <v>#N/A</v>
      </c>
      <c r="U931" t="e">
        <f>IF(K931=2,"",_xlfn.IFNA(INDEX(drug_codes,MATCH(loaded!AU931,drug,0)),""))</f>
        <v>#N/A</v>
      </c>
      <c r="V931" t="e">
        <f>IF(K931=2,"",_xlfn.IFNA(INDEX(drug_codes,MATCH(loaded!AW931,drug,0)),""))</f>
        <v>#N/A</v>
      </c>
      <c r="W931" t="e">
        <f>IF(K931=2,"",_xlfn.IFNA(INDEX(drug_codes,MATCH(loaded!AY931,drug,0)),""))</f>
        <v>#N/A</v>
      </c>
      <c r="X931" t="e">
        <f>IF(K931=2,"",_xlfn.IFNA(INDEX(drug_codes,MATCH(loaded!BA931,drug,0)),""))</f>
        <v>#N/A</v>
      </c>
      <c r="Y931" t="e">
        <f>INDEX(MTT_codes,MATCH(loaded!BC931,MTT,0))</f>
        <v>#N/A</v>
      </c>
      <c r="Z931" t="str">
        <f>_xlfn.IFNA(INDEX(MTT_codes,MATCH(loaded!BE931,MTT,0)),"")</f>
        <v/>
      </c>
      <c r="AA931" t="str">
        <f>_xlfn.IFNA(INDEX(MTT_codes,MATCH(loaded!BG931,MTT,0)),"")</f>
        <v/>
      </c>
      <c r="AB931" t="str">
        <f>_xlfn.IFNA(INDEX(MTT_codes,MATCH(loaded!BI931,MTT,0)),"")</f>
        <v/>
      </c>
      <c r="AC931" t="str">
        <f>_xlfn.IFNA(INDEX(MTT_codes,MATCH(loaded!BK931,MTT,0)),"")</f>
        <v/>
      </c>
      <c r="AD931" t="str">
        <f>_xlfn.IFNA(INDEX(MTT_codes,MATCH(loaded!BM931,MTT,0)),"")</f>
        <v/>
      </c>
      <c r="AE931" t="e">
        <f>INDEX(liv_ar_codes,MATCH(loaded!BO931,liv_ar,0))</f>
        <v>#N/A</v>
      </c>
      <c r="AF931" t="str">
        <f>_xlfn.IFNA(INDEX(MTT_codes,MATCH(loaded!BQ931,MTT,0)),"")</f>
        <v/>
      </c>
      <c r="AG931">
        <f>_xlfn.IFNA(INDEX(mental_codes,MATCH(loaded!BS931,mental,0)),9)</f>
        <v>9</v>
      </c>
    </row>
    <row r="932" spans="1:33" x14ac:dyDescent="0.25">
      <c r="A932">
        <f>loaded!C932</f>
        <v>0</v>
      </c>
      <c r="B932">
        <f>loaded!I932</f>
        <v>0</v>
      </c>
      <c r="C932">
        <f>IF(loaded!K932="Male",1,IF(loaded!K932="Female",2,9))</f>
        <v>9</v>
      </c>
      <c r="D932" s="8">
        <f>loaded!M932</f>
        <v>0</v>
      </c>
      <c r="E932" t="str">
        <f>LEFT(loaded!O932,3)</f>
        <v/>
      </c>
      <c r="F932" t="e">
        <f>INDEX(cntry_codes,MATCH(loaded!Q932,countries,0))</f>
        <v>#N/A</v>
      </c>
      <c r="G932" t="e">
        <f>INDEX(atsi_codes,MATCH(loaded!S932,atsi,0))</f>
        <v>#N/A</v>
      </c>
      <c r="H932" t="e">
        <f>INDEX(lang_codes,MATCH(loaded!U932,lang,0))</f>
        <v>#N/A</v>
      </c>
      <c r="I932" s="8">
        <f>loaded!W932</f>
        <v>0</v>
      </c>
      <c r="J932" t="e">
        <f>INDEX(us_acc_codes,MATCH(loaded!Y932,us_acc,0))</f>
        <v>#N/A</v>
      </c>
      <c r="K932" t="e">
        <f>INDEX(client_codes,MATCH(loaded!AA932,client,0))</f>
        <v>#N/A</v>
      </c>
      <c r="L932" t="e">
        <f>INDEX(src_ref_codes,MATCH(loaded!AC932,src_ref,0))</f>
        <v>#N/A</v>
      </c>
      <c r="M932" s="8">
        <f>loaded!AE932</f>
        <v>0</v>
      </c>
      <c r="N932" s="8">
        <f>loaded!AG932</f>
        <v>0</v>
      </c>
      <c r="O932" t="e">
        <f>INDEX(reces_codes,MATCH(loaded!AI932,reason,0))</f>
        <v>#N/A</v>
      </c>
      <c r="P932" t="e">
        <f>INDEX(TDS_codes,MATCH(loaded!AK932,TDS,0))</f>
        <v>#N/A</v>
      </c>
      <c r="Q932" t="e">
        <f>IF(K932=2,"",INDEX(method_codes,MATCH(loaded!AM932,method,0)))</f>
        <v>#N/A</v>
      </c>
      <c r="R932" t="e">
        <f>IF(K932=2,"",INDEX(inj_codes,MATCH(loaded!AO932,inj,0)))</f>
        <v>#N/A</v>
      </c>
      <c r="S932" t="e">
        <f>IF(K932=2,"",INDEX(drug_codes,MATCH(loaded!AQ932,drug,0)))</f>
        <v>#N/A</v>
      </c>
      <c r="T932" t="e">
        <f>IF(K932=2,"",_xlfn.IFNA(INDEX(drug_codes,MATCH(loaded!AS932,drug,0)),""))</f>
        <v>#N/A</v>
      </c>
      <c r="U932" t="e">
        <f>IF(K932=2,"",_xlfn.IFNA(INDEX(drug_codes,MATCH(loaded!AU932,drug,0)),""))</f>
        <v>#N/A</v>
      </c>
      <c r="V932" t="e">
        <f>IF(K932=2,"",_xlfn.IFNA(INDEX(drug_codes,MATCH(loaded!AW932,drug,0)),""))</f>
        <v>#N/A</v>
      </c>
      <c r="W932" t="e">
        <f>IF(K932=2,"",_xlfn.IFNA(INDEX(drug_codes,MATCH(loaded!AY932,drug,0)),""))</f>
        <v>#N/A</v>
      </c>
      <c r="X932" t="e">
        <f>IF(K932=2,"",_xlfn.IFNA(INDEX(drug_codes,MATCH(loaded!BA932,drug,0)),""))</f>
        <v>#N/A</v>
      </c>
      <c r="Y932" t="e">
        <f>INDEX(MTT_codes,MATCH(loaded!BC932,MTT,0))</f>
        <v>#N/A</v>
      </c>
      <c r="Z932" t="str">
        <f>_xlfn.IFNA(INDEX(MTT_codes,MATCH(loaded!BE932,MTT,0)),"")</f>
        <v/>
      </c>
      <c r="AA932" t="str">
        <f>_xlfn.IFNA(INDEX(MTT_codes,MATCH(loaded!BG932,MTT,0)),"")</f>
        <v/>
      </c>
      <c r="AB932" t="str">
        <f>_xlfn.IFNA(INDEX(MTT_codes,MATCH(loaded!BI932,MTT,0)),"")</f>
        <v/>
      </c>
      <c r="AC932" t="str">
        <f>_xlfn.IFNA(INDEX(MTT_codes,MATCH(loaded!BK932,MTT,0)),"")</f>
        <v/>
      </c>
      <c r="AD932" t="str">
        <f>_xlfn.IFNA(INDEX(MTT_codes,MATCH(loaded!BM932,MTT,0)),"")</f>
        <v/>
      </c>
      <c r="AE932" t="e">
        <f>INDEX(liv_ar_codes,MATCH(loaded!BO932,liv_ar,0))</f>
        <v>#N/A</v>
      </c>
      <c r="AF932" t="str">
        <f>_xlfn.IFNA(INDEX(MTT_codes,MATCH(loaded!BQ932,MTT,0)),"")</f>
        <v/>
      </c>
      <c r="AG932">
        <f>_xlfn.IFNA(INDEX(mental_codes,MATCH(loaded!BS932,mental,0)),9)</f>
        <v>9</v>
      </c>
    </row>
    <row r="933" spans="1:33" x14ac:dyDescent="0.25">
      <c r="A933">
        <f>loaded!C933</f>
        <v>0</v>
      </c>
      <c r="B933">
        <f>loaded!I933</f>
        <v>0</v>
      </c>
      <c r="C933">
        <f>IF(loaded!K933="Male",1,IF(loaded!K933="Female",2,9))</f>
        <v>9</v>
      </c>
      <c r="D933" s="8">
        <f>loaded!M933</f>
        <v>0</v>
      </c>
      <c r="E933" t="str">
        <f>LEFT(loaded!O933,3)</f>
        <v/>
      </c>
      <c r="F933" t="e">
        <f>INDEX(cntry_codes,MATCH(loaded!Q933,countries,0))</f>
        <v>#N/A</v>
      </c>
      <c r="G933" t="e">
        <f>INDEX(atsi_codes,MATCH(loaded!S933,atsi,0))</f>
        <v>#N/A</v>
      </c>
      <c r="H933" t="e">
        <f>INDEX(lang_codes,MATCH(loaded!U933,lang,0))</f>
        <v>#N/A</v>
      </c>
      <c r="I933" s="8">
        <f>loaded!W933</f>
        <v>0</v>
      </c>
      <c r="J933" t="e">
        <f>INDEX(us_acc_codes,MATCH(loaded!Y933,us_acc,0))</f>
        <v>#N/A</v>
      </c>
      <c r="K933" t="e">
        <f>INDEX(client_codes,MATCH(loaded!AA933,client,0))</f>
        <v>#N/A</v>
      </c>
      <c r="L933" t="e">
        <f>INDEX(src_ref_codes,MATCH(loaded!AC933,src_ref,0))</f>
        <v>#N/A</v>
      </c>
      <c r="M933" s="8">
        <f>loaded!AE933</f>
        <v>0</v>
      </c>
      <c r="N933" s="8">
        <f>loaded!AG933</f>
        <v>0</v>
      </c>
      <c r="O933" t="e">
        <f>INDEX(reces_codes,MATCH(loaded!AI933,reason,0))</f>
        <v>#N/A</v>
      </c>
      <c r="P933" t="e">
        <f>INDEX(TDS_codes,MATCH(loaded!AK933,TDS,0))</f>
        <v>#N/A</v>
      </c>
      <c r="Q933" t="e">
        <f>IF(K933=2,"",INDEX(method_codes,MATCH(loaded!AM933,method,0)))</f>
        <v>#N/A</v>
      </c>
      <c r="R933" t="e">
        <f>IF(K933=2,"",INDEX(inj_codes,MATCH(loaded!AO933,inj,0)))</f>
        <v>#N/A</v>
      </c>
      <c r="S933" t="e">
        <f>IF(K933=2,"",INDEX(drug_codes,MATCH(loaded!AQ933,drug,0)))</f>
        <v>#N/A</v>
      </c>
      <c r="T933" t="e">
        <f>IF(K933=2,"",_xlfn.IFNA(INDEX(drug_codes,MATCH(loaded!AS933,drug,0)),""))</f>
        <v>#N/A</v>
      </c>
      <c r="U933" t="e">
        <f>IF(K933=2,"",_xlfn.IFNA(INDEX(drug_codes,MATCH(loaded!AU933,drug,0)),""))</f>
        <v>#N/A</v>
      </c>
      <c r="V933" t="e">
        <f>IF(K933=2,"",_xlfn.IFNA(INDEX(drug_codes,MATCH(loaded!AW933,drug,0)),""))</f>
        <v>#N/A</v>
      </c>
      <c r="W933" t="e">
        <f>IF(K933=2,"",_xlfn.IFNA(INDEX(drug_codes,MATCH(loaded!AY933,drug,0)),""))</f>
        <v>#N/A</v>
      </c>
      <c r="X933" t="e">
        <f>IF(K933=2,"",_xlfn.IFNA(INDEX(drug_codes,MATCH(loaded!BA933,drug,0)),""))</f>
        <v>#N/A</v>
      </c>
      <c r="Y933" t="e">
        <f>INDEX(MTT_codes,MATCH(loaded!BC933,MTT,0))</f>
        <v>#N/A</v>
      </c>
      <c r="Z933" t="str">
        <f>_xlfn.IFNA(INDEX(MTT_codes,MATCH(loaded!BE933,MTT,0)),"")</f>
        <v/>
      </c>
      <c r="AA933" t="str">
        <f>_xlfn.IFNA(INDEX(MTT_codes,MATCH(loaded!BG933,MTT,0)),"")</f>
        <v/>
      </c>
      <c r="AB933" t="str">
        <f>_xlfn.IFNA(INDEX(MTT_codes,MATCH(loaded!BI933,MTT,0)),"")</f>
        <v/>
      </c>
      <c r="AC933" t="str">
        <f>_xlfn.IFNA(INDEX(MTT_codes,MATCH(loaded!BK933,MTT,0)),"")</f>
        <v/>
      </c>
      <c r="AD933" t="str">
        <f>_xlfn.IFNA(INDEX(MTT_codes,MATCH(loaded!BM933,MTT,0)),"")</f>
        <v/>
      </c>
      <c r="AE933" t="e">
        <f>INDEX(liv_ar_codes,MATCH(loaded!BO933,liv_ar,0))</f>
        <v>#N/A</v>
      </c>
      <c r="AF933" t="str">
        <f>_xlfn.IFNA(INDEX(MTT_codes,MATCH(loaded!BQ933,MTT,0)),"")</f>
        <v/>
      </c>
      <c r="AG933">
        <f>_xlfn.IFNA(INDEX(mental_codes,MATCH(loaded!BS933,mental,0)),9)</f>
        <v>9</v>
      </c>
    </row>
    <row r="934" spans="1:33" x14ac:dyDescent="0.25">
      <c r="A934">
        <f>loaded!C934</f>
        <v>0</v>
      </c>
      <c r="B934">
        <f>loaded!I934</f>
        <v>0</v>
      </c>
      <c r="C934">
        <f>IF(loaded!K934="Male",1,IF(loaded!K934="Female",2,9))</f>
        <v>9</v>
      </c>
      <c r="D934" s="8">
        <f>loaded!M934</f>
        <v>0</v>
      </c>
      <c r="E934" t="str">
        <f>LEFT(loaded!O934,3)</f>
        <v/>
      </c>
      <c r="F934" t="e">
        <f>INDEX(cntry_codes,MATCH(loaded!Q934,countries,0))</f>
        <v>#N/A</v>
      </c>
      <c r="G934" t="e">
        <f>INDEX(atsi_codes,MATCH(loaded!S934,atsi,0))</f>
        <v>#N/A</v>
      </c>
      <c r="H934" t="e">
        <f>INDEX(lang_codes,MATCH(loaded!U934,lang,0))</f>
        <v>#N/A</v>
      </c>
      <c r="I934" s="8">
        <f>loaded!W934</f>
        <v>0</v>
      </c>
      <c r="J934" t="e">
        <f>INDEX(us_acc_codes,MATCH(loaded!Y934,us_acc,0))</f>
        <v>#N/A</v>
      </c>
      <c r="K934" t="e">
        <f>INDEX(client_codes,MATCH(loaded!AA934,client,0))</f>
        <v>#N/A</v>
      </c>
      <c r="L934" t="e">
        <f>INDEX(src_ref_codes,MATCH(loaded!AC934,src_ref,0))</f>
        <v>#N/A</v>
      </c>
      <c r="M934" s="8">
        <f>loaded!AE934</f>
        <v>0</v>
      </c>
      <c r="N934" s="8">
        <f>loaded!AG934</f>
        <v>0</v>
      </c>
      <c r="O934" t="e">
        <f>INDEX(reces_codes,MATCH(loaded!AI934,reason,0))</f>
        <v>#N/A</v>
      </c>
      <c r="P934" t="e">
        <f>INDEX(TDS_codes,MATCH(loaded!AK934,TDS,0))</f>
        <v>#N/A</v>
      </c>
      <c r="Q934" t="e">
        <f>IF(K934=2,"",INDEX(method_codes,MATCH(loaded!AM934,method,0)))</f>
        <v>#N/A</v>
      </c>
      <c r="R934" t="e">
        <f>IF(K934=2,"",INDEX(inj_codes,MATCH(loaded!AO934,inj,0)))</f>
        <v>#N/A</v>
      </c>
      <c r="S934" t="e">
        <f>IF(K934=2,"",INDEX(drug_codes,MATCH(loaded!AQ934,drug,0)))</f>
        <v>#N/A</v>
      </c>
      <c r="T934" t="e">
        <f>IF(K934=2,"",_xlfn.IFNA(INDEX(drug_codes,MATCH(loaded!AS934,drug,0)),""))</f>
        <v>#N/A</v>
      </c>
      <c r="U934" t="e">
        <f>IF(K934=2,"",_xlfn.IFNA(INDEX(drug_codes,MATCH(loaded!AU934,drug,0)),""))</f>
        <v>#N/A</v>
      </c>
      <c r="V934" t="e">
        <f>IF(K934=2,"",_xlfn.IFNA(INDEX(drug_codes,MATCH(loaded!AW934,drug,0)),""))</f>
        <v>#N/A</v>
      </c>
      <c r="W934" t="e">
        <f>IF(K934=2,"",_xlfn.IFNA(INDEX(drug_codes,MATCH(loaded!AY934,drug,0)),""))</f>
        <v>#N/A</v>
      </c>
      <c r="X934" t="e">
        <f>IF(K934=2,"",_xlfn.IFNA(INDEX(drug_codes,MATCH(loaded!BA934,drug,0)),""))</f>
        <v>#N/A</v>
      </c>
      <c r="Y934" t="e">
        <f>INDEX(MTT_codes,MATCH(loaded!BC934,MTT,0))</f>
        <v>#N/A</v>
      </c>
      <c r="Z934" t="str">
        <f>_xlfn.IFNA(INDEX(MTT_codes,MATCH(loaded!BE934,MTT,0)),"")</f>
        <v/>
      </c>
      <c r="AA934" t="str">
        <f>_xlfn.IFNA(INDEX(MTT_codes,MATCH(loaded!BG934,MTT,0)),"")</f>
        <v/>
      </c>
      <c r="AB934" t="str">
        <f>_xlfn.IFNA(INDEX(MTT_codes,MATCH(loaded!BI934,MTT,0)),"")</f>
        <v/>
      </c>
      <c r="AC934" t="str">
        <f>_xlfn.IFNA(INDEX(MTT_codes,MATCH(loaded!BK934,MTT,0)),"")</f>
        <v/>
      </c>
      <c r="AD934" t="str">
        <f>_xlfn.IFNA(INDEX(MTT_codes,MATCH(loaded!BM934,MTT,0)),"")</f>
        <v/>
      </c>
      <c r="AE934" t="e">
        <f>INDEX(liv_ar_codes,MATCH(loaded!BO934,liv_ar,0))</f>
        <v>#N/A</v>
      </c>
      <c r="AF934" t="str">
        <f>_xlfn.IFNA(INDEX(MTT_codes,MATCH(loaded!BQ934,MTT,0)),"")</f>
        <v/>
      </c>
      <c r="AG934">
        <f>_xlfn.IFNA(INDEX(mental_codes,MATCH(loaded!BS934,mental,0)),9)</f>
        <v>9</v>
      </c>
    </row>
    <row r="935" spans="1:33" x14ac:dyDescent="0.25">
      <c r="A935">
        <f>loaded!C935</f>
        <v>0</v>
      </c>
      <c r="B935">
        <f>loaded!I935</f>
        <v>0</v>
      </c>
      <c r="C935">
        <f>IF(loaded!K935="Male",1,IF(loaded!K935="Female",2,9))</f>
        <v>9</v>
      </c>
      <c r="D935" s="8">
        <f>loaded!M935</f>
        <v>0</v>
      </c>
      <c r="E935" t="str">
        <f>LEFT(loaded!O935,3)</f>
        <v/>
      </c>
      <c r="F935" t="e">
        <f>INDEX(cntry_codes,MATCH(loaded!Q935,countries,0))</f>
        <v>#N/A</v>
      </c>
      <c r="G935" t="e">
        <f>INDEX(atsi_codes,MATCH(loaded!S935,atsi,0))</f>
        <v>#N/A</v>
      </c>
      <c r="H935" t="e">
        <f>INDEX(lang_codes,MATCH(loaded!U935,lang,0))</f>
        <v>#N/A</v>
      </c>
      <c r="I935" s="8">
        <f>loaded!W935</f>
        <v>0</v>
      </c>
      <c r="J935" t="e">
        <f>INDEX(us_acc_codes,MATCH(loaded!Y935,us_acc,0))</f>
        <v>#N/A</v>
      </c>
      <c r="K935" t="e">
        <f>INDEX(client_codes,MATCH(loaded!AA935,client,0))</f>
        <v>#N/A</v>
      </c>
      <c r="L935" t="e">
        <f>INDEX(src_ref_codes,MATCH(loaded!AC935,src_ref,0))</f>
        <v>#N/A</v>
      </c>
      <c r="M935" s="8">
        <f>loaded!AE935</f>
        <v>0</v>
      </c>
      <c r="N935" s="8">
        <f>loaded!AG935</f>
        <v>0</v>
      </c>
      <c r="O935" t="e">
        <f>INDEX(reces_codes,MATCH(loaded!AI935,reason,0))</f>
        <v>#N/A</v>
      </c>
      <c r="P935" t="e">
        <f>INDEX(TDS_codes,MATCH(loaded!AK935,TDS,0))</f>
        <v>#N/A</v>
      </c>
      <c r="Q935" t="e">
        <f>IF(K935=2,"",INDEX(method_codes,MATCH(loaded!AM935,method,0)))</f>
        <v>#N/A</v>
      </c>
      <c r="R935" t="e">
        <f>IF(K935=2,"",INDEX(inj_codes,MATCH(loaded!AO935,inj,0)))</f>
        <v>#N/A</v>
      </c>
      <c r="S935" t="e">
        <f>IF(K935=2,"",INDEX(drug_codes,MATCH(loaded!AQ935,drug,0)))</f>
        <v>#N/A</v>
      </c>
      <c r="T935" t="e">
        <f>IF(K935=2,"",_xlfn.IFNA(INDEX(drug_codes,MATCH(loaded!AS935,drug,0)),""))</f>
        <v>#N/A</v>
      </c>
      <c r="U935" t="e">
        <f>IF(K935=2,"",_xlfn.IFNA(INDEX(drug_codes,MATCH(loaded!AU935,drug,0)),""))</f>
        <v>#N/A</v>
      </c>
      <c r="V935" t="e">
        <f>IF(K935=2,"",_xlfn.IFNA(INDEX(drug_codes,MATCH(loaded!AW935,drug,0)),""))</f>
        <v>#N/A</v>
      </c>
      <c r="W935" t="e">
        <f>IF(K935=2,"",_xlfn.IFNA(INDEX(drug_codes,MATCH(loaded!AY935,drug,0)),""))</f>
        <v>#N/A</v>
      </c>
      <c r="X935" t="e">
        <f>IF(K935=2,"",_xlfn.IFNA(INDEX(drug_codes,MATCH(loaded!BA935,drug,0)),""))</f>
        <v>#N/A</v>
      </c>
      <c r="Y935" t="e">
        <f>INDEX(MTT_codes,MATCH(loaded!BC935,MTT,0))</f>
        <v>#N/A</v>
      </c>
      <c r="Z935" t="str">
        <f>_xlfn.IFNA(INDEX(MTT_codes,MATCH(loaded!BE935,MTT,0)),"")</f>
        <v/>
      </c>
      <c r="AA935" t="str">
        <f>_xlfn.IFNA(INDEX(MTT_codes,MATCH(loaded!BG935,MTT,0)),"")</f>
        <v/>
      </c>
      <c r="AB935" t="str">
        <f>_xlfn.IFNA(INDEX(MTT_codes,MATCH(loaded!BI935,MTT,0)),"")</f>
        <v/>
      </c>
      <c r="AC935" t="str">
        <f>_xlfn.IFNA(INDEX(MTT_codes,MATCH(loaded!BK935,MTT,0)),"")</f>
        <v/>
      </c>
      <c r="AD935" t="str">
        <f>_xlfn.IFNA(INDEX(MTT_codes,MATCH(loaded!BM935,MTT,0)),"")</f>
        <v/>
      </c>
      <c r="AE935" t="e">
        <f>INDEX(liv_ar_codes,MATCH(loaded!BO935,liv_ar,0))</f>
        <v>#N/A</v>
      </c>
      <c r="AF935" t="str">
        <f>_xlfn.IFNA(INDEX(MTT_codes,MATCH(loaded!BQ935,MTT,0)),"")</f>
        <v/>
      </c>
      <c r="AG935">
        <f>_xlfn.IFNA(INDEX(mental_codes,MATCH(loaded!BS935,mental,0)),9)</f>
        <v>9</v>
      </c>
    </row>
    <row r="936" spans="1:33" x14ac:dyDescent="0.25">
      <c r="A936">
        <f>loaded!C936</f>
        <v>0</v>
      </c>
      <c r="B936">
        <f>loaded!I936</f>
        <v>0</v>
      </c>
      <c r="C936">
        <f>IF(loaded!K936="Male",1,IF(loaded!K936="Female",2,9))</f>
        <v>9</v>
      </c>
      <c r="D936" s="8">
        <f>loaded!M936</f>
        <v>0</v>
      </c>
      <c r="E936" t="str">
        <f>LEFT(loaded!O936,3)</f>
        <v/>
      </c>
      <c r="F936" t="e">
        <f>INDEX(cntry_codes,MATCH(loaded!Q936,countries,0))</f>
        <v>#N/A</v>
      </c>
      <c r="G936" t="e">
        <f>INDEX(atsi_codes,MATCH(loaded!S936,atsi,0))</f>
        <v>#N/A</v>
      </c>
      <c r="H936" t="e">
        <f>INDEX(lang_codes,MATCH(loaded!U936,lang,0))</f>
        <v>#N/A</v>
      </c>
      <c r="I936" s="8">
        <f>loaded!W936</f>
        <v>0</v>
      </c>
      <c r="J936" t="e">
        <f>INDEX(us_acc_codes,MATCH(loaded!Y936,us_acc,0))</f>
        <v>#N/A</v>
      </c>
      <c r="K936" t="e">
        <f>INDEX(client_codes,MATCH(loaded!AA936,client,0))</f>
        <v>#N/A</v>
      </c>
      <c r="L936" t="e">
        <f>INDEX(src_ref_codes,MATCH(loaded!AC936,src_ref,0))</f>
        <v>#N/A</v>
      </c>
      <c r="M936" s="8">
        <f>loaded!AE936</f>
        <v>0</v>
      </c>
      <c r="N936" s="8">
        <f>loaded!AG936</f>
        <v>0</v>
      </c>
      <c r="O936" t="e">
        <f>INDEX(reces_codes,MATCH(loaded!AI936,reason,0))</f>
        <v>#N/A</v>
      </c>
      <c r="P936" t="e">
        <f>INDEX(TDS_codes,MATCH(loaded!AK936,TDS,0))</f>
        <v>#N/A</v>
      </c>
      <c r="Q936" t="e">
        <f>IF(K936=2,"",INDEX(method_codes,MATCH(loaded!AM936,method,0)))</f>
        <v>#N/A</v>
      </c>
      <c r="R936" t="e">
        <f>IF(K936=2,"",INDEX(inj_codes,MATCH(loaded!AO936,inj,0)))</f>
        <v>#N/A</v>
      </c>
      <c r="S936" t="e">
        <f>IF(K936=2,"",INDEX(drug_codes,MATCH(loaded!AQ936,drug,0)))</f>
        <v>#N/A</v>
      </c>
      <c r="T936" t="e">
        <f>IF(K936=2,"",_xlfn.IFNA(INDEX(drug_codes,MATCH(loaded!AS936,drug,0)),""))</f>
        <v>#N/A</v>
      </c>
      <c r="U936" t="e">
        <f>IF(K936=2,"",_xlfn.IFNA(INDEX(drug_codes,MATCH(loaded!AU936,drug,0)),""))</f>
        <v>#N/A</v>
      </c>
      <c r="V936" t="e">
        <f>IF(K936=2,"",_xlfn.IFNA(INDEX(drug_codes,MATCH(loaded!AW936,drug,0)),""))</f>
        <v>#N/A</v>
      </c>
      <c r="W936" t="e">
        <f>IF(K936=2,"",_xlfn.IFNA(INDEX(drug_codes,MATCH(loaded!AY936,drug,0)),""))</f>
        <v>#N/A</v>
      </c>
      <c r="X936" t="e">
        <f>IF(K936=2,"",_xlfn.IFNA(INDEX(drug_codes,MATCH(loaded!BA936,drug,0)),""))</f>
        <v>#N/A</v>
      </c>
      <c r="Y936" t="e">
        <f>INDEX(MTT_codes,MATCH(loaded!BC936,MTT,0))</f>
        <v>#N/A</v>
      </c>
      <c r="Z936" t="str">
        <f>_xlfn.IFNA(INDEX(MTT_codes,MATCH(loaded!BE936,MTT,0)),"")</f>
        <v/>
      </c>
      <c r="AA936" t="str">
        <f>_xlfn.IFNA(INDEX(MTT_codes,MATCH(loaded!BG936,MTT,0)),"")</f>
        <v/>
      </c>
      <c r="AB936" t="str">
        <f>_xlfn.IFNA(INDEX(MTT_codes,MATCH(loaded!BI936,MTT,0)),"")</f>
        <v/>
      </c>
      <c r="AC936" t="str">
        <f>_xlfn.IFNA(INDEX(MTT_codes,MATCH(loaded!BK936,MTT,0)),"")</f>
        <v/>
      </c>
      <c r="AD936" t="str">
        <f>_xlfn.IFNA(INDEX(MTT_codes,MATCH(loaded!BM936,MTT,0)),"")</f>
        <v/>
      </c>
      <c r="AE936" t="e">
        <f>INDEX(liv_ar_codes,MATCH(loaded!BO936,liv_ar,0))</f>
        <v>#N/A</v>
      </c>
      <c r="AF936" t="str">
        <f>_xlfn.IFNA(INDEX(MTT_codes,MATCH(loaded!BQ936,MTT,0)),"")</f>
        <v/>
      </c>
      <c r="AG936">
        <f>_xlfn.IFNA(INDEX(mental_codes,MATCH(loaded!BS936,mental,0)),9)</f>
        <v>9</v>
      </c>
    </row>
    <row r="937" spans="1:33" x14ac:dyDescent="0.25">
      <c r="A937">
        <f>loaded!C937</f>
        <v>0</v>
      </c>
      <c r="B937">
        <f>loaded!I937</f>
        <v>0</v>
      </c>
      <c r="C937">
        <f>IF(loaded!K937="Male",1,IF(loaded!K937="Female",2,9))</f>
        <v>9</v>
      </c>
      <c r="D937" s="8">
        <f>loaded!M937</f>
        <v>0</v>
      </c>
      <c r="E937" t="str">
        <f>LEFT(loaded!O937,3)</f>
        <v/>
      </c>
      <c r="F937" t="e">
        <f>INDEX(cntry_codes,MATCH(loaded!Q937,countries,0))</f>
        <v>#N/A</v>
      </c>
      <c r="G937" t="e">
        <f>INDEX(atsi_codes,MATCH(loaded!S937,atsi,0))</f>
        <v>#N/A</v>
      </c>
      <c r="H937" t="e">
        <f>INDEX(lang_codes,MATCH(loaded!U937,lang,0))</f>
        <v>#N/A</v>
      </c>
      <c r="I937" s="8">
        <f>loaded!W937</f>
        <v>0</v>
      </c>
      <c r="J937" t="e">
        <f>INDEX(us_acc_codes,MATCH(loaded!Y937,us_acc,0))</f>
        <v>#N/A</v>
      </c>
      <c r="K937" t="e">
        <f>INDEX(client_codes,MATCH(loaded!AA937,client,0))</f>
        <v>#N/A</v>
      </c>
      <c r="L937" t="e">
        <f>INDEX(src_ref_codes,MATCH(loaded!AC937,src_ref,0))</f>
        <v>#N/A</v>
      </c>
      <c r="M937" s="8">
        <f>loaded!AE937</f>
        <v>0</v>
      </c>
      <c r="N937" s="8">
        <f>loaded!AG937</f>
        <v>0</v>
      </c>
      <c r="O937" t="e">
        <f>INDEX(reces_codes,MATCH(loaded!AI937,reason,0))</f>
        <v>#N/A</v>
      </c>
      <c r="P937" t="e">
        <f>INDEX(TDS_codes,MATCH(loaded!AK937,TDS,0))</f>
        <v>#N/A</v>
      </c>
      <c r="Q937" t="e">
        <f>IF(K937=2,"",INDEX(method_codes,MATCH(loaded!AM937,method,0)))</f>
        <v>#N/A</v>
      </c>
      <c r="R937" t="e">
        <f>IF(K937=2,"",INDEX(inj_codes,MATCH(loaded!AO937,inj,0)))</f>
        <v>#N/A</v>
      </c>
      <c r="S937" t="e">
        <f>IF(K937=2,"",INDEX(drug_codes,MATCH(loaded!AQ937,drug,0)))</f>
        <v>#N/A</v>
      </c>
      <c r="T937" t="e">
        <f>IF(K937=2,"",_xlfn.IFNA(INDEX(drug_codes,MATCH(loaded!AS937,drug,0)),""))</f>
        <v>#N/A</v>
      </c>
      <c r="U937" t="e">
        <f>IF(K937=2,"",_xlfn.IFNA(INDEX(drug_codes,MATCH(loaded!AU937,drug,0)),""))</f>
        <v>#N/A</v>
      </c>
      <c r="V937" t="e">
        <f>IF(K937=2,"",_xlfn.IFNA(INDEX(drug_codes,MATCH(loaded!AW937,drug,0)),""))</f>
        <v>#N/A</v>
      </c>
      <c r="W937" t="e">
        <f>IF(K937=2,"",_xlfn.IFNA(INDEX(drug_codes,MATCH(loaded!AY937,drug,0)),""))</f>
        <v>#N/A</v>
      </c>
      <c r="X937" t="e">
        <f>IF(K937=2,"",_xlfn.IFNA(INDEX(drug_codes,MATCH(loaded!BA937,drug,0)),""))</f>
        <v>#N/A</v>
      </c>
      <c r="Y937" t="e">
        <f>INDEX(MTT_codes,MATCH(loaded!BC937,MTT,0))</f>
        <v>#N/A</v>
      </c>
      <c r="Z937" t="str">
        <f>_xlfn.IFNA(INDEX(MTT_codes,MATCH(loaded!BE937,MTT,0)),"")</f>
        <v/>
      </c>
      <c r="AA937" t="str">
        <f>_xlfn.IFNA(INDEX(MTT_codes,MATCH(loaded!BG937,MTT,0)),"")</f>
        <v/>
      </c>
      <c r="AB937" t="str">
        <f>_xlfn.IFNA(INDEX(MTT_codes,MATCH(loaded!BI937,MTT,0)),"")</f>
        <v/>
      </c>
      <c r="AC937" t="str">
        <f>_xlfn.IFNA(INDEX(MTT_codes,MATCH(loaded!BK937,MTT,0)),"")</f>
        <v/>
      </c>
      <c r="AD937" t="str">
        <f>_xlfn.IFNA(INDEX(MTT_codes,MATCH(loaded!BM937,MTT,0)),"")</f>
        <v/>
      </c>
      <c r="AE937" t="e">
        <f>INDEX(liv_ar_codes,MATCH(loaded!BO937,liv_ar,0))</f>
        <v>#N/A</v>
      </c>
      <c r="AF937" t="str">
        <f>_xlfn.IFNA(INDEX(MTT_codes,MATCH(loaded!BQ937,MTT,0)),"")</f>
        <v/>
      </c>
      <c r="AG937">
        <f>_xlfn.IFNA(INDEX(mental_codes,MATCH(loaded!BS937,mental,0)),9)</f>
        <v>9</v>
      </c>
    </row>
    <row r="938" spans="1:33" x14ac:dyDescent="0.25">
      <c r="A938">
        <f>loaded!C938</f>
        <v>0</v>
      </c>
      <c r="B938">
        <f>loaded!I938</f>
        <v>0</v>
      </c>
      <c r="C938">
        <f>IF(loaded!K938="Male",1,IF(loaded!K938="Female",2,9))</f>
        <v>9</v>
      </c>
      <c r="D938" s="8">
        <f>loaded!M938</f>
        <v>0</v>
      </c>
      <c r="E938" t="str">
        <f>LEFT(loaded!O938,3)</f>
        <v/>
      </c>
      <c r="F938" t="e">
        <f>INDEX(cntry_codes,MATCH(loaded!Q938,countries,0))</f>
        <v>#N/A</v>
      </c>
      <c r="G938" t="e">
        <f>INDEX(atsi_codes,MATCH(loaded!S938,atsi,0))</f>
        <v>#N/A</v>
      </c>
      <c r="H938" t="e">
        <f>INDEX(lang_codes,MATCH(loaded!U938,lang,0))</f>
        <v>#N/A</v>
      </c>
      <c r="I938" s="8">
        <f>loaded!W938</f>
        <v>0</v>
      </c>
      <c r="J938" t="e">
        <f>INDEX(us_acc_codes,MATCH(loaded!Y938,us_acc,0))</f>
        <v>#N/A</v>
      </c>
      <c r="K938" t="e">
        <f>INDEX(client_codes,MATCH(loaded!AA938,client,0))</f>
        <v>#N/A</v>
      </c>
      <c r="L938" t="e">
        <f>INDEX(src_ref_codes,MATCH(loaded!AC938,src_ref,0))</f>
        <v>#N/A</v>
      </c>
      <c r="M938" s="8">
        <f>loaded!AE938</f>
        <v>0</v>
      </c>
      <c r="N938" s="8">
        <f>loaded!AG938</f>
        <v>0</v>
      </c>
      <c r="O938" t="e">
        <f>INDEX(reces_codes,MATCH(loaded!AI938,reason,0))</f>
        <v>#N/A</v>
      </c>
      <c r="P938" t="e">
        <f>INDEX(TDS_codes,MATCH(loaded!AK938,TDS,0))</f>
        <v>#N/A</v>
      </c>
      <c r="Q938" t="e">
        <f>IF(K938=2,"",INDEX(method_codes,MATCH(loaded!AM938,method,0)))</f>
        <v>#N/A</v>
      </c>
      <c r="R938" t="e">
        <f>IF(K938=2,"",INDEX(inj_codes,MATCH(loaded!AO938,inj,0)))</f>
        <v>#N/A</v>
      </c>
      <c r="S938" t="e">
        <f>IF(K938=2,"",INDEX(drug_codes,MATCH(loaded!AQ938,drug,0)))</f>
        <v>#N/A</v>
      </c>
      <c r="T938" t="e">
        <f>IF(K938=2,"",_xlfn.IFNA(INDEX(drug_codes,MATCH(loaded!AS938,drug,0)),""))</f>
        <v>#N/A</v>
      </c>
      <c r="U938" t="e">
        <f>IF(K938=2,"",_xlfn.IFNA(INDEX(drug_codes,MATCH(loaded!AU938,drug,0)),""))</f>
        <v>#N/A</v>
      </c>
      <c r="V938" t="e">
        <f>IF(K938=2,"",_xlfn.IFNA(INDEX(drug_codes,MATCH(loaded!AW938,drug,0)),""))</f>
        <v>#N/A</v>
      </c>
      <c r="W938" t="e">
        <f>IF(K938=2,"",_xlfn.IFNA(INDEX(drug_codes,MATCH(loaded!AY938,drug,0)),""))</f>
        <v>#N/A</v>
      </c>
      <c r="X938" t="e">
        <f>IF(K938=2,"",_xlfn.IFNA(INDEX(drug_codes,MATCH(loaded!BA938,drug,0)),""))</f>
        <v>#N/A</v>
      </c>
      <c r="Y938" t="e">
        <f>INDEX(MTT_codes,MATCH(loaded!BC938,MTT,0))</f>
        <v>#N/A</v>
      </c>
      <c r="Z938" t="str">
        <f>_xlfn.IFNA(INDEX(MTT_codes,MATCH(loaded!BE938,MTT,0)),"")</f>
        <v/>
      </c>
      <c r="AA938" t="str">
        <f>_xlfn.IFNA(INDEX(MTT_codes,MATCH(loaded!BG938,MTT,0)),"")</f>
        <v/>
      </c>
      <c r="AB938" t="str">
        <f>_xlfn.IFNA(INDEX(MTT_codes,MATCH(loaded!BI938,MTT,0)),"")</f>
        <v/>
      </c>
      <c r="AC938" t="str">
        <f>_xlfn.IFNA(INDEX(MTT_codes,MATCH(loaded!BK938,MTT,0)),"")</f>
        <v/>
      </c>
      <c r="AD938" t="str">
        <f>_xlfn.IFNA(INDEX(MTT_codes,MATCH(loaded!BM938,MTT,0)),"")</f>
        <v/>
      </c>
      <c r="AE938" t="e">
        <f>INDEX(liv_ar_codes,MATCH(loaded!BO938,liv_ar,0))</f>
        <v>#N/A</v>
      </c>
      <c r="AF938" t="str">
        <f>_xlfn.IFNA(INDEX(MTT_codes,MATCH(loaded!BQ938,MTT,0)),"")</f>
        <v/>
      </c>
      <c r="AG938">
        <f>_xlfn.IFNA(INDEX(mental_codes,MATCH(loaded!BS938,mental,0)),9)</f>
        <v>9</v>
      </c>
    </row>
    <row r="939" spans="1:33" x14ac:dyDescent="0.25">
      <c r="A939">
        <f>loaded!C939</f>
        <v>0</v>
      </c>
      <c r="B939">
        <f>loaded!I939</f>
        <v>0</v>
      </c>
      <c r="C939">
        <f>IF(loaded!K939="Male",1,IF(loaded!K939="Female",2,9))</f>
        <v>9</v>
      </c>
      <c r="D939" s="8">
        <f>loaded!M939</f>
        <v>0</v>
      </c>
      <c r="E939" t="str">
        <f>LEFT(loaded!O939,3)</f>
        <v/>
      </c>
      <c r="F939" t="e">
        <f>INDEX(cntry_codes,MATCH(loaded!Q939,countries,0))</f>
        <v>#N/A</v>
      </c>
      <c r="G939" t="e">
        <f>INDEX(atsi_codes,MATCH(loaded!S939,atsi,0))</f>
        <v>#N/A</v>
      </c>
      <c r="H939" t="e">
        <f>INDEX(lang_codes,MATCH(loaded!U939,lang,0))</f>
        <v>#N/A</v>
      </c>
      <c r="I939" s="8">
        <f>loaded!W939</f>
        <v>0</v>
      </c>
      <c r="J939" t="e">
        <f>INDEX(us_acc_codes,MATCH(loaded!Y939,us_acc,0))</f>
        <v>#N/A</v>
      </c>
      <c r="K939" t="e">
        <f>INDEX(client_codes,MATCH(loaded!AA939,client,0))</f>
        <v>#N/A</v>
      </c>
      <c r="L939" t="e">
        <f>INDEX(src_ref_codes,MATCH(loaded!AC939,src_ref,0))</f>
        <v>#N/A</v>
      </c>
      <c r="M939" s="8">
        <f>loaded!AE939</f>
        <v>0</v>
      </c>
      <c r="N939" s="8">
        <f>loaded!AG939</f>
        <v>0</v>
      </c>
      <c r="O939" t="e">
        <f>INDEX(reces_codes,MATCH(loaded!AI939,reason,0))</f>
        <v>#N/A</v>
      </c>
      <c r="P939" t="e">
        <f>INDEX(TDS_codes,MATCH(loaded!AK939,TDS,0))</f>
        <v>#N/A</v>
      </c>
      <c r="Q939" t="e">
        <f>IF(K939=2,"",INDEX(method_codes,MATCH(loaded!AM939,method,0)))</f>
        <v>#N/A</v>
      </c>
      <c r="R939" t="e">
        <f>IF(K939=2,"",INDEX(inj_codes,MATCH(loaded!AO939,inj,0)))</f>
        <v>#N/A</v>
      </c>
      <c r="S939" t="e">
        <f>IF(K939=2,"",INDEX(drug_codes,MATCH(loaded!AQ939,drug,0)))</f>
        <v>#N/A</v>
      </c>
      <c r="T939" t="e">
        <f>IF(K939=2,"",_xlfn.IFNA(INDEX(drug_codes,MATCH(loaded!AS939,drug,0)),""))</f>
        <v>#N/A</v>
      </c>
      <c r="U939" t="e">
        <f>IF(K939=2,"",_xlfn.IFNA(INDEX(drug_codes,MATCH(loaded!AU939,drug,0)),""))</f>
        <v>#N/A</v>
      </c>
      <c r="V939" t="e">
        <f>IF(K939=2,"",_xlfn.IFNA(INDEX(drug_codes,MATCH(loaded!AW939,drug,0)),""))</f>
        <v>#N/A</v>
      </c>
      <c r="W939" t="e">
        <f>IF(K939=2,"",_xlfn.IFNA(INDEX(drug_codes,MATCH(loaded!AY939,drug,0)),""))</f>
        <v>#N/A</v>
      </c>
      <c r="X939" t="e">
        <f>IF(K939=2,"",_xlfn.IFNA(INDEX(drug_codes,MATCH(loaded!BA939,drug,0)),""))</f>
        <v>#N/A</v>
      </c>
      <c r="Y939" t="e">
        <f>INDEX(MTT_codes,MATCH(loaded!BC939,MTT,0))</f>
        <v>#N/A</v>
      </c>
      <c r="Z939" t="str">
        <f>_xlfn.IFNA(INDEX(MTT_codes,MATCH(loaded!BE939,MTT,0)),"")</f>
        <v/>
      </c>
      <c r="AA939" t="str">
        <f>_xlfn.IFNA(INDEX(MTT_codes,MATCH(loaded!BG939,MTT,0)),"")</f>
        <v/>
      </c>
      <c r="AB939" t="str">
        <f>_xlfn.IFNA(INDEX(MTT_codes,MATCH(loaded!BI939,MTT,0)),"")</f>
        <v/>
      </c>
      <c r="AC939" t="str">
        <f>_xlfn.IFNA(INDEX(MTT_codes,MATCH(loaded!BK939,MTT,0)),"")</f>
        <v/>
      </c>
      <c r="AD939" t="str">
        <f>_xlfn.IFNA(INDEX(MTT_codes,MATCH(loaded!BM939,MTT,0)),"")</f>
        <v/>
      </c>
      <c r="AE939" t="e">
        <f>INDEX(liv_ar_codes,MATCH(loaded!BO939,liv_ar,0))</f>
        <v>#N/A</v>
      </c>
      <c r="AF939" t="str">
        <f>_xlfn.IFNA(INDEX(MTT_codes,MATCH(loaded!BQ939,MTT,0)),"")</f>
        <v/>
      </c>
      <c r="AG939">
        <f>_xlfn.IFNA(INDEX(mental_codes,MATCH(loaded!BS939,mental,0)),9)</f>
        <v>9</v>
      </c>
    </row>
    <row r="940" spans="1:33" x14ac:dyDescent="0.25">
      <c r="A940">
        <f>loaded!C940</f>
        <v>0</v>
      </c>
      <c r="B940">
        <f>loaded!I940</f>
        <v>0</v>
      </c>
      <c r="C940">
        <f>IF(loaded!K940="Male",1,IF(loaded!K940="Female",2,9))</f>
        <v>9</v>
      </c>
      <c r="D940" s="8">
        <f>loaded!M940</f>
        <v>0</v>
      </c>
      <c r="E940" t="str">
        <f>LEFT(loaded!O940,3)</f>
        <v/>
      </c>
      <c r="F940" t="e">
        <f>INDEX(cntry_codes,MATCH(loaded!Q940,countries,0))</f>
        <v>#N/A</v>
      </c>
      <c r="G940" t="e">
        <f>INDEX(atsi_codes,MATCH(loaded!S940,atsi,0))</f>
        <v>#N/A</v>
      </c>
      <c r="H940" t="e">
        <f>INDEX(lang_codes,MATCH(loaded!U940,lang,0))</f>
        <v>#N/A</v>
      </c>
      <c r="I940" s="8">
        <f>loaded!W940</f>
        <v>0</v>
      </c>
      <c r="J940" t="e">
        <f>INDEX(us_acc_codes,MATCH(loaded!Y940,us_acc,0))</f>
        <v>#N/A</v>
      </c>
      <c r="K940" t="e">
        <f>INDEX(client_codes,MATCH(loaded!AA940,client,0))</f>
        <v>#N/A</v>
      </c>
      <c r="L940" t="e">
        <f>INDEX(src_ref_codes,MATCH(loaded!AC940,src_ref,0))</f>
        <v>#N/A</v>
      </c>
      <c r="M940" s="8">
        <f>loaded!AE940</f>
        <v>0</v>
      </c>
      <c r="N940" s="8">
        <f>loaded!AG940</f>
        <v>0</v>
      </c>
      <c r="O940" t="e">
        <f>INDEX(reces_codes,MATCH(loaded!AI940,reason,0))</f>
        <v>#N/A</v>
      </c>
      <c r="P940" t="e">
        <f>INDEX(TDS_codes,MATCH(loaded!AK940,TDS,0))</f>
        <v>#N/A</v>
      </c>
      <c r="Q940" t="e">
        <f>IF(K940=2,"",INDEX(method_codes,MATCH(loaded!AM940,method,0)))</f>
        <v>#N/A</v>
      </c>
      <c r="R940" t="e">
        <f>IF(K940=2,"",INDEX(inj_codes,MATCH(loaded!AO940,inj,0)))</f>
        <v>#N/A</v>
      </c>
      <c r="S940" t="e">
        <f>IF(K940=2,"",INDEX(drug_codes,MATCH(loaded!AQ940,drug,0)))</f>
        <v>#N/A</v>
      </c>
      <c r="T940" t="e">
        <f>IF(K940=2,"",_xlfn.IFNA(INDEX(drug_codes,MATCH(loaded!AS940,drug,0)),""))</f>
        <v>#N/A</v>
      </c>
      <c r="U940" t="e">
        <f>IF(K940=2,"",_xlfn.IFNA(INDEX(drug_codes,MATCH(loaded!AU940,drug,0)),""))</f>
        <v>#N/A</v>
      </c>
      <c r="V940" t="e">
        <f>IF(K940=2,"",_xlfn.IFNA(INDEX(drug_codes,MATCH(loaded!AW940,drug,0)),""))</f>
        <v>#N/A</v>
      </c>
      <c r="W940" t="e">
        <f>IF(K940=2,"",_xlfn.IFNA(INDEX(drug_codes,MATCH(loaded!AY940,drug,0)),""))</f>
        <v>#N/A</v>
      </c>
      <c r="X940" t="e">
        <f>IF(K940=2,"",_xlfn.IFNA(INDEX(drug_codes,MATCH(loaded!BA940,drug,0)),""))</f>
        <v>#N/A</v>
      </c>
      <c r="Y940" t="e">
        <f>INDEX(MTT_codes,MATCH(loaded!BC940,MTT,0))</f>
        <v>#N/A</v>
      </c>
      <c r="Z940" t="str">
        <f>_xlfn.IFNA(INDEX(MTT_codes,MATCH(loaded!BE940,MTT,0)),"")</f>
        <v/>
      </c>
      <c r="AA940" t="str">
        <f>_xlfn.IFNA(INDEX(MTT_codes,MATCH(loaded!BG940,MTT,0)),"")</f>
        <v/>
      </c>
      <c r="AB940" t="str">
        <f>_xlfn.IFNA(INDEX(MTT_codes,MATCH(loaded!BI940,MTT,0)),"")</f>
        <v/>
      </c>
      <c r="AC940" t="str">
        <f>_xlfn.IFNA(INDEX(MTT_codes,MATCH(loaded!BK940,MTT,0)),"")</f>
        <v/>
      </c>
      <c r="AD940" t="str">
        <f>_xlfn.IFNA(INDEX(MTT_codes,MATCH(loaded!BM940,MTT,0)),"")</f>
        <v/>
      </c>
      <c r="AE940" t="e">
        <f>INDEX(liv_ar_codes,MATCH(loaded!BO940,liv_ar,0))</f>
        <v>#N/A</v>
      </c>
      <c r="AF940" t="str">
        <f>_xlfn.IFNA(INDEX(MTT_codes,MATCH(loaded!BQ940,MTT,0)),"")</f>
        <v/>
      </c>
      <c r="AG940">
        <f>_xlfn.IFNA(INDEX(mental_codes,MATCH(loaded!BS940,mental,0)),9)</f>
        <v>9</v>
      </c>
    </row>
    <row r="941" spans="1:33" x14ac:dyDescent="0.25">
      <c r="A941">
        <f>loaded!C941</f>
        <v>0</v>
      </c>
      <c r="B941">
        <f>loaded!I941</f>
        <v>0</v>
      </c>
      <c r="C941">
        <f>IF(loaded!K941="Male",1,IF(loaded!K941="Female",2,9))</f>
        <v>9</v>
      </c>
      <c r="D941" s="8">
        <f>loaded!M941</f>
        <v>0</v>
      </c>
      <c r="E941" t="str">
        <f>LEFT(loaded!O941,3)</f>
        <v/>
      </c>
      <c r="F941" t="e">
        <f>INDEX(cntry_codes,MATCH(loaded!Q941,countries,0))</f>
        <v>#N/A</v>
      </c>
      <c r="G941" t="e">
        <f>INDEX(atsi_codes,MATCH(loaded!S941,atsi,0))</f>
        <v>#N/A</v>
      </c>
      <c r="H941" t="e">
        <f>INDEX(lang_codes,MATCH(loaded!U941,lang,0))</f>
        <v>#N/A</v>
      </c>
      <c r="I941" s="8">
        <f>loaded!W941</f>
        <v>0</v>
      </c>
      <c r="J941" t="e">
        <f>INDEX(us_acc_codes,MATCH(loaded!Y941,us_acc,0))</f>
        <v>#N/A</v>
      </c>
      <c r="K941" t="e">
        <f>INDEX(client_codes,MATCH(loaded!AA941,client,0))</f>
        <v>#N/A</v>
      </c>
      <c r="L941" t="e">
        <f>INDEX(src_ref_codes,MATCH(loaded!AC941,src_ref,0))</f>
        <v>#N/A</v>
      </c>
      <c r="M941" s="8">
        <f>loaded!AE941</f>
        <v>0</v>
      </c>
      <c r="N941" s="8">
        <f>loaded!AG941</f>
        <v>0</v>
      </c>
      <c r="O941" t="e">
        <f>INDEX(reces_codes,MATCH(loaded!AI941,reason,0))</f>
        <v>#N/A</v>
      </c>
      <c r="P941" t="e">
        <f>INDEX(TDS_codes,MATCH(loaded!AK941,TDS,0))</f>
        <v>#N/A</v>
      </c>
      <c r="Q941" t="e">
        <f>IF(K941=2,"",INDEX(method_codes,MATCH(loaded!AM941,method,0)))</f>
        <v>#N/A</v>
      </c>
      <c r="R941" t="e">
        <f>IF(K941=2,"",INDEX(inj_codes,MATCH(loaded!AO941,inj,0)))</f>
        <v>#N/A</v>
      </c>
      <c r="S941" t="e">
        <f>IF(K941=2,"",INDEX(drug_codes,MATCH(loaded!AQ941,drug,0)))</f>
        <v>#N/A</v>
      </c>
      <c r="T941" t="e">
        <f>IF(K941=2,"",_xlfn.IFNA(INDEX(drug_codes,MATCH(loaded!AS941,drug,0)),""))</f>
        <v>#N/A</v>
      </c>
      <c r="U941" t="e">
        <f>IF(K941=2,"",_xlfn.IFNA(INDEX(drug_codes,MATCH(loaded!AU941,drug,0)),""))</f>
        <v>#N/A</v>
      </c>
      <c r="V941" t="e">
        <f>IF(K941=2,"",_xlfn.IFNA(INDEX(drug_codes,MATCH(loaded!AW941,drug,0)),""))</f>
        <v>#N/A</v>
      </c>
      <c r="W941" t="e">
        <f>IF(K941=2,"",_xlfn.IFNA(INDEX(drug_codes,MATCH(loaded!AY941,drug,0)),""))</f>
        <v>#N/A</v>
      </c>
      <c r="X941" t="e">
        <f>IF(K941=2,"",_xlfn.IFNA(INDEX(drug_codes,MATCH(loaded!BA941,drug,0)),""))</f>
        <v>#N/A</v>
      </c>
      <c r="Y941" t="e">
        <f>INDEX(MTT_codes,MATCH(loaded!BC941,MTT,0))</f>
        <v>#N/A</v>
      </c>
      <c r="Z941" t="str">
        <f>_xlfn.IFNA(INDEX(MTT_codes,MATCH(loaded!BE941,MTT,0)),"")</f>
        <v/>
      </c>
      <c r="AA941" t="str">
        <f>_xlfn.IFNA(INDEX(MTT_codes,MATCH(loaded!BG941,MTT,0)),"")</f>
        <v/>
      </c>
      <c r="AB941" t="str">
        <f>_xlfn.IFNA(INDEX(MTT_codes,MATCH(loaded!BI941,MTT,0)),"")</f>
        <v/>
      </c>
      <c r="AC941" t="str">
        <f>_xlfn.IFNA(INDEX(MTT_codes,MATCH(loaded!BK941,MTT,0)),"")</f>
        <v/>
      </c>
      <c r="AD941" t="str">
        <f>_xlfn.IFNA(INDEX(MTT_codes,MATCH(loaded!BM941,MTT,0)),"")</f>
        <v/>
      </c>
      <c r="AE941" t="e">
        <f>INDEX(liv_ar_codes,MATCH(loaded!BO941,liv_ar,0))</f>
        <v>#N/A</v>
      </c>
      <c r="AF941" t="str">
        <f>_xlfn.IFNA(INDEX(MTT_codes,MATCH(loaded!BQ941,MTT,0)),"")</f>
        <v/>
      </c>
      <c r="AG941">
        <f>_xlfn.IFNA(INDEX(mental_codes,MATCH(loaded!BS941,mental,0)),9)</f>
        <v>9</v>
      </c>
    </row>
    <row r="942" spans="1:33" x14ac:dyDescent="0.25">
      <c r="A942">
        <f>loaded!C942</f>
        <v>0</v>
      </c>
      <c r="B942">
        <f>loaded!I942</f>
        <v>0</v>
      </c>
      <c r="C942">
        <f>IF(loaded!K942="Male",1,IF(loaded!K942="Female",2,9))</f>
        <v>9</v>
      </c>
      <c r="D942" s="8">
        <f>loaded!M942</f>
        <v>0</v>
      </c>
      <c r="E942" t="str">
        <f>LEFT(loaded!O942,3)</f>
        <v/>
      </c>
      <c r="F942" t="e">
        <f>INDEX(cntry_codes,MATCH(loaded!Q942,countries,0))</f>
        <v>#N/A</v>
      </c>
      <c r="G942" t="e">
        <f>INDEX(atsi_codes,MATCH(loaded!S942,atsi,0))</f>
        <v>#N/A</v>
      </c>
      <c r="H942" t="e">
        <f>INDEX(lang_codes,MATCH(loaded!U942,lang,0))</f>
        <v>#N/A</v>
      </c>
      <c r="I942" s="8">
        <f>loaded!W942</f>
        <v>0</v>
      </c>
      <c r="J942" t="e">
        <f>INDEX(us_acc_codes,MATCH(loaded!Y942,us_acc,0))</f>
        <v>#N/A</v>
      </c>
      <c r="K942" t="e">
        <f>INDEX(client_codes,MATCH(loaded!AA942,client,0))</f>
        <v>#N/A</v>
      </c>
      <c r="L942" t="e">
        <f>INDEX(src_ref_codes,MATCH(loaded!AC942,src_ref,0))</f>
        <v>#N/A</v>
      </c>
      <c r="M942" s="8">
        <f>loaded!AE942</f>
        <v>0</v>
      </c>
      <c r="N942" s="8">
        <f>loaded!AG942</f>
        <v>0</v>
      </c>
      <c r="O942" t="e">
        <f>INDEX(reces_codes,MATCH(loaded!AI942,reason,0))</f>
        <v>#N/A</v>
      </c>
      <c r="P942" t="e">
        <f>INDEX(TDS_codes,MATCH(loaded!AK942,TDS,0))</f>
        <v>#N/A</v>
      </c>
      <c r="Q942" t="e">
        <f>IF(K942=2,"",INDEX(method_codes,MATCH(loaded!AM942,method,0)))</f>
        <v>#N/A</v>
      </c>
      <c r="R942" t="e">
        <f>IF(K942=2,"",INDEX(inj_codes,MATCH(loaded!AO942,inj,0)))</f>
        <v>#N/A</v>
      </c>
      <c r="S942" t="e">
        <f>IF(K942=2,"",INDEX(drug_codes,MATCH(loaded!AQ942,drug,0)))</f>
        <v>#N/A</v>
      </c>
      <c r="T942" t="e">
        <f>IF(K942=2,"",_xlfn.IFNA(INDEX(drug_codes,MATCH(loaded!AS942,drug,0)),""))</f>
        <v>#N/A</v>
      </c>
      <c r="U942" t="e">
        <f>IF(K942=2,"",_xlfn.IFNA(INDEX(drug_codes,MATCH(loaded!AU942,drug,0)),""))</f>
        <v>#N/A</v>
      </c>
      <c r="V942" t="e">
        <f>IF(K942=2,"",_xlfn.IFNA(INDEX(drug_codes,MATCH(loaded!AW942,drug,0)),""))</f>
        <v>#N/A</v>
      </c>
      <c r="W942" t="e">
        <f>IF(K942=2,"",_xlfn.IFNA(INDEX(drug_codes,MATCH(loaded!AY942,drug,0)),""))</f>
        <v>#N/A</v>
      </c>
      <c r="X942" t="e">
        <f>IF(K942=2,"",_xlfn.IFNA(INDEX(drug_codes,MATCH(loaded!BA942,drug,0)),""))</f>
        <v>#N/A</v>
      </c>
      <c r="Y942" t="e">
        <f>INDEX(MTT_codes,MATCH(loaded!BC942,MTT,0))</f>
        <v>#N/A</v>
      </c>
      <c r="Z942" t="str">
        <f>_xlfn.IFNA(INDEX(MTT_codes,MATCH(loaded!BE942,MTT,0)),"")</f>
        <v/>
      </c>
      <c r="AA942" t="str">
        <f>_xlfn.IFNA(INDEX(MTT_codes,MATCH(loaded!BG942,MTT,0)),"")</f>
        <v/>
      </c>
      <c r="AB942" t="str">
        <f>_xlfn.IFNA(INDEX(MTT_codes,MATCH(loaded!BI942,MTT,0)),"")</f>
        <v/>
      </c>
      <c r="AC942" t="str">
        <f>_xlfn.IFNA(INDEX(MTT_codes,MATCH(loaded!BK942,MTT,0)),"")</f>
        <v/>
      </c>
      <c r="AD942" t="str">
        <f>_xlfn.IFNA(INDEX(MTT_codes,MATCH(loaded!BM942,MTT,0)),"")</f>
        <v/>
      </c>
      <c r="AE942" t="e">
        <f>INDEX(liv_ar_codes,MATCH(loaded!BO942,liv_ar,0))</f>
        <v>#N/A</v>
      </c>
      <c r="AF942" t="str">
        <f>_xlfn.IFNA(INDEX(MTT_codes,MATCH(loaded!BQ942,MTT,0)),"")</f>
        <v/>
      </c>
      <c r="AG942">
        <f>_xlfn.IFNA(INDEX(mental_codes,MATCH(loaded!BS942,mental,0)),9)</f>
        <v>9</v>
      </c>
    </row>
    <row r="943" spans="1:33" x14ac:dyDescent="0.25">
      <c r="A943">
        <f>loaded!C943</f>
        <v>0</v>
      </c>
      <c r="B943">
        <f>loaded!I943</f>
        <v>0</v>
      </c>
      <c r="C943">
        <f>IF(loaded!K943="Male",1,IF(loaded!K943="Female",2,9))</f>
        <v>9</v>
      </c>
      <c r="D943" s="8">
        <f>loaded!M943</f>
        <v>0</v>
      </c>
      <c r="E943" t="str">
        <f>LEFT(loaded!O943,3)</f>
        <v/>
      </c>
      <c r="F943" t="e">
        <f>INDEX(cntry_codes,MATCH(loaded!Q943,countries,0))</f>
        <v>#N/A</v>
      </c>
      <c r="G943" t="e">
        <f>INDEX(atsi_codes,MATCH(loaded!S943,atsi,0))</f>
        <v>#N/A</v>
      </c>
      <c r="H943" t="e">
        <f>INDEX(lang_codes,MATCH(loaded!U943,lang,0))</f>
        <v>#N/A</v>
      </c>
      <c r="I943" s="8">
        <f>loaded!W943</f>
        <v>0</v>
      </c>
      <c r="J943" t="e">
        <f>INDEX(us_acc_codes,MATCH(loaded!Y943,us_acc,0))</f>
        <v>#N/A</v>
      </c>
      <c r="K943" t="e">
        <f>INDEX(client_codes,MATCH(loaded!AA943,client,0))</f>
        <v>#N/A</v>
      </c>
      <c r="L943" t="e">
        <f>INDEX(src_ref_codes,MATCH(loaded!AC943,src_ref,0))</f>
        <v>#N/A</v>
      </c>
      <c r="M943" s="8">
        <f>loaded!AE943</f>
        <v>0</v>
      </c>
      <c r="N943" s="8">
        <f>loaded!AG943</f>
        <v>0</v>
      </c>
      <c r="O943" t="e">
        <f>INDEX(reces_codes,MATCH(loaded!AI943,reason,0))</f>
        <v>#N/A</v>
      </c>
      <c r="P943" t="e">
        <f>INDEX(TDS_codes,MATCH(loaded!AK943,TDS,0))</f>
        <v>#N/A</v>
      </c>
      <c r="Q943" t="e">
        <f>IF(K943=2,"",INDEX(method_codes,MATCH(loaded!AM943,method,0)))</f>
        <v>#N/A</v>
      </c>
      <c r="R943" t="e">
        <f>IF(K943=2,"",INDEX(inj_codes,MATCH(loaded!AO943,inj,0)))</f>
        <v>#N/A</v>
      </c>
      <c r="S943" t="e">
        <f>IF(K943=2,"",INDEX(drug_codes,MATCH(loaded!AQ943,drug,0)))</f>
        <v>#N/A</v>
      </c>
      <c r="T943" t="e">
        <f>IF(K943=2,"",_xlfn.IFNA(INDEX(drug_codes,MATCH(loaded!AS943,drug,0)),""))</f>
        <v>#N/A</v>
      </c>
      <c r="U943" t="e">
        <f>IF(K943=2,"",_xlfn.IFNA(INDEX(drug_codes,MATCH(loaded!AU943,drug,0)),""))</f>
        <v>#N/A</v>
      </c>
      <c r="V943" t="e">
        <f>IF(K943=2,"",_xlfn.IFNA(INDEX(drug_codes,MATCH(loaded!AW943,drug,0)),""))</f>
        <v>#N/A</v>
      </c>
      <c r="W943" t="e">
        <f>IF(K943=2,"",_xlfn.IFNA(INDEX(drug_codes,MATCH(loaded!AY943,drug,0)),""))</f>
        <v>#N/A</v>
      </c>
      <c r="X943" t="e">
        <f>IF(K943=2,"",_xlfn.IFNA(INDEX(drug_codes,MATCH(loaded!BA943,drug,0)),""))</f>
        <v>#N/A</v>
      </c>
      <c r="Y943" t="e">
        <f>INDEX(MTT_codes,MATCH(loaded!BC943,MTT,0))</f>
        <v>#N/A</v>
      </c>
      <c r="Z943" t="str">
        <f>_xlfn.IFNA(INDEX(MTT_codes,MATCH(loaded!BE943,MTT,0)),"")</f>
        <v/>
      </c>
      <c r="AA943" t="str">
        <f>_xlfn.IFNA(INDEX(MTT_codes,MATCH(loaded!BG943,MTT,0)),"")</f>
        <v/>
      </c>
      <c r="AB943" t="str">
        <f>_xlfn.IFNA(INDEX(MTT_codes,MATCH(loaded!BI943,MTT,0)),"")</f>
        <v/>
      </c>
      <c r="AC943" t="str">
        <f>_xlfn.IFNA(INDEX(MTT_codes,MATCH(loaded!BK943,MTT,0)),"")</f>
        <v/>
      </c>
      <c r="AD943" t="str">
        <f>_xlfn.IFNA(INDEX(MTT_codes,MATCH(loaded!BM943,MTT,0)),"")</f>
        <v/>
      </c>
      <c r="AE943" t="e">
        <f>INDEX(liv_ar_codes,MATCH(loaded!BO943,liv_ar,0))</f>
        <v>#N/A</v>
      </c>
      <c r="AF943" t="str">
        <f>_xlfn.IFNA(INDEX(MTT_codes,MATCH(loaded!BQ943,MTT,0)),"")</f>
        <v/>
      </c>
      <c r="AG943">
        <f>_xlfn.IFNA(INDEX(mental_codes,MATCH(loaded!BS943,mental,0)),9)</f>
        <v>9</v>
      </c>
    </row>
    <row r="944" spans="1:33" x14ac:dyDescent="0.25">
      <c r="A944">
        <f>loaded!C944</f>
        <v>0</v>
      </c>
      <c r="B944">
        <f>loaded!I944</f>
        <v>0</v>
      </c>
      <c r="C944">
        <f>IF(loaded!K944="Male",1,IF(loaded!K944="Female",2,9))</f>
        <v>9</v>
      </c>
      <c r="D944" s="8">
        <f>loaded!M944</f>
        <v>0</v>
      </c>
      <c r="E944" t="str">
        <f>LEFT(loaded!O944,3)</f>
        <v/>
      </c>
      <c r="F944" t="e">
        <f>INDEX(cntry_codes,MATCH(loaded!Q944,countries,0))</f>
        <v>#N/A</v>
      </c>
      <c r="G944" t="e">
        <f>INDEX(atsi_codes,MATCH(loaded!S944,atsi,0))</f>
        <v>#N/A</v>
      </c>
      <c r="H944" t="e">
        <f>INDEX(lang_codes,MATCH(loaded!U944,lang,0))</f>
        <v>#N/A</v>
      </c>
      <c r="I944" s="8">
        <f>loaded!W944</f>
        <v>0</v>
      </c>
      <c r="J944" t="e">
        <f>INDEX(us_acc_codes,MATCH(loaded!Y944,us_acc,0))</f>
        <v>#N/A</v>
      </c>
      <c r="K944" t="e">
        <f>INDEX(client_codes,MATCH(loaded!AA944,client,0))</f>
        <v>#N/A</v>
      </c>
      <c r="L944" t="e">
        <f>INDEX(src_ref_codes,MATCH(loaded!AC944,src_ref,0))</f>
        <v>#N/A</v>
      </c>
      <c r="M944" s="8">
        <f>loaded!AE944</f>
        <v>0</v>
      </c>
      <c r="N944" s="8">
        <f>loaded!AG944</f>
        <v>0</v>
      </c>
      <c r="O944" t="e">
        <f>INDEX(reces_codes,MATCH(loaded!AI944,reason,0))</f>
        <v>#N/A</v>
      </c>
      <c r="P944" t="e">
        <f>INDEX(TDS_codes,MATCH(loaded!AK944,TDS,0))</f>
        <v>#N/A</v>
      </c>
      <c r="Q944" t="e">
        <f>IF(K944=2,"",INDEX(method_codes,MATCH(loaded!AM944,method,0)))</f>
        <v>#N/A</v>
      </c>
      <c r="R944" t="e">
        <f>IF(K944=2,"",INDEX(inj_codes,MATCH(loaded!AO944,inj,0)))</f>
        <v>#N/A</v>
      </c>
      <c r="S944" t="e">
        <f>IF(K944=2,"",INDEX(drug_codes,MATCH(loaded!AQ944,drug,0)))</f>
        <v>#N/A</v>
      </c>
      <c r="T944" t="e">
        <f>IF(K944=2,"",_xlfn.IFNA(INDEX(drug_codes,MATCH(loaded!AS944,drug,0)),""))</f>
        <v>#N/A</v>
      </c>
      <c r="U944" t="e">
        <f>IF(K944=2,"",_xlfn.IFNA(INDEX(drug_codes,MATCH(loaded!AU944,drug,0)),""))</f>
        <v>#N/A</v>
      </c>
      <c r="V944" t="e">
        <f>IF(K944=2,"",_xlfn.IFNA(INDEX(drug_codes,MATCH(loaded!AW944,drug,0)),""))</f>
        <v>#N/A</v>
      </c>
      <c r="W944" t="e">
        <f>IF(K944=2,"",_xlfn.IFNA(INDEX(drug_codes,MATCH(loaded!AY944,drug,0)),""))</f>
        <v>#N/A</v>
      </c>
      <c r="X944" t="e">
        <f>IF(K944=2,"",_xlfn.IFNA(INDEX(drug_codes,MATCH(loaded!BA944,drug,0)),""))</f>
        <v>#N/A</v>
      </c>
      <c r="Y944" t="e">
        <f>INDEX(MTT_codes,MATCH(loaded!BC944,MTT,0))</f>
        <v>#N/A</v>
      </c>
      <c r="Z944" t="str">
        <f>_xlfn.IFNA(INDEX(MTT_codes,MATCH(loaded!BE944,MTT,0)),"")</f>
        <v/>
      </c>
      <c r="AA944" t="str">
        <f>_xlfn.IFNA(INDEX(MTT_codes,MATCH(loaded!BG944,MTT,0)),"")</f>
        <v/>
      </c>
      <c r="AB944" t="str">
        <f>_xlfn.IFNA(INDEX(MTT_codes,MATCH(loaded!BI944,MTT,0)),"")</f>
        <v/>
      </c>
      <c r="AC944" t="str">
        <f>_xlfn.IFNA(INDEX(MTT_codes,MATCH(loaded!BK944,MTT,0)),"")</f>
        <v/>
      </c>
      <c r="AD944" t="str">
        <f>_xlfn.IFNA(INDEX(MTT_codes,MATCH(loaded!BM944,MTT,0)),"")</f>
        <v/>
      </c>
      <c r="AE944" t="e">
        <f>INDEX(liv_ar_codes,MATCH(loaded!BO944,liv_ar,0))</f>
        <v>#N/A</v>
      </c>
      <c r="AF944" t="str">
        <f>_xlfn.IFNA(INDEX(MTT_codes,MATCH(loaded!BQ944,MTT,0)),"")</f>
        <v/>
      </c>
      <c r="AG944">
        <f>_xlfn.IFNA(INDEX(mental_codes,MATCH(loaded!BS944,mental,0)),9)</f>
        <v>9</v>
      </c>
    </row>
    <row r="945" spans="1:33" x14ac:dyDescent="0.25">
      <c r="A945">
        <f>loaded!C945</f>
        <v>0</v>
      </c>
      <c r="B945">
        <f>loaded!I945</f>
        <v>0</v>
      </c>
      <c r="C945">
        <f>IF(loaded!K945="Male",1,IF(loaded!K945="Female",2,9))</f>
        <v>9</v>
      </c>
      <c r="D945" s="8">
        <f>loaded!M945</f>
        <v>0</v>
      </c>
      <c r="E945" t="str">
        <f>LEFT(loaded!O945,3)</f>
        <v/>
      </c>
      <c r="F945" t="e">
        <f>INDEX(cntry_codes,MATCH(loaded!Q945,countries,0))</f>
        <v>#N/A</v>
      </c>
      <c r="G945" t="e">
        <f>INDEX(atsi_codes,MATCH(loaded!S945,atsi,0))</f>
        <v>#N/A</v>
      </c>
      <c r="H945" t="e">
        <f>INDEX(lang_codes,MATCH(loaded!U945,lang,0))</f>
        <v>#N/A</v>
      </c>
      <c r="I945" s="8">
        <f>loaded!W945</f>
        <v>0</v>
      </c>
      <c r="J945" t="e">
        <f>INDEX(us_acc_codes,MATCH(loaded!Y945,us_acc,0))</f>
        <v>#N/A</v>
      </c>
      <c r="K945" t="e">
        <f>INDEX(client_codes,MATCH(loaded!AA945,client,0))</f>
        <v>#N/A</v>
      </c>
      <c r="L945" t="e">
        <f>INDEX(src_ref_codes,MATCH(loaded!AC945,src_ref,0))</f>
        <v>#N/A</v>
      </c>
      <c r="M945" s="8">
        <f>loaded!AE945</f>
        <v>0</v>
      </c>
      <c r="N945" s="8">
        <f>loaded!AG945</f>
        <v>0</v>
      </c>
      <c r="O945" t="e">
        <f>INDEX(reces_codes,MATCH(loaded!AI945,reason,0))</f>
        <v>#N/A</v>
      </c>
      <c r="P945" t="e">
        <f>INDEX(TDS_codes,MATCH(loaded!AK945,TDS,0))</f>
        <v>#N/A</v>
      </c>
      <c r="Q945" t="e">
        <f>IF(K945=2,"",INDEX(method_codes,MATCH(loaded!AM945,method,0)))</f>
        <v>#N/A</v>
      </c>
      <c r="R945" t="e">
        <f>IF(K945=2,"",INDEX(inj_codes,MATCH(loaded!AO945,inj,0)))</f>
        <v>#N/A</v>
      </c>
      <c r="S945" t="e">
        <f>IF(K945=2,"",INDEX(drug_codes,MATCH(loaded!AQ945,drug,0)))</f>
        <v>#N/A</v>
      </c>
      <c r="T945" t="e">
        <f>IF(K945=2,"",_xlfn.IFNA(INDEX(drug_codes,MATCH(loaded!AS945,drug,0)),""))</f>
        <v>#N/A</v>
      </c>
      <c r="U945" t="e">
        <f>IF(K945=2,"",_xlfn.IFNA(INDEX(drug_codes,MATCH(loaded!AU945,drug,0)),""))</f>
        <v>#N/A</v>
      </c>
      <c r="V945" t="e">
        <f>IF(K945=2,"",_xlfn.IFNA(INDEX(drug_codes,MATCH(loaded!AW945,drug,0)),""))</f>
        <v>#N/A</v>
      </c>
      <c r="W945" t="e">
        <f>IF(K945=2,"",_xlfn.IFNA(INDEX(drug_codes,MATCH(loaded!AY945,drug,0)),""))</f>
        <v>#N/A</v>
      </c>
      <c r="X945" t="e">
        <f>IF(K945=2,"",_xlfn.IFNA(INDEX(drug_codes,MATCH(loaded!BA945,drug,0)),""))</f>
        <v>#N/A</v>
      </c>
      <c r="Y945" t="e">
        <f>INDEX(MTT_codes,MATCH(loaded!BC945,MTT,0))</f>
        <v>#N/A</v>
      </c>
      <c r="Z945" t="str">
        <f>_xlfn.IFNA(INDEX(MTT_codes,MATCH(loaded!BE945,MTT,0)),"")</f>
        <v/>
      </c>
      <c r="AA945" t="str">
        <f>_xlfn.IFNA(INDEX(MTT_codes,MATCH(loaded!BG945,MTT,0)),"")</f>
        <v/>
      </c>
      <c r="AB945" t="str">
        <f>_xlfn.IFNA(INDEX(MTT_codes,MATCH(loaded!BI945,MTT,0)),"")</f>
        <v/>
      </c>
      <c r="AC945" t="str">
        <f>_xlfn.IFNA(INDEX(MTT_codes,MATCH(loaded!BK945,MTT,0)),"")</f>
        <v/>
      </c>
      <c r="AD945" t="str">
        <f>_xlfn.IFNA(INDEX(MTT_codes,MATCH(loaded!BM945,MTT,0)),"")</f>
        <v/>
      </c>
      <c r="AE945" t="e">
        <f>INDEX(liv_ar_codes,MATCH(loaded!BO945,liv_ar,0))</f>
        <v>#N/A</v>
      </c>
      <c r="AF945" t="str">
        <f>_xlfn.IFNA(INDEX(MTT_codes,MATCH(loaded!BQ945,MTT,0)),"")</f>
        <v/>
      </c>
      <c r="AG945">
        <f>_xlfn.IFNA(INDEX(mental_codes,MATCH(loaded!BS945,mental,0)),9)</f>
        <v>9</v>
      </c>
    </row>
    <row r="946" spans="1:33" x14ac:dyDescent="0.25">
      <c r="A946">
        <f>loaded!C946</f>
        <v>0</v>
      </c>
      <c r="B946">
        <f>loaded!I946</f>
        <v>0</v>
      </c>
      <c r="C946">
        <f>IF(loaded!K946="Male",1,IF(loaded!K946="Female",2,9))</f>
        <v>9</v>
      </c>
      <c r="D946" s="8">
        <f>loaded!M946</f>
        <v>0</v>
      </c>
      <c r="E946" t="str">
        <f>LEFT(loaded!O946,3)</f>
        <v/>
      </c>
      <c r="F946" t="e">
        <f>INDEX(cntry_codes,MATCH(loaded!Q946,countries,0))</f>
        <v>#N/A</v>
      </c>
      <c r="G946" t="e">
        <f>INDEX(atsi_codes,MATCH(loaded!S946,atsi,0))</f>
        <v>#N/A</v>
      </c>
      <c r="H946" t="e">
        <f>INDEX(lang_codes,MATCH(loaded!U946,lang,0))</f>
        <v>#N/A</v>
      </c>
      <c r="I946" s="8">
        <f>loaded!W946</f>
        <v>0</v>
      </c>
      <c r="J946" t="e">
        <f>INDEX(us_acc_codes,MATCH(loaded!Y946,us_acc,0))</f>
        <v>#N/A</v>
      </c>
      <c r="K946" t="e">
        <f>INDEX(client_codes,MATCH(loaded!AA946,client,0))</f>
        <v>#N/A</v>
      </c>
      <c r="L946" t="e">
        <f>INDEX(src_ref_codes,MATCH(loaded!AC946,src_ref,0))</f>
        <v>#N/A</v>
      </c>
      <c r="M946" s="8">
        <f>loaded!AE946</f>
        <v>0</v>
      </c>
      <c r="N946" s="8">
        <f>loaded!AG946</f>
        <v>0</v>
      </c>
      <c r="O946" t="e">
        <f>INDEX(reces_codes,MATCH(loaded!AI946,reason,0))</f>
        <v>#N/A</v>
      </c>
      <c r="P946" t="e">
        <f>INDEX(TDS_codes,MATCH(loaded!AK946,TDS,0))</f>
        <v>#N/A</v>
      </c>
      <c r="Q946" t="e">
        <f>IF(K946=2,"",INDEX(method_codes,MATCH(loaded!AM946,method,0)))</f>
        <v>#N/A</v>
      </c>
      <c r="R946" t="e">
        <f>IF(K946=2,"",INDEX(inj_codes,MATCH(loaded!AO946,inj,0)))</f>
        <v>#N/A</v>
      </c>
      <c r="S946" t="e">
        <f>IF(K946=2,"",INDEX(drug_codes,MATCH(loaded!AQ946,drug,0)))</f>
        <v>#N/A</v>
      </c>
      <c r="T946" t="e">
        <f>IF(K946=2,"",_xlfn.IFNA(INDEX(drug_codes,MATCH(loaded!AS946,drug,0)),""))</f>
        <v>#N/A</v>
      </c>
      <c r="U946" t="e">
        <f>IF(K946=2,"",_xlfn.IFNA(INDEX(drug_codes,MATCH(loaded!AU946,drug,0)),""))</f>
        <v>#N/A</v>
      </c>
      <c r="V946" t="e">
        <f>IF(K946=2,"",_xlfn.IFNA(INDEX(drug_codes,MATCH(loaded!AW946,drug,0)),""))</f>
        <v>#N/A</v>
      </c>
      <c r="W946" t="e">
        <f>IF(K946=2,"",_xlfn.IFNA(INDEX(drug_codes,MATCH(loaded!AY946,drug,0)),""))</f>
        <v>#N/A</v>
      </c>
      <c r="X946" t="e">
        <f>IF(K946=2,"",_xlfn.IFNA(INDEX(drug_codes,MATCH(loaded!BA946,drug,0)),""))</f>
        <v>#N/A</v>
      </c>
      <c r="Y946" t="e">
        <f>INDEX(MTT_codes,MATCH(loaded!BC946,MTT,0))</f>
        <v>#N/A</v>
      </c>
      <c r="Z946" t="str">
        <f>_xlfn.IFNA(INDEX(MTT_codes,MATCH(loaded!BE946,MTT,0)),"")</f>
        <v/>
      </c>
      <c r="AA946" t="str">
        <f>_xlfn.IFNA(INDEX(MTT_codes,MATCH(loaded!BG946,MTT,0)),"")</f>
        <v/>
      </c>
      <c r="AB946" t="str">
        <f>_xlfn.IFNA(INDEX(MTT_codes,MATCH(loaded!BI946,MTT,0)),"")</f>
        <v/>
      </c>
      <c r="AC946" t="str">
        <f>_xlfn.IFNA(INDEX(MTT_codes,MATCH(loaded!BK946,MTT,0)),"")</f>
        <v/>
      </c>
      <c r="AD946" t="str">
        <f>_xlfn.IFNA(INDEX(MTT_codes,MATCH(loaded!BM946,MTT,0)),"")</f>
        <v/>
      </c>
      <c r="AE946" t="e">
        <f>INDEX(liv_ar_codes,MATCH(loaded!BO946,liv_ar,0))</f>
        <v>#N/A</v>
      </c>
      <c r="AF946" t="str">
        <f>_xlfn.IFNA(INDEX(MTT_codes,MATCH(loaded!BQ946,MTT,0)),"")</f>
        <v/>
      </c>
      <c r="AG946">
        <f>_xlfn.IFNA(INDEX(mental_codes,MATCH(loaded!BS946,mental,0)),9)</f>
        <v>9</v>
      </c>
    </row>
    <row r="947" spans="1:33" x14ac:dyDescent="0.25">
      <c r="A947">
        <f>loaded!C947</f>
        <v>0</v>
      </c>
      <c r="B947">
        <f>loaded!I947</f>
        <v>0</v>
      </c>
      <c r="C947">
        <f>IF(loaded!K947="Male",1,IF(loaded!K947="Female",2,9))</f>
        <v>9</v>
      </c>
      <c r="D947" s="8">
        <f>loaded!M947</f>
        <v>0</v>
      </c>
      <c r="E947" t="str">
        <f>LEFT(loaded!O947,3)</f>
        <v/>
      </c>
      <c r="F947" t="e">
        <f>INDEX(cntry_codes,MATCH(loaded!Q947,countries,0))</f>
        <v>#N/A</v>
      </c>
      <c r="G947" t="e">
        <f>INDEX(atsi_codes,MATCH(loaded!S947,atsi,0))</f>
        <v>#N/A</v>
      </c>
      <c r="H947" t="e">
        <f>INDEX(lang_codes,MATCH(loaded!U947,lang,0))</f>
        <v>#N/A</v>
      </c>
      <c r="I947" s="8">
        <f>loaded!W947</f>
        <v>0</v>
      </c>
      <c r="J947" t="e">
        <f>INDEX(us_acc_codes,MATCH(loaded!Y947,us_acc,0))</f>
        <v>#N/A</v>
      </c>
      <c r="K947" t="e">
        <f>INDEX(client_codes,MATCH(loaded!AA947,client,0))</f>
        <v>#N/A</v>
      </c>
      <c r="L947" t="e">
        <f>INDEX(src_ref_codes,MATCH(loaded!AC947,src_ref,0))</f>
        <v>#N/A</v>
      </c>
      <c r="M947" s="8">
        <f>loaded!AE947</f>
        <v>0</v>
      </c>
      <c r="N947" s="8">
        <f>loaded!AG947</f>
        <v>0</v>
      </c>
      <c r="O947" t="e">
        <f>INDEX(reces_codes,MATCH(loaded!AI947,reason,0))</f>
        <v>#N/A</v>
      </c>
      <c r="P947" t="e">
        <f>INDEX(TDS_codes,MATCH(loaded!AK947,TDS,0))</f>
        <v>#N/A</v>
      </c>
      <c r="Q947" t="e">
        <f>IF(K947=2,"",INDEX(method_codes,MATCH(loaded!AM947,method,0)))</f>
        <v>#N/A</v>
      </c>
      <c r="R947" t="e">
        <f>IF(K947=2,"",INDEX(inj_codes,MATCH(loaded!AO947,inj,0)))</f>
        <v>#N/A</v>
      </c>
      <c r="S947" t="e">
        <f>IF(K947=2,"",INDEX(drug_codes,MATCH(loaded!AQ947,drug,0)))</f>
        <v>#N/A</v>
      </c>
      <c r="T947" t="e">
        <f>IF(K947=2,"",_xlfn.IFNA(INDEX(drug_codes,MATCH(loaded!AS947,drug,0)),""))</f>
        <v>#N/A</v>
      </c>
      <c r="U947" t="e">
        <f>IF(K947=2,"",_xlfn.IFNA(INDEX(drug_codes,MATCH(loaded!AU947,drug,0)),""))</f>
        <v>#N/A</v>
      </c>
      <c r="V947" t="e">
        <f>IF(K947=2,"",_xlfn.IFNA(INDEX(drug_codes,MATCH(loaded!AW947,drug,0)),""))</f>
        <v>#N/A</v>
      </c>
      <c r="W947" t="e">
        <f>IF(K947=2,"",_xlfn.IFNA(INDEX(drug_codes,MATCH(loaded!AY947,drug,0)),""))</f>
        <v>#N/A</v>
      </c>
      <c r="X947" t="e">
        <f>IF(K947=2,"",_xlfn.IFNA(INDEX(drug_codes,MATCH(loaded!BA947,drug,0)),""))</f>
        <v>#N/A</v>
      </c>
      <c r="Y947" t="e">
        <f>INDEX(MTT_codes,MATCH(loaded!BC947,MTT,0))</f>
        <v>#N/A</v>
      </c>
      <c r="Z947" t="str">
        <f>_xlfn.IFNA(INDEX(MTT_codes,MATCH(loaded!BE947,MTT,0)),"")</f>
        <v/>
      </c>
      <c r="AA947" t="str">
        <f>_xlfn.IFNA(INDEX(MTT_codes,MATCH(loaded!BG947,MTT,0)),"")</f>
        <v/>
      </c>
      <c r="AB947" t="str">
        <f>_xlfn.IFNA(INDEX(MTT_codes,MATCH(loaded!BI947,MTT,0)),"")</f>
        <v/>
      </c>
      <c r="AC947" t="str">
        <f>_xlfn.IFNA(INDEX(MTT_codes,MATCH(loaded!BK947,MTT,0)),"")</f>
        <v/>
      </c>
      <c r="AD947" t="str">
        <f>_xlfn.IFNA(INDEX(MTT_codes,MATCH(loaded!BM947,MTT,0)),"")</f>
        <v/>
      </c>
      <c r="AE947" t="e">
        <f>INDEX(liv_ar_codes,MATCH(loaded!BO947,liv_ar,0))</f>
        <v>#N/A</v>
      </c>
      <c r="AF947" t="str">
        <f>_xlfn.IFNA(INDEX(MTT_codes,MATCH(loaded!BQ947,MTT,0)),"")</f>
        <v/>
      </c>
      <c r="AG947">
        <f>_xlfn.IFNA(INDEX(mental_codes,MATCH(loaded!BS947,mental,0)),9)</f>
        <v>9</v>
      </c>
    </row>
    <row r="948" spans="1:33" x14ac:dyDescent="0.25">
      <c r="A948">
        <f>loaded!C948</f>
        <v>0</v>
      </c>
      <c r="B948">
        <f>loaded!I948</f>
        <v>0</v>
      </c>
      <c r="C948">
        <f>IF(loaded!K948="Male",1,IF(loaded!K948="Female",2,9))</f>
        <v>9</v>
      </c>
      <c r="D948" s="8">
        <f>loaded!M948</f>
        <v>0</v>
      </c>
      <c r="E948" t="str">
        <f>LEFT(loaded!O948,3)</f>
        <v/>
      </c>
      <c r="F948" t="e">
        <f>INDEX(cntry_codes,MATCH(loaded!Q948,countries,0))</f>
        <v>#N/A</v>
      </c>
      <c r="G948" t="e">
        <f>INDEX(atsi_codes,MATCH(loaded!S948,atsi,0))</f>
        <v>#N/A</v>
      </c>
      <c r="H948" t="e">
        <f>INDEX(lang_codes,MATCH(loaded!U948,lang,0))</f>
        <v>#N/A</v>
      </c>
      <c r="I948" s="8">
        <f>loaded!W948</f>
        <v>0</v>
      </c>
      <c r="J948" t="e">
        <f>INDEX(us_acc_codes,MATCH(loaded!Y948,us_acc,0))</f>
        <v>#N/A</v>
      </c>
      <c r="K948" t="e">
        <f>INDEX(client_codes,MATCH(loaded!AA948,client,0))</f>
        <v>#N/A</v>
      </c>
      <c r="L948" t="e">
        <f>INDEX(src_ref_codes,MATCH(loaded!AC948,src_ref,0))</f>
        <v>#N/A</v>
      </c>
      <c r="M948" s="8">
        <f>loaded!AE948</f>
        <v>0</v>
      </c>
      <c r="N948" s="8">
        <f>loaded!AG948</f>
        <v>0</v>
      </c>
      <c r="O948" t="e">
        <f>INDEX(reces_codes,MATCH(loaded!AI948,reason,0))</f>
        <v>#N/A</v>
      </c>
      <c r="P948" t="e">
        <f>INDEX(TDS_codes,MATCH(loaded!AK948,TDS,0))</f>
        <v>#N/A</v>
      </c>
      <c r="Q948" t="e">
        <f>IF(K948=2,"",INDEX(method_codes,MATCH(loaded!AM948,method,0)))</f>
        <v>#N/A</v>
      </c>
      <c r="R948" t="e">
        <f>IF(K948=2,"",INDEX(inj_codes,MATCH(loaded!AO948,inj,0)))</f>
        <v>#N/A</v>
      </c>
      <c r="S948" t="e">
        <f>IF(K948=2,"",INDEX(drug_codes,MATCH(loaded!AQ948,drug,0)))</f>
        <v>#N/A</v>
      </c>
      <c r="T948" t="e">
        <f>IF(K948=2,"",_xlfn.IFNA(INDEX(drug_codes,MATCH(loaded!AS948,drug,0)),""))</f>
        <v>#N/A</v>
      </c>
      <c r="U948" t="e">
        <f>IF(K948=2,"",_xlfn.IFNA(INDEX(drug_codes,MATCH(loaded!AU948,drug,0)),""))</f>
        <v>#N/A</v>
      </c>
      <c r="V948" t="e">
        <f>IF(K948=2,"",_xlfn.IFNA(INDEX(drug_codes,MATCH(loaded!AW948,drug,0)),""))</f>
        <v>#N/A</v>
      </c>
      <c r="W948" t="e">
        <f>IF(K948=2,"",_xlfn.IFNA(INDEX(drug_codes,MATCH(loaded!AY948,drug,0)),""))</f>
        <v>#N/A</v>
      </c>
      <c r="X948" t="e">
        <f>IF(K948=2,"",_xlfn.IFNA(INDEX(drug_codes,MATCH(loaded!BA948,drug,0)),""))</f>
        <v>#N/A</v>
      </c>
      <c r="Y948" t="e">
        <f>INDEX(MTT_codes,MATCH(loaded!BC948,MTT,0))</f>
        <v>#N/A</v>
      </c>
      <c r="Z948" t="str">
        <f>_xlfn.IFNA(INDEX(MTT_codes,MATCH(loaded!BE948,MTT,0)),"")</f>
        <v/>
      </c>
      <c r="AA948" t="str">
        <f>_xlfn.IFNA(INDEX(MTT_codes,MATCH(loaded!BG948,MTT,0)),"")</f>
        <v/>
      </c>
      <c r="AB948" t="str">
        <f>_xlfn.IFNA(INDEX(MTT_codes,MATCH(loaded!BI948,MTT,0)),"")</f>
        <v/>
      </c>
      <c r="AC948" t="str">
        <f>_xlfn.IFNA(INDEX(MTT_codes,MATCH(loaded!BK948,MTT,0)),"")</f>
        <v/>
      </c>
      <c r="AD948" t="str">
        <f>_xlfn.IFNA(INDEX(MTT_codes,MATCH(loaded!BM948,MTT,0)),"")</f>
        <v/>
      </c>
      <c r="AE948" t="e">
        <f>INDEX(liv_ar_codes,MATCH(loaded!BO948,liv_ar,0))</f>
        <v>#N/A</v>
      </c>
      <c r="AF948" t="str">
        <f>_xlfn.IFNA(INDEX(MTT_codes,MATCH(loaded!BQ948,MTT,0)),"")</f>
        <v/>
      </c>
      <c r="AG948">
        <f>_xlfn.IFNA(INDEX(mental_codes,MATCH(loaded!BS948,mental,0)),9)</f>
        <v>9</v>
      </c>
    </row>
    <row r="949" spans="1:33" x14ac:dyDescent="0.25">
      <c r="A949">
        <f>loaded!C949</f>
        <v>0</v>
      </c>
      <c r="B949">
        <f>loaded!I949</f>
        <v>0</v>
      </c>
      <c r="C949">
        <f>IF(loaded!K949="Male",1,IF(loaded!K949="Female",2,9))</f>
        <v>9</v>
      </c>
      <c r="D949" s="8">
        <f>loaded!M949</f>
        <v>0</v>
      </c>
      <c r="E949" t="str">
        <f>LEFT(loaded!O949,3)</f>
        <v/>
      </c>
      <c r="F949" t="e">
        <f>INDEX(cntry_codes,MATCH(loaded!Q949,countries,0))</f>
        <v>#N/A</v>
      </c>
      <c r="G949" t="e">
        <f>INDEX(atsi_codes,MATCH(loaded!S949,atsi,0))</f>
        <v>#N/A</v>
      </c>
      <c r="H949" t="e">
        <f>INDEX(lang_codes,MATCH(loaded!U949,lang,0))</f>
        <v>#N/A</v>
      </c>
      <c r="I949" s="8">
        <f>loaded!W949</f>
        <v>0</v>
      </c>
      <c r="J949" t="e">
        <f>INDEX(us_acc_codes,MATCH(loaded!Y949,us_acc,0))</f>
        <v>#N/A</v>
      </c>
      <c r="K949" t="e">
        <f>INDEX(client_codes,MATCH(loaded!AA949,client,0))</f>
        <v>#N/A</v>
      </c>
      <c r="L949" t="e">
        <f>INDEX(src_ref_codes,MATCH(loaded!AC949,src_ref,0))</f>
        <v>#N/A</v>
      </c>
      <c r="M949" s="8">
        <f>loaded!AE949</f>
        <v>0</v>
      </c>
      <c r="N949" s="8">
        <f>loaded!AG949</f>
        <v>0</v>
      </c>
      <c r="O949" t="e">
        <f>INDEX(reces_codes,MATCH(loaded!AI949,reason,0))</f>
        <v>#N/A</v>
      </c>
      <c r="P949" t="e">
        <f>INDEX(TDS_codes,MATCH(loaded!AK949,TDS,0))</f>
        <v>#N/A</v>
      </c>
      <c r="Q949" t="e">
        <f>IF(K949=2,"",INDEX(method_codes,MATCH(loaded!AM949,method,0)))</f>
        <v>#N/A</v>
      </c>
      <c r="R949" t="e">
        <f>IF(K949=2,"",INDEX(inj_codes,MATCH(loaded!AO949,inj,0)))</f>
        <v>#N/A</v>
      </c>
      <c r="S949" t="e">
        <f>IF(K949=2,"",INDEX(drug_codes,MATCH(loaded!AQ949,drug,0)))</f>
        <v>#N/A</v>
      </c>
      <c r="T949" t="e">
        <f>IF(K949=2,"",_xlfn.IFNA(INDEX(drug_codes,MATCH(loaded!AS949,drug,0)),""))</f>
        <v>#N/A</v>
      </c>
      <c r="U949" t="e">
        <f>IF(K949=2,"",_xlfn.IFNA(INDEX(drug_codes,MATCH(loaded!AU949,drug,0)),""))</f>
        <v>#N/A</v>
      </c>
      <c r="V949" t="e">
        <f>IF(K949=2,"",_xlfn.IFNA(INDEX(drug_codes,MATCH(loaded!AW949,drug,0)),""))</f>
        <v>#N/A</v>
      </c>
      <c r="W949" t="e">
        <f>IF(K949=2,"",_xlfn.IFNA(INDEX(drug_codes,MATCH(loaded!AY949,drug,0)),""))</f>
        <v>#N/A</v>
      </c>
      <c r="X949" t="e">
        <f>IF(K949=2,"",_xlfn.IFNA(INDEX(drug_codes,MATCH(loaded!BA949,drug,0)),""))</f>
        <v>#N/A</v>
      </c>
      <c r="Y949" t="e">
        <f>INDEX(MTT_codes,MATCH(loaded!BC949,MTT,0))</f>
        <v>#N/A</v>
      </c>
      <c r="Z949" t="str">
        <f>_xlfn.IFNA(INDEX(MTT_codes,MATCH(loaded!BE949,MTT,0)),"")</f>
        <v/>
      </c>
      <c r="AA949" t="str">
        <f>_xlfn.IFNA(INDEX(MTT_codes,MATCH(loaded!BG949,MTT,0)),"")</f>
        <v/>
      </c>
      <c r="AB949" t="str">
        <f>_xlfn.IFNA(INDEX(MTT_codes,MATCH(loaded!BI949,MTT,0)),"")</f>
        <v/>
      </c>
      <c r="AC949" t="str">
        <f>_xlfn.IFNA(INDEX(MTT_codes,MATCH(loaded!BK949,MTT,0)),"")</f>
        <v/>
      </c>
      <c r="AD949" t="str">
        <f>_xlfn.IFNA(INDEX(MTT_codes,MATCH(loaded!BM949,MTT,0)),"")</f>
        <v/>
      </c>
      <c r="AE949" t="e">
        <f>INDEX(liv_ar_codes,MATCH(loaded!BO949,liv_ar,0))</f>
        <v>#N/A</v>
      </c>
      <c r="AF949" t="str">
        <f>_xlfn.IFNA(INDEX(MTT_codes,MATCH(loaded!BQ949,MTT,0)),"")</f>
        <v/>
      </c>
      <c r="AG949">
        <f>_xlfn.IFNA(INDEX(mental_codes,MATCH(loaded!BS949,mental,0)),9)</f>
        <v>9</v>
      </c>
    </row>
    <row r="950" spans="1:33" x14ac:dyDescent="0.25">
      <c r="A950">
        <f>loaded!C950</f>
        <v>0</v>
      </c>
      <c r="B950">
        <f>loaded!I950</f>
        <v>0</v>
      </c>
      <c r="C950">
        <f>IF(loaded!K950="Male",1,IF(loaded!K950="Female",2,9))</f>
        <v>9</v>
      </c>
      <c r="D950" s="8">
        <f>loaded!M950</f>
        <v>0</v>
      </c>
      <c r="E950" t="str">
        <f>LEFT(loaded!O950,3)</f>
        <v/>
      </c>
      <c r="F950" t="e">
        <f>INDEX(cntry_codes,MATCH(loaded!Q950,countries,0))</f>
        <v>#N/A</v>
      </c>
      <c r="G950" t="e">
        <f>INDEX(atsi_codes,MATCH(loaded!S950,atsi,0))</f>
        <v>#N/A</v>
      </c>
      <c r="H950" t="e">
        <f>INDEX(lang_codes,MATCH(loaded!U950,lang,0))</f>
        <v>#N/A</v>
      </c>
      <c r="I950" s="8">
        <f>loaded!W950</f>
        <v>0</v>
      </c>
      <c r="J950" t="e">
        <f>INDEX(us_acc_codes,MATCH(loaded!Y950,us_acc,0))</f>
        <v>#N/A</v>
      </c>
      <c r="K950" t="e">
        <f>INDEX(client_codes,MATCH(loaded!AA950,client,0))</f>
        <v>#N/A</v>
      </c>
      <c r="L950" t="e">
        <f>INDEX(src_ref_codes,MATCH(loaded!AC950,src_ref,0))</f>
        <v>#N/A</v>
      </c>
      <c r="M950" s="8">
        <f>loaded!AE950</f>
        <v>0</v>
      </c>
      <c r="N950" s="8">
        <f>loaded!AG950</f>
        <v>0</v>
      </c>
      <c r="O950" t="e">
        <f>INDEX(reces_codes,MATCH(loaded!AI950,reason,0))</f>
        <v>#N/A</v>
      </c>
      <c r="P950" t="e">
        <f>INDEX(TDS_codes,MATCH(loaded!AK950,TDS,0))</f>
        <v>#N/A</v>
      </c>
      <c r="Q950" t="e">
        <f>IF(K950=2,"",INDEX(method_codes,MATCH(loaded!AM950,method,0)))</f>
        <v>#N/A</v>
      </c>
      <c r="R950" t="e">
        <f>IF(K950=2,"",INDEX(inj_codes,MATCH(loaded!AO950,inj,0)))</f>
        <v>#N/A</v>
      </c>
      <c r="S950" t="e">
        <f>IF(K950=2,"",INDEX(drug_codes,MATCH(loaded!AQ950,drug,0)))</f>
        <v>#N/A</v>
      </c>
      <c r="T950" t="e">
        <f>IF(K950=2,"",_xlfn.IFNA(INDEX(drug_codes,MATCH(loaded!AS950,drug,0)),""))</f>
        <v>#N/A</v>
      </c>
      <c r="U950" t="e">
        <f>IF(K950=2,"",_xlfn.IFNA(INDEX(drug_codes,MATCH(loaded!AU950,drug,0)),""))</f>
        <v>#N/A</v>
      </c>
      <c r="V950" t="e">
        <f>IF(K950=2,"",_xlfn.IFNA(INDEX(drug_codes,MATCH(loaded!AW950,drug,0)),""))</f>
        <v>#N/A</v>
      </c>
      <c r="W950" t="e">
        <f>IF(K950=2,"",_xlfn.IFNA(INDEX(drug_codes,MATCH(loaded!AY950,drug,0)),""))</f>
        <v>#N/A</v>
      </c>
      <c r="X950" t="e">
        <f>IF(K950=2,"",_xlfn.IFNA(INDEX(drug_codes,MATCH(loaded!BA950,drug,0)),""))</f>
        <v>#N/A</v>
      </c>
      <c r="Y950" t="e">
        <f>INDEX(MTT_codes,MATCH(loaded!BC950,MTT,0))</f>
        <v>#N/A</v>
      </c>
      <c r="Z950" t="str">
        <f>_xlfn.IFNA(INDEX(MTT_codes,MATCH(loaded!BE950,MTT,0)),"")</f>
        <v/>
      </c>
      <c r="AA950" t="str">
        <f>_xlfn.IFNA(INDEX(MTT_codes,MATCH(loaded!BG950,MTT,0)),"")</f>
        <v/>
      </c>
      <c r="AB950" t="str">
        <f>_xlfn.IFNA(INDEX(MTT_codes,MATCH(loaded!BI950,MTT,0)),"")</f>
        <v/>
      </c>
      <c r="AC950" t="str">
        <f>_xlfn.IFNA(INDEX(MTT_codes,MATCH(loaded!BK950,MTT,0)),"")</f>
        <v/>
      </c>
      <c r="AD950" t="str">
        <f>_xlfn.IFNA(INDEX(MTT_codes,MATCH(loaded!BM950,MTT,0)),"")</f>
        <v/>
      </c>
      <c r="AE950" t="e">
        <f>INDEX(liv_ar_codes,MATCH(loaded!BO950,liv_ar,0))</f>
        <v>#N/A</v>
      </c>
      <c r="AF950" t="str">
        <f>_xlfn.IFNA(INDEX(MTT_codes,MATCH(loaded!BQ950,MTT,0)),"")</f>
        <v/>
      </c>
      <c r="AG950">
        <f>_xlfn.IFNA(INDEX(mental_codes,MATCH(loaded!BS950,mental,0)),9)</f>
        <v>9</v>
      </c>
    </row>
    <row r="951" spans="1:33" x14ac:dyDescent="0.25">
      <c r="A951">
        <f>loaded!C951</f>
        <v>0</v>
      </c>
      <c r="B951">
        <f>loaded!I951</f>
        <v>0</v>
      </c>
      <c r="C951">
        <f>IF(loaded!K951="Male",1,IF(loaded!K951="Female",2,9))</f>
        <v>9</v>
      </c>
      <c r="D951" s="8">
        <f>loaded!M951</f>
        <v>0</v>
      </c>
      <c r="E951" t="str">
        <f>LEFT(loaded!O951,3)</f>
        <v/>
      </c>
      <c r="F951" t="e">
        <f>INDEX(cntry_codes,MATCH(loaded!Q951,countries,0))</f>
        <v>#N/A</v>
      </c>
      <c r="G951" t="e">
        <f>INDEX(atsi_codes,MATCH(loaded!S951,atsi,0))</f>
        <v>#N/A</v>
      </c>
      <c r="H951" t="e">
        <f>INDEX(lang_codes,MATCH(loaded!U951,lang,0))</f>
        <v>#N/A</v>
      </c>
      <c r="I951" s="8">
        <f>loaded!W951</f>
        <v>0</v>
      </c>
      <c r="J951" t="e">
        <f>INDEX(us_acc_codes,MATCH(loaded!Y951,us_acc,0))</f>
        <v>#N/A</v>
      </c>
      <c r="K951" t="e">
        <f>INDEX(client_codes,MATCH(loaded!AA951,client,0))</f>
        <v>#N/A</v>
      </c>
      <c r="L951" t="e">
        <f>INDEX(src_ref_codes,MATCH(loaded!AC951,src_ref,0))</f>
        <v>#N/A</v>
      </c>
      <c r="M951" s="8">
        <f>loaded!AE951</f>
        <v>0</v>
      </c>
      <c r="N951" s="8">
        <f>loaded!AG951</f>
        <v>0</v>
      </c>
      <c r="O951" t="e">
        <f>INDEX(reces_codes,MATCH(loaded!AI951,reason,0))</f>
        <v>#N/A</v>
      </c>
      <c r="P951" t="e">
        <f>INDEX(TDS_codes,MATCH(loaded!AK951,TDS,0))</f>
        <v>#N/A</v>
      </c>
      <c r="Q951" t="e">
        <f>IF(K951=2,"",INDEX(method_codes,MATCH(loaded!AM951,method,0)))</f>
        <v>#N/A</v>
      </c>
      <c r="R951" t="e">
        <f>IF(K951=2,"",INDEX(inj_codes,MATCH(loaded!AO951,inj,0)))</f>
        <v>#N/A</v>
      </c>
      <c r="S951" t="e">
        <f>IF(K951=2,"",INDEX(drug_codes,MATCH(loaded!AQ951,drug,0)))</f>
        <v>#N/A</v>
      </c>
      <c r="T951" t="e">
        <f>IF(K951=2,"",_xlfn.IFNA(INDEX(drug_codes,MATCH(loaded!AS951,drug,0)),""))</f>
        <v>#N/A</v>
      </c>
      <c r="U951" t="e">
        <f>IF(K951=2,"",_xlfn.IFNA(INDEX(drug_codes,MATCH(loaded!AU951,drug,0)),""))</f>
        <v>#N/A</v>
      </c>
      <c r="V951" t="e">
        <f>IF(K951=2,"",_xlfn.IFNA(INDEX(drug_codes,MATCH(loaded!AW951,drug,0)),""))</f>
        <v>#N/A</v>
      </c>
      <c r="W951" t="e">
        <f>IF(K951=2,"",_xlfn.IFNA(INDEX(drug_codes,MATCH(loaded!AY951,drug,0)),""))</f>
        <v>#N/A</v>
      </c>
      <c r="X951" t="e">
        <f>IF(K951=2,"",_xlfn.IFNA(INDEX(drug_codes,MATCH(loaded!BA951,drug,0)),""))</f>
        <v>#N/A</v>
      </c>
      <c r="Y951" t="e">
        <f>INDEX(MTT_codes,MATCH(loaded!BC951,MTT,0))</f>
        <v>#N/A</v>
      </c>
      <c r="Z951" t="str">
        <f>_xlfn.IFNA(INDEX(MTT_codes,MATCH(loaded!BE951,MTT,0)),"")</f>
        <v/>
      </c>
      <c r="AA951" t="str">
        <f>_xlfn.IFNA(INDEX(MTT_codes,MATCH(loaded!BG951,MTT,0)),"")</f>
        <v/>
      </c>
      <c r="AB951" t="str">
        <f>_xlfn.IFNA(INDEX(MTT_codes,MATCH(loaded!BI951,MTT,0)),"")</f>
        <v/>
      </c>
      <c r="AC951" t="str">
        <f>_xlfn.IFNA(INDEX(MTT_codes,MATCH(loaded!BK951,MTT,0)),"")</f>
        <v/>
      </c>
      <c r="AD951" t="str">
        <f>_xlfn.IFNA(INDEX(MTT_codes,MATCH(loaded!BM951,MTT,0)),"")</f>
        <v/>
      </c>
      <c r="AE951" t="e">
        <f>INDEX(liv_ar_codes,MATCH(loaded!BO951,liv_ar,0))</f>
        <v>#N/A</v>
      </c>
      <c r="AF951" t="str">
        <f>_xlfn.IFNA(INDEX(MTT_codes,MATCH(loaded!BQ951,MTT,0)),"")</f>
        <v/>
      </c>
      <c r="AG951">
        <f>_xlfn.IFNA(INDEX(mental_codes,MATCH(loaded!BS951,mental,0)),9)</f>
        <v>9</v>
      </c>
    </row>
    <row r="952" spans="1:33" x14ac:dyDescent="0.25">
      <c r="A952">
        <f>loaded!C952</f>
        <v>0</v>
      </c>
      <c r="B952">
        <f>loaded!I952</f>
        <v>0</v>
      </c>
      <c r="C952">
        <f>IF(loaded!K952="Male",1,IF(loaded!K952="Female",2,9))</f>
        <v>9</v>
      </c>
      <c r="D952" s="8">
        <f>loaded!M952</f>
        <v>0</v>
      </c>
      <c r="E952" t="str">
        <f>LEFT(loaded!O952,3)</f>
        <v/>
      </c>
      <c r="F952" t="e">
        <f>INDEX(cntry_codes,MATCH(loaded!Q952,countries,0))</f>
        <v>#N/A</v>
      </c>
      <c r="G952" t="e">
        <f>INDEX(atsi_codes,MATCH(loaded!S952,atsi,0))</f>
        <v>#N/A</v>
      </c>
      <c r="H952" t="e">
        <f>INDEX(lang_codes,MATCH(loaded!U952,lang,0))</f>
        <v>#N/A</v>
      </c>
      <c r="I952" s="8">
        <f>loaded!W952</f>
        <v>0</v>
      </c>
      <c r="J952" t="e">
        <f>INDEX(us_acc_codes,MATCH(loaded!Y952,us_acc,0))</f>
        <v>#N/A</v>
      </c>
      <c r="K952" t="e">
        <f>INDEX(client_codes,MATCH(loaded!AA952,client,0))</f>
        <v>#N/A</v>
      </c>
      <c r="L952" t="e">
        <f>INDEX(src_ref_codes,MATCH(loaded!AC952,src_ref,0))</f>
        <v>#N/A</v>
      </c>
      <c r="M952" s="8">
        <f>loaded!AE952</f>
        <v>0</v>
      </c>
      <c r="N952" s="8">
        <f>loaded!AG952</f>
        <v>0</v>
      </c>
      <c r="O952" t="e">
        <f>INDEX(reces_codes,MATCH(loaded!AI952,reason,0))</f>
        <v>#N/A</v>
      </c>
      <c r="P952" t="e">
        <f>INDEX(TDS_codes,MATCH(loaded!AK952,TDS,0))</f>
        <v>#N/A</v>
      </c>
      <c r="Q952" t="e">
        <f>IF(K952=2,"",INDEX(method_codes,MATCH(loaded!AM952,method,0)))</f>
        <v>#N/A</v>
      </c>
      <c r="R952" t="e">
        <f>IF(K952=2,"",INDEX(inj_codes,MATCH(loaded!AO952,inj,0)))</f>
        <v>#N/A</v>
      </c>
      <c r="S952" t="e">
        <f>IF(K952=2,"",INDEX(drug_codes,MATCH(loaded!AQ952,drug,0)))</f>
        <v>#N/A</v>
      </c>
      <c r="T952" t="e">
        <f>IF(K952=2,"",_xlfn.IFNA(INDEX(drug_codes,MATCH(loaded!AS952,drug,0)),""))</f>
        <v>#N/A</v>
      </c>
      <c r="U952" t="e">
        <f>IF(K952=2,"",_xlfn.IFNA(INDEX(drug_codes,MATCH(loaded!AU952,drug,0)),""))</f>
        <v>#N/A</v>
      </c>
      <c r="V952" t="e">
        <f>IF(K952=2,"",_xlfn.IFNA(INDEX(drug_codes,MATCH(loaded!AW952,drug,0)),""))</f>
        <v>#N/A</v>
      </c>
      <c r="W952" t="e">
        <f>IF(K952=2,"",_xlfn.IFNA(INDEX(drug_codes,MATCH(loaded!AY952,drug,0)),""))</f>
        <v>#N/A</v>
      </c>
      <c r="X952" t="e">
        <f>IF(K952=2,"",_xlfn.IFNA(INDEX(drug_codes,MATCH(loaded!BA952,drug,0)),""))</f>
        <v>#N/A</v>
      </c>
      <c r="Y952" t="e">
        <f>INDEX(MTT_codes,MATCH(loaded!BC952,MTT,0))</f>
        <v>#N/A</v>
      </c>
      <c r="Z952" t="str">
        <f>_xlfn.IFNA(INDEX(MTT_codes,MATCH(loaded!BE952,MTT,0)),"")</f>
        <v/>
      </c>
      <c r="AA952" t="str">
        <f>_xlfn.IFNA(INDEX(MTT_codes,MATCH(loaded!BG952,MTT,0)),"")</f>
        <v/>
      </c>
      <c r="AB952" t="str">
        <f>_xlfn.IFNA(INDEX(MTT_codes,MATCH(loaded!BI952,MTT,0)),"")</f>
        <v/>
      </c>
      <c r="AC952" t="str">
        <f>_xlfn.IFNA(INDEX(MTT_codes,MATCH(loaded!BK952,MTT,0)),"")</f>
        <v/>
      </c>
      <c r="AD952" t="str">
        <f>_xlfn.IFNA(INDEX(MTT_codes,MATCH(loaded!BM952,MTT,0)),"")</f>
        <v/>
      </c>
      <c r="AE952" t="e">
        <f>INDEX(liv_ar_codes,MATCH(loaded!BO952,liv_ar,0))</f>
        <v>#N/A</v>
      </c>
      <c r="AF952" t="str">
        <f>_xlfn.IFNA(INDEX(MTT_codes,MATCH(loaded!BQ952,MTT,0)),"")</f>
        <v/>
      </c>
      <c r="AG952">
        <f>_xlfn.IFNA(INDEX(mental_codes,MATCH(loaded!BS952,mental,0)),9)</f>
        <v>9</v>
      </c>
    </row>
    <row r="953" spans="1:33" x14ac:dyDescent="0.25">
      <c r="A953">
        <f>loaded!C953</f>
        <v>0</v>
      </c>
      <c r="B953">
        <f>loaded!I953</f>
        <v>0</v>
      </c>
      <c r="C953">
        <f>IF(loaded!K953="Male",1,IF(loaded!K953="Female",2,9))</f>
        <v>9</v>
      </c>
      <c r="D953" s="8">
        <f>loaded!M953</f>
        <v>0</v>
      </c>
      <c r="E953" t="str">
        <f>LEFT(loaded!O953,3)</f>
        <v/>
      </c>
      <c r="F953" t="e">
        <f>INDEX(cntry_codes,MATCH(loaded!Q953,countries,0))</f>
        <v>#N/A</v>
      </c>
      <c r="G953" t="e">
        <f>INDEX(atsi_codes,MATCH(loaded!S953,atsi,0))</f>
        <v>#N/A</v>
      </c>
      <c r="H953" t="e">
        <f>INDEX(lang_codes,MATCH(loaded!U953,lang,0))</f>
        <v>#N/A</v>
      </c>
      <c r="I953" s="8">
        <f>loaded!W953</f>
        <v>0</v>
      </c>
      <c r="J953" t="e">
        <f>INDEX(us_acc_codes,MATCH(loaded!Y953,us_acc,0))</f>
        <v>#N/A</v>
      </c>
      <c r="K953" t="e">
        <f>INDEX(client_codes,MATCH(loaded!AA953,client,0))</f>
        <v>#N/A</v>
      </c>
      <c r="L953" t="e">
        <f>INDEX(src_ref_codes,MATCH(loaded!AC953,src_ref,0))</f>
        <v>#N/A</v>
      </c>
      <c r="M953" s="8">
        <f>loaded!AE953</f>
        <v>0</v>
      </c>
      <c r="N953" s="8">
        <f>loaded!AG953</f>
        <v>0</v>
      </c>
      <c r="O953" t="e">
        <f>INDEX(reces_codes,MATCH(loaded!AI953,reason,0))</f>
        <v>#N/A</v>
      </c>
      <c r="P953" t="e">
        <f>INDEX(TDS_codes,MATCH(loaded!AK953,TDS,0))</f>
        <v>#N/A</v>
      </c>
      <c r="Q953" t="e">
        <f>IF(K953=2,"",INDEX(method_codes,MATCH(loaded!AM953,method,0)))</f>
        <v>#N/A</v>
      </c>
      <c r="R953" t="e">
        <f>IF(K953=2,"",INDEX(inj_codes,MATCH(loaded!AO953,inj,0)))</f>
        <v>#N/A</v>
      </c>
      <c r="S953" t="e">
        <f>IF(K953=2,"",INDEX(drug_codes,MATCH(loaded!AQ953,drug,0)))</f>
        <v>#N/A</v>
      </c>
      <c r="T953" t="e">
        <f>IF(K953=2,"",_xlfn.IFNA(INDEX(drug_codes,MATCH(loaded!AS953,drug,0)),""))</f>
        <v>#N/A</v>
      </c>
      <c r="U953" t="e">
        <f>IF(K953=2,"",_xlfn.IFNA(INDEX(drug_codes,MATCH(loaded!AU953,drug,0)),""))</f>
        <v>#N/A</v>
      </c>
      <c r="V953" t="e">
        <f>IF(K953=2,"",_xlfn.IFNA(INDEX(drug_codes,MATCH(loaded!AW953,drug,0)),""))</f>
        <v>#N/A</v>
      </c>
      <c r="W953" t="e">
        <f>IF(K953=2,"",_xlfn.IFNA(INDEX(drug_codes,MATCH(loaded!AY953,drug,0)),""))</f>
        <v>#N/A</v>
      </c>
      <c r="X953" t="e">
        <f>IF(K953=2,"",_xlfn.IFNA(INDEX(drug_codes,MATCH(loaded!BA953,drug,0)),""))</f>
        <v>#N/A</v>
      </c>
      <c r="Y953" t="e">
        <f>INDEX(MTT_codes,MATCH(loaded!BC953,MTT,0))</f>
        <v>#N/A</v>
      </c>
      <c r="Z953" t="str">
        <f>_xlfn.IFNA(INDEX(MTT_codes,MATCH(loaded!BE953,MTT,0)),"")</f>
        <v/>
      </c>
      <c r="AA953" t="str">
        <f>_xlfn.IFNA(INDEX(MTT_codes,MATCH(loaded!BG953,MTT,0)),"")</f>
        <v/>
      </c>
      <c r="AB953" t="str">
        <f>_xlfn.IFNA(INDEX(MTT_codes,MATCH(loaded!BI953,MTT,0)),"")</f>
        <v/>
      </c>
      <c r="AC953" t="str">
        <f>_xlfn.IFNA(INDEX(MTT_codes,MATCH(loaded!BK953,MTT,0)),"")</f>
        <v/>
      </c>
      <c r="AD953" t="str">
        <f>_xlfn.IFNA(INDEX(MTT_codes,MATCH(loaded!BM953,MTT,0)),"")</f>
        <v/>
      </c>
      <c r="AE953" t="e">
        <f>INDEX(liv_ar_codes,MATCH(loaded!BO953,liv_ar,0))</f>
        <v>#N/A</v>
      </c>
      <c r="AF953" t="str">
        <f>_xlfn.IFNA(INDEX(MTT_codes,MATCH(loaded!BQ953,MTT,0)),"")</f>
        <v/>
      </c>
      <c r="AG953">
        <f>_xlfn.IFNA(INDEX(mental_codes,MATCH(loaded!BS953,mental,0)),9)</f>
        <v>9</v>
      </c>
    </row>
    <row r="954" spans="1:33" x14ac:dyDescent="0.25">
      <c r="A954">
        <f>loaded!C954</f>
        <v>0</v>
      </c>
      <c r="B954">
        <f>loaded!I954</f>
        <v>0</v>
      </c>
      <c r="C954">
        <f>IF(loaded!K954="Male",1,IF(loaded!K954="Female",2,9))</f>
        <v>9</v>
      </c>
      <c r="D954" s="8">
        <f>loaded!M954</f>
        <v>0</v>
      </c>
      <c r="E954" t="str">
        <f>LEFT(loaded!O954,3)</f>
        <v/>
      </c>
      <c r="F954" t="e">
        <f>INDEX(cntry_codes,MATCH(loaded!Q954,countries,0))</f>
        <v>#N/A</v>
      </c>
      <c r="G954" t="e">
        <f>INDEX(atsi_codes,MATCH(loaded!S954,atsi,0))</f>
        <v>#N/A</v>
      </c>
      <c r="H954" t="e">
        <f>INDEX(lang_codes,MATCH(loaded!U954,lang,0))</f>
        <v>#N/A</v>
      </c>
      <c r="I954" s="8">
        <f>loaded!W954</f>
        <v>0</v>
      </c>
      <c r="J954" t="e">
        <f>INDEX(us_acc_codes,MATCH(loaded!Y954,us_acc,0))</f>
        <v>#N/A</v>
      </c>
      <c r="K954" t="e">
        <f>INDEX(client_codes,MATCH(loaded!AA954,client,0))</f>
        <v>#N/A</v>
      </c>
      <c r="L954" t="e">
        <f>INDEX(src_ref_codes,MATCH(loaded!AC954,src_ref,0))</f>
        <v>#N/A</v>
      </c>
      <c r="M954" s="8">
        <f>loaded!AE954</f>
        <v>0</v>
      </c>
      <c r="N954" s="8">
        <f>loaded!AG954</f>
        <v>0</v>
      </c>
      <c r="O954" t="e">
        <f>INDEX(reces_codes,MATCH(loaded!AI954,reason,0))</f>
        <v>#N/A</v>
      </c>
      <c r="P954" t="e">
        <f>INDEX(TDS_codes,MATCH(loaded!AK954,TDS,0))</f>
        <v>#N/A</v>
      </c>
      <c r="Q954" t="e">
        <f>IF(K954=2,"",INDEX(method_codes,MATCH(loaded!AM954,method,0)))</f>
        <v>#N/A</v>
      </c>
      <c r="R954" t="e">
        <f>IF(K954=2,"",INDEX(inj_codes,MATCH(loaded!AO954,inj,0)))</f>
        <v>#N/A</v>
      </c>
      <c r="S954" t="e">
        <f>IF(K954=2,"",INDEX(drug_codes,MATCH(loaded!AQ954,drug,0)))</f>
        <v>#N/A</v>
      </c>
      <c r="T954" t="e">
        <f>IF(K954=2,"",_xlfn.IFNA(INDEX(drug_codes,MATCH(loaded!AS954,drug,0)),""))</f>
        <v>#N/A</v>
      </c>
      <c r="U954" t="e">
        <f>IF(K954=2,"",_xlfn.IFNA(INDEX(drug_codes,MATCH(loaded!AU954,drug,0)),""))</f>
        <v>#N/A</v>
      </c>
      <c r="V954" t="e">
        <f>IF(K954=2,"",_xlfn.IFNA(INDEX(drug_codes,MATCH(loaded!AW954,drug,0)),""))</f>
        <v>#N/A</v>
      </c>
      <c r="W954" t="e">
        <f>IF(K954=2,"",_xlfn.IFNA(INDEX(drug_codes,MATCH(loaded!AY954,drug,0)),""))</f>
        <v>#N/A</v>
      </c>
      <c r="X954" t="e">
        <f>IF(K954=2,"",_xlfn.IFNA(INDEX(drug_codes,MATCH(loaded!BA954,drug,0)),""))</f>
        <v>#N/A</v>
      </c>
      <c r="Y954" t="e">
        <f>INDEX(MTT_codes,MATCH(loaded!BC954,MTT,0))</f>
        <v>#N/A</v>
      </c>
      <c r="Z954" t="str">
        <f>_xlfn.IFNA(INDEX(MTT_codes,MATCH(loaded!BE954,MTT,0)),"")</f>
        <v/>
      </c>
      <c r="AA954" t="str">
        <f>_xlfn.IFNA(INDEX(MTT_codes,MATCH(loaded!BG954,MTT,0)),"")</f>
        <v/>
      </c>
      <c r="AB954" t="str">
        <f>_xlfn.IFNA(INDEX(MTT_codes,MATCH(loaded!BI954,MTT,0)),"")</f>
        <v/>
      </c>
      <c r="AC954" t="str">
        <f>_xlfn.IFNA(INDEX(MTT_codes,MATCH(loaded!BK954,MTT,0)),"")</f>
        <v/>
      </c>
      <c r="AD954" t="str">
        <f>_xlfn.IFNA(INDEX(MTT_codes,MATCH(loaded!BM954,MTT,0)),"")</f>
        <v/>
      </c>
      <c r="AE954" t="e">
        <f>INDEX(liv_ar_codes,MATCH(loaded!BO954,liv_ar,0))</f>
        <v>#N/A</v>
      </c>
      <c r="AF954" t="str">
        <f>_xlfn.IFNA(INDEX(MTT_codes,MATCH(loaded!BQ954,MTT,0)),"")</f>
        <v/>
      </c>
      <c r="AG954">
        <f>_xlfn.IFNA(INDEX(mental_codes,MATCH(loaded!BS954,mental,0)),9)</f>
        <v>9</v>
      </c>
    </row>
    <row r="955" spans="1:33" x14ac:dyDescent="0.25">
      <c r="A955">
        <f>loaded!C955</f>
        <v>0</v>
      </c>
      <c r="B955">
        <f>loaded!I955</f>
        <v>0</v>
      </c>
      <c r="C955">
        <f>IF(loaded!K955="Male",1,IF(loaded!K955="Female",2,9))</f>
        <v>9</v>
      </c>
      <c r="D955" s="8">
        <f>loaded!M955</f>
        <v>0</v>
      </c>
      <c r="E955" t="str">
        <f>LEFT(loaded!O955,3)</f>
        <v/>
      </c>
      <c r="F955" t="e">
        <f>INDEX(cntry_codes,MATCH(loaded!Q955,countries,0))</f>
        <v>#N/A</v>
      </c>
      <c r="G955" t="e">
        <f>INDEX(atsi_codes,MATCH(loaded!S955,atsi,0))</f>
        <v>#N/A</v>
      </c>
      <c r="H955" t="e">
        <f>INDEX(lang_codes,MATCH(loaded!U955,lang,0))</f>
        <v>#N/A</v>
      </c>
      <c r="I955" s="8">
        <f>loaded!W955</f>
        <v>0</v>
      </c>
      <c r="J955" t="e">
        <f>INDEX(us_acc_codes,MATCH(loaded!Y955,us_acc,0))</f>
        <v>#N/A</v>
      </c>
      <c r="K955" t="e">
        <f>INDEX(client_codes,MATCH(loaded!AA955,client,0))</f>
        <v>#N/A</v>
      </c>
      <c r="L955" t="e">
        <f>INDEX(src_ref_codes,MATCH(loaded!AC955,src_ref,0))</f>
        <v>#N/A</v>
      </c>
      <c r="M955" s="8">
        <f>loaded!AE955</f>
        <v>0</v>
      </c>
      <c r="N955" s="8">
        <f>loaded!AG955</f>
        <v>0</v>
      </c>
      <c r="O955" t="e">
        <f>INDEX(reces_codes,MATCH(loaded!AI955,reason,0))</f>
        <v>#N/A</v>
      </c>
      <c r="P955" t="e">
        <f>INDEX(TDS_codes,MATCH(loaded!AK955,TDS,0))</f>
        <v>#N/A</v>
      </c>
      <c r="Q955" t="e">
        <f>IF(K955=2,"",INDEX(method_codes,MATCH(loaded!AM955,method,0)))</f>
        <v>#N/A</v>
      </c>
      <c r="R955" t="e">
        <f>IF(K955=2,"",INDEX(inj_codes,MATCH(loaded!AO955,inj,0)))</f>
        <v>#N/A</v>
      </c>
      <c r="S955" t="e">
        <f>IF(K955=2,"",INDEX(drug_codes,MATCH(loaded!AQ955,drug,0)))</f>
        <v>#N/A</v>
      </c>
      <c r="T955" t="e">
        <f>IF(K955=2,"",_xlfn.IFNA(INDEX(drug_codes,MATCH(loaded!AS955,drug,0)),""))</f>
        <v>#N/A</v>
      </c>
      <c r="U955" t="e">
        <f>IF(K955=2,"",_xlfn.IFNA(INDEX(drug_codes,MATCH(loaded!AU955,drug,0)),""))</f>
        <v>#N/A</v>
      </c>
      <c r="V955" t="e">
        <f>IF(K955=2,"",_xlfn.IFNA(INDEX(drug_codes,MATCH(loaded!AW955,drug,0)),""))</f>
        <v>#N/A</v>
      </c>
      <c r="W955" t="e">
        <f>IF(K955=2,"",_xlfn.IFNA(INDEX(drug_codes,MATCH(loaded!AY955,drug,0)),""))</f>
        <v>#N/A</v>
      </c>
      <c r="X955" t="e">
        <f>IF(K955=2,"",_xlfn.IFNA(INDEX(drug_codes,MATCH(loaded!BA955,drug,0)),""))</f>
        <v>#N/A</v>
      </c>
      <c r="Y955" t="e">
        <f>INDEX(MTT_codes,MATCH(loaded!BC955,MTT,0))</f>
        <v>#N/A</v>
      </c>
      <c r="Z955" t="str">
        <f>_xlfn.IFNA(INDEX(MTT_codes,MATCH(loaded!BE955,MTT,0)),"")</f>
        <v/>
      </c>
      <c r="AA955" t="str">
        <f>_xlfn.IFNA(INDEX(MTT_codes,MATCH(loaded!BG955,MTT,0)),"")</f>
        <v/>
      </c>
      <c r="AB955" t="str">
        <f>_xlfn.IFNA(INDEX(MTT_codes,MATCH(loaded!BI955,MTT,0)),"")</f>
        <v/>
      </c>
      <c r="AC955" t="str">
        <f>_xlfn.IFNA(INDEX(MTT_codes,MATCH(loaded!BK955,MTT,0)),"")</f>
        <v/>
      </c>
      <c r="AD955" t="str">
        <f>_xlfn.IFNA(INDEX(MTT_codes,MATCH(loaded!BM955,MTT,0)),"")</f>
        <v/>
      </c>
      <c r="AE955" t="e">
        <f>INDEX(liv_ar_codes,MATCH(loaded!BO955,liv_ar,0))</f>
        <v>#N/A</v>
      </c>
      <c r="AF955" t="str">
        <f>_xlfn.IFNA(INDEX(MTT_codes,MATCH(loaded!BQ955,MTT,0)),"")</f>
        <v/>
      </c>
      <c r="AG955">
        <f>_xlfn.IFNA(INDEX(mental_codes,MATCH(loaded!BS955,mental,0)),9)</f>
        <v>9</v>
      </c>
    </row>
    <row r="956" spans="1:33" x14ac:dyDescent="0.25">
      <c r="A956">
        <f>loaded!C956</f>
        <v>0</v>
      </c>
      <c r="B956">
        <f>loaded!I956</f>
        <v>0</v>
      </c>
      <c r="C956">
        <f>IF(loaded!K956="Male",1,IF(loaded!K956="Female",2,9))</f>
        <v>9</v>
      </c>
      <c r="D956" s="8">
        <f>loaded!M956</f>
        <v>0</v>
      </c>
      <c r="E956" t="str">
        <f>LEFT(loaded!O956,3)</f>
        <v/>
      </c>
      <c r="F956" t="e">
        <f>INDEX(cntry_codes,MATCH(loaded!Q956,countries,0))</f>
        <v>#N/A</v>
      </c>
      <c r="G956" t="e">
        <f>INDEX(atsi_codes,MATCH(loaded!S956,atsi,0))</f>
        <v>#N/A</v>
      </c>
      <c r="H956" t="e">
        <f>INDEX(lang_codes,MATCH(loaded!U956,lang,0))</f>
        <v>#N/A</v>
      </c>
      <c r="I956" s="8">
        <f>loaded!W956</f>
        <v>0</v>
      </c>
      <c r="J956" t="e">
        <f>INDEX(us_acc_codes,MATCH(loaded!Y956,us_acc,0))</f>
        <v>#N/A</v>
      </c>
      <c r="K956" t="e">
        <f>INDEX(client_codes,MATCH(loaded!AA956,client,0))</f>
        <v>#N/A</v>
      </c>
      <c r="L956" t="e">
        <f>INDEX(src_ref_codes,MATCH(loaded!AC956,src_ref,0))</f>
        <v>#N/A</v>
      </c>
      <c r="M956" s="8">
        <f>loaded!AE956</f>
        <v>0</v>
      </c>
      <c r="N956" s="8">
        <f>loaded!AG956</f>
        <v>0</v>
      </c>
      <c r="O956" t="e">
        <f>INDEX(reces_codes,MATCH(loaded!AI956,reason,0))</f>
        <v>#N/A</v>
      </c>
      <c r="P956" t="e">
        <f>INDEX(TDS_codes,MATCH(loaded!AK956,TDS,0))</f>
        <v>#N/A</v>
      </c>
      <c r="Q956" t="e">
        <f>IF(K956=2,"",INDEX(method_codes,MATCH(loaded!AM956,method,0)))</f>
        <v>#N/A</v>
      </c>
      <c r="R956" t="e">
        <f>IF(K956=2,"",INDEX(inj_codes,MATCH(loaded!AO956,inj,0)))</f>
        <v>#N/A</v>
      </c>
      <c r="S956" t="e">
        <f>IF(K956=2,"",INDEX(drug_codes,MATCH(loaded!AQ956,drug,0)))</f>
        <v>#N/A</v>
      </c>
      <c r="T956" t="e">
        <f>IF(K956=2,"",_xlfn.IFNA(INDEX(drug_codes,MATCH(loaded!AS956,drug,0)),""))</f>
        <v>#N/A</v>
      </c>
      <c r="U956" t="e">
        <f>IF(K956=2,"",_xlfn.IFNA(INDEX(drug_codes,MATCH(loaded!AU956,drug,0)),""))</f>
        <v>#N/A</v>
      </c>
      <c r="V956" t="e">
        <f>IF(K956=2,"",_xlfn.IFNA(INDEX(drug_codes,MATCH(loaded!AW956,drug,0)),""))</f>
        <v>#N/A</v>
      </c>
      <c r="W956" t="e">
        <f>IF(K956=2,"",_xlfn.IFNA(INDEX(drug_codes,MATCH(loaded!AY956,drug,0)),""))</f>
        <v>#N/A</v>
      </c>
      <c r="X956" t="e">
        <f>IF(K956=2,"",_xlfn.IFNA(INDEX(drug_codes,MATCH(loaded!BA956,drug,0)),""))</f>
        <v>#N/A</v>
      </c>
      <c r="Y956" t="e">
        <f>INDEX(MTT_codes,MATCH(loaded!BC956,MTT,0))</f>
        <v>#N/A</v>
      </c>
      <c r="Z956" t="str">
        <f>_xlfn.IFNA(INDEX(MTT_codes,MATCH(loaded!BE956,MTT,0)),"")</f>
        <v/>
      </c>
      <c r="AA956" t="str">
        <f>_xlfn.IFNA(INDEX(MTT_codes,MATCH(loaded!BG956,MTT,0)),"")</f>
        <v/>
      </c>
      <c r="AB956" t="str">
        <f>_xlfn.IFNA(INDEX(MTT_codes,MATCH(loaded!BI956,MTT,0)),"")</f>
        <v/>
      </c>
      <c r="AC956" t="str">
        <f>_xlfn.IFNA(INDEX(MTT_codes,MATCH(loaded!BK956,MTT,0)),"")</f>
        <v/>
      </c>
      <c r="AD956" t="str">
        <f>_xlfn.IFNA(INDEX(MTT_codes,MATCH(loaded!BM956,MTT,0)),"")</f>
        <v/>
      </c>
      <c r="AE956" t="e">
        <f>INDEX(liv_ar_codes,MATCH(loaded!BO956,liv_ar,0))</f>
        <v>#N/A</v>
      </c>
      <c r="AF956" t="str">
        <f>_xlfn.IFNA(INDEX(MTT_codes,MATCH(loaded!BQ956,MTT,0)),"")</f>
        <v/>
      </c>
      <c r="AG956">
        <f>_xlfn.IFNA(INDEX(mental_codes,MATCH(loaded!BS956,mental,0)),9)</f>
        <v>9</v>
      </c>
    </row>
    <row r="957" spans="1:33" x14ac:dyDescent="0.25">
      <c r="A957">
        <f>loaded!C957</f>
        <v>0</v>
      </c>
      <c r="B957">
        <f>loaded!I957</f>
        <v>0</v>
      </c>
      <c r="C957">
        <f>IF(loaded!K957="Male",1,IF(loaded!K957="Female",2,9))</f>
        <v>9</v>
      </c>
      <c r="D957" s="8">
        <f>loaded!M957</f>
        <v>0</v>
      </c>
      <c r="E957" t="str">
        <f>LEFT(loaded!O957,3)</f>
        <v/>
      </c>
      <c r="F957" t="e">
        <f>INDEX(cntry_codes,MATCH(loaded!Q957,countries,0))</f>
        <v>#N/A</v>
      </c>
      <c r="G957" t="e">
        <f>INDEX(atsi_codes,MATCH(loaded!S957,atsi,0))</f>
        <v>#N/A</v>
      </c>
      <c r="H957" t="e">
        <f>INDEX(lang_codes,MATCH(loaded!U957,lang,0))</f>
        <v>#N/A</v>
      </c>
      <c r="I957" s="8">
        <f>loaded!W957</f>
        <v>0</v>
      </c>
      <c r="J957" t="e">
        <f>INDEX(us_acc_codes,MATCH(loaded!Y957,us_acc,0))</f>
        <v>#N/A</v>
      </c>
      <c r="K957" t="e">
        <f>INDEX(client_codes,MATCH(loaded!AA957,client,0))</f>
        <v>#N/A</v>
      </c>
      <c r="L957" t="e">
        <f>INDEX(src_ref_codes,MATCH(loaded!AC957,src_ref,0))</f>
        <v>#N/A</v>
      </c>
      <c r="M957" s="8">
        <f>loaded!AE957</f>
        <v>0</v>
      </c>
      <c r="N957" s="8">
        <f>loaded!AG957</f>
        <v>0</v>
      </c>
      <c r="O957" t="e">
        <f>INDEX(reces_codes,MATCH(loaded!AI957,reason,0))</f>
        <v>#N/A</v>
      </c>
      <c r="P957" t="e">
        <f>INDEX(TDS_codes,MATCH(loaded!AK957,TDS,0))</f>
        <v>#N/A</v>
      </c>
      <c r="Q957" t="e">
        <f>IF(K957=2,"",INDEX(method_codes,MATCH(loaded!AM957,method,0)))</f>
        <v>#N/A</v>
      </c>
      <c r="R957" t="e">
        <f>IF(K957=2,"",INDEX(inj_codes,MATCH(loaded!AO957,inj,0)))</f>
        <v>#N/A</v>
      </c>
      <c r="S957" t="e">
        <f>IF(K957=2,"",INDEX(drug_codes,MATCH(loaded!AQ957,drug,0)))</f>
        <v>#N/A</v>
      </c>
      <c r="T957" t="e">
        <f>IF(K957=2,"",_xlfn.IFNA(INDEX(drug_codes,MATCH(loaded!AS957,drug,0)),""))</f>
        <v>#N/A</v>
      </c>
      <c r="U957" t="e">
        <f>IF(K957=2,"",_xlfn.IFNA(INDEX(drug_codes,MATCH(loaded!AU957,drug,0)),""))</f>
        <v>#N/A</v>
      </c>
      <c r="V957" t="e">
        <f>IF(K957=2,"",_xlfn.IFNA(INDEX(drug_codes,MATCH(loaded!AW957,drug,0)),""))</f>
        <v>#N/A</v>
      </c>
      <c r="W957" t="e">
        <f>IF(K957=2,"",_xlfn.IFNA(INDEX(drug_codes,MATCH(loaded!AY957,drug,0)),""))</f>
        <v>#N/A</v>
      </c>
      <c r="X957" t="e">
        <f>IF(K957=2,"",_xlfn.IFNA(INDEX(drug_codes,MATCH(loaded!BA957,drug,0)),""))</f>
        <v>#N/A</v>
      </c>
      <c r="Y957" t="e">
        <f>INDEX(MTT_codes,MATCH(loaded!BC957,MTT,0))</f>
        <v>#N/A</v>
      </c>
      <c r="Z957" t="str">
        <f>_xlfn.IFNA(INDEX(MTT_codes,MATCH(loaded!BE957,MTT,0)),"")</f>
        <v/>
      </c>
      <c r="AA957" t="str">
        <f>_xlfn.IFNA(INDEX(MTT_codes,MATCH(loaded!BG957,MTT,0)),"")</f>
        <v/>
      </c>
      <c r="AB957" t="str">
        <f>_xlfn.IFNA(INDEX(MTT_codes,MATCH(loaded!BI957,MTT,0)),"")</f>
        <v/>
      </c>
      <c r="AC957" t="str">
        <f>_xlfn.IFNA(INDEX(MTT_codes,MATCH(loaded!BK957,MTT,0)),"")</f>
        <v/>
      </c>
      <c r="AD957" t="str">
        <f>_xlfn.IFNA(INDEX(MTT_codes,MATCH(loaded!BM957,MTT,0)),"")</f>
        <v/>
      </c>
      <c r="AE957" t="e">
        <f>INDEX(liv_ar_codes,MATCH(loaded!BO957,liv_ar,0))</f>
        <v>#N/A</v>
      </c>
      <c r="AF957" t="str">
        <f>_xlfn.IFNA(INDEX(MTT_codes,MATCH(loaded!BQ957,MTT,0)),"")</f>
        <v/>
      </c>
      <c r="AG957">
        <f>_xlfn.IFNA(INDEX(mental_codes,MATCH(loaded!BS957,mental,0)),9)</f>
        <v>9</v>
      </c>
    </row>
    <row r="958" spans="1:33" x14ac:dyDescent="0.25">
      <c r="A958">
        <f>loaded!C958</f>
        <v>0</v>
      </c>
      <c r="B958">
        <f>loaded!I958</f>
        <v>0</v>
      </c>
      <c r="C958">
        <f>IF(loaded!K958="Male",1,IF(loaded!K958="Female",2,9))</f>
        <v>9</v>
      </c>
      <c r="D958" s="8">
        <f>loaded!M958</f>
        <v>0</v>
      </c>
      <c r="E958" t="str">
        <f>LEFT(loaded!O958,3)</f>
        <v/>
      </c>
      <c r="F958" t="e">
        <f>INDEX(cntry_codes,MATCH(loaded!Q958,countries,0))</f>
        <v>#N/A</v>
      </c>
      <c r="G958" t="e">
        <f>INDEX(atsi_codes,MATCH(loaded!S958,atsi,0))</f>
        <v>#N/A</v>
      </c>
      <c r="H958" t="e">
        <f>INDEX(lang_codes,MATCH(loaded!U958,lang,0))</f>
        <v>#N/A</v>
      </c>
      <c r="I958" s="8">
        <f>loaded!W958</f>
        <v>0</v>
      </c>
      <c r="J958" t="e">
        <f>INDEX(us_acc_codes,MATCH(loaded!Y958,us_acc,0))</f>
        <v>#N/A</v>
      </c>
      <c r="K958" t="e">
        <f>INDEX(client_codes,MATCH(loaded!AA958,client,0))</f>
        <v>#N/A</v>
      </c>
      <c r="L958" t="e">
        <f>INDEX(src_ref_codes,MATCH(loaded!AC958,src_ref,0))</f>
        <v>#N/A</v>
      </c>
      <c r="M958" s="8">
        <f>loaded!AE958</f>
        <v>0</v>
      </c>
      <c r="N958" s="8">
        <f>loaded!AG958</f>
        <v>0</v>
      </c>
      <c r="O958" t="e">
        <f>INDEX(reces_codes,MATCH(loaded!AI958,reason,0))</f>
        <v>#N/A</v>
      </c>
      <c r="P958" t="e">
        <f>INDEX(TDS_codes,MATCH(loaded!AK958,TDS,0))</f>
        <v>#N/A</v>
      </c>
      <c r="Q958" t="e">
        <f>IF(K958=2,"",INDEX(method_codes,MATCH(loaded!AM958,method,0)))</f>
        <v>#N/A</v>
      </c>
      <c r="R958" t="e">
        <f>IF(K958=2,"",INDEX(inj_codes,MATCH(loaded!AO958,inj,0)))</f>
        <v>#N/A</v>
      </c>
      <c r="S958" t="e">
        <f>IF(K958=2,"",INDEX(drug_codes,MATCH(loaded!AQ958,drug,0)))</f>
        <v>#N/A</v>
      </c>
      <c r="T958" t="e">
        <f>IF(K958=2,"",_xlfn.IFNA(INDEX(drug_codes,MATCH(loaded!AS958,drug,0)),""))</f>
        <v>#N/A</v>
      </c>
      <c r="U958" t="e">
        <f>IF(K958=2,"",_xlfn.IFNA(INDEX(drug_codes,MATCH(loaded!AU958,drug,0)),""))</f>
        <v>#N/A</v>
      </c>
      <c r="V958" t="e">
        <f>IF(K958=2,"",_xlfn.IFNA(INDEX(drug_codes,MATCH(loaded!AW958,drug,0)),""))</f>
        <v>#N/A</v>
      </c>
      <c r="W958" t="e">
        <f>IF(K958=2,"",_xlfn.IFNA(INDEX(drug_codes,MATCH(loaded!AY958,drug,0)),""))</f>
        <v>#N/A</v>
      </c>
      <c r="X958" t="e">
        <f>IF(K958=2,"",_xlfn.IFNA(INDEX(drug_codes,MATCH(loaded!BA958,drug,0)),""))</f>
        <v>#N/A</v>
      </c>
      <c r="Y958" t="e">
        <f>INDEX(MTT_codes,MATCH(loaded!BC958,MTT,0))</f>
        <v>#N/A</v>
      </c>
      <c r="Z958" t="str">
        <f>_xlfn.IFNA(INDEX(MTT_codes,MATCH(loaded!BE958,MTT,0)),"")</f>
        <v/>
      </c>
      <c r="AA958" t="str">
        <f>_xlfn.IFNA(INDEX(MTT_codes,MATCH(loaded!BG958,MTT,0)),"")</f>
        <v/>
      </c>
      <c r="AB958" t="str">
        <f>_xlfn.IFNA(INDEX(MTT_codes,MATCH(loaded!BI958,MTT,0)),"")</f>
        <v/>
      </c>
      <c r="AC958" t="str">
        <f>_xlfn.IFNA(INDEX(MTT_codes,MATCH(loaded!BK958,MTT,0)),"")</f>
        <v/>
      </c>
      <c r="AD958" t="str">
        <f>_xlfn.IFNA(INDEX(MTT_codes,MATCH(loaded!BM958,MTT,0)),"")</f>
        <v/>
      </c>
      <c r="AE958" t="e">
        <f>INDEX(liv_ar_codes,MATCH(loaded!BO958,liv_ar,0))</f>
        <v>#N/A</v>
      </c>
      <c r="AF958" t="str">
        <f>_xlfn.IFNA(INDEX(MTT_codes,MATCH(loaded!BQ958,MTT,0)),"")</f>
        <v/>
      </c>
      <c r="AG958">
        <f>_xlfn.IFNA(INDEX(mental_codes,MATCH(loaded!BS958,mental,0)),9)</f>
        <v>9</v>
      </c>
    </row>
    <row r="959" spans="1:33" x14ac:dyDescent="0.25">
      <c r="A959">
        <f>loaded!C959</f>
        <v>0</v>
      </c>
      <c r="B959">
        <f>loaded!I959</f>
        <v>0</v>
      </c>
      <c r="C959">
        <f>IF(loaded!K959="Male",1,IF(loaded!K959="Female",2,9))</f>
        <v>9</v>
      </c>
      <c r="D959" s="8">
        <f>loaded!M959</f>
        <v>0</v>
      </c>
      <c r="E959" t="str">
        <f>LEFT(loaded!O959,3)</f>
        <v/>
      </c>
      <c r="F959" t="e">
        <f>INDEX(cntry_codes,MATCH(loaded!Q959,countries,0))</f>
        <v>#N/A</v>
      </c>
      <c r="G959" t="e">
        <f>INDEX(atsi_codes,MATCH(loaded!S959,atsi,0))</f>
        <v>#N/A</v>
      </c>
      <c r="H959" t="e">
        <f>INDEX(lang_codes,MATCH(loaded!U959,lang,0))</f>
        <v>#N/A</v>
      </c>
      <c r="I959" s="8">
        <f>loaded!W959</f>
        <v>0</v>
      </c>
      <c r="J959" t="e">
        <f>INDEX(us_acc_codes,MATCH(loaded!Y959,us_acc,0))</f>
        <v>#N/A</v>
      </c>
      <c r="K959" t="e">
        <f>INDEX(client_codes,MATCH(loaded!AA959,client,0))</f>
        <v>#N/A</v>
      </c>
      <c r="L959" t="e">
        <f>INDEX(src_ref_codes,MATCH(loaded!AC959,src_ref,0))</f>
        <v>#N/A</v>
      </c>
      <c r="M959" s="8">
        <f>loaded!AE959</f>
        <v>0</v>
      </c>
      <c r="N959" s="8">
        <f>loaded!AG959</f>
        <v>0</v>
      </c>
      <c r="O959" t="e">
        <f>INDEX(reces_codes,MATCH(loaded!AI959,reason,0))</f>
        <v>#N/A</v>
      </c>
      <c r="P959" t="e">
        <f>INDEX(TDS_codes,MATCH(loaded!AK959,TDS,0))</f>
        <v>#N/A</v>
      </c>
      <c r="Q959" t="e">
        <f>IF(K959=2,"",INDEX(method_codes,MATCH(loaded!AM959,method,0)))</f>
        <v>#N/A</v>
      </c>
      <c r="R959" t="e">
        <f>IF(K959=2,"",INDEX(inj_codes,MATCH(loaded!AO959,inj,0)))</f>
        <v>#N/A</v>
      </c>
      <c r="S959" t="e">
        <f>IF(K959=2,"",INDEX(drug_codes,MATCH(loaded!AQ959,drug,0)))</f>
        <v>#N/A</v>
      </c>
      <c r="T959" t="e">
        <f>IF(K959=2,"",_xlfn.IFNA(INDEX(drug_codes,MATCH(loaded!AS959,drug,0)),""))</f>
        <v>#N/A</v>
      </c>
      <c r="U959" t="e">
        <f>IF(K959=2,"",_xlfn.IFNA(INDEX(drug_codes,MATCH(loaded!AU959,drug,0)),""))</f>
        <v>#N/A</v>
      </c>
      <c r="V959" t="e">
        <f>IF(K959=2,"",_xlfn.IFNA(INDEX(drug_codes,MATCH(loaded!AW959,drug,0)),""))</f>
        <v>#N/A</v>
      </c>
      <c r="W959" t="e">
        <f>IF(K959=2,"",_xlfn.IFNA(INDEX(drug_codes,MATCH(loaded!AY959,drug,0)),""))</f>
        <v>#N/A</v>
      </c>
      <c r="X959" t="e">
        <f>IF(K959=2,"",_xlfn.IFNA(INDEX(drug_codes,MATCH(loaded!BA959,drug,0)),""))</f>
        <v>#N/A</v>
      </c>
      <c r="Y959" t="e">
        <f>INDEX(MTT_codes,MATCH(loaded!BC959,MTT,0))</f>
        <v>#N/A</v>
      </c>
      <c r="Z959" t="str">
        <f>_xlfn.IFNA(INDEX(MTT_codes,MATCH(loaded!BE959,MTT,0)),"")</f>
        <v/>
      </c>
      <c r="AA959" t="str">
        <f>_xlfn.IFNA(INDEX(MTT_codes,MATCH(loaded!BG959,MTT,0)),"")</f>
        <v/>
      </c>
      <c r="AB959" t="str">
        <f>_xlfn.IFNA(INDEX(MTT_codes,MATCH(loaded!BI959,MTT,0)),"")</f>
        <v/>
      </c>
      <c r="AC959" t="str">
        <f>_xlfn.IFNA(INDEX(MTT_codes,MATCH(loaded!BK959,MTT,0)),"")</f>
        <v/>
      </c>
      <c r="AD959" t="str">
        <f>_xlfn.IFNA(INDEX(MTT_codes,MATCH(loaded!BM959,MTT,0)),"")</f>
        <v/>
      </c>
      <c r="AE959" t="e">
        <f>INDEX(liv_ar_codes,MATCH(loaded!BO959,liv_ar,0))</f>
        <v>#N/A</v>
      </c>
      <c r="AF959" t="str">
        <f>_xlfn.IFNA(INDEX(MTT_codes,MATCH(loaded!BQ959,MTT,0)),"")</f>
        <v/>
      </c>
      <c r="AG959">
        <f>_xlfn.IFNA(INDEX(mental_codes,MATCH(loaded!BS959,mental,0)),9)</f>
        <v>9</v>
      </c>
    </row>
    <row r="960" spans="1:33" x14ac:dyDescent="0.25">
      <c r="A960">
        <f>loaded!C960</f>
        <v>0</v>
      </c>
      <c r="B960">
        <f>loaded!I960</f>
        <v>0</v>
      </c>
      <c r="C960">
        <f>IF(loaded!K960="Male",1,IF(loaded!K960="Female",2,9))</f>
        <v>9</v>
      </c>
      <c r="D960" s="8">
        <f>loaded!M960</f>
        <v>0</v>
      </c>
      <c r="E960" t="str">
        <f>LEFT(loaded!O960,3)</f>
        <v/>
      </c>
      <c r="F960" t="e">
        <f>INDEX(cntry_codes,MATCH(loaded!Q960,countries,0))</f>
        <v>#N/A</v>
      </c>
      <c r="G960" t="e">
        <f>INDEX(atsi_codes,MATCH(loaded!S960,atsi,0))</f>
        <v>#N/A</v>
      </c>
      <c r="H960" t="e">
        <f>INDEX(lang_codes,MATCH(loaded!U960,lang,0))</f>
        <v>#N/A</v>
      </c>
      <c r="I960" s="8">
        <f>loaded!W960</f>
        <v>0</v>
      </c>
      <c r="J960" t="e">
        <f>INDEX(us_acc_codes,MATCH(loaded!Y960,us_acc,0))</f>
        <v>#N/A</v>
      </c>
      <c r="K960" t="e">
        <f>INDEX(client_codes,MATCH(loaded!AA960,client,0))</f>
        <v>#N/A</v>
      </c>
      <c r="L960" t="e">
        <f>INDEX(src_ref_codes,MATCH(loaded!AC960,src_ref,0))</f>
        <v>#N/A</v>
      </c>
      <c r="M960" s="8">
        <f>loaded!AE960</f>
        <v>0</v>
      </c>
      <c r="N960" s="8">
        <f>loaded!AG960</f>
        <v>0</v>
      </c>
      <c r="O960" t="e">
        <f>INDEX(reces_codes,MATCH(loaded!AI960,reason,0))</f>
        <v>#N/A</v>
      </c>
      <c r="P960" t="e">
        <f>INDEX(TDS_codes,MATCH(loaded!AK960,TDS,0))</f>
        <v>#N/A</v>
      </c>
      <c r="Q960" t="e">
        <f>IF(K960=2,"",INDEX(method_codes,MATCH(loaded!AM960,method,0)))</f>
        <v>#N/A</v>
      </c>
      <c r="R960" t="e">
        <f>IF(K960=2,"",INDEX(inj_codes,MATCH(loaded!AO960,inj,0)))</f>
        <v>#N/A</v>
      </c>
      <c r="S960" t="e">
        <f>IF(K960=2,"",INDEX(drug_codes,MATCH(loaded!AQ960,drug,0)))</f>
        <v>#N/A</v>
      </c>
      <c r="T960" t="e">
        <f>IF(K960=2,"",_xlfn.IFNA(INDEX(drug_codes,MATCH(loaded!AS960,drug,0)),""))</f>
        <v>#N/A</v>
      </c>
      <c r="U960" t="e">
        <f>IF(K960=2,"",_xlfn.IFNA(INDEX(drug_codes,MATCH(loaded!AU960,drug,0)),""))</f>
        <v>#N/A</v>
      </c>
      <c r="V960" t="e">
        <f>IF(K960=2,"",_xlfn.IFNA(INDEX(drug_codes,MATCH(loaded!AW960,drug,0)),""))</f>
        <v>#N/A</v>
      </c>
      <c r="W960" t="e">
        <f>IF(K960=2,"",_xlfn.IFNA(INDEX(drug_codes,MATCH(loaded!AY960,drug,0)),""))</f>
        <v>#N/A</v>
      </c>
      <c r="X960" t="e">
        <f>IF(K960=2,"",_xlfn.IFNA(INDEX(drug_codes,MATCH(loaded!BA960,drug,0)),""))</f>
        <v>#N/A</v>
      </c>
      <c r="Y960" t="e">
        <f>INDEX(MTT_codes,MATCH(loaded!BC960,MTT,0))</f>
        <v>#N/A</v>
      </c>
      <c r="Z960" t="str">
        <f>_xlfn.IFNA(INDEX(MTT_codes,MATCH(loaded!BE960,MTT,0)),"")</f>
        <v/>
      </c>
      <c r="AA960" t="str">
        <f>_xlfn.IFNA(INDEX(MTT_codes,MATCH(loaded!BG960,MTT,0)),"")</f>
        <v/>
      </c>
      <c r="AB960" t="str">
        <f>_xlfn.IFNA(INDEX(MTT_codes,MATCH(loaded!BI960,MTT,0)),"")</f>
        <v/>
      </c>
      <c r="AC960" t="str">
        <f>_xlfn.IFNA(INDEX(MTT_codes,MATCH(loaded!BK960,MTT,0)),"")</f>
        <v/>
      </c>
      <c r="AD960" t="str">
        <f>_xlfn.IFNA(INDEX(MTT_codes,MATCH(loaded!BM960,MTT,0)),"")</f>
        <v/>
      </c>
      <c r="AE960" t="e">
        <f>INDEX(liv_ar_codes,MATCH(loaded!BO960,liv_ar,0))</f>
        <v>#N/A</v>
      </c>
      <c r="AF960" t="str">
        <f>_xlfn.IFNA(INDEX(MTT_codes,MATCH(loaded!BQ960,MTT,0)),"")</f>
        <v/>
      </c>
      <c r="AG960">
        <f>_xlfn.IFNA(INDEX(mental_codes,MATCH(loaded!BS960,mental,0)),9)</f>
        <v>9</v>
      </c>
    </row>
    <row r="961" spans="1:33" x14ac:dyDescent="0.25">
      <c r="A961">
        <f>loaded!C961</f>
        <v>0</v>
      </c>
      <c r="B961">
        <f>loaded!I961</f>
        <v>0</v>
      </c>
      <c r="C961">
        <f>IF(loaded!K961="Male",1,IF(loaded!K961="Female",2,9))</f>
        <v>9</v>
      </c>
      <c r="D961" s="8">
        <f>loaded!M961</f>
        <v>0</v>
      </c>
      <c r="E961" t="str">
        <f>LEFT(loaded!O961,3)</f>
        <v/>
      </c>
      <c r="F961" t="e">
        <f>INDEX(cntry_codes,MATCH(loaded!Q961,countries,0))</f>
        <v>#N/A</v>
      </c>
      <c r="G961" t="e">
        <f>INDEX(atsi_codes,MATCH(loaded!S961,atsi,0))</f>
        <v>#N/A</v>
      </c>
      <c r="H961" t="e">
        <f>INDEX(lang_codes,MATCH(loaded!U961,lang,0))</f>
        <v>#N/A</v>
      </c>
      <c r="I961" s="8">
        <f>loaded!W961</f>
        <v>0</v>
      </c>
      <c r="J961" t="e">
        <f>INDEX(us_acc_codes,MATCH(loaded!Y961,us_acc,0))</f>
        <v>#N/A</v>
      </c>
      <c r="K961" t="e">
        <f>INDEX(client_codes,MATCH(loaded!AA961,client,0))</f>
        <v>#N/A</v>
      </c>
      <c r="L961" t="e">
        <f>INDEX(src_ref_codes,MATCH(loaded!AC961,src_ref,0))</f>
        <v>#N/A</v>
      </c>
      <c r="M961" s="8">
        <f>loaded!AE961</f>
        <v>0</v>
      </c>
      <c r="N961" s="8">
        <f>loaded!AG961</f>
        <v>0</v>
      </c>
      <c r="O961" t="e">
        <f>INDEX(reces_codes,MATCH(loaded!AI961,reason,0))</f>
        <v>#N/A</v>
      </c>
      <c r="P961" t="e">
        <f>INDEX(TDS_codes,MATCH(loaded!AK961,TDS,0))</f>
        <v>#N/A</v>
      </c>
      <c r="Q961" t="e">
        <f>IF(K961=2,"",INDEX(method_codes,MATCH(loaded!AM961,method,0)))</f>
        <v>#N/A</v>
      </c>
      <c r="R961" t="e">
        <f>IF(K961=2,"",INDEX(inj_codes,MATCH(loaded!AO961,inj,0)))</f>
        <v>#N/A</v>
      </c>
      <c r="S961" t="e">
        <f>IF(K961=2,"",INDEX(drug_codes,MATCH(loaded!AQ961,drug,0)))</f>
        <v>#N/A</v>
      </c>
      <c r="T961" t="e">
        <f>IF(K961=2,"",_xlfn.IFNA(INDEX(drug_codes,MATCH(loaded!AS961,drug,0)),""))</f>
        <v>#N/A</v>
      </c>
      <c r="U961" t="e">
        <f>IF(K961=2,"",_xlfn.IFNA(INDEX(drug_codes,MATCH(loaded!AU961,drug,0)),""))</f>
        <v>#N/A</v>
      </c>
      <c r="V961" t="e">
        <f>IF(K961=2,"",_xlfn.IFNA(INDEX(drug_codes,MATCH(loaded!AW961,drug,0)),""))</f>
        <v>#N/A</v>
      </c>
      <c r="W961" t="e">
        <f>IF(K961=2,"",_xlfn.IFNA(INDEX(drug_codes,MATCH(loaded!AY961,drug,0)),""))</f>
        <v>#N/A</v>
      </c>
      <c r="X961" t="e">
        <f>IF(K961=2,"",_xlfn.IFNA(INDEX(drug_codes,MATCH(loaded!BA961,drug,0)),""))</f>
        <v>#N/A</v>
      </c>
      <c r="Y961" t="e">
        <f>INDEX(MTT_codes,MATCH(loaded!BC961,MTT,0))</f>
        <v>#N/A</v>
      </c>
      <c r="Z961" t="str">
        <f>_xlfn.IFNA(INDEX(MTT_codes,MATCH(loaded!BE961,MTT,0)),"")</f>
        <v/>
      </c>
      <c r="AA961" t="str">
        <f>_xlfn.IFNA(INDEX(MTT_codes,MATCH(loaded!BG961,MTT,0)),"")</f>
        <v/>
      </c>
      <c r="AB961" t="str">
        <f>_xlfn.IFNA(INDEX(MTT_codes,MATCH(loaded!BI961,MTT,0)),"")</f>
        <v/>
      </c>
      <c r="AC961" t="str">
        <f>_xlfn.IFNA(INDEX(MTT_codes,MATCH(loaded!BK961,MTT,0)),"")</f>
        <v/>
      </c>
      <c r="AD961" t="str">
        <f>_xlfn.IFNA(INDEX(MTT_codes,MATCH(loaded!BM961,MTT,0)),"")</f>
        <v/>
      </c>
      <c r="AE961" t="e">
        <f>INDEX(liv_ar_codes,MATCH(loaded!BO961,liv_ar,0))</f>
        <v>#N/A</v>
      </c>
      <c r="AF961" t="str">
        <f>_xlfn.IFNA(INDEX(MTT_codes,MATCH(loaded!BQ961,MTT,0)),"")</f>
        <v/>
      </c>
      <c r="AG961">
        <f>_xlfn.IFNA(INDEX(mental_codes,MATCH(loaded!BS961,mental,0)),9)</f>
        <v>9</v>
      </c>
    </row>
    <row r="962" spans="1:33" x14ac:dyDescent="0.25">
      <c r="A962">
        <f>loaded!C962</f>
        <v>0</v>
      </c>
      <c r="B962">
        <f>loaded!I962</f>
        <v>0</v>
      </c>
      <c r="C962">
        <f>IF(loaded!K962="Male",1,IF(loaded!K962="Female",2,9))</f>
        <v>9</v>
      </c>
      <c r="D962" s="8">
        <f>loaded!M962</f>
        <v>0</v>
      </c>
      <c r="E962" t="str">
        <f>LEFT(loaded!O962,3)</f>
        <v/>
      </c>
      <c r="F962" t="e">
        <f>INDEX(cntry_codes,MATCH(loaded!Q962,countries,0))</f>
        <v>#N/A</v>
      </c>
      <c r="G962" t="e">
        <f>INDEX(atsi_codes,MATCH(loaded!S962,atsi,0))</f>
        <v>#N/A</v>
      </c>
      <c r="H962" t="e">
        <f>INDEX(lang_codes,MATCH(loaded!U962,lang,0))</f>
        <v>#N/A</v>
      </c>
      <c r="I962" s="8">
        <f>loaded!W962</f>
        <v>0</v>
      </c>
      <c r="J962" t="e">
        <f>INDEX(us_acc_codes,MATCH(loaded!Y962,us_acc,0))</f>
        <v>#N/A</v>
      </c>
      <c r="K962" t="e">
        <f>INDEX(client_codes,MATCH(loaded!AA962,client,0))</f>
        <v>#N/A</v>
      </c>
      <c r="L962" t="e">
        <f>INDEX(src_ref_codes,MATCH(loaded!AC962,src_ref,0))</f>
        <v>#N/A</v>
      </c>
      <c r="M962" s="8">
        <f>loaded!AE962</f>
        <v>0</v>
      </c>
      <c r="N962" s="8">
        <f>loaded!AG962</f>
        <v>0</v>
      </c>
      <c r="O962" t="e">
        <f>INDEX(reces_codes,MATCH(loaded!AI962,reason,0))</f>
        <v>#N/A</v>
      </c>
      <c r="P962" t="e">
        <f>INDEX(TDS_codes,MATCH(loaded!AK962,TDS,0))</f>
        <v>#N/A</v>
      </c>
      <c r="Q962" t="e">
        <f>IF(K962=2,"",INDEX(method_codes,MATCH(loaded!AM962,method,0)))</f>
        <v>#N/A</v>
      </c>
      <c r="R962" t="e">
        <f>IF(K962=2,"",INDEX(inj_codes,MATCH(loaded!AO962,inj,0)))</f>
        <v>#N/A</v>
      </c>
      <c r="S962" t="e">
        <f>IF(K962=2,"",INDEX(drug_codes,MATCH(loaded!AQ962,drug,0)))</f>
        <v>#N/A</v>
      </c>
      <c r="T962" t="e">
        <f>IF(K962=2,"",_xlfn.IFNA(INDEX(drug_codes,MATCH(loaded!AS962,drug,0)),""))</f>
        <v>#N/A</v>
      </c>
      <c r="U962" t="e">
        <f>IF(K962=2,"",_xlfn.IFNA(INDEX(drug_codes,MATCH(loaded!AU962,drug,0)),""))</f>
        <v>#N/A</v>
      </c>
      <c r="V962" t="e">
        <f>IF(K962=2,"",_xlfn.IFNA(INDEX(drug_codes,MATCH(loaded!AW962,drug,0)),""))</f>
        <v>#N/A</v>
      </c>
      <c r="W962" t="e">
        <f>IF(K962=2,"",_xlfn.IFNA(INDEX(drug_codes,MATCH(loaded!AY962,drug,0)),""))</f>
        <v>#N/A</v>
      </c>
      <c r="X962" t="e">
        <f>IF(K962=2,"",_xlfn.IFNA(INDEX(drug_codes,MATCH(loaded!BA962,drug,0)),""))</f>
        <v>#N/A</v>
      </c>
      <c r="Y962" t="e">
        <f>INDEX(MTT_codes,MATCH(loaded!BC962,MTT,0))</f>
        <v>#N/A</v>
      </c>
      <c r="Z962" t="str">
        <f>_xlfn.IFNA(INDEX(MTT_codes,MATCH(loaded!BE962,MTT,0)),"")</f>
        <v/>
      </c>
      <c r="AA962" t="str">
        <f>_xlfn.IFNA(INDEX(MTT_codes,MATCH(loaded!BG962,MTT,0)),"")</f>
        <v/>
      </c>
      <c r="AB962" t="str">
        <f>_xlfn.IFNA(INDEX(MTT_codes,MATCH(loaded!BI962,MTT,0)),"")</f>
        <v/>
      </c>
      <c r="AC962" t="str">
        <f>_xlfn.IFNA(INDEX(MTT_codes,MATCH(loaded!BK962,MTT,0)),"")</f>
        <v/>
      </c>
      <c r="AD962" t="str">
        <f>_xlfn.IFNA(INDEX(MTT_codes,MATCH(loaded!BM962,MTT,0)),"")</f>
        <v/>
      </c>
      <c r="AE962" t="e">
        <f>INDEX(liv_ar_codes,MATCH(loaded!BO962,liv_ar,0))</f>
        <v>#N/A</v>
      </c>
      <c r="AF962" t="str">
        <f>_xlfn.IFNA(INDEX(MTT_codes,MATCH(loaded!BQ962,MTT,0)),"")</f>
        <v/>
      </c>
      <c r="AG962">
        <f>_xlfn.IFNA(INDEX(mental_codes,MATCH(loaded!BS962,mental,0)),9)</f>
        <v>9</v>
      </c>
    </row>
    <row r="963" spans="1:33" x14ac:dyDescent="0.25">
      <c r="A963">
        <f>loaded!C963</f>
        <v>0</v>
      </c>
      <c r="B963">
        <f>loaded!I963</f>
        <v>0</v>
      </c>
      <c r="C963">
        <f>IF(loaded!K963="Male",1,IF(loaded!K963="Female",2,9))</f>
        <v>9</v>
      </c>
      <c r="D963" s="8">
        <f>loaded!M963</f>
        <v>0</v>
      </c>
      <c r="E963" t="str">
        <f>LEFT(loaded!O963,3)</f>
        <v/>
      </c>
      <c r="F963" t="e">
        <f>INDEX(cntry_codes,MATCH(loaded!Q963,countries,0))</f>
        <v>#N/A</v>
      </c>
      <c r="G963" t="e">
        <f>INDEX(atsi_codes,MATCH(loaded!S963,atsi,0))</f>
        <v>#N/A</v>
      </c>
      <c r="H963" t="e">
        <f>INDEX(lang_codes,MATCH(loaded!U963,lang,0))</f>
        <v>#N/A</v>
      </c>
      <c r="I963" s="8">
        <f>loaded!W963</f>
        <v>0</v>
      </c>
      <c r="J963" t="e">
        <f>INDEX(us_acc_codes,MATCH(loaded!Y963,us_acc,0))</f>
        <v>#N/A</v>
      </c>
      <c r="K963" t="e">
        <f>INDEX(client_codes,MATCH(loaded!AA963,client,0))</f>
        <v>#N/A</v>
      </c>
      <c r="L963" t="e">
        <f>INDEX(src_ref_codes,MATCH(loaded!AC963,src_ref,0))</f>
        <v>#N/A</v>
      </c>
      <c r="M963" s="8">
        <f>loaded!AE963</f>
        <v>0</v>
      </c>
      <c r="N963" s="8">
        <f>loaded!AG963</f>
        <v>0</v>
      </c>
      <c r="O963" t="e">
        <f>INDEX(reces_codes,MATCH(loaded!AI963,reason,0))</f>
        <v>#N/A</v>
      </c>
      <c r="P963" t="e">
        <f>INDEX(TDS_codes,MATCH(loaded!AK963,TDS,0))</f>
        <v>#N/A</v>
      </c>
      <c r="Q963" t="e">
        <f>IF(K963=2,"",INDEX(method_codes,MATCH(loaded!AM963,method,0)))</f>
        <v>#N/A</v>
      </c>
      <c r="R963" t="e">
        <f>IF(K963=2,"",INDEX(inj_codes,MATCH(loaded!AO963,inj,0)))</f>
        <v>#N/A</v>
      </c>
      <c r="S963" t="e">
        <f>IF(K963=2,"",INDEX(drug_codes,MATCH(loaded!AQ963,drug,0)))</f>
        <v>#N/A</v>
      </c>
      <c r="T963" t="e">
        <f>IF(K963=2,"",_xlfn.IFNA(INDEX(drug_codes,MATCH(loaded!AS963,drug,0)),""))</f>
        <v>#N/A</v>
      </c>
      <c r="U963" t="e">
        <f>IF(K963=2,"",_xlfn.IFNA(INDEX(drug_codes,MATCH(loaded!AU963,drug,0)),""))</f>
        <v>#N/A</v>
      </c>
      <c r="V963" t="e">
        <f>IF(K963=2,"",_xlfn.IFNA(INDEX(drug_codes,MATCH(loaded!AW963,drug,0)),""))</f>
        <v>#N/A</v>
      </c>
      <c r="W963" t="e">
        <f>IF(K963=2,"",_xlfn.IFNA(INDEX(drug_codes,MATCH(loaded!AY963,drug,0)),""))</f>
        <v>#N/A</v>
      </c>
      <c r="X963" t="e">
        <f>IF(K963=2,"",_xlfn.IFNA(INDEX(drug_codes,MATCH(loaded!BA963,drug,0)),""))</f>
        <v>#N/A</v>
      </c>
      <c r="Y963" t="e">
        <f>INDEX(MTT_codes,MATCH(loaded!BC963,MTT,0))</f>
        <v>#N/A</v>
      </c>
      <c r="Z963" t="str">
        <f>_xlfn.IFNA(INDEX(MTT_codes,MATCH(loaded!BE963,MTT,0)),"")</f>
        <v/>
      </c>
      <c r="AA963" t="str">
        <f>_xlfn.IFNA(INDEX(MTT_codes,MATCH(loaded!BG963,MTT,0)),"")</f>
        <v/>
      </c>
      <c r="AB963" t="str">
        <f>_xlfn.IFNA(INDEX(MTT_codes,MATCH(loaded!BI963,MTT,0)),"")</f>
        <v/>
      </c>
      <c r="AC963" t="str">
        <f>_xlfn.IFNA(INDEX(MTT_codes,MATCH(loaded!BK963,MTT,0)),"")</f>
        <v/>
      </c>
      <c r="AD963" t="str">
        <f>_xlfn.IFNA(INDEX(MTT_codes,MATCH(loaded!BM963,MTT,0)),"")</f>
        <v/>
      </c>
      <c r="AE963" t="e">
        <f>INDEX(liv_ar_codes,MATCH(loaded!BO963,liv_ar,0))</f>
        <v>#N/A</v>
      </c>
      <c r="AF963" t="str">
        <f>_xlfn.IFNA(INDEX(MTT_codes,MATCH(loaded!BQ963,MTT,0)),"")</f>
        <v/>
      </c>
      <c r="AG963">
        <f>_xlfn.IFNA(INDEX(mental_codes,MATCH(loaded!BS963,mental,0)),9)</f>
        <v>9</v>
      </c>
    </row>
    <row r="964" spans="1:33" x14ac:dyDescent="0.25">
      <c r="A964">
        <f>loaded!C964</f>
        <v>0</v>
      </c>
      <c r="B964">
        <f>loaded!I964</f>
        <v>0</v>
      </c>
      <c r="C964">
        <f>IF(loaded!K964="Male",1,IF(loaded!K964="Female",2,9))</f>
        <v>9</v>
      </c>
      <c r="D964" s="8">
        <f>loaded!M964</f>
        <v>0</v>
      </c>
      <c r="E964" t="str">
        <f>LEFT(loaded!O964,3)</f>
        <v/>
      </c>
      <c r="F964" t="e">
        <f>INDEX(cntry_codes,MATCH(loaded!Q964,countries,0))</f>
        <v>#N/A</v>
      </c>
      <c r="G964" t="e">
        <f>INDEX(atsi_codes,MATCH(loaded!S964,atsi,0))</f>
        <v>#N/A</v>
      </c>
      <c r="H964" t="e">
        <f>INDEX(lang_codes,MATCH(loaded!U964,lang,0))</f>
        <v>#N/A</v>
      </c>
      <c r="I964" s="8">
        <f>loaded!W964</f>
        <v>0</v>
      </c>
      <c r="J964" t="e">
        <f>INDEX(us_acc_codes,MATCH(loaded!Y964,us_acc,0))</f>
        <v>#N/A</v>
      </c>
      <c r="K964" t="e">
        <f>INDEX(client_codes,MATCH(loaded!AA964,client,0))</f>
        <v>#N/A</v>
      </c>
      <c r="L964" t="e">
        <f>INDEX(src_ref_codes,MATCH(loaded!AC964,src_ref,0))</f>
        <v>#N/A</v>
      </c>
      <c r="M964" s="8">
        <f>loaded!AE964</f>
        <v>0</v>
      </c>
      <c r="N964" s="8">
        <f>loaded!AG964</f>
        <v>0</v>
      </c>
      <c r="O964" t="e">
        <f>INDEX(reces_codes,MATCH(loaded!AI964,reason,0))</f>
        <v>#N/A</v>
      </c>
      <c r="P964" t="e">
        <f>INDEX(TDS_codes,MATCH(loaded!AK964,TDS,0))</f>
        <v>#N/A</v>
      </c>
      <c r="Q964" t="e">
        <f>IF(K964=2,"",INDEX(method_codes,MATCH(loaded!AM964,method,0)))</f>
        <v>#N/A</v>
      </c>
      <c r="R964" t="e">
        <f>IF(K964=2,"",INDEX(inj_codes,MATCH(loaded!AO964,inj,0)))</f>
        <v>#N/A</v>
      </c>
      <c r="S964" t="e">
        <f>IF(K964=2,"",INDEX(drug_codes,MATCH(loaded!AQ964,drug,0)))</f>
        <v>#N/A</v>
      </c>
      <c r="T964" t="e">
        <f>IF(K964=2,"",_xlfn.IFNA(INDEX(drug_codes,MATCH(loaded!AS964,drug,0)),""))</f>
        <v>#N/A</v>
      </c>
      <c r="U964" t="e">
        <f>IF(K964=2,"",_xlfn.IFNA(INDEX(drug_codes,MATCH(loaded!AU964,drug,0)),""))</f>
        <v>#N/A</v>
      </c>
      <c r="V964" t="e">
        <f>IF(K964=2,"",_xlfn.IFNA(INDEX(drug_codes,MATCH(loaded!AW964,drug,0)),""))</f>
        <v>#N/A</v>
      </c>
      <c r="W964" t="e">
        <f>IF(K964=2,"",_xlfn.IFNA(INDEX(drug_codes,MATCH(loaded!AY964,drug,0)),""))</f>
        <v>#N/A</v>
      </c>
      <c r="X964" t="e">
        <f>IF(K964=2,"",_xlfn.IFNA(INDEX(drug_codes,MATCH(loaded!BA964,drug,0)),""))</f>
        <v>#N/A</v>
      </c>
      <c r="Y964" t="e">
        <f>INDEX(MTT_codes,MATCH(loaded!BC964,MTT,0))</f>
        <v>#N/A</v>
      </c>
      <c r="Z964" t="str">
        <f>_xlfn.IFNA(INDEX(MTT_codes,MATCH(loaded!BE964,MTT,0)),"")</f>
        <v/>
      </c>
      <c r="AA964" t="str">
        <f>_xlfn.IFNA(INDEX(MTT_codes,MATCH(loaded!BG964,MTT,0)),"")</f>
        <v/>
      </c>
      <c r="AB964" t="str">
        <f>_xlfn.IFNA(INDEX(MTT_codes,MATCH(loaded!BI964,MTT,0)),"")</f>
        <v/>
      </c>
      <c r="AC964" t="str">
        <f>_xlfn.IFNA(INDEX(MTT_codes,MATCH(loaded!BK964,MTT,0)),"")</f>
        <v/>
      </c>
      <c r="AD964" t="str">
        <f>_xlfn.IFNA(INDEX(MTT_codes,MATCH(loaded!BM964,MTT,0)),"")</f>
        <v/>
      </c>
      <c r="AE964" t="e">
        <f>INDEX(liv_ar_codes,MATCH(loaded!BO964,liv_ar,0))</f>
        <v>#N/A</v>
      </c>
      <c r="AF964" t="str">
        <f>_xlfn.IFNA(INDEX(MTT_codes,MATCH(loaded!BQ964,MTT,0)),"")</f>
        <v/>
      </c>
      <c r="AG964">
        <f>_xlfn.IFNA(INDEX(mental_codes,MATCH(loaded!BS964,mental,0)),9)</f>
        <v>9</v>
      </c>
    </row>
    <row r="965" spans="1:33" x14ac:dyDescent="0.25">
      <c r="A965">
        <f>loaded!C965</f>
        <v>0</v>
      </c>
      <c r="B965">
        <f>loaded!I965</f>
        <v>0</v>
      </c>
      <c r="C965">
        <f>IF(loaded!K965="Male",1,IF(loaded!K965="Female",2,9))</f>
        <v>9</v>
      </c>
      <c r="D965" s="8">
        <f>loaded!M965</f>
        <v>0</v>
      </c>
      <c r="E965" t="str">
        <f>LEFT(loaded!O965,3)</f>
        <v/>
      </c>
      <c r="F965" t="e">
        <f>INDEX(cntry_codes,MATCH(loaded!Q965,countries,0))</f>
        <v>#N/A</v>
      </c>
      <c r="G965" t="e">
        <f>INDEX(atsi_codes,MATCH(loaded!S965,atsi,0))</f>
        <v>#N/A</v>
      </c>
      <c r="H965" t="e">
        <f>INDEX(lang_codes,MATCH(loaded!U965,lang,0))</f>
        <v>#N/A</v>
      </c>
      <c r="I965" s="8">
        <f>loaded!W965</f>
        <v>0</v>
      </c>
      <c r="J965" t="e">
        <f>INDEX(us_acc_codes,MATCH(loaded!Y965,us_acc,0))</f>
        <v>#N/A</v>
      </c>
      <c r="K965" t="e">
        <f>INDEX(client_codes,MATCH(loaded!AA965,client,0))</f>
        <v>#N/A</v>
      </c>
      <c r="L965" t="e">
        <f>INDEX(src_ref_codes,MATCH(loaded!AC965,src_ref,0))</f>
        <v>#N/A</v>
      </c>
      <c r="M965" s="8">
        <f>loaded!AE965</f>
        <v>0</v>
      </c>
      <c r="N965" s="8">
        <f>loaded!AG965</f>
        <v>0</v>
      </c>
      <c r="O965" t="e">
        <f>INDEX(reces_codes,MATCH(loaded!AI965,reason,0))</f>
        <v>#N/A</v>
      </c>
      <c r="P965" t="e">
        <f>INDEX(TDS_codes,MATCH(loaded!AK965,TDS,0))</f>
        <v>#N/A</v>
      </c>
      <c r="Q965" t="e">
        <f>IF(K965=2,"",INDEX(method_codes,MATCH(loaded!AM965,method,0)))</f>
        <v>#N/A</v>
      </c>
      <c r="R965" t="e">
        <f>IF(K965=2,"",INDEX(inj_codes,MATCH(loaded!AO965,inj,0)))</f>
        <v>#N/A</v>
      </c>
      <c r="S965" t="e">
        <f>IF(K965=2,"",INDEX(drug_codes,MATCH(loaded!AQ965,drug,0)))</f>
        <v>#N/A</v>
      </c>
      <c r="T965" t="e">
        <f>IF(K965=2,"",_xlfn.IFNA(INDEX(drug_codes,MATCH(loaded!AS965,drug,0)),""))</f>
        <v>#N/A</v>
      </c>
      <c r="U965" t="e">
        <f>IF(K965=2,"",_xlfn.IFNA(INDEX(drug_codes,MATCH(loaded!AU965,drug,0)),""))</f>
        <v>#N/A</v>
      </c>
      <c r="V965" t="e">
        <f>IF(K965=2,"",_xlfn.IFNA(INDEX(drug_codes,MATCH(loaded!AW965,drug,0)),""))</f>
        <v>#N/A</v>
      </c>
      <c r="W965" t="e">
        <f>IF(K965=2,"",_xlfn.IFNA(INDEX(drug_codes,MATCH(loaded!AY965,drug,0)),""))</f>
        <v>#N/A</v>
      </c>
      <c r="X965" t="e">
        <f>IF(K965=2,"",_xlfn.IFNA(INDEX(drug_codes,MATCH(loaded!BA965,drug,0)),""))</f>
        <v>#N/A</v>
      </c>
      <c r="Y965" t="e">
        <f>INDEX(MTT_codes,MATCH(loaded!BC965,MTT,0))</f>
        <v>#N/A</v>
      </c>
      <c r="Z965" t="str">
        <f>_xlfn.IFNA(INDEX(MTT_codes,MATCH(loaded!BE965,MTT,0)),"")</f>
        <v/>
      </c>
      <c r="AA965" t="str">
        <f>_xlfn.IFNA(INDEX(MTT_codes,MATCH(loaded!BG965,MTT,0)),"")</f>
        <v/>
      </c>
      <c r="AB965" t="str">
        <f>_xlfn.IFNA(INDEX(MTT_codes,MATCH(loaded!BI965,MTT,0)),"")</f>
        <v/>
      </c>
      <c r="AC965" t="str">
        <f>_xlfn.IFNA(INDEX(MTT_codes,MATCH(loaded!BK965,MTT,0)),"")</f>
        <v/>
      </c>
      <c r="AD965" t="str">
        <f>_xlfn.IFNA(INDEX(MTT_codes,MATCH(loaded!BM965,MTT,0)),"")</f>
        <v/>
      </c>
      <c r="AE965" t="e">
        <f>INDEX(liv_ar_codes,MATCH(loaded!BO965,liv_ar,0))</f>
        <v>#N/A</v>
      </c>
      <c r="AF965" t="str">
        <f>_xlfn.IFNA(INDEX(MTT_codes,MATCH(loaded!BQ965,MTT,0)),"")</f>
        <v/>
      </c>
      <c r="AG965">
        <f>_xlfn.IFNA(INDEX(mental_codes,MATCH(loaded!BS965,mental,0)),9)</f>
        <v>9</v>
      </c>
    </row>
    <row r="966" spans="1:33" x14ac:dyDescent="0.25">
      <c r="A966">
        <f>loaded!C966</f>
        <v>0</v>
      </c>
      <c r="B966">
        <f>loaded!I966</f>
        <v>0</v>
      </c>
      <c r="C966">
        <f>IF(loaded!K966="Male",1,IF(loaded!K966="Female",2,9))</f>
        <v>9</v>
      </c>
      <c r="D966" s="8">
        <f>loaded!M966</f>
        <v>0</v>
      </c>
      <c r="E966" t="str">
        <f>LEFT(loaded!O966,3)</f>
        <v/>
      </c>
      <c r="F966" t="e">
        <f>INDEX(cntry_codes,MATCH(loaded!Q966,countries,0))</f>
        <v>#N/A</v>
      </c>
      <c r="G966" t="e">
        <f>INDEX(atsi_codes,MATCH(loaded!S966,atsi,0))</f>
        <v>#N/A</v>
      </c>
      <c r="H966" t="e">
        <f>INDEX(lang_codes,MATCH(loaded!U966,lang,0))</f>
        <v>#N/A</v>
      </c>
      <c r="I966" s="8">
        <f>loaded!W966</f>
        <v>0</v>
      </c>
      <c r="J966" t="e">
        <f>INDEX(us_acc_codes,MATCH(loaded!Y966,us_acc,0))</f>
        <v>#N/A</v>
      </c>
      <c r="K966" t="e">
        <f>INDEX(client_codes,MATCH(loaded!AA966,client,0))</f>
        <v>#N/A</v>
      </c>
      <c r="L966" t="e">
        <f>INDEX(src_ref_codes,MATCH(loaded!AC966,src_ref,0))</f>
        <v>#N/A</v>
      </c>
      <c r="M966" s="8">
        <f>loaded!AE966</f>
        <v>0</v>
      </c>
      <c r="N966" s="8">
        <f>loaded!AG966</f>
        <v>0</v>
      </c>
      <c r="O966" t="e">
        <f>INDEX(reces_codes,MATCH(loaded!AI966,reason,0))</f>
        <v>#N/A</v>
      </c>
      <c r="P966" t="e">
        <f>INDEX(TDS_codes,MATCH(loaded!AK966,TDS,0))</f>
        <v>#N/A</v>
      </c>
      <c r="Q966" t="e">
        <f>IF(K966=2,"",INDEX(method_codes,MATCH(loaded!AM966,method,0)))</f>
        <v>#N/A</v>
      </c>
      <c r="R966" t="e">
        <f>IF(K966=2,"",INDEX(inj_codes,MATCH(loaded!AO966,inj,0)))</f>
        <v>#N/A</v>
      </c>
      <c r="S966" t="e">
        <f>IF(K966=2,"",INDEX(drug_codes,MATCH(loaded!AQ966,drug,0)))</f>
        <v>#N/A</v>
      </c>
      <c r="T966" t="e">
        <f>IF(K966=2,"",_xlfn.IFNA(INDEX(drug_codes,MATCH(loaded!AS966,drug,0)),""))</f>
        <v>#N/A</v>
      </c>
      <c r="U966" t="e">
        <f>IF(K966=2,"",_xlfn.IFNA(INDEX(drug_codes,MATCH(loaded!AU966,drug,0)),""))</f>
        <v>#N/A</v>
      </c>
      <c r="V966" t="e">
        <f>IF(K966=2,"",_xlfn.IFNA(INDEX(drug_codes,MATCH(loaded!AW966,drug,0)),""))</f>
        <v>#N/A</v>
      </c>
      <c r="W966" t="e">
        <f>IF(K966=2,"",_xlfn.IFNA(INDEX(drug_codes,MATCH(loaded!AY966,drug,0)),""))</f>
        <v>#N/A</v>
      </c>
      <c r="X966" t="e">
        <f>IF(K966=2,"",_xlfn.IFNA(INDEX(drug_codes,MATCH(loaded!BA966,drug,0)),""))</f>
        <v>#N/A</v>
      </c>
      <c r="Y966" t="e">
        <f>INDEX(MTT_codes,MATCH(loaded!BC966,MTT,0))</f>
        <v>#N/A</v>
      </c>
      <c r="Z966" t="str">
        <f>_xlfn.IFNA(INDEX(MTT_codes,MATCH(loaded!BE966,MTT,0)),"")</f>
        <v/>
      </c>
      <c r="AA966" t="str">
        <f>_xlfn.IFNA(INDEX(MTT_codes,MATCH(loaded!BG966,MTT,0)),"")</f>
        <v/>
      </c>
      <c r="AB966" t="str">
        <f>_xlfn.IFNA(INDEX(MTT_codes,MATCH(loaded!BI966,MTT,0)),"")</f>
        <v/>
      </c>
      <c r="AC966" t="str">
        <f>_xlfn.IFNA(INDEX(MTT_codes,MATCH(loaded!BK966,MTT,0)),"")</f>
        <v/>
      </c>
      <c r="AD966" t="str">
        <f>_xlfn.IFNA(INDEX(MTT_codes,MATCH(loaded!BM966,MTT,0)),"")</f>
        <v/>
      </c>
      <c r="AE966" t="e">
        <f>INDEX(liv_ar_codes,MATCH(loaded!BO966,liv_ar,0))</f>
        <v>#N/A</v>
      </c>
      <c r="AF966" t="str">
        <f>_xlfn.IFNA(INDEX(MTT_codes,MATCH(loaded!BQ966,MTT,0)),"")</f>
        <v/>
      </c>
      <c r="AG966">
        <f>_xlfn.IFNA(INDEX(mental_codes,MATCH(loaded!BS966,mental,0)),9)</f>
        <v>9</v>
      </c>
    </row>
    <row r="967" spans="1:33" x14ac:dyDescent="0.25">
      <c r="A967">
        <f>loaded!C967</f>
        <v>0</v>
      </c>
      <c r="B967">
        <f>loaded!I967</f>
        <v>0</v>
      </c>
      <c r="C967">
        <f>IF(loaded!K967="Male",1,IF(loaded!K967="Female",2,9))</f>
        <v>9</v>
      </c>
      <c r="D967" s="8">
        <f>loaded!M967</f>
        <v>0</v>
      </c>
      <c r="E967" t="str">
        <f>LEFT(loaded!O967,3)</f>
        <v/>
      </c>
      <c r="F967" t="e">
        <f>INDEX(cntry_codes,MATCH(loaded!Q967,countries,0))</f>
        <v>#N/A</v>
      </c>
      <c r="G967" t="e">
        <f>INDEX(atsi_codes,MATCH(loaded!S967,atsi,0))</f>
        <v>#N/A</v>
      </c>
      <c r="H967" t="e">
        <f>INDEX(lang_codes,MATCH(loaded!U967,lang,0))</f>
        <v>#N/A</v>
      </c>
      <c r="I967" s="8">
        <f>loaded!W967</f>
        <v>0</v>
      </c>
      <c r="J967" t="e">
        <f>INDEX(us_acc_codes,MATCH(loaded!Y967,us_acc,0))</f>
        <v>#N/A</v>
      </c>
      <c r="K967" t="e">
        <f>INDEX(client_codes,MATCH(loaded!AA967,client,0))</f>
        <v>#N/A</v>
      </c>
      <c r="L967" t="e">
        <f>INDEX(src_ref_codes,MATCH(loaded!AC967,src_ref,0))</f>
        <v>#N/A</v>
      </c>
      <c r="M967" s="8">
        <f>loaded!AE967</f>
        <v>0</v>
      </c>
      <c r="N967" s="8">
        <f>loaded!AG967</f>
        <v>0</v>
      </c>
      <c r="O967" t="e">
        <f>INDEX(reces_codes,MATCH(loaded!AI967,reason,0))</f>
        <v>#N/A</v>
      </c>
      <c r="P967" t="e">
        <f>INDEX(TDS_codes,MATCH(loaded!AK967,TDS,0))</f>
        <v>#N/A</v>
      </c>
      <c r="Q967" t="e">
        <f>IF(K967=2,"",INDEX(method_codes,MATCH(loaded!AM967,method,0)))</f>
        <v>#N/A</v>
      </c>
      <c r="R967" t="e">
        <f>IF(K967=2,"",INDEX(inj_codes,MATCH(loaded!AO967,inj,0)))</f>
        <v>#N/A</v>
      </c>
      <c r="S967" t="e">
        <f>IF(K967=2,"",INDEX(drug_codes,MATCH(loaded!AQ967,drug,0)))</f>
        <v>#N/A</v>
      </c>
      <c r="T967" t="e">
        <f>IF(K967=2,"",_xlfn.IFNA(INDEX(drug_codes,MATCH(loaded!AS967,drug,0)),""))</f>
        <v>#N/A</v>
      </c>
      <c r="U967" t="e">
        <f>IF(K967=2,"",_xlfn.IFNA(INDEX(drug_codes,MATCH(loaded!AU967,drug,0)),""))</f>
        <v>#N/A</v>
      </c>
      <c r="V967" t="e">
        <f>IF(K967=2,"",_xlfn.IFNA(INDEX(drug_codes,MATCH(loaded!AW967,drug,0)),""))</f>
        <v>#N/A</v>
      </c>
      <c r="W967" t="e">
        <f>IF(K967=2,"",_xlfn.IFNA(INDEX(drug_codes,MATCH(loaded!AY967,drug,0)),""))</f>
        <v>#N/A</v>
      </c>
      <c r="X967" t="e">
        <f>IF(K967=2,"",_xlfn.IFNA(INDEX(drug_codes,MATCH(loaded!BA967,drug,0)),""))</f>
        <v>#N/A</v>
      </c>
      <c r="Y967" t="e">
        <f>INDEX(MTT_codes,MATCH(loaded!BC967,MTT,0))</f>
        <v>#N/A</v>
      </c>
      <c r="Z967" t="str">
        <f>_xlfn.IFNA(INDEX(MTT_codes,MATCH(loaded!BE967,MTT,0)),"")</f>
        <v/>
      </c>
      <c r="AA967" t="str">
        <f>_xlfn.IFNA(INDEX(MTT_codes,MATCH(loaded!BG967,MTT,0)),"")</f>
        <v/>
      </c>
      <c r="AB967" t="str">
        <f>_xlfn.IFNA(INDEX(MTT_codes,MATCH(loaded!BI967,MTT,0)),"")</f>
        <v/>
      </c>
      <c r="AC967" t="str">
        <f>_xlfn.IFNA(INDEX(MTT_codes,MATCH(loaded!BK967,MTT,0)),"")</f>
        <v/>
      </c>
      <c r="AD967" t="str">
        <f>_xlfn.IFNA(INDEX(MTT_codes,MATCH(loaded!BM967,MTT,0)),"")</f>
        <v/>
      </c>
      <c r="AE967" t="e">
        <f>INDEX(liv_ar_codes,MATCH(loaded!BO967,liv_ar,0))</f>
        <v>#N/A</v>
      </c>
      <c r="AF967" t="str">
        <f>_xlfn.IFNA(INDEX(MTT_codes,MATCH(loaded!BQ967,MTT,0)),"")</f>
        <v/>
      </c>
      <c r="AG967">
        <f>_xlfn.IFNA(INDEX(mental_codes,MATCH(loaded!BS967,mental,0)),9)</f>
        <v>9</v>
      </c>
    </row>
    <row r="968" spans="1:33" x14ac:dyDescent="0.25">
      <c r="A968">
        <f>loaded!C968</f>
        <v>0</v>
      </c>
      <c r="B968">
        <f>loaded!I968</f>
        <v>0</v>
      </c>
      <c r="C968">
        <f>IF(loaded!K968="Male",1,IF(loaded!K968="Female",2,9))</f>
        <v>9</v>
      </c>
      <c r="D968" s="8">
        <f>loaded!M968</f>
        <v>0</v>
      </c>
      <c r="E968" t="str">
        <f>LEFT(loaded!O968,3)</f>
        <v/>
      </c>
      <c r="F968" t="e">
        <f>INDEX(cntry_codes,MATCH(loaded!Q968,countries,0))</f>
        <v>#N/A</v>
      </c>
      <c r="G968" t="e">
        <f>INDEX(atsi_codes,MATCH(loaded!S968,atsi,0))</f>
        <v>#N/A</v>
      </c>
      <c r="H968" t="e">
        <f>INDEX(lang_codes,MATCH(loaded!U968,lang,0))</f>
        <v>#N/A</v>
      </c>
      <c r="I968" s="8">
        <f>loaded!W968</f>
        <v>0</v>
      </c>
      <c r="J968" t="e">
        <f>INDEX(us_acc_codes,MATCH(loaded!Y968,us_acc,0))</f>
        <v>#N/A</v>
      </c>
      <c r="K968" t="e">
        <f>INDEX(client_codes,MATCH(loaded!AA968,client,0))</f>
        <v>#N/A</v>
      </c>
      <c r="L968" t="e">
        <f>INDEX(src_ref_codes,MATCH(loaded!AC968,src_ref,0))</f>
        <v>#N/A</v>
      </c>
      <c r="M968" s="8">
        <f>loaded!AE968</f>
        <v>0</v>
      </c>
      <c r="N968" s="8">
        <f>loaded!AG968</f>
        <v>0</v>
      </c>
      <c r="O968" t="e">
        <f>INDEX(reces_codes,MATCH(loaded!AI968,reason,0))</f>
        <v>#N/A</v>
      </c>
      <c r="P968" t="e">
        <f>INDEX(TDS_codes,MATCH(loaded!AK968,TDS,0))</f>
        <v>#N/A</v>
      </c>
      <c r="Q968" t="e">
        <f>IF(K968=2,"",INDEX(method_codes,MATCH(loaded!AM968,method,0)))</f>
        <v>#N/A</v>
      </c>
      <c r="R968" t="e">
        <f>IF(K968=2,"",INDEX(inj_codes,MATCH(loaded!AO968,inj,0)))</f>
        <v>#N/A</v>
      </c>
      <c r="S968" t="e">
        <f>IF(K968=2,"",INDEX(drug_codes,MATCH(loaded!AQ968,drug,0)))</f>
        <v>#N/A</v>
      </c>
      <c r="T968" t="e">
        <f>IF(K968=2,"",_xlfn.IFNA(INDEX(drug_codes,MATCH(loaded!AS968,drug,0)),""))</f>
        <v>#N/A</v>
      </c>
      <c r="U968" t="e">
        <f>IF(K968=2,"",_xlfn.IFNA(INDEX(drug_codes,MATCH(loaded!AU968,drug,0)),""))</f>
        <v>#N/A</v>
      </c>
      <c r="V968" t="e">
        <f>IF(K968=2,"",_xlfn.IFNA(INDEX(drug_codes,MATCH(loaded!AW968,drug,0)),""))</f>
        <v>#N/A</v>
      </c>
      <c r="W968" t="e">
        <f>IF(K968=2,"",_xlfn.IFNA(INDEX(drug_codes,MATCH(loaded!AY968,drug,0)),""))</f>
        <v>#N/A</v>
      </c>
      <c r="X968" t="e">
        <f>IF(K968=2,"",_xlfn.IFNA(INDEX(drug_codes,MATCH(loaded!BA968,drug,0)),""))</f>
        <v>#N/A</v>
      </c>
      <c r="Y968" t="e">
        <f>INDEX(MTT_codes,MATCH(loaded!BC968,MTT,0))</f>
        <v>#N/A</v>
      </c>
      <c r="Z968" t="str">
        <f>_xlfn.IFNA(INDEX(MTT_codes,MATCH(loaded!BE968,MTT,0)),"")</f>
        <v/>
      </c>
      <c r="AA968" t="str">
        <f>_xlfn.IFNA(INDEX(MTT_codes,MATCH(loaded!BG968,MTT,0)),"")</f>
        <v/>
      </c>
      <c r="AB968" t="str">
        <f>_xlfn.IFNA(INDEX(MTT_codes,MATCH(loaded!BI968,MTT,0)),"")</f>
        <v/>
      </c>
      <c r="AC968" t="str">
        <f>_xlfn.IFNA(INDEX(MTT_codes,MATCH(loaded!BK968,MTT,0)),"")</f>
        <v/>
      </c>
      <c r="AD968" t="str">
        <f>_xlfn.IFNA(INDEX(MTT_codes,MATCH(loaded!BM968,MTT,0)),"")</f>
        <v/>
      </c>
      <c r="AE968" t="e">
        <f>INDEX(liv_ar_codes,MATCH(loaded!BO968,liv_ar,0))</f>
        <v>#N/A</v>
      </c>
      <c r="AF968" t="str">
        <f>_xlfn.IFNA(INDEX(MTT_codes,MATCH(loaded!BQ968,MTT,0)),"")</f>
        <v/>
      </c>
      <c r="AG968">
        <f>_xlfn.IFNA(INDEX(mental_codes,MATCH(loaded!BS968,mental,0)),9)</f>
        <v>9</v>
      </c>
    </row>
    <row r="969" spans="1:33" x14ac:dyDescent="0.25">
      <c r="A969">
        <f>loaded!C969</f>
        <v>0</v>
      </c>
      <c r="B969">
        <f>loaded!I969</f>
        <v>0</v>
      </c>
      <c r="C969">
        <f>IF(loaded!K969="Male",1,IF(loaded!K969="Female",2,9))</f>
        <v>9</v>
      </c>
      <c r="D969" s="8">
        <f>loaded!M969</f>
        <v>0</v>
      </c>
      <c r="E969" t="str">
        <f>LEFT(loaded!O969,3)</f>
        <v/>
      </c>
      <c r="F969" t="e">
        <f>INDEX(cntry_codes,MATCH(loaded!Q969,countries,0))</f>
        <v>#N/A</v>
      </c>
      <c r="G969" t="e">
        <f>INDEX(atsi_codes,MATCH(loaded!S969,atsi,0))</f>
        <v>#N/A</v>
      </c>
      <c r="H969" t="e">
        <f>INDEX(lang_codes,MATCH(loaded!U969,lang,0))</f>
        <v>#N/A</v>
      </c>
      <c r="I969" s="8">
        <f>loaded!W969</f>
        <v>0</v>
      </c>
      <c r="J969" t="e">
        <f>INDEX(us_acc_codes,MATCH(loaded!Y969,us_acc,0))</f>
        <v>#N/A</v>
      </c>
      <c r="K969" t="e">
        <f>INDEX(client_codes,MATCH(loaded!AA969,client,0))</f>
        <v>#N/A</v>
      </c>
      <c r="L969" t="e">
        <f>INDEX(src_ref_codes,MATCH(loaded!AC969,src_ref,0))</f>
        <v>#N/A</v>
      </c>
      <c r="M969" s="8">
        <f>loaded!AE969</f>
        <v>0</v>
      </c>
      <c r="N969" s="8">
        <f>loaded!AG969</f>
        <v>0</v>
      </c>
      <c r="O969" t="e">
        <f>INDEX(reces_codes,MATCH(loaded!AI969,reason,0))</f>
        <v>#N/A</v>
      </c>
      <c r="P969" t="e">
        <f>INDEX(TDS_codes,MATCH(loaded!AK969,TDS,0))</f>
        <v>#N/A</v>
      </c>
      <c r="Q969" t="e">
        <f>IF(K969=2,"",INDEX(method_codes,MATCH(loaded!AM969,method,0)))</f>
        <v>#N/A</v>
      </c>
      <c r="R969" t="e">
        <f>IF(K969=2,"",INDEX(inj_codes,MATCH(loaded!AO969,inj,0)))</f>
        <v>#N/A</v>
      </c>
      <c r="S969" t="e">
        <f>IF(K969=2,"",INDEX(drug_codes,MATCH(loaded!AQ969,drug,0)))</f>
        <v>#N/A</v>
      </c>
      <c r="T969" t="e">
        <f>IF(K969=2,"",_xlfn.IFNA(INDEX(drug_codes,MATCH(loaded!AS969,drug,0)),""))</f>
        <v>#N/A</v>
      </c>
      <c r="U969" t="e">
        <f>IF(K969=2,"",_xlfn.IFNA(INDEX(drug_codes,MATCH(loaded!AU969,drug,0)),""))</f>
        <v>#N/A</v>
      </c>
      <c r="V969" t="e">
        <f>IF(K969=2,"",_xlfn.IFNA(INDEX(drug_codes,MATCH(loaded!AW969,drug,0)),""))</f>
        <v>#N/A</v>
      </c>
      <c r="W969" t="e">
        <f>IF(K969=2,"",_xlfn.IFNA(INDEX(drug_codes,MATCH(loaded!AY969,drug,0)),""))</f>
        <v>#N/A</v>
      </c>
      <c r="X969" t="e">
        <f>IF(K969=2,"",_xlfn.IFNA(INDEX(drug_codes,MATCH(loaded!BA969,drug,0)),""))</f>
        <v>#N/A</v>
      </c>
      <c r="Y969" t="e">
        <f>INDEX(MTT_codes,MATCH(loaded!BC969,MTT,0))</f>
        <v>#N/A</v>
      </c>
      <c r="Z969" t="str">
        <f>_xlfn.IFNA(INDEX(MTT_codes,MATCH(loaded!BE969,MTT,0)),"")</f>
        <v/>
      </c>
      <c r="AA969" t="str">
        <f>_xlfn.IFNA(INDEX(MTT_codes,MATCH(loaded!BG969,MTT,0)),"")</f>
        <v/>
      </c>
      <c r="AB969" t="str">
        <f>_xlfn.IFNA(INDEX(MTT_codes,MATCH(loaded!BI969,MTT,0)),"")</f>
        <v/>
      </c>
      <c r="AC969" t="str">
        <f>_xlfn.IFNA(INDEX(MTT_codes,MATCH(loaded!BK969,MTT,0)),"")</f>
        <v/>
      </c>
      <c r="AD969" t="str">
        <f>_xlfn.IFNA(INDEX(MTT_codes,MATCH(loaded!BM969,MTT,0)),"")</f>
        <v/>
      </c>
      <c r="AE969" t="e">
        <f>INDEX(liv_ar_codes,MATCH(loaded!BO969,liv_ar,0))</f>
        <v>#N/A</v>
      </c>
      <c r="AF969" t="str">
        <f>_xlfn.IFNA(INDEX(MTT_codes,MATCH(loaded!BQ969,MTT,0)),"")</f>
        <v/>
      </c>
      <c r="AG969">
        <f>_xlfn.IFNA(INDEX(mental_codes,MATCH(loaded!BS969,mental,0)),9)</f>
        <v>9</v>
      </c>
    </row>
    <row r="970" spans="1:33" x14ac:dyDescent="0.25">
      <c r="A970">
        <f>loaded!C970</f>
        <v>0</v>
      </c>
      <c r="B970">
        <f>loaded!I970</f>
        <v>0</v>
      </c>
      <c r="C970">
        <f>IF(loaded!K970="Male",1,IF(loaded!K970="Female",2,9))</f>
        <v>9</v>
      </c>
      <c r="D970" s="8">
        <f>loaded!M970</f>
        <v>0</v>
      </c>
      <c r="E970" t="str">
        <f>LEFT(loaded!O970,3)</f>
        <v/>
      </c>
      <c r="F970" t="e">
        <f>INDEX(cntry_codes,MATCH(loaded!Q970,countries,0))</f>
        <v>#N/A</v>
      </c>
      <c r="G970" t="e">
        <f>INDEX(atsi_codes,MATCH(loaded!S970,atsi,0))</f>
        <v>#N/A</v>
      </c>
      <c r="H970" t="e">
        <f>INDEX(lang_codes,MATCH(loaded!U970,lang,0))</f>
        <v>#N/A</v>
      </c>
      <c r="I970" s="8">
        <f>loaded!W970</f>
        <v>0</v>
      </c>
      <c r="J970" t="e">
        <f>INDEX(us_acc_codes,MATCH(loaded!Y970,us_acc,0))</f>
        <v>#N/A</v>
      </c>
      <c r="K970" t="e">
        <f>INDEX(client_codes,MATCH(loaded!AA970,client,0))</f>
        <v>#N/A</v>
      </c>
      <c r="L970" t="e">
        <f>INDEX(src_ref_codes,MATCH(loaded!AC970,src_ref,0))</f>
        <v>#N/A</v>
      </c>
      <c r="M970" s="8">
        <f>loaded!AE970</f>
        <v>0</v>
      </c>
      <c r="N970" s="8">
        <f>loaded!AG970</f>
        <v>0</v>
      </c>
      <c r="O970" t="e">
        <f>INDEX(reces_codes,MATCH(loaded!AI970,reason,0))</f>
        <v>#N/A</v>
      </c>
      <c r="P970" t="e">
        <f>INDEX(TDS_codes,MATCH(loaded!AK970,TDS,0))</f>
        <v>#N/A</v>
      </c>
      <c r="Q970" t="e">
        <f>IF(K970=2,"",INDEX(method_codes,MATCH(loaded!AM970,method,0)))</f>
        <v>#N/A</v>
      </c>
      <c r="R970" t="e">
        <f>IF(K970=2,"",INDEX(inj_codes,MATCH(loaded!AO970,inj,0)))</f>
        <v>#N/A</v>
      </c>
      <c r="S970" t="e">
        <f>IF(K970=2,"",INDEX(drug_codes,MATCH(loaded!AQ970,drug,0)))</f>
        <v>#N/A</v>
      </c>
      <c r="T970" t="e">
        <f>IF(K970=2,"",_xlfn.IFNA(INDEX(drug_codes,MATCH(loaded!AS970,drug,0)),""))</f>
        <v>#N/A</v>
      </c>
      <c r="U970" t="e">
        <f>IF(K970=2,"",_xlfn.IFNA(INDEX(drug_codes,MATCH(loaded!AU970,drug,0)),""))</f>
        <v>#N/A</v>
      </c>
      <c r="V970" t="e">
        <f>IF(K970=2,"",_xlfn.IFNA(INDEX(drug_codes,MATCH(loaded!AW970,drug,0)),""))</f>
        <v>#N/A</v>
      </c>
      <c r="W970" t="e">
        <f>IF(K970=2,"",_xlfn.IFNA(INDEX(drug_codes,MATCH(loaded!AY970,drug,0)),""))</f>
        <v>#N/A</v>
      </c>
      <c r="X970" t="e">
        <f>IF(K970=2,"",_xlfn.IFNA(INDEX(drug_codes,MATCH(loaded!BA970,drug,0)),""))</f>
        <v>#N/A</v>
      </c>
      <c r="Y970" t="e">
        <f>INDEX(MTT_codes,MATCH(loaded!BC970,MTT,0))</f>
        <v>#N/A</v>
      </c>
      <c r="Z970" t="str">
        <f>_xlfn.IFNA(INDEX(MTT_codes,MATCH(loaded!BE970,MTT,0)),"")</f>
        <v/>
      </c>
      <c r="AA970" t="str">
        <f>_xlfn.IFNA(INDEX(MTT_codes,MATCH(loaded!BG970,MTT,0)),"")</f>
        <v/>
      </c>
      <c r="AB970" t="str">
        <f>_xlfn.IFNA(INDEX(MTT_codes,MATCH(loaded!BI970,MTT,0)),"")</f>
        <v/>
      </c>
      <c r="AC970" t="str">
        <f>_xlfn.IFNA(INDEX(MTT_codes,MATCH(loaded!BK970,MTT,0)),"")</f>
        <v/>
      </c>
      <c r="AD970" t="str">
        <f>_xlfn.IFNA(INDEX(MTT_codes,MATCH(loaded!BM970,MTT,0)),"")</f>
        <v/>
      </c>
      <c r="AE970" t="e">
        <f>INDEX(liv_ar_codes,MATCH(loaded!BO970,liv_ar,0))</f>
        <v>#N/A</v>
      </c>
      <c r="AF970" t="str">
        <f>_xlfn.IFNA(INDEX(MTT_codes,MATCH(loaded!BQ970,MTT,0)),"")</f>
        <v/>
      </c>
      <c r="AG970">
        <f>_xlfn.IFNA(INDEX(mental_codes,MATCH(loaded!BS970,mental,0)),9)</f>
        <v>9</v>
      </c>
    </row>
    <row r="971" spans="1:33" x14ac:dyDescent="0.25">
      <c r="A971">
        <f>loaded!C971</f>
        <v>0</v>
      </c>
      <c r="B971">
        <f>loaded!I971</f>
        <v>0</v>
      </c>
      <c r="C971">
        <f>IF(loaded!K971="Male",1,IF(loaded!K971="Female",2,9))</f>
        <v>9</v>
      </c>
      <c r="D971" s="8">
        <f>loaded!M971</f>
        <v>0</v>
      </c>
      <c r="E971" t="str">
        <f>LEFT(loaded!O971,3)</f>
        <v/>
      </c>
      <c r="F971" t="e">
        <f>INDEX(cntry_codes,MATCH(loaded!Q971,countries,0))</f>
        <v>#N/A</v>
      </c>
      <c r="G971" t="e">
        <f>INDEX(atsi_codes,MATCH(loaded!S971,atsi,0))</f>
        <v>#N/A</v>
      </c>
      <c r="H971" t="e">
        <f>INDEX(lang_codes,MATCH(loaded!U971,lang,0))</f>
        <v>#N/A</v>
      </c>
      <c r="I971" s="8">
        <f>loaded!W971</f>
        <v>0</v>
      </c>
      <c r="J971" t="e">
        <f>INDEX(us_acc_codes,MATCH(loaded!Y971,us_acc,0))</f>
        <v>#N/A</v>
      </c>
      <c r="K971" t="e">
        <f>INDEX(client_codes,MATCH(loaded!AA971,client,0))</f>
        <v>#N/A</v>
      </c>
      <c r="L971" t="e">
        <f>INDEX(src_ref_codes,MATCH(loaded!AC971,src_ref,0))</f>
        <v>#N/A</v>
      </c>
      <c r="M971" s="8">
        <f>loaded!AE971</f>
        <v>0</v>
      </c>
      <c r="N971" s="8">
        <f>loaded!AG971</f>
        <v>0</v>
      </c>
      <c r="O971" t="e">
        <f>INDEX(reces_codes,MATCH(loaded!AI971,reason,0))</f>
        <v>#N/A</v>
      </c>
      <c r="P971" t="e">
        <f>INDEX(TDS_codes,MATCH(loaded!AK971,TDS,0))</f>
        <v>#N/A</v>
      </c>
      <c r="Q971" t="e">
        <f>IF(K971=2,"",INDEX(method_codes,MATCH(loaded!AM971,method,0)))</f>
        <v>#N/A</v>
      </c>
      <c r="R971" t="e">
        <f>IF(K971=2,"",INDEX(inj_codes,MATCH(loaded!AO971,inj,0)))</f>
        <v>#N/A</v>
      </c>
      <c r="S971" t="e">
        <f>IF(K971=2,"",INDEX(drug_codes,MATCH(loaded!AQ971,drug,0)))</f>
        <v>#N/A</v>
      </c>
      <c r="T971" t="e">
        <f>IF(K971=2,"",_xlfn.IFNA(INDEX(drug_codes,MATCH(loaded!AS971,drug,0)),""))</f>
        <v>#N/A</v>
      </c>
      <c r="U971" t="e">
        <f>IF(K971=2,"",_xlfn.IFNA(INDEX(drug_codes,MATCH(loaded!AU971,drug,0)),""))</f>
        <v>#N/A</v>
      </c>
      <c r="V971" t="e">
        <f>IF(K971=2,"",_xlfn.IFNA(INDEX(drug_codes,MATCH(loaded!AW971,drug,0)),""))</f>
        <v>#N/A</v>
      </c>
      <c r="W971" t="e">
        <f>IF(K971=2,"",_xlfn.IFNA(INDEX(drug_codes,MATCH(loaded!AY971,drug,0)),""))</f>
        <v>#N/A</v>
      </c>
      <c r="X971" t="e">
        <f>IF(K971=2,"",_xlfn.IFNA(INDEX(drug_codes,MATCH(loaded!BA971,drug,0)),""))</f>
        <v>#N/A</v>
      </c>
      <c r="Y971" t="e">
        <f>INDEX(MTT_codes,MATCH(loaded!BC971,MTT,0))</f>
        <v>#N/A</v>
      </c>
      <c r="Z971" t="str">
        <f>_xlfn.IFNA(INDEX(MTT_codes,MATCH(loaded!BE971,MTT,0)),"")</f>
        <v/>
      </c>
      <c r="AA971" t="str">
        <f>_xlfn.IFNA(INDEX(MTT_codes,MATCH(loaded!BG971,MTT,0)),"")</f>
        <v/>
      </c>
      <c r="AB971" t="str">
        <f>_xlfn.IFNA(INDEX(MTT_codes,MATCH(loaded!BI971,MTT,0)),"")</f>
        <v/>
      </c>
      <c r="AC971" t="str">
        <f>_xlfn.IFNA(INDEX(MTT_codes,MATCH(loaded!BK971,MTT,0)),"")</f>
        <v/>
      </c>
      <c r="AD971" t="str">
        <f>_xlfn.IFNA(INDEX(MTT_codes,MATCH(loaded!BM971,MTT,0)),"")</f>
        <v/>
      </c>
      <c r="AE971" t="e">
        <f>INDEX(liv_ar_codes,MATCH(loaded!BO971,liv_ar,0))</f>
        <v>#N/A</v>
      </c>
      <c r="AF971" t="str">
        <f>_xlfn.IFNA(INDEX(MTT_codes,MATCH(loaded!BQ971,MTT,0)),"")</f>
        <v/>
      </c>
      <c r="AG971">
        <f>_xlfn.IFNA(INDEX(mental_codes,MATCH(loaded!BS971,mental,0)),9)</f>
        <v>9</v>
      </c>
    </row>
    <row r="972" spans="1:33" x14ac:dyDescent="0.25">
      <c r="A972">
        <f>loaded!C972</f>
        <v>0</v>
      </c>
      <c r="B972">
        <f>loaded!I972</f>
        <v>0</v>
      </c>
      <c r="C972">
        <f>IF(loaded!K972="Male",1,IF(loaded!K972="Female",2,9))</f>
        <v>9</v>
      </c>
      <c r="D972" s="8">
        <f>loaded!M972</f>
        <v>0</v>
      </c>
      <c r="E972" t="str">
        <f>LEFT(loaded!O972,3)</f>
        <v/>
      </c>
      <c r="F972" t="e">
        <f>INDEX(cntry_codes,MATCH(loaded!Q972,countries,0))</f>
        <v>#N/A</v>
      </c>
      <c r="G972" t="e">
        <f>INDEX(atsi_codes,MATCH(loaded!S972,atsi,0))</f>
        <v>#N/A</v>
      </c>
      <c r="H972" t="e">
        <f>INDEX(lang_codes,MATCH(loaded!U972,lang,0))</f>
        <v>#N/A</v>
      </c>
      <c r="I972" s="8">
        <f>loaded!W972</f>
        <v>0</v>
      </c>
      <c r="J972" t="e">
        <f>INDEX(us_acc_codes,MATCH(loaded!Y972,us_acc,0))</f>
        <v>#N/A</v>
      </c>
      <c r="K972" t="e">
        <f>INDEX(client_codes,MATCH(loaded!AA972,client,0))</f>
        <v>#N/A</v>
      </c>
      <c r="L972" t="e">
        <f>INDEX(src_ref_codes,MATCH(loaded!AC972,src_ref,0))</f>
        <v>#N/A</v>
      </c>
      <c r="M972" s="8">
        <f>loaded!AE972</f>
        <v>0</v>
      </c>
      <c r="N972" s="8">
        <f>loaded!AG972</f>
        <v>0</v>
      </c>
      <c r="O972" t="e">
        <f>INDEX(reces_codes,MATCH(loaded!AI972,reason,0))</f>
        <v>#N/A</v>
      </c>
      <c r="P972" t="e">
        <f>INDEX(TDS_codes,MATCH(loaded!AK972,TDS,0))</f>
        <v>#N/A</v>
      </c>
      <c r="Q972" t="e">
        <f>IF(K972=2,"",INDEX(method_codes,MATCH(loaded!AM972,method,0)))</f>
        <v>#N/A</v>
      </c>
      <c r="R972" t="e">
        <f>IF(K972=2,"",INDEX(inj_codes,MATCH(loaded!AO972,inj,0)))</f>
        <v>#N/A</v>
      </c>
      <c r="S972" t="e">
        <f>IF(K972=2,"",INDEX(drug_codes,MATCH(loaded!AQ972,drug,0)))</f>
        <v>#N/A</v>
      </c>
      <c r="T972" t="e">
        <f>IF(K972=2,"",_xlfn.IFNA(INDEX(drug_codes,MATCH(loaded!AS972,drug,0)),""))</f>
        <v>#N/A</v>
      </c>
      <c r="U972" t="e">
        <f>IF(K972=2,"",_xlfn.IFNA(INDEX(drug_codes,MATCH(loaded!AU972,drug,0)),""))</f>
        <v>#N/A</v>
      </c>
      <c r="V972" t="e">
        <f>IF(K972=2,"",_xlfn.IFNA(INDEX(drug_codes,MATCH(loaded!AW972,drug,0)),""))</f>
        <v>#N/A</v>
      </c>
      <c r="W972" t="e">
        <f>IF(K972=2,"",_xlfn.IFNA(INDEX(drug_codes,MATCH(loaded!AY972,drug,0)),""))</f>
        <v>#N/A</v>
      </c>
      <c r="X972" t="e">
        <f>IF(K972=2,"",_xlfn.IFNA(INDEX(drug_codes,MATCH(loaded!BA972,drug,0)),""))</f>
        <v>#N/A</v>
      </c>
      <c r="Y972" t="e">
        <f>INDEX(MTT_codes,MATCH(loaded!BC972,MTT,0))</f>
        <v>#N/A</v>
      </c>
      <c r="Z972" t="str">
        <f>_xlfn.IFNA(INDEX(MTT_codes,MATCH(loaded!BE972,MTT,0)),"")</f>
        <v/>
      </c>
      <c r="AA972" t="str">
        <f>_xlfn.IFNA(INDEX(MTT_codes,MATCH(loaded!BG972,MTT,0)),"")</f>
        <v/>
      </c>
      <c r="AB972" t="str">
        <f>_xlfn.IFNA(INDEX(MTT_codes,MATCH(loaded!BI972,MTT,0)),"")</f>
        <v/>
      </c>
      <c r="AC972" t="str">
        <f>_xlfn.IFNA(INDEX(MTT_codes,MATCH(loaded!BK972,MTT,0)),"")</f>
        <v/>
      </c>
      <c r="AD972" t="str">
        <f>_xlfn.IFNA(INDEX(MTT_codes,MATCH(loaded!BM972,MTT,0)),"")</f>
        <v/>
      </c>
      <c r="AE972" t="e">
        <f>INDEX(liv_ar_codes,MATCH(loaded!BO972,liv_ar,0))</f>
        <v>#N/A</v>
      </c>
      <c r="AF972" t="str">
        <f>_xlfn.IFNA(INDEX(MTT_codes,MATCH(loaded!BQ972,MTT,0)),"")</f>
        <v/>
      </c>
      <c r="AG972">
        <f>_xlfn.IFNA(INDEX(mental_codes,MATCH(loaded!BS972,mental,0)),9)</f>
        <v>9</v>
      </c>
    </row>
    <row r="973" spans="1:33" x14ac:dyDescent="0.25">
      <c r="A973">
        <f>loaded!C973</f>
        <v>0</v>
      </c>
      <c r="B973">
        <f>loaded!I973</f>
        <v>0</v>
      </c>
      <c r="C973">
        <f>IF(loaded!K973="Male",1,IF(loaded!K973="Female",2,9))</f>
        <v>9</v>
      </c>
      <c r="D973" s="8">
        <f>loaded!M973</f>
        <v>0</v>
      </c>
      <c r="E973" t="str">
        <f>LEFT(loaded!O973,3)</f>
        <v/>
      </c>
      <c r="F973" t="e">
        <f>INDEX(cntry_codes,MATCH(loaded!Q973,countries,0))</f>
        <v>#N/A</v>
      </c>
      <c r="G973" t="e">
        <f>INDEX(atsi_codes,MATCH(loaded!S973,atsi,0))</f>
        <v>#N/A</v>
      </c>
      <c r="H973" t="e">
        <f>INDEX(lang_codes,MATCH(loaded!U973,lang,0))</f>
        <v>#N/A</v>
      </c>
      <c r="I973" s="8">
        <f>loaded!W973</f>
        <v>0</v>
      </c>
      <c r="J973" t="e">
        <f>INDEX(us_acc_codes,MATCH(loaded!Y973,us_acc,0))</f>
        <v>#N/A</v>
      </c>
      <c r="K973" t="e">
        <f>INDEX(client_codes,MATCH(loaded!AA973,client,0))</f>
        <v>#N/A</v>
      </c>
      <c r="L973" t="e">
        <f>INDEX(src_ref_codes,MATCH(loaded!AC973,src_ref,0))</f>
        <v>#N/A</v>
      </c>
      <c r="M973" s="8">
        <f>loaded!AE973</f>
        <v>0</v>
      </c>
      <c r="N973" s="8">
        <f>loaded!AG973</f>
        <v>0</v>
      </c>
      <c r="O973" t="e">
        <f>INDEX(reces_codes,MATCH(loaded!AI973,reason,0))</f>
        <v>#N/A</v>
      </c>
      <c r="P973" t="e">
        <f>INDEX(TDS_codes,MATCH(loaded!AK973,TDS,0))</f>
        <v>#N/A</v>
      </c>
      <c r="Q973" t="e">
        <f>IF(K973=2,"",INDEX(method_codes,MATCH(loaded!AM973,method,0)))</f>
        <v>#N/A</v>
      </c>
      <c r="R973" t="e">
        <f>IF(K973=2,"",INDEX(inj_codes,MATCH(loaded!AO973,inj,0)))</f>
        <v>#N/A</v>
      </c>
      <c r="S973" t="e">
        <f>IF(K973=2,"",INDEX(drug_codes,MATCH(loaded!AQ973,drug,0)))</f>
        <v>#N/A</v>
      </c>
      <c r="T973" t="e">
        <f>IF(K973=2,"",_xlfn.IFNA(INDEX(drug_codes,MATCH(loaded!AS973,drug,0)),""))</f>
        <v>#N/A</v>
      </c>
      <c r="U973" t="e">
        <f>IF(K973=2,"",_xlfn.IFNA(INDEX(drug_codes,MATCH(loaded!AU973,drug,0)),""))</f>
        <v>#N/A</v>
      </c>
      <c r="V973" t="e">
        <f>IF(K973=2,"",_xlfn.IFNA(INDEX(drug_codes,MATCH(loaded!AW973,drug,0)),""))</f>
        <v>#N/A</v>
      </c>
      <c r="W973" t="e">
        <f>IF(K973=2,"",_xlfn.IFNA(INDEX(drug_codes,MATCH(loaded!AY973,drug,0)),""))</f>
        <v>#N/A</v>
      </c>
      <c r="X973" t="e">
        <f>IF(K973=2,"",_xlfn.IFNA(INDEX(drug_codes,MATCH(loaded!BA973,drug,0)),""))</f>
        <v>#N/A</v>
      </c>
      <c r="Y973" t="e">
        <f>INDEX(MTT_codes,MATCH(loaded!BC973,MTT,0))</f>
        <v>#N/A</v>
      </c>
      <c r="Z973" t="str">
        <f>_xlfn.IFNA(INDEX(MTT_codes,MATCH(loaded!BE973,MTT,0)),"")</f>
        <v/>
      </c>
      <c r="AA973" t="str">
        <f>_xlfn.IFNA(INDEX(MTT_codes,MATCH(loaded!BG973,MTT,0)),"")</f>
        <v/>
      </c>
      <c r="AB973" t="str">
        <f>_xlfn.IFNA(INDEX(MTT_codes,MATCH(loaded!BI973,MTT,0)),"")</f>
        <v/>
      </c>
      <c r="AC973" t="str">
        <f>_xlfn.IFNA(INDEX(MTT_codes,MATCH(loaded!BK973,MTT,0)),"")</f>
        <v/>
      </c>
      <c r="AD973" t="str">
        <f>_xlfn.IFNA(INDEX(MTT_codes,MATCH(loaded!BM973,MTT,0)),"")</f>
        <v/>
      </c>
      <c r="AE973" t="e">
        <f>INDEX(liv_ar_codes,MATCH(loaded!BO973,liv_ar,0))</f>
        <v>#N/A</v>
      </c>
      <c r="AF973" t="str">
        <f>_xlfn.IFNA(INDEX(MTT_codes,MATCH(loaded!BQ973,MTT,0)),"")</f>
        <v/>
      </c>
      <c r="AG973">
        <f>_xlfn.IFNA(INDEX(mental_codes,MATCH(loaded!BS973,mental,0)),9)</f>
        <v>9</v>
      </c>
    </row>
    <row r="974" spans="1:33" x14ac:dyDescent="0.25">
      <c r="A974">
        <f>loaded!C974</f>
        <v>0</v>
      </c>
      <c r="B974">
        <f>loaded!I974</f>
        <v>0</v>
      </c>
      <c r="C974">
        <f>IF(loaded!K974="Male",1,IF(loaded!K974="Female",2,9))</f>
        <v>9</v>
      </c>
      <c r="D974" s="8">
        <f>loaded!M974</f>
        <v>0</v>
      </c>
      <c r="E974" t="str">
        <f>LEFT(loaded!O974,3)</f>
        <v/>
      </c>
      <c r="F974" t="e">
        <f>INDEX(cntry_codes,MATCH(loaded!Q974,countries,0))</f>
        <v>#N/A</v>
      </c>
      <c r="G974" t="e">
        <f>INDEX(atsi_codes,MATCH(loaded!S974,atsi,0))</f>
        <v>#N/A</v>
      </c>
      <c r="H974" t="e">
        <f>INDEX(lang_codes,MATCH(loaded!U974,lang,0))</f>
        <v>#N/A</v>
      </c>
      <c r="I974" s="8">
        <f>loaded!W974</f>
        <v>0</v>
      </c>
      <c r="J974" t="e">
        <f>INDEX(us_acc_codes,MATCH(loaded!Y974,us_acc,0))</f>
        <v>#N/A</v>
      </c>
      <c r="K974" t="e">
        <f>INDEX(client_codes,MATCH(loaded!AA974,client,0))</f>
        <v>#N/A</v>
      </c>
      <c r="L974" t="e">
        <f>INDEX(src_ref_codes,MATCH(loaded!AC974,src_ref,0))</f>
        <v>#N/A</v>
      </c>
      <c r="M974" s="8">
        <f>loaded!AE974</f>
        <v>0</v>
      </c>
      <c r="N974" s="8">
        <f>loaded!AG974</f>
        <v>0</v>
      </c>
      <c r="O974" t="e">
        <f>INDEX(reces_codes,MATCH(loaded!AI974,reason,0))</f>
        <v>#N/A</v>
      </c>
      <c r="P974" t="e">
        <f>INDEX(TDS_codes,MATCH(loaded!AK974,TDS,0))</f>
        <v>#N/A</v>
      </c>
      <c r="Q974" t="e">
        <f>IF(K974=2,"",INDEX(method_codes,MATCH(loaded!AM974,method,0)))</f>
        <v>#N/A</v>
      </c>
      <c r="R974" t="e">
        <f>IF(K974=2,"",INDEX(inj_codes,MATCH(loaded!AO974,inj,0)))</f>
        <v>#N/A</v>
      </c>
      <c r="S974" t="e">
        <f>IF(K974=2,"",INDEX(drug_codes,MATCH(loaded!AQ974,drug,0)))</f>
        <v>#N/A</v>
      </c>
      <c r="T974" t="e">
        <f>IF(K974=2,"",_xlfn.IFNA(INDEX(drug_codes,MATCH(loaded!AS974,drug,0)),""))</f>
        <v>#N/A</v>
      </c>
      <c r="U974" t="e">
        <f>IF(K974=2,"",_xlfn.IFNA(INDEX(drug_codes,MATCH(loaded!AU974,drug,0)),""))</f>
        <v>#N/A</v>
      </c>
      <c r="V974" t="e">
        <f>IF(K974=2,"",_xlfn.IFNA(INDEX(drug_codes,MATCH(loaded!AW974,drug,0)),""))</f>
        <v>#N/A</v>
      </c>
      <c r="W974" t="e">
        <f>IF(K974=2,"",_xlfn.IFNA(INDEX(drug_codes,MATCH(loaded!AY974,drug,0)),""))</f>
        <v>#N/A</v>
      </c>
      <c r="X974" t="e">
        <f>IF(K974=2,"",_xlfn.IFNA(INDEX(drug_codes,MATCH(loaded!BA974,drug,0)),""))</f>
        <v>#N/A</v>
      </c>
      <c r="Y974" t="e">
        <f>INDEX(MTT_codes,MATCH(loaded!BC974,MTT,0))</f>
        <v>#N/A</v>
      </c>
      <c r="Z974" t="str">
        <f>_xlfn.IFNA(INDEX(MTT_codes,MATCH(loaded!BE974,MTT,0)),"")</f>
        <v/>
      </c>
      <c r="AA974" t="str">
        <f>_xlfn.IFNA(INDEX(MTT_codes,MATCH(loaded!BG974,MTT,0)),"")</f>
        <v/>
      </c>
      <c r="AB974" t="str">
        <f>_xlfn.IFNA(INDEX(MTT_codes,MATCH(loaded!BI974,MTT,0)),"")</f>
        <v/>
      </c>
      <c r="AC974" t="str">
        <f>_xlfn.IFNA(INDEX(MTT_codes,MATCH(loaded!BK974,MTT,0)),"")</f>
        <v/>
      </c>
      <c r="AD974" t="str">
        <f>_xlfn.IFNA(INDEX(MTT_codes,MATCH(loaded!BM974,MTT,0)),"")</f>
        <v/>
      </c>
      <c r="AE974" t="e">
        <f>INDEX(liv_ar_codes,MATCH(loaded!BO974,liv_ar,0))</f>
        <v>#N/A</v>
      </c>
      <c r="AF974" t="str">
        <f>_xlfn.IFNA(INDEX(MTT_codes,MATCH(loaded!BQ974,MTT,0)),"")</f>
        <v/>
      </c>
      <c r="AG974">
        <f>_xlfn.IFNA(INDEX(mental_codes,MATCH(loaded!BS974,mental,0)),9)</f>
        <v>9</v>
      </c>
    </row>
    <row r="975" spans="1:33" x14ac:dyDescent="0.25">
      <c r="A975">
        <f>loaded!C975</f>
        <v>0</v>
      </c>
      <c r="B975">
        <f>loaded!I975</f>
        <v>0</v>
      </c>
      <c r="C975">
        <f>IF(loaded!K975="Male",1,IF(loaded!K975="Female",2,9))</f>
        <v>9</v>
      </c>
      <c r="D975" s="8">
        <f>loaded!M975</f>
        <v>0</v>
      </c>
      <c r="E975" t="str">
        <f>LEFT(loaded!O975,3)</f>
        <v/>
      </c>
      <c r="F975" t="e">
        <f>INDEX(cntry_codes,MATCH(loaded!Q975,countries,0))</f>
        <v>#N/A</v>
      </c>
      <c r="G975" t="e">
        <f>INDEX(atsi_codes,MATCH(loaded!S975,atsi,0))</f>
        <v>#N/A</v>
      </c>
      <c r="H975" t="e">
        <f>INDEX(lang_codes,MATCH(loaded!U975,lang,0))</f>
        <v>#N/A</v>
      </c>
      <c r="I975" s="8">
        <f>loaded!W975</f>
        <v>0</v>
      </c>
      <c r="J975" t="e">
        <f>INDEX(us_acc_codes,MATCH(loaded!Y975,us_acc,0))</f>
        <v>#N/A</v>
      </c>
      <c r="K975" t="e">
        <f>INDEX(client_codes,MATCH(loaded!AA975,client,0))</f>
        <v>#N/A</v>
      </c>
      <c r="L975" t="e">
        <f>INDEX(src_ref_codes,MATCH(loaded!AC975,src_ref,0))</f>
        <v>#N/A</v>
      </c>
      <c r="M975" s="8">
        <f>loaded!AE975</f>
        <v>0</v>
      </c>
      <c r="N975" s="8">
        <f>loaded!AG975</f>
        <v>0</v>
      </c>
      <c r="O975" t="e">
        <f>INDEX(reces_codes,MATCH(loaded!AI975,reason,0))</f>
        <v>#N/A</v>
      </c>
      <c r="P975" t="e">
        <f>INDEX(TDS_codes,MATCH(loaded!AK975,TDS,0))</f>
        <v>#N/A</v>
      </c>
      <c r="Q975" t="e">
        <f>IF(K975=2,"",INDEX(method_codes,MATCH(loaded!AM975,method,0)))</f>
        <v>#N/A</v>
      </c>
      <c r="R975" t="e">
        <f>IF(K975=2,"",INDEX(inj_codes,MATCH(loaded!AO975,inj,0)))</f>
        <v>#N/A</v>
      </c>
      <c r="S975" t="e">
        <f>IF(K975=2,"",INDEX(drug_codes,MATCH(loaded!AQ975,drug,0)))</f>
        <v>#N/A</v>
      </c>
      <c r="T975" t="e">
        <f>IF(K975=2,"",_xlfn.IFNA(INDEX(drug_codes,MATCH(loaded!AS975,drug,0)),""))</f>
        <v>#N/A</v>
      </c>
      <c r="U975" t="e">
        <f>IF(K975=2,"",_xlfn.IFNA(INDEX(drug_codes,MATCH(loaded!AU975,drug,0)),""))</f>
        <v>#N/A</v>
      </c>
      <c r="V975" t="e">
        <f>IF(K975=2,"",_xlfn.IFNA(INDEX(drug_codes,MATCH(loaded!AW975,drug,0)),""))</f>
        <v>#N/A</v>
      </c>
      <c r="W975" t="e">
        <f>IF(K975=2,"",_xlfn.IFNA(INDEX(drug_codes,MATCH(loaded!AY975,drug,0)),""))</f>
        <v>#N/A</v>
      </c>
      <c r="X975" t="e">
        <f>IF(K975=2,"",_xlfn.IFNA(INDEX(drug_codes,MATCH(loaded!BA975,drug,0)),""))</f>
        <v>#N/A</v>
      </c>
      <c r="Y975" t="e">
        <f>INDEX(MTT_codes,MATCH(loaded!BC975,MTT,0))</f>
        <v>#N/A</v>
      </c>
      <c r="Z975" t="str">
        <f>_xlfn.IFNA(INDEX(MTT_codes,MATCH(loaded!BE975,MTT,0)),"")</f>
        <v/>
      </c>
      <c r="AA975" t="str">
        <f>_xlfn.IFNA(INDEX(MTT_codes,MATCH(loaded!BG975,MTT,0)),"")</f>
        <v/>
      </c>
      <c r="AB975" t="str">
        <f>_xlfn.IFNA(INDEX(MTT_codes,MATCH(loaded!BI975,MTT,0)),"")</f>
        <v/>
      </c>
      <c r="AC975" t="str">
        <f>_xlfn.IFNA(INDEX(MTT_codes,MATCH(loaded!BK975,MTT,0)),"")</f>
        <v/>
      </c>
      <c r="AD975" t="str">
        <f>_xlfn.IFNA(INDEX(MTT_codes,MATCH(loaded!BM975,MTT,0)),"")</f>
        <v/>
      </c>
      <c r="AE975" t="e">
        <f>INDEX(liv_ar_codes,MATCH(loaded!BO975,liv_ar,0))</f>
        <v>#N/A</v>
      </c>
      <c r="AF975" t="str">
        <f>_xlfn.IFNA(INDEX(MTT_codes,MATCH(loaded!BQ975,MTT,0)),"")</f>
        <v/>
      </c>
      <c r="AG975">
        <f>_xlfn.IFNA(INDEX(mental_codes,MATCH(loaded!BS975,mental,0)),9)</f>
        <v>9</v>
      </c>
    </row>
    <row r="976" spans="1:33" x14ac:dyDescent="0.25">
      <c r="A976">
        <f>loaded!C976</f>
        <v>0</v>
      </c>
      <c r="B976">
        <f>loaded!I976</f>
        <v>0</v>
      </c>
      <c r="C976">
        <f>IF(loaded!K976="Male",1,IF(loaded!K976="Female",2,9))</f>
        <v>9</v>
      </c>
      <c r="D976" s="8">
        <f>loaded!M976</f>
        <v>0</v>
      </c>
      <c r="E976" t="str">
        <f>LEFT(loaded!O976,3)</f>
        <v/>
      </c>
      <c r="F976" t="e">
        <f>INDEX(cntry_codes,MATCH(loaded!Q976,countries,0))</f>
        <v>#N/A</v>
      </c>
      <c r="G976" t="e">
        <f>INDEX(atsi_codes,MATCH(loaded!S976,atsi,0))</f>
        <v>#N/A</v>
      </c>
      <c r="H976" t="e">
        <f>INDEX(lang_codes,MATCH(loaded!U976,lang,0))</f>
        <v>#N/A</v>
      </c>
      <c r="I976" s="8">
        <f>loaded!W976</f>
        <v>0</v>
      </c>
      <c r="J976" t="e">
        <f>INDEX(us_acc_codes,MATCH(loaded!Y976,us_acc,0))</f>
        <v>#N/A</v>
      </c>
      <c r="K976" t="e">
        <f>INDEX(client_codes,MATCH(loaded!AA976,client,0))</f>
        <v>#N/A</v>
      </c>
      <c r="L976" t="e">
        <f>INDEX(src_ref_codes,MATCH(loaded!AC976,src_ref,0))</f>
        <v>#N/A</v>
      </c>
      <c r="M976" s="8">
        <f>loaded!AE976</f>
        <v>0</v>
      </c>
      <c r="N976" s="8">
        <f>loaded!AG976</f>
        <v>0</v>
      </c>
      <c r="O976" t="e">
        <f>INDEX(reces_codes,MATCH(loaded!AI976,reason,0))</f>
        <v>#N/A</v>
      </c>
      <c r="P976" t="e">
        <f>INDEX(TDS_codes,MATCH(loaded!AK976,TDS,0))</f>
        <v>#N/A</v>
      </c>
      <c r="Q976" t="e">
        <f>IF(K976=2,"",INDEX(method_codes,MATCH(loaded!AM976,method,0)))</f>
        <v>#N/A</v>
      </c>
      <c r="R976" t="e">
        <f>IF(K976=2,"",INDEX(inj_codes,MATCH(loaded!AO976,inj,0)))</f>
        <v>#N/A</v>
      </c>
      <c r="S976" t="e">
        <f>IF(K976=2,"",INDEX(drug_codes,MATCH(loaded!AQ976,drug,0)))</f>
        <v>#N/A</v>
      </c>
      <c r="T976" t="e">
        <f>IF(K976=2,"",_xlfn.IFNA(INDEX(drug_codes,MATCH(loaded!AS976,drug,0)),""))</f>
        <v>#N/A</v>
      </c>
      <c r="U976" t="e">
        <f>IF(K976=2,"",_xlfn.IFNA(INDEX(drug_codes,MATCH(loaded!AU976,drug,0)),""))</f>
        <v>#N/A</v>
      </c>
      <c r="V976" t="e">
        <f>IF(K976=2,"",_xlfn.IFNA(INDEX(drug_codes,MATCH(loaded!AW976,drug,0)),""))</f>
        <v>#N/A</v>
      </c>
      <c r="W976" t="e">
        <f>IF(K976=2,"",_xlfn.IFNA(INDEX(drug_codes,MATCH(loaded!AY976,drug,0)),""))</f>
        <v>#N/A</v>
      </c>
      <c r="X976" t="e">
        <f>IF(K976=2,"",_xlfn.IFNA(INDEX(drug_codes,MATCH(loaded!BA976,drug,0)),""))</f>
        <v>#N/A</v>
      </c>
      <c r="Y976" t="e">
        <f>INDEX(MTT_codes,MATCH(loaded!BC976,MTT,0))</f>
        <v>#N/A</v>
      </c>
      <c r="Z976" t="str">
        <f>_xlfn.IFNA(INDEX(MTT_codes,MATCH(loaded!BE976,MTT,0)),"")</f>
        <v/>
      </c>
      <c r="AA976" t="str">
        <f>_xlfn.IFNA(INDEX(MTT_codes,MATCH(loaded!BG976,MTT,0)),"")</f>
        <v/>
      </c>
      <c r="AB976" t="str">
        <f>_xlfn.IFNA(INDEX(MTT_codes,MATCH(loaded!BI976,MTT,0)),"")</f>
        <v/>
      </c>
      <c r="AC976" t="str">
        <f>_xlfn.IFNA(INDEX(MTT_codes,MATCH(loaded!BK976,MTT,0)),"")</f>
        <v/>
      </c>
      <c r="AD976" t="str">
        <f>_xlfn.IFNA(INDEX(MTT_codes,MATCH(loaded!BM976,MTT,0)),"")</f>
        <v/>
      </c>
      <c r="AE976" t="e">
        <f>INDEX(liv_ar_codes,MATCH(loaded!BO976,liv_ar,0))</f>
        <v>#N/A</v>
      </c>
      <c r="AF976" t="str">
        <f>_xlfn.IFNA(INDEX(MTT_codes,MATCH(loaded!BQ976,MTT,0)),"")</f>
        <v/>
      </c>
      <c r="AG976">
        <f>_xlfn.IFNA(INDEX(mental_codes,MATCH(loaded!BS976,mental,0)),9)</f>
        <v>9</v>
      </c>
    </row>
    <row r="977" spans="1:33" x14ac:dyDescent="0.25">
      <c r="A977">
        <f>loaded!C977</f>
        <v>0</v>
      </c>
      <c r="B977">
        <f>loaded!I977</f>
        <v>0</v>
      </c>
      <c r="C977">
        <f>IF(loaded!K977="Male",1,IF(loaded!K977="Female",2,9))</f>
        <v>9</v>
      </c>
      <c r="D977" s="8">
        <f>loaded!M977</f>
        <v>0</v>
      </c>
      <c r="E977" t="str">
        <f>LEFT(loaded!O977,3)</f>
        <v/>
      </c>
      <c r="F977" t="e">
        <f>INDEX(cntry_codes,MATCH(loaded!Q977,countries,0))</f>
        <v>#N/A</v>
      </c>
      <c r="G977" t="e">
        <f>INDEX(atsi_codes,MATCH(loaded!S977,atsi,0))</f>
        <v>#N/A</v>
      </c>
      <c r="H977" t="e">
        <f>INDEX(lang_codes,MATCH(loaded!U977,lang,0))</f>
        <v>#N/A</v>
      </c>
      <c r="I977" s="8">
        <f>loaded!W977</f>
        <v>0</v>
      </c>
      <c r="J977" t="e">
        <f>INDEX(us_acc_codes,MATCH(loaded!Y977,us_acc,0))</f>
        <v>#N/A</v>
      </c>
      <c r="K977" t="e">
        <f>INDEX(client_codes,MATCH(loaded!AA977,client,0))</f>
        <v>#N/A</v>
      </c>
      <c r="L977" t="e">
        <f>INDEX(src_ref_codes,MATCH(loaded!AC977,src_ref,0))</f>
        <v>#N/A</v>
      </c>
      <c r="M977" s="8">
        <f>loaded!AE977</f>
        <v>0</v>
      </c>
      <c r="N977" s="8">
        <f>loaded!AG977</f>
        <v>0</v>
      </c>
      <c r="O977" t="e">
        <f>INDEX(reces_codes,MATCH(loaded!AI977,reason,0))</f>
        <v>#N/A</v>
      </c>
      <c r="P977" t="e">
        <f>INDEX(TDS_codes,MATCH(loaded!AK977,TDS,0))</f>
        <v>#N/A</v>
      </c>
      <c r="Q977" t="e">
        <f>IF(K977=2,"",INDEX(method_codes,MATCH(loaded!AM977,method,0)))</f>
        <v>#N/A</v>
      </c>
      <c r="R977" t="e">
        <f>IF(K977=2,"",INDEX(inj_codes,MATCH(loaded!AO977,inj,0)))</f>
        <v>#N/A</v>
      </c>
      <c r="S977" t="e">
        <f>IF(K977=2,"",INDEX(drug_codes,MATCH(loaded!AQ977,drug,0)))</f>
        <v>#N/A</v>
      </c>
      <c r="T977" t="e">
        <f>IF(K977=2,"",_xlfn.IFNA(INDEX(drug_codes,MATCH(loaded!AS977,drug,0)),""))</f>
        <v>#N/A</v>
      </c>
      <c r="U977" t="e">
        <f>IF(K977=2,"",_xlfn.IFNA(INDEX(drug_codes,MATCH(loaded!AU977,drug,0)),""))</f>
        <v>#N/A</v>
      </c>
      <c r="V977" t="e">
        <f>IF(K977=2,"",_xlfn.IFNA(INDEX(drug_codes,MATCH(loaded!AW977,drug,0)),""))</f>
        <v>#N/A</v>
      </c>
      <c r="W977" t="e">
        <f>IF(K977=2,"",_xlfn.IFNA(INDEX(drug_codes,MATCH(loaded!AY977,drug,0)),""))</f>
        <v>#N/A</v>
      </c>
      <c r="X977" t="e">
        <f>IF(K977=2,"",_xlfn.IFNA(INDEX(drug_codes,MATCH(loaded!BA977,drug,0)),""))</f>
        <v>#N/A</v>
      </c>
      <c r="Y977" t="e">
        <f>INDEX(MTT_codes,MATCH(loaded!BC977,MTT,0))</f>
        <v>#N/A</v>
      </c>
      <c r="Z977" t="str">
        <f>_xlfn.IFNA(INDEX(MTT_codes,MATCH(loaded!BE977,MTT,0)),"")</f>
        <v/>
      </c>
      <c r="AA977" t="str">
        <f>_xlfn.IFNA(INDEX(MTT_codes,MATCH(loaded!BG977,MTT,0)),"")</f>
        <v/>
      </c>
      <c r="AB977" t="str">
        <f>_xlfn.IFNA(INDEX(MTT_codes,MATCH(loaded!BI977,MTT,0)),"")</f>
        <v/>
      </c>
      <c r="AC977" t="str">
        <f>_xlfn.IFNA(INDEX(MTT_codes,MATCH(loaded!BK977,MTT,0)),"")</f>
        <v/>
      </c>
      <c r="AD977" t="str">
        <f>_xlfn.IFNA(INDEX(MTT_codes,MATCH(loaded!BM977,MTT,0)),"")</f>
        <v/>
      </c>
      <c r="AE977" t="e">
        <f>INDEX(liv_ar_codes,MATCH(loaded!BO977,liv_ar,0))</f>
        <v>#N/A</v>
      </c>
      <c r="AF977" t="str">
        <f>_xlfn.IFNA(INDEX(MTT_codes,MATCH(loaded!BQ977,MTT,0)),"")</f>
        <v/>
      </c>
      <c r="AG977">
        <f>_xlfn.IFNA(INDEX(mental_codes,MATCH(loaded!BS977,mental,0)),9)</f>
        <v>9</v>
      </c>
    </row>
    <row r="978" spans="1:33" x14ac:dyDescent="0.25">
      <c r="A978">
        <f>loaded!C978</f>
        <v>0</v>
      </c>
      <c r="B978">
        <f>loaded!I978</f>
        <v>0</v>
      </c>
      <c r="C978">
        <f>IF(loaded!K978="Male",1,IF(loaded!K978="Female",2,9))</f>
        <v>9</v>
      </c>
      <c r="D978" s="8">
        <f>loaded!M978</f>
        <v>0</v>
      </c>
      <c r="E978" t="str">
        <f>LEFT(loaded!O978,3)</f>
        <v/>
      </c>
      <c r="F978" t="e">
        <f>INDEX(cntry_codes,MATCH(loaded!Q978,countries,0))</f>
        <v>#N/A</v>
      </c>
      <c r="G978" t="e">
        <f>INDEX(atsi_codes,MATCH(loaded!S978,atsi,0))</f>
        <v>#N/A</v>
      </c>
      <c r="H978" t="e">
        <f>INDEX(lang_codes,MATCH(loaded!U978,lang,0))</f>
        <v>#N/A</v>
      </c>
      <c r="I978" s="8">
        <f>loaded!W978</f>
        <v>0</v>
      </c>
      <c r="J978" t="e">
        <f>INDEX(us_acc_codes,MATCH(loaded!Y978,us_acc,0))</f>
        <v>#N/A</v>
      </c>
      <c r="K978" t="e">
        <f>INDEX(client_codes,MATCH(loaded!AA978,client,0))</f>
        <v>#N/A</v>
      </c>
      <c r="L978" t="e">
        <f>INDEX(src_ref_codes,MATCH(loaded!AC978,src_ref,0))</f>
        <v>#N/A</v>
      </c>
      <c r="M978" s="8">
        <f>loaded!AE978</f>
        <v>0</v>
      </c>
      <c r="N978" s="8">
        <f>loaded!AG978</f>
        <v>0</v>
      </c>
      <c r="O978" t="e">
        <f>INDEX(reces_codes,MATCH(loaded!AI978,reason,0))</f>
        <v>#N/A</v>
      </c>
      <c r="P978" t="e">
        <f>INDEX(TDS_codes,MATCH(loaded!AK978,TDS,0))</f>
        <v>#N/A</v>
      </c>
      <c r="Q978" t="e">
        <f>IF(K978=2,"",INDEX(method_codes,MATCH(loaded!AM978,method,0)))</f>
        <v>#N/A</v>
      </c>
      <c r="R978" t="e">
        <f>IF(K978=2,"",INDEX(inj_codes,MATCH(loaded!AO978,inj,0)))</f>
        <v>#N/A</v>
      </c>
      <c r="S978" t="e">
        <f>IF(K978=2,"",INDEX(drug_codes,MATCH(loaded!AQ978,drug,0)))</f>
        <v>#N/A</v>
      </c>
      <c r="T978" t="e">
        <f>IF(K978=2,"",_xlfn.IFNA(INDEX(drug_codes,MATCH(loaded!AS978,drug,0)),""))</f>
        <v>#N/A</v>
      </c>
      <c r="U978" t="e">
        <f>IF(K978=2,"",_xlfn.IFNA(INDEX(drug_codes,MATCH(loaded!AU978,drug,0)),""))</f>
        <v>#N/A</v>
      </c>
      <c r="V978" t="e">
        <f>IF(K978=2,"",_xlfn.IFNA(INDEX(drug_codes,MATCH(loaded!AW978,drug,0)),""))</f>
        <v>#N/A</v>
      </c>
      <c r="W978" t="e">
        <f>IF(K978=2,"",_xlfn.IFNA(INDEX(drug_codes,MATCH(loaded!AY978,drug,0)),""))</f>
        <v>#N/A</v>
      </c>
      <c r="X978" t="e">
        <f>IF(K978=2,"",_xlfn.IFNA(INDEX(drug_codes,MATCH(loaded!BA978,drug,0)),""))</f>
        <v>#N/A</v>
      </c>
      <c r="Y978" t="e">
        <f>INDEX(MTT_codes,MATCH(loaded!BC978,MTT,0))</f>
        <v>#N/A</v>
      </c>
      <c r="Z978" t="str">
        <f>_xlfn.IFNA(INDEX(MTT_codes,MATCH(loaded!BE978,MTT,0)),"")</f>
        <v/>
      </c>
      <c r="AA978" t="str">
        <f>_xlfn.IFNA(INDEX(MTT_codes,MATCH(loaded!BG978,MTT,0)),"")</f>
        <v/>
      </c>
      <c r="AB978" t="str">
        <f>_xlfn.IFNA(INDEX(MTT_codes,MATCH(loaded!BI978,MTT,0)),"")</f>
        <v/>
      </c>
      <c r="AC978" t="str">
        <f>_xlfn.IFNA(INDEX(MTT_codes,MATCH(loaded!BK978,MTT,0)),"")</f>
        <v/>
      </c>
      <c r="AD978" t="str">
        <f>_xlfn.IFNA(INDEX(MTT_codes,MATCH(loaded!BM978,MTT,0)),"")</f>
        <v/>
      </c>
      <c r="AE978" t="e">
        <f>INDEX(liv_ar_codes,MATCH(loaded!BO978,liv_ar,0))</f>
        <v>#N/A</v>
      </c>
      <c r="AF978" t="str">
        <f>_xlfn.IFNA(INDEX(MTT_codes,MATCH(loaded!BQ978,MTT,0)),"")</f>
        <v/>
      </c>
      <c r="AG978">
        <f>_xlfn.IFNA(INDEX(mental_codes,MATCH(loaded!BS978,mental,0)),9)</f>
        <v>9</v>
      </c>
    </row>
    <row r="979" spans="1:33" x14ac:dyDescent="0.25">
      <c r="A979">
        <f>loaded!C979</f>
        <v>0</v>
      </c>
      <c r="B979">
        <f>loaded!I979</f>
        <v>0</v>
      </c>
      <c r="C979">
        <f>IF(loaded!K979="Male",1,IF(loaded!K979="Female",2,9))</f>
        <v>9</v>
      </c>
      <c r="D979" s="8">
        <f>loaded!M979</f>
        <v>0</v>
      </c>
      <c r="E979" t="str">
        <f>LEFT(loaded!O979,3)</f>
        <v/>
      </c>
      <c r="F979" t="e">
        <f>INDEX(cntry_codes,MATCH(loaded!Q979,countries,0))</f>
        <v>#N/A</v>
      </c>
      <c r="G979" t="e">
        <f>INDEX(atsi_codes,MATCH(loaded!S979,atsi,0))</f>
        <v>#N/A</v>
      </c>
      <c r="H979" t="e">
        <f>INDEX(lang_codes,MATCH(loaded!U979,lang,0))</f>
        <v>#N/A</v>
      </c>
      <c r="I979" s="8">
        <f>loaded!W979</f>
        <v>0</v>
      </c>
      <c r="J979" t="e">
        <f>INDEX(us_acc_codes,MATCH(loaded!Y979,us_acc,0))</f>
        <v>#N/A</v>
      </c>
      <c r="K979" t="e">
        <f>INDEX(client_codes,MATCH(loaded!AA979,client,0))</f>
        <v>#N/A</v>
      </c>
      <c r="L979" t="e">
        <f>INDEX(src_ref_codes,MATCH(loaded!AC979,src_ref,0))</f>
        <v>#N/A</v>
      </c>
      <c r="M979" s="8">
        <f>loaded!AE979</f>
        <v>0</v>
      </c>
      <c r="N979" s="8">
        <f>loaded!AG979</f>
        <v>0</v>
      </c>
      <c r="O979" t="e">
        <f>INDEX(reces_codes,MATCH(loaded!AI979,reason,0))</f>
        <v>#N/A</v>
      </c>
      <c r="P979" t="e">
        <f>INDEX(TDS_codes,MATCH(loaded!AK979,TDS,0))</f>
        <v>#N/A</v>
      </c>
      <c r="Q979" t="e">
        <f>IF(K979=2,"",INDEX(method_codes,MATCH(loaded!AM979,method,0)))</f>
        <v>#N/A</v>
      </c>
      <c r="R979" t="e">
        <f>IF(K979=2,"",INDEX(inj_codes,MATCH(loaded!AO979,inj,0)))</f>
        <v>#N/A</v>
      </c>
      <c r="S979" t="e">
        <f>IF(K979=2,"",INDEX(drug_codes,MATCH(loaded!AQ979,drug,0)))</f>
        <v>#N/A</v>
      </c>
      <c r="T979" t="e">
        <f>IF(K979=2,"",_xlfn.IFNA(INDEX(drug_codes,MATCH(loaded!AS979,drug,0)),""))</f>
        <v>#N/A</v>
      </c>
      <c r="U979" t="e">
        <f>IF(K979=2,"",_xlfn.IFNA(INDEX(drug_codes,MATCH(loaded!AU979,drug,0)),""))</f>
        <v>#N/A</v>
      </c>
      <c r="V979" t="e">
        <f>IF(K979=2,"",_xlfn.IFNA(INDEX(drug_codes,MATCH(loaded!AW979,drug,0)),""))</f>
        <v>#N/A</v>
      </c>
      <c r="W979" t="e">
        <f>IF(K979=2,"",_xlfn.IFNA(INDEX(drug_codes,MATCH(loaded!AY979,drug,0)),""))</f>
        <v>#N/A</v>
      </c>
      <c r="X979" t="e">
        <f>IF(K979=2,"",_xlfn.IFNA(INDEX(drug_codes,MATCH(loaded!BA979,drug,0)),""))</f>
        <v>#N/A</v>
      </c>
      <c r="Y979" t="e">
        <f>INDEX(MTT_codes,MATCH(loaded!BC979,MTT,0))</f>
        <v>#N/A</v>
      </c>
      <c r="Z979" t="str">
        <f>_xlfn.IFNA(INDEX(MTT_codes,MATCH(loaded!BE979,MTT,0)),"")</f>
        <v/>
      </c>
      <c r="AA979" t="str">
        <f>_xlfn.IFNA(INDEX(MTT_codes,MATCH(loaded!BG979,MTT,0)),"")</f>
        <v/>
      </c>
      <c r="AB979" t="str">
        <f>_xlfn.IFNA(INDEX(MTT_codes,MATCH(loaded!BI979,MTT,0)),"")</f>
        <v/>
      </c>
      <c r="AC979" t="str">
        <f>_xlfn.IFNA(INDEX(MTT_codes,MATCH(loaded!BK979,MTT,0)),"")</f>
        <v/>
      </c>
      <c r="AD979" t="str">
        <f>_xlfn.IFNA(INDEX(MTT_codes,MATCH(loaded!BM979,MTT,0)),"")</f>
        <v/>
      </c>
      <c r="AE979" t="e">
        <f>INDEX(liv_ar_codes,MATCH(loaded!BO979,liv_ar,0))</f>
        <v>#N/A</v>
      </c>
      <c r="AF979" t="str">
        <f>_xlfn.IFNA(INDEX(MTT_codes,MATCH(loaded!BQ979,MTT,0)),"")</f>
        <v/>
      </c>
      <c r="AG979">
        <f>_xlfn.IFNA(INDEX(mental_codes,MATCH(loaded!BS979,mental,0)),9)</f>
        <v>9</v>
      </c>
    </row>
    <row r="980" spans="1:33" x14ac:dyDescent="0.25">
      <c r="A980">
        <f>loaded!C980</f>
        <v>0</v>
      </c>
      <c r="B980">
        <f>loaded!I980</f>
        <v>0</v>
      </c>
      <c r="C980">
        <f>IF(loaded!K980="Male",1,IF(loaded!K980="Female",2,9))</f>
        <v>9</v>
      </c>
      <c r="D980" s="8">
        <f>loaded!M980</f>
        <v>0</v>
      </c>
      <c r="E980" t="str">
        <f>LEFT(loaded!O980,3)</f>
        <v/>
      </c>
      <c r="F980" t="e">
        <f>INDEX(cntry_codes,MATCH(loaded!Q980,countries,0))</f>
        <v>#N/A</v>
      </c>
      <c r="G980" t="e">
        <f>INDEX(atsi_codes,MATCH(loaded!S980,atsi,0))</f>
        <v>#N/A</v>
      </c>
      <c r="H980" t="e">
        <f>INDEX(lang_codes,MATCH(loaded!U980,lang,0))</f>
        <v>#N/A</v>
      </c>
      <c r="I980" s="8">
        <f>loaded!W980</f>
        <v>0</v>
      </c>
      <c r="J980" t="e">
        <f>INDEX(us_acc_codes,MATCH(loaded!Y980,us_acc,0))</f>
        <v>#N/A</v>
      </c>
      <c r="K980" t="e">
        <f>INDEX(client_codes,MATCH(loaded!AA980,client,0))</f>
        <v>#N/A</v>
      </c>
      <c r="L980" t="e">
        <f>INDEX(src_ref_codes,MATCH(loaded!AC980,src_ref,0))</f>
        <v>#N/A</v>
      </c>
      <c r="M980" s="8">
        <f>loaded!AE980</f>
        <v>0</v>
      </c>
      <c r="N980" s="8">
        <f>loaded!AG980</f>
        <v>0</v>
      </c>
      <c r="O980" t="e">
        <f>INDEX(reces_codes,MATCH(loaded!AI980,reason,0))</f>
        <v>#N/A</v>
      </c>
      <c r="P980" t="e">
        <f>INDEX(TDS_codes,MATCH(loaded!AK980,TDS,0))</f>
        <v>#N/A</v>
      </c>
      <c r="Q980" t="e">
        <f>IF(K980=2,"",INDEX(method_codes,MATCH(loaded!AM980,method,0)))</f>
        <v>#N/A</v>
      </c>
      <c r="R980" t="e">
        <f>IF(K980=2,"",INDEX(inj_codes,MATCH(loaded!AO980,inj,0)))</f>
        <v>#N/A</v>
      </c>
      <c r="S980" t="e">
        <f>IF(K980=2,"",INDEX(drug_codes,MATCH(loaded!AQ980,drug,0)))</f>
        <v>#N/A</v>
      </c>
      <c r="T980" t="e">
        <f>IF(K980=2,"",_xlfn.IFNA(INDEX(drug_codes,MATCH(loaded!AS980,drug,0)),""))</f>
        <v>#N/A</v>
      </c>
      <c r="U980" t="e">
        <f>IF(K980=2,"",_xlfn.IFNA(INDEX(drug_codes,MATCH(loaded!AU980,drug,0)),""))</f>
        <v>#N/A</v>
      </c>
      <c r="V980" t="e">
        <f>IF(K980=2,"",_xlfn.IFNA(INDEX(drug_codes,MATCH(loaded!AW980,drug,0)),""))</f>
        <v>#N/A</v>
      </c>
      <c r="W980" t="e">
        <f>IF(K980=2,"",_xlfn.IFNA(INDEX(drug_codes,MATCH(loaded!AY980,drug,0)),""))</f>
        <v>#N/A</v>
      </c>
      <c r="X980" t="e">
        <f>IF(K980=2,"",_xlfn.IFNA(INDEX(drug_codes,MATCH(loaded!BA980,drug,0)),""))</f>
        <v>#N/A</v>
      </c>
      <c r="Y980" t="e">
        <f>INDEX(MTT_codes,MATCH(loaded!BC980,MTT,0))</f>
        <v>#N/A</v>
      </c>
      <c r="Z980" t="str">
        <f>_xlfn.IFNA(INDEX(MTT_codes,MATCH(loaded!BE980,MTT,0)),"")</f>
        <v/>
      </c>
      <c r="AA980" t="str">
        <f>_xlfn.IFNA(INDEX(MTT_codes,MATCH(loaded!BG980,MTT,0)),"")</f>
        <v/>
      </c>
      <c r="AB980" t="str">
        <f>_xlfn.IFNA(INDEX(MTT_codes,MATCH(loaded!BI980,MTT,0)),"")</f>
        <v/>
      </c>
      <c r="AC980" t="str">
        <f>_xlfn.IFNA(INDEX(MTT_codes,MATCH(loaded!BK980,MTT,0)),"")</f>
        <v/>
      </c>
      <c r="AD980" t="str">
        <f>_xlfn.IFNA(INDEX(MTT_codes,MATCH(loaded!BM980,MTT,0)),"")</f>
        <v/>
      </c>
      <c r="AE980" t="e">
        <f>INDEX(liv_ar_codes,MATCH(loaded!BO980,liv_ar,0))</f>
        <v>#N/A</v>
      </c>
      <c r="AF980" t="str">
        <f>_xlfn.IFNA(INDEX(MTT_codes,MATCH(loaded!BQ980,MTT,0)),"")</f>
        <v/>
      </c>
      <c r="AG980">
        <f>_xlfn.IFNA(INDEX(mental_codes,MATCH(loaded!BS980,mental,0)),9)</f>
        <v>9</v>
      </c>
    </row>
    <row r="981" spans="1:33" x14ac:dyDescent="0.25">
      <c r="A981">
        <f>loaded!C981</f>
        <v>0</v>
      </c>
      <c r="B981">
        <f>loaded!I981</f>
        <v>0</v>
      </c>
      <c r="C981">
        <f>IF(loaded!K981="Male",1,IF(loaded!K981="Female",2,9))</f>
        <v>9</v>
      </c>
      <c r="D981" s="8">
        <f>loaded!M981</f>
        <v>0</v>
      </c>
      <c r="E981" t="str">
        <f>LEFT(loaded!O981,3)</f>
        <v/>
      </c>
      <c r="F981" t="e">
        <f>INDEX(cntry_codes,MATCH(loaded!Q981,countries,0))</f>
        <v>#N/A</v>
      </c>
      <c r="G981" t="e">
        <f>INDEX(atsi_codes,MATCH(loaded!S981,atsi,0))</f>
        <v>#N/A</v>
      </c>
      <c r="H981" t="e">
        <f>INDEX(lang_codes,MATCH(loaded!U981,lang,0))</f>
        <v>#N/A</v>
      </c>
      <c r="I981" s="8">
        <f>loaded!W981</f>
        <v>0</v>
      </c>
      <c r="J981" t="e">
        <f>INDEX(us_acc_codes,MATCH(loaded!Y981,us_acc,0))</f>
        <v>#N/A</v>
      </c>
      <c r="K981" t="e">
        <f>INDEX(client_codes,MATCH(loaded!AA981,client,0))</f>
        <v>#N/A</v>
      </c>
      <c r="L981" t="e">
        <f>INDEX(src_ref_codes,MATCH(loaded!AC981,src_ref,0))</f>
        <v>#N/A</v>
      </c>
      <c r="M981" s="8">
        <f>loaded!AE981</f>
        <v>0</v>
      </c>
      <c r="N981" s="8">
        <f>loaded!AG981</f>
        <v>0</v>
      </c>
      <c r="O981" t="e">
        <f>INDEX(reces_codes,MATCH(loaded!AI981,reason,0))</f>
        <v>#N/A</v>
      </c>
      <c r="P981" t="e">
        <f>INDEX(TDS_codes,MATCH(loaded!AK981,TDS,0))</f>
        <v>#N/A</v>
      </c>
      <c r="Q981" t="e">
        <f>IF(K981=2,"",INDEX(method_codes,MATCH(loaded!AM981,method,0)))</f>
        <v>#N/A</v>
      </c>
      <c r="R981" t="e">
        <f>IF(K981=2,"",INDEX(inj_codes,MATCH(loaded!AO981,inj,0)))</f>
        <v>#N/A</v>
      </c>
      <c r="S981" t="e">
        <f>IF(K981=2,"",INDEX(drug_codes,MATCH(loaded!AQ981,drug,0)))</f>
        <v>#N/A</v>
      </c>
      <c r="T981" t="e">
        <f>IF(K981=2,"",_xlfn.IFNA(INDEX(drug_codes,MATCH(loaded!AS981,drug,0)),""))</f>
        <v>#N/A</v>
      </c>
      <c r="U981" t="e">
        <f>IF(K981=2,"",_xlfn.IFNA(INDEX(drug_codes,MATCH(loaded!AU981,drug,0)),""))</f>
        <v>#N/A</v>
      </c>
      <c r="V981" t="e">
        <f>IF(K981=2,"",_xlfn.IFNA(INDEX(drug_codes,MATCH(loaded!AW981,drug,0)),""))</f>
        <v>#N/A</v>
      </c>
      <c r="W981" t="e">
        <f>IF(K981=2,"",_xlfn.IFNA(INDEX(drug_codes,MATCH(loaded!AY981,drug,0)),""))</f>
        <v>#N/A</v>
      </c>
      <c r="X981" t="e">
        <f>IF(K981=2,"",_xlfn.IFNA(INDEX(drug_codes,MATCH(loaded!BA981,drug,0)),""))</f>
        <v>#N/A</v>
      </c>
      <c r="Y981" t="e">
        <f>INDEX(MTT_codes,MATCH(loaded!BC981,MTT,0))</f>
        <v>#N/A</v>
      </c>
      <c r="Z981" t="str">
        <f>_xlfn.IFNA(INDEX(MTT_codes,MATCH(loaded!BE981,MTT,0)),"")</f>
        <v/>
      </c>
      <c r="AA981" t="str">
        <f>_xlfn.IFNA(INDEX(MTT_codes,MATCH(loaded!BG981,MTT,0)),"")</f>
        <v/>
      </c>
      <c r="AB981" t="str">
        <f>_xlfn.IFNA(INDEX(MTT_codes,MATCH(loaded!BI981,MTT,0)),"")</f>
        <v/>
      </c>
      <c r="AC981" t="str">
        <f>_xlfn.IFNA(INDEX(MTT_codes,MATCH(loaded!BK981,MTT,0)),"")</f>
        <v/>
      </c>
      <c r="AD981" t="str">
        <f>_xlfn.IFNA(INDEX(MTT_codes,MATCH(loaded!BM981,MTT,0)),"")</f>
        <v/>
      </c>
      <c r="AE981" t="e">
        <f>INDEX(liv_ar_codes,MATCH(loaded!BO981,liv_ar,0))</f>
        <v>#N/A</v>
      </c>
      <c r="AF981" t="str">
        <f>_xlfn.IFNA(INDEX(MTT_codes,MATCH(loaded!BQ981,MTT,0)),"")</f>
        <v/>
      </c>
      <c r="AG981">
        <f>_xlfn.IFNA(INDEX(mental_codes,MATCH(loaded!BS981,mental,0)),9)</f>
        <v>9</v>
      </c>
    </row>
    <row r="982" spans="1:33" x14ac:dyDescent="0.25">
      <c r="A982">
        <f>loaded!C982</f>
        <v>0</v>
      </c>
      <c r="B982">
        <f>loaded!I982</f>
        <v>0</v>
      </c>
      <c r="C982">
        <f>IF(loaded!K982="Male",1,IF(loaded!K982="Female",2,9))</f>
        <v>9</v>
      </c>
      <c r="D982" s="8">
        <f>loaded!M982</f>
        <v>0</v>
      </c>
      <c r="E982" t="str">
        <f>LEFT(loaded!O982,3)</f>
        <v/>
      </c>
      <c r="F982" t="e">
        <f>INDEX(cntry_codes,MATCH(loaded!Q982,countries,0))</f>
        <v>#N/A</v>
      </c>
      <c r="G982" t="e">
        <f>INDEX(atsi_codes,MATCH(loaded!S982,atsi,0))</f>
        <v>#N/A</v>
      </c>
      <c r="H982" t="e">
        <f>INDEX(lang_codes,MATCH(loaded!U982,lang,0))</f>
        <v>#N/A</v>
      </c>
      <c r="I982" s="8">
        <f>loaded!W982</f>
        <v>0</v>
      </c>
      <c r="J982" t="e">
        <f>INDEX(us_acc_codes,MATCH(loaded!Y982,us_acc,0))</f>
        <v>#N/A</v>
      </c>
      <c r="K982" t="e">
        <f>INDEX(client_codes,MATCH(loaded!AA982,client,0))</f>
        <v>#N/A</v>
      </c>
      <c r="L982" t="e">
        <f>INDEX(src_ref_codes,MATCH(loaded!AC982,src_ref,0))</f>
        <v>#N/A</v>
      </c>
      <c r="M982" s="8">
        <f>loaded!AE982</f>
        <v>0</v>
      </c>
      <c r="N982" s="8">
        <f>loaded!AG982</f>
        <v>0</v>
      </c>
      <c r="O982" t="e">
        <f>INDEX(reces_codes,MATCH(loaded!AI982,reason,0))</f>
        <v>#N/A</v>
      </c>
      <c r="P982" t="e">
        <f>INDEX(TDS_codes,MATCH(loaded!AK982,TDS,0))</f>
        <v>#N/A</v>
      </c>
      <c r="Q982" t="e">
        <f>IF(K982=2,"",INDEX(method_codes,MATCH(loaded!AM982,method,0)))</f>
        <v>#N/A</v>
      </c>
      <c r="R982" t="e">
        <f>IF(K982=2,"",INDEX(inj_codes,MATCH(loaded!AO982,inj,0)))</f>
        <v>#N/A</v>
      </c>
      <c r="S982" t="e">
        <f>IF(K982=2,"",INDEX(drug_codes,MATCH(loaded!AQ982,drug,0)))</f>
        <v>#N/A</v>
      </c>
      <c r="T982" t="e">
        <f>IF(K982=2,"",_xlfn.IFNA(INDEX(drug_codes,MATCH(loaded!AS982,drug,0)),""))</f>
        <v>#N/A</v>
      </c>
      <c r="U982" t="e">
        <f>IF(K982=2,"",_xlfn.IFNA(INDEX(drug_codes,MATCH(loaded!AU982,drug,0)),""))</f>
        <v>#N/A</v>
      </c>
      <c r="V982" t="e">
        <f>IF(K982=2,"",_xlfn.IFNA(INDEX(drug_codes,MATCH(loaded!AW982,drug,0)),""))</f>
        <v>#N/A</v>
      </c>
      <c r="W982" t="e">
        <f>IF(K982=2,"",_xlfn.IFNA(INDEX(drug_codes,MATCH(loaded!AY982,drug,0)),""))</f>
        <v>#N/A</v>
      </c>
      <c r="X982" t="e">
        <f>IF(K982=2,"",_xlfn.IFNA(INDEX(drug_codes,MATCH(loaded!BA982,drug,0)),""))</f>
        <v>#N/A</v>
      </c>
      <c r="Y982" t="e">
        <f>INDEX(MTT_codes,MATCH(loaded!BC982,MTT,0))</f>
        <v>#N/A</v>
      </c>
      <c r="Z982" t="str">
        <f>_xlfn.IFNA(INDEX(MTT_codes,MATCH(loaded!BE982,MTT,0)),"")</f>
        <v/>
      </c>
      <c r="AA982" t="str">
        <f>_xlfn.IFNA(INDEX(MTT_codes,MATCH(loaded!BG982,MTT,0)),"")</f>
        <v/>
      </c>
      <c r="AB982" t="str">
        <f>_xlfn.IFNA(INDEX(MTT_codes,MATCH(loaded!BI982,MTT,0)),"")</f>
        <v/>
      </c>
      <c r="AC982" t="str">
        <f>_xlfn.IFNA(INDEX(MTT_codes,MATCH(loaded!BK982,MTT,0)),"")</f>
        <v/>
      </c>
      <c r="AD982" t="str">
        <f>_xlfn.IFNA(INDEX(MTT_codes,MATCH(loaded!BM982,MTT,0)),"")</f>
        <v/>
      </c>
      <c r="AE982" t="e">
        <f>INDEX(liv_ar_codes,MATCH(loaded!BO982,liv_ar,0))</f>
        <v>#N/A</v>
      </c>
      <c r="AF982" t="str">
        <f>_xlfn.IFNA(INDEX(MTT_codes,MATCH(loaded!BQ982,MTT,0)),"")</f>
        <v/>
      </c>
      <c r="AG982">
        <f>_xlfn.IFNA(INDEX(mental_codes,MATCH(loaded!BS982,mental,0)),9)</f>
        <v>9</v>
      </c>
    </row>
    <row r="983" spans="1:33" x14ac:dyDescent="0.25">
      <c r="A983">
        <f>loaded!C983</f>
        <v>0</v>
      </c>
      <c r="B983">
        <f>loaded!I983</f>
        <v>0</v>
      </c>
      <c r="C983">
        <f>IF(loaded!K983="Male",1,IF(loaded!K983="Female",2,9))</f>
        <v>9</v>
      </c>
      <c r="D983" s="8">
        <f>loaded!M983</f>
        <v>0</v>
      </c>
      <c r="E983" t="str">
        <f>LEFT(loaded!O983,3)</f>
        <v/>
      </c>
      <c r="F983" t="e">
        <f>INDEX(cntry_codes,MATCH(loaded!Q983,countries,0))</f>
        <v>#N/A</v>
      </c>
      <c r="G983" t="e">
        <f>INDEX(atsi_codes,MATCH(loaded!S983,atsi,0))</f>
        <v>#N/A</v>
      </c>
      <c r="H983" t="e">
        <f>INDEX(lang_codes,MATCH(loaded!U983,lang,0))</f>
        <v>#N/A</v>
      </c>
      <c r="I983" s="8">
        <f>loaded!W983</f>
        <v>0</v>
      </c>
      <c r="J983" t="e">
        <f>INDEX(us_acc_codes,MATCH(loaded!Y983,us_acc,0))</f>
        <v>#N/A</v>
      </c>
      <c r="K983" t="e">
        <f>INDEX(client_codes,MATCH(loaded!AA983,client,0))</f>
        <v>#N/A</v>
      </c>
      <c r="L983" t="e">
        <f>INDEX(src_ref_codes,MATCH(loaded!AC983,src_ref,0))</f>
        <v>#N/A</v>
      </c>
      <c r="M983" s="8">
        <f>loaded!AE983</f>
        <v>0</v>
      </c>
      <c r="N983" s="8">
        <f>loaded!AG983</f>
        <v>0</v>
      </c>
      <c r="O983" t="e">
        <f>INDEX(reces_codes,MATCH(loaded!AI983,reason,0))</f>
        <v>#N/A</v>
      </c>
      <c r="P983" t="e">
        <f>INDEX(TDS_codes,MATCH(loaded!AK983,TDS,0))</f>
        <v>#N/A</v>
      </c>
      <c r="Q983" t="e">
        <f>IF(K983=2,"",INDEX(method_codes,MATCH(loaded!AM983,method,0)))</f>
        <v>#N/A</v>
      </c>
      <c r="R983" t="e">
        <f>IF(K983=2,"",INDEX(inj_codes,MATCH(loaded!AO983,inj,0)))</f>
        <v>#N/A</v>
      </c>
      <c r="S983" t="e">
        <f>IF(K983=2,"",INDEX(drug_codes,MATCH(loaded!AQ983,drug,0)))</f>
        <v>#N/A</v>
      </c>
      <c r="T983" t="e">
        <f>IF(K983=2,"",_xlfn.IFNA(INDEX(drug_codes,MATCH(loaded!AS983,drug,0)),""))</f>
        <v>#N/A</v>
      </c>
      <c r="U983" t="e">
        <f>IF(K983=2,"",_xlfn.IFNA(INDEX(drug_codes,MATCH(loaded!AU983,drug,0)),""))</f>
        <v>#N/A</v>
      </c>
      <c r="V983" t="e">
        <f>IF(K983=2,"",_xlfn.IFNA(INDEX(drug_codes,MATCH(loaded!AW983,drug,0)),""))</f>
        <v>#N/A</v>
      </c>
      <c r="W983" t="e">
        <f>IF(K983=2,"",_xlfn.IFNA(INDEX(drug_codes,MATCH(loaded!AY983,drug,0)),""))</f>
        <v>#N/A</v>
      </c>
      <c r="X983" t="e">
        <f>IF(K983=2,"",_xlfn.IFNA(INDEX(drug_codes,MATCH(loaded!BA983,drug,0)),""))</f>
        <v>#N/A</v>
      </c>
      <c r="Y983" t="e">
        <f>INDEX(MTT_codes,MATCH(loaded!BC983,MTT,0))</f>
        <v>#N/A</v>
      </c>
      <c r="Z983" t="str">
        <f>_xlfn.IFNA(INDEX(MTT_codes,MATCH(loaded!BE983,MTT,0)),"")</f>
        <v/>
      </c>
      <c r="AA983" t="str">
        <f>_xlfn.IFNA(INDEX(MTT_codes,MATCH(loaded!BG983,MTT,0)),"")</f>
        <v/>
      </c>
      <c r="AB983" t="str">
        <f>_xlfn.IFNA(INDEX(MTT_codes,MATCH(loaded!BI983,MTT,0)),"")</f>
        <v/>
      </c>
      <c r="AC983" t="str">
        <f>_xlfn.IFNA(INDEX(MTT_codes,MATCH(loaded!BK983,MTT,0)),"")</f>
        <v/>
      </c>
      <c r="AD983" t="str">
        <f>_xlfn.IFNA(INDEX(MTT_codes,MATCH(loaded!BM983,MTT,0)),"")</f>
        <v/>
      </c>
      <c r="AE983" t="e">
        <f>INDEX(liv_ar_codes,MATCH(loaded!BO983,liv_ar,0))</f>
        <v>#N/A</v>
      </c>
      <c r="AF983" t="str">
        <f>_xlfn.IFNA(INDEX(MTT_codes,MATCH(loaded!BQ983,MTT,0)),"")</f>
        <v/>
      </c>
      <c r="AG983">
        <f>_xlfn.IFNA(INDEX(mental_codes,MATCH(loaded!BS983,mental,0)),9)</f>
        <v>9</v>
      </c>
    </row>
    <row r="984" spans="1:33" x14ac:dyDescent="0.25">
      <c r="A984">
        <f>loaded!C984</f>
        <v>0</v>
      </c>
      <c r="B984">
        <f>loaded!I984</f>
        <v>0</v>
      </c>
      <c r="C984">
        <f>IF(loaded!K984="Male",1,IF(loaded!K984="Female",2,9))</f>
        <v>9</v>
      </c>
      <c r="D984" s="8">
        <f>loaded!M984</f>
        <v>0</v>
      </c>
      <c r="E984" t="str">
        <f>LEFT(loaded!O984,3)</f>
        <v/>
      </c>
      <c r="F984" t="e">
        <f>INDEX(cntry_codes,MATCH(loaded!Q984,countries,0))</f>
        <v>#N/A</v>
      </c>
      <c r="G984" t="e">
        <f>INDEX(atsi_codes,MATCH(loaded!S984,atsi,0))</f>
        <v>#N/A</v>
      </c>
      <c r="H984" t="e">
        <f>INDEX(lang_codes,MATCH(loaded!U984,lang,0))</f>
        <v>#N/A</v>
      </c>
      <c r="I984" s="8">
        <f>loaded!W984</f>
        <v>0</v>
      </c>
      <c r="J984" t="e">
        <f>INDEX(us_acc_codes,MATCH(loaded!Y984,us_acc,0))</f>
        <v>#N/A</v>
      </c>
      <c r="K984" t="e">
        <f>INDEX(client_codes,MATCH(loaded!AA984,client,0))</f>
        <v>#N/A</v>
      </c>
      <c r="L984" t="e">
        <f>INDEX(src_ref_codes,MATCH(loaded!AC984,src_ref,0))</f>
        <v>#N/A</v>
      </c>
      <c r="M984" s="8">
        <f>loaded!AE984</f>
        <v>0</v>
      </c>
      <c r="N984" s="8">
        <f>loaded!AG984</f>
        <v>0</v>
      </c>
      <c r="O984" t="e">
        <f>INDEX(reces_codes,MATCH(loaded!AI984,reason,0))</f>
        <v>#N/A</v>
      </c>
      <c r="P984" t="e">
        <f>INDEX(TDS_codes,MATCH(loaded!AK984,TDS,0))</f>
        <v>#N/A</v>
      </c>
      <c r="Q984" t="e">
        <f>IF(K984=2,"",INDEX(method_codes,MATCH(loaded!AM984,method,0)))</f>
        <v>#N/A</v>
      </c>
      <c r="R984" t="e">
        <f>IF(K984=2,"",INDEX(inj_codes,MATCH(loaded!AO984,inj,0)))</f>
        <v>#N/A</v>
      </c>
      <c r="S984" t="e">
        <f>IF(K984=2,"",INDEX(drug_codes,MATCH(loaded!AQ984,drug,0)))</f>
        <v>#N/A</v>
      </c>
      <c r="T984" t="e">
        <f>IF(K984=2,"",_xlfn.IFNA(INDEX(drug_codes,MATCH(loaded!AS984,drug,0)),""))</f>
        <v>#N/A</v>
      </c>
      <c r="U984" t="e">
        <f>IF(K984=2,"",_xlfn.IFNA(INDEX(drug_codes,MATCH(loaded!AU984,drug,0)),""))</f>
        <v>#N/A</v>
      </c>
      <c r="V984" t="e">
        <f>IF(K984=2,"",_xlfn.IFNA(INDEX(drug_codes,MATCH(loaded!AW984,drug,0)),""))</f>
        <v>#N/A</v>
      </c>
      <c r="W984" t="e">
        <f>IF(K984=2,"",_xlfn.IFNA(INDEX(drug_codes,MATCH(loaded!AY984,drug,0)),""))</f>
        <v>#N/A</v>
      </c>
      <c r="X984" t="e">
        <f>IF(K984=2,"",_xlfn.IFNA(INDEX(drug_codes,MATCH(loaded!BA984,drug,0)),""))</f>
        <v>#N/A</v>
      </c>
      <c r="Y984" t="e">
        <f>INDEX(MTT_codes,MATCH(loaded!BC984,MTT,0))</f>
        <v>#N/A</v>
      </c>
      <c r="Z984" t="str">
        <f>_xlfn.IFNA(INDEX(MTT_codes,MATCH(loaded!BE984,MTT,0)),"")</f>
        <v/>
      </c>
      <c r="AA984" t="str">
        <f>_xlfn.IFNA(INDEX(MTT_codes,MATCH(loaded!BG984,MTT,0)),"")</f>
        <v/>
      </c>
      <c r="AB984" t="str">
        <f>_xlfn.IFNA(INDEX(MTT_codes,MATCH(loaded!BI984,MTT,0)),"")</f>
        <v/>
      </c>
      <c r="AC984" t="str">
        <f>_xlfn.IFNA(INDEX(MTT_codes,MATCH(loaded!BK984,MTT,0)),"")</f>
        <v/>
      </c>
      <c r="AD984" t="str">
        <f>_xlfn.IFNA(INDEX(MTT_codes,MATCH(loaded!BM984,MTT,0)),"")</f>
        <v/>
      </c>
      <c r="AE984" t="e">
        <f>INDEX(liv_ar_codes,MATCH(loaded!BO984,liv_ar,0))</f>
        <v>#N/A</v>
      </c>
      <c r="AF984" t="str">
        <f>_xlfn.IFNA(INDEX(MTT_codes,MATCH(loaded!BQ984,MTT,0)),"")</f>
        <v/>
      </c>
      <c r="AG984">
        <f>_xlfn.IFNA(INDEX(mental_codes,MATCH(loaded!BS984,mental,0)),9)</f>
        <v>9</v>
      </c>
    </row>
    <row r="985" spans="1:33" x14ac:dyDescent="0.25">
      <c r="A985">
        <f>loaded!C985</f>
        <v>0</v>
      </c>
      <c r="B985">
        <f>loaded!I985</f>
        <v>0</v>
      </c>
      <c r="C985">
        <f>IF(loaded!K985="Male",1,IF(loaded!K985="Female",2,9))</f>
        <v>9</v>
      </c>
      <c r="D985" s="8">
        <f>loaded!M985</f>
        <v>0</v>
      </c>
      <c r="E985" t="str">
        <f>LEFT(loaded!O985,3)</f>
        <v/>
      </c>
      <c r="F985" t="e">
        <f>INDEX(cntry_codes,MATCH(loaded!Q985,countries,0))</f>
        <v>#N/A</v>
      </c>
      <c r="G985" t="e">
        <f>INDEX(atsi_codes,MATCH(loaded!S985,atsi,0))</f>
        <v>#N/A</v>
      </c>
      <c r="H985" t="e">
        <f>INDEX(lang_codes,MATCH(loaded!U985,lang,0))</f>
        <v>#N/A</v>
      </c>
      <c r="I985" s="8">
        <f>loaded!W985</f>
        <v>0</v>
      </c>
      <c r="J985" t="e">
        <f>INDEX(us_acc_codes,MATCH(loaded!Y985,us_acc,0))</f>
        <v>#N/A</v>
      </c>
      <c r="K985" t="e">
        <f>INDEX(client_codes,MATCH(loaded!AA985,client,0))</f>
        <v>#N/A</v>
      </c>
      <c r="L985" t="e">
        <f>INDEX(src_ref_codes,MATCH(loaded!AC985,src_ref,0))</f>
        <v>#N/A</v>
      </c>
      <c r="M985" s="8">
        <f>loaded!AE985</f>
        <v>0</v>
      </c>
      <c r="N985" s="8">
        <f>loaded!AG985</f>
        <v>0</v>
      </c>
      <c r="O985" t="e">
        <f>INDEX(reces_codes,MATCH(loaded!AI985,reason,0))</f>
        <v>#N/A</v>
      </c>
      <c r="P985" t="e">
        <f>INDEX(TDS_codes,MATCH(loaded!AK985,TDS,0))</f>
        <v>#N/A</v>
      </c>
      <c r="Q985" t="e">
        <f>IF(K985=2,"",INDEX(method_codes,MATCH(loaded!AM985,method,0)))</f>
        <v>#N/A</v>
      </c>
      <c r="R985" t="e">
        <f>IF(K985=2,"",INDEX(inj_codes,MATCH(loaded!AO985,inj,0)))</f>
        <v>#N/A</v>
      </c>
      <c r="S985" t="e">
        <f>IF(K985=2,"",INDEX(drug_codes,MATCH(loaded!AQ985,drug,0)))</f>
        <v>#N/A</v>
      </c>
      <c r="T985" t="e">
        <f>IF(K985=2,"",_xlfn.IFNA(INDEX(drug_codes,MATCH(loaded!AS985,drug,0)),""))</f>
        <v>#N/A</v>
      </c>
      <c r="U985" t="e">
        <f>IF(K985=2,"",_xlfn.IFNA(INDEX(drug_codes,MATCH(loaded!AU985,drug,0)),""))</f>
        <v>#N/A</v>
      </c>
      <c r="V985" t="e">
        <f>IF(K985=2,"",_xlfn.IFNA(INDEX(drug_codes,MATCH(loaded!AW985,drug,0)),""))</f>
        <v>#N/A</v>
      </c>
      <c r="W985" t="e">
        <f>IF(K985=2,"",_xlfn.IFNA(INDEX(drug_codes,MATCH(loaded!AY985,drug,0)),""))</f>
        <v>#N/A</v>
      </c>
      <c r="X985" t="e">
        <f>IF(K985=2,"",_xlfn.IFNA(INDEX(drug_codes,MATCH(loaded!BA985,drug,0)),""))</f>
        <v>#N/A</v>
      </c>
      <c r="Y985" t="e">
        <f>INDEX(MTT_codes,MATCH(loaded!BC985,MTT,0))</f>
        <v>#N/A</v>
      </c>
      <c r="Z985" t="str">
        <f>_xlfn.IFNA(INDEX(MTT_codes,MATCH(loaded!BE985,MTT,0)),"")</f>
        <v/>
      </c>
      <c r="AA985" t="str">
        <f>_xlfn.IFNA(INDEX(MTT_codes,MATCH(loaded!BG985,MTT,0)),"")</f>
        <v/>
      </c>
      <c r="AB985" t="str">
        <f>_xlfn.IFNA(INDEX(MTT_codes,MATCH(loaded!BI985,MTT,0)),"")</f>
        <v/>
      </c>
      <c r="AC985" t="str">
        <f>_xlfn.IFNA(INDEX(MTT_codes,MATCH(loaded!BK985,MTT,0)),"")</f>
        <v/>
      </c>
      <c r="AD985" t="str">
        <f>_xlfn.IFNA(INDEX(MTT_codes,MATCH(loaded!BM985,MTT,0)),"")</f>
        <v/>
      </c>
      <c r="AE985" t="e">
        <f>INDEX(liv_ar_codes,MATCH(loaded!BO985,liv_ar,0))</f>
        <v>#N/A</v>
      </c>
      <c r="AF985" t="str">
        <f>_xlfn.IFNA(INDEX(MTT_codes,MATCH(loaded!BQ985,MTT,0)),"")</f>
        <v/>
      </c>
      <c r="AG985">
        <f>_xlfn.IFNA(INDEX(mental_codes,MATCH(loaded!BS985,mental,0)),9)</f>
        <v>9</v>
      </c>
    </row>
    <row r="986" spans="1:33" x14ac:dyDescent="0.25">
      <c r="A986">
        <f>loaded!C986</f>
        <v>0</v>
      </c>
      <c r="B986">
        <f>loaded!I986</f>
        <v>0</v>
      </c>
      <c r="C986">
        <f>IF(loaded!K986="Male",1,IF(loaded!K986="Female",2,9))</f>
        <v>9</v>
      </c>
      <c r="D986" s="8">
        <f>loaded!M986</f>
        <v>0</v>
      </c>
      <c r="E986" t="str">
        <f>LEFT(loaded!O986,3)</f>
        <v/>
      </c>
      <c r="F986" t="e">
        <f>INDEX(cntry_codes,MATCH(loaded!Q986,countries,0))</f>
        <v>#N/A</v>
      </c>
      <c r="G986" t="e">
        <f>INDEX(atsi_codes,MATCH(loaded!S986,atsi,0))</f>
        <v>#N/A</v>
      </c>
      <c r="H986" t="e">
        <f>INDEX(lang_codes,MATCH(loaded!U986,lang,0))</f>
        <v>#N/A</v>
      </c>
      <c r="I986" s="8">
        <f>loaded!W986</f>
        <v>0</v>
      </c>
      <c r="J986" t="e">
        <f>INDEX(us_acc_codes,MATCH(loaded!Y986,us_acc,0))</f>
        <v>#N/A</v>
      </c>
      <c r="K986" t="e">
        <f>INDEX(client_codes,MATCH(loaded!AA986,client,0))</f>
        <v>#N/A</v>
      </c>
      <c r="L986" t="e">
        <f>INDEX(src_ref_codes,MATCH(loaded!AC986,src_ref,0))</f>
        <v>#N/A</v>
      </c>
      <c r="M986" s="8">
        <f>loaded!AE986</f>
        <v>0</v>
      </c>
      <c r="N986" s="8">
        <f>loaded!AG986</f>
        <v>0</v>
      </c>
      <c r="O986" t="e">
        <f>INDEX(reces_codes,MATCH(loaded!AI986,reason,0))</f>
        <v>#N/A</v>
      </c>
      <c r="P986" t="e">
        <f>INDEX(TDS_codes,MATCH(loaded!AK986,TDS,0))</f>
        <v>#N/A</v>
      </c>
      <c r="Q986" t="e">
        <f>IF(K986=2,"",INDEX(method_codes,MATCH(loaded!AM986,method,0)))</f>
        <v>#N/A</v>
      </c>
      <c r="R986" t="e">
        <f>IF(K986=2,"",INDEX(inj_codes,MATCH(loaded!AO986,inj,0)))</f>
        <v>#N/A</v>
      </c>
      <c r="S986" t="e">
        <f>IF(K986=2,"",INDEX(drug_codes,MATCH(loaded!AQ986,drug,0)))</f>
        <v>#N/A</v>
      </c>
      <c r="T986" t="e">
        <f>IF(K986=2,"",_xlfn.IFNA(INDEX(drug_codes,MATCH(loaded!AS986,drug,0)),""))</f>
        <v>#N/A</v>
      </c>
      <c r="U986" t="e">
        <f>IF(K986=2,"",_xlfn.IFNA(INDEX(drug_codes,MATCH(loaded!AU986,drug,0)),""))</f>
        <v>#N/A</v>
      </c>
      <c r="V986" t="e">
        <f>IF(K986=2,"",_xlfn.IFNA(INDEX(drug_codes,MATCH(loaded!AW986,drug,0)),""))</f>
        <v>#N/A</v>
      </c>
      <c r="W986" t="e">
        <f>IF(K986=2,"",_xlfn.IFNA(INDEX(drug_codes,MATCH(loaded!AY986,drug,0)),""))</f>
        <v>#N/A</v>
      </c>
      <c r="X986" t="e">
        <f>IF(K986=2,"",_xlfn.IFNA(INDEX(drug_codes,MATCH(loaded!BA986,drug,0)),""))</f>
        <v>#N/A</v>
      </c>
      <c r="Y986" t="e">
        <f>INDEX(MTT_codes,MATCH(loaded!BC986,MTT,0))</f>
        <v>#N/A</v>
      </c>
      <c r="Z986" t="str">
        <f>_xlfn.IFNA(INDEX(MTT_codes,MATCH(loaded!BE986,MTT,0)),"")</f>
        <v/>
      </c>
      <c r="AA986" t="str">
        <f>_xlfn.IFNA(INDEX(MTT_codes,MATCH(loaded!BG986,MTT,0)),"")</f>
        <v/>
      </c>
      <c r="AB986" t="str">
        <f>_xlfn.IFNA(INDEX(MTT_codes,MATCH(loaded!BI986,MTT,0)),"")</f>
        <v/>
      </c>
      <c r="AC986" t="str">
        <f>_xlfn.IFNA(INDEX(MTT_codes,MATCH(loaded!BK986,MTT,0)),"")</f>
        <v/>
      </c>
      <c r="AD986" t="str">
        <f>_xlfn.IFNA(INDEX(MTT_codes,MATCH(loaded!BM986,MTT,0)),"")</f>
        <v/>
      </c>
      <c r="AE986" t="e">
        <f>INDEX(liv_ar_codes,MATCH(loaded!BO986,liv_ar,0))</f>
        <v>#N/A</v>
      </c>
      <c r="AF986" t="str">
        <f>_xlfn.IFNA(INDEX(MTT_codes,MATCH(loaded!BQ986,MTT,0)),"")</f>
        <v/>
      </c>
      <c r="AG986">
        <f>_xlfn.IFNA(INDEX(mental_codes,MATCH(loaded!BS986,mental,0)),9)</f>
        <v>9</v>
      </c>
    </row>
    <row r="987" spans="1:33" x14ac:dyDescent="0.25">
      <c r="A987">
        <f>loaded!C987</f>
        <v>0</v>
      </c>
      <c r="B987">
        <f>loaded!I987</f>
        <v>0</v>
      </c>
      <c r="C987">
        <f>IF(loaded!K987="Male",1,IF(loaded!K987="Female",2,9))</f>
        <v>9</v>
      </c>
      <c r="D987" s="8">
        <f>loaded!M987</f>
        <v>0</v>
      </c>
      <c r="E987" t="str">
        <f>LEFT(loaded!O987,3)</f>
        <v/>
      </c>
      <c r="F987" t="e">
        <f>INDEX(cntry_codes,MATCH(loaded!Q987,countries,0))</f>
        <v>#N/A</v>
      </c>
      <c r="G987" t="e">
        <f>INDEX(atsi_codes,MATCH(loaded!S987,atsi,0))</f>
        <v>#N/A</v>
      </c>
      <c r="H987" t="e">
        <f>INDEX(lang_codes,MATCH(loaded!U987,lang,0))</f>
        <v>#N/A</v>
      </c>
      <c r="I987" s="8">
        <f>loaded!W987</f>
        <v>0</v>
      </c>
      <c r="J987" t="e">
        <f>INDEX(us_acc_codes,MATCH(loaded!Y987,us_acc,0))</f>
        <v>#N/A</v>
      </c>
      <c r="K987" t="e">
        <f>INDEX(client_codes,MATCH(loaded!AA987,client,0))</f>
        <v>#N/A</v>
      </c>
      <c r="L987" t="e">
        <f>INDEX(src_ref_codes,MATCH(loaded!AC987,src_ref,0))</f>
        <v>#N/A</v>
      </c>
      <c r="M987" s="8">
        <f>loaded!AE987</f>
        <v>0</v>
      </c>
      <c r="N987" s="8">
        <f>loaded!AG987</f>
        <v>0</v>
      </c>
      <c r="O987" t="e">
        <f>INDEX(reces_codes,MATCH(loaded!AI987,reason,0))</f>
        <v>#N/A</v>
      </c>
      <c r="P987" t="e">
        <f>INDEX(TDS_codes,MATCH(loaded!AK987,TDS,0))</f>
        <v>#N/A</v>
      </c>
      <c r="Q987" t="e">
        <f>IF(K987=2,"",INDEX(method_codes,MATCH(loaded!AM987,method,0)))</f>
        <v>#N/A</v>
      </c>
      <c r="R987" t="e">
        <f>IF(K987=2,"",INDEX(inj_codes,MATCH(loaded!AO987,inj,0)))</f>
        <v>#N/A</v>
      </c>
      <c r="S987" t="e">
        <f>IF(K987=2,"",INDEX(drug_codes,MATCH(loaded!AQ987,drug,0)))</f>
        <v>#N/A</v>
      </c>
      <c r="T987" t="e">
        <f>IF(K987=2,"",_xlfn.IFNA(INDEX(drug_codes,MATCH(loaded!AS987,drug,0)),""))</f>
        <v>#N/A</v>
      </c>
      <c r="U987" t="e">
        <f>IF(K987=2,"",_xlfn.IFNA(INDEX(drug_codes,MATCH(loaded!AU987,drug,0)),""))</f>
        <v>#N/A</v>
      </c>
      <c r="V987" t="e">
        <f>IF(K987=2,"",_xlfn.IFNA(INDEX(drug_codes,MATCH(loaded!AW987,drug,0)),""))</f>
        <v>#N/A</v>
      </c>
      <c r="W987" t="e">
        <f>IF(K987=2,"",_xlfn.IFNA(INDEX(drug_codes,MATCH(loaded!AY987,drug,0)),""))</f>
        <v>#N/A</v>
      </c>
      <c r="X987" t="e">
        <f>IF(K987=2,"",_xlfn.IFNA(INDEX(drug_codes,MATCH(loaded!BA987,drug,0)),""))</f>
        <v>#N/A</v>
      </c>
      <c r="Y987" t="e">
        <f>INDEX(MTT_codes,MATCH(loaded!BC987,MTT,0))</f>
        <v>#N/A</v>
      </c>
      <c r="Z987" t="str">
        <f>_xlfn.IFNA(INDEX(MTT_codes,MATCH(loaded!BE987,MTT,0)),"")</f>
        <v/>
      </c>
      <c r="AA987" t="str">
        <f>_xlfn.IFNA(INDEX(MTT_codes,MATCH(loaded!BG987,MTT,0)),"")</f>
        <v/>
      </c>
      <c r="AB987" t="str">
        <f>_xlfn.IFNA(INDEX(MTT_codes,MATCH(loaded!BI987,MTT,0)),"")</f>
        <v/>
      </c>
      <c r="AC987" t="str">
        <f>_xlfn.IFNA(INDEX(MTT_codes,MATCH(loaded!BK987,MTT,0)),"")</f>
        <v/>
      </c>
      <c r="AD987" t="str">
        <f>_xlfn.IFNA(INDEX(MTT_codes,MATCH(loaded!BM987,MTT,0)),"")</f>
        <v/>
      </c>
      <c r="AE987" t="e">
        <f>INDEX(liv_ar_codes,MATCH(loaded!BO987,liv_ar,0))</f>
        <v>#N/A</v>
      </c>
      <c r="AF987" t="str">
        <f>_xlfn.IFNA(INDEX(MTT_codes,MATCH(loaded!BQ987,MTT,0)),"")</f>
        <v/>
      </c>
      <c r="AG987">
        <f>_xlfn.IFNA(INDEX(mental_codes,MATCH(loaded!BS987,mental,0)),9)</f>
        <v>9</v>
      </c>
    </row>
    <row r="988" spans="1:33" x14ac:dyDescent="0.25">
      <c r="A988">
        <f>loaded!C988</f>
        <v>0</v>
      </c>
      <c r="B988">
        <f>loaded!I988</f>
        <v>0</v>
      </c>
      <c r="C988">
        <f>IF(loaded!K988="Male",1,IF(loaded!K988="Female",2,9))</f>
        <v>9</v>
      </c>
      <c r="D988" s="8">
        <f>loaded!M988</f>
        <v>0</v>
      </c>
      <c r="E988" t="str">
        <f>LEFT(loaded!O988,3)</f>
        <v/>
      </c>
      <c r="F988" t="e">
        <f>INDEX(cntry_codes,MATCH(loaded!Q988,countries,0))</f>
        <v>#N/A</v>
      </c>
      <c r="G988" t="e">
        <f>INDEX(atsi_codes,MATCH(loaded!S988,atsi,0))</f>
        <v>#N/A</v>
      </c>
      <c r="H988" t="e">
        <f>INDEX(lang_codes,MATCH(loaded!U988,lang,0))</f>
        <v>#N/A</v>
      </c>
      <c r="I988" s="8">
        <f>loaded!W988</f>
        <v>0</v>
      </c>
      <c r="J988" t="e">
        <f>INDEX(us_acc_codes,MATCH(loaded!Y988,us_acc,0))</f>
        <v>#N/A</v>
      </c>
      <c r="K988" t="e">
        <f>INDEX(client_codes,MATCH(loaded!AA988,client,0))</f>
        <v>#N/A</v>
      </c>
      <c r="L988" t="e">
        <f>INDEX(src_ref_codes,MATCH(loaded!AC988,src_ref,0))</f>
        <v>#N/A</v>
      </c>
      <c r="M988" s="8">
        <f>loaded!AE988</f>
        <v>0</v>
      </c>
      <c r="N988" s="8">
        <f>loaded!AG988</f>
        <v>0</v>
      </c>
      <c r="O988" t="e">
        <f>INDEX(reces_codes,MATCH(loaded!AI988,reason,0))</f>
        <v>#N/A</v>
      </c>
      <c r="P988" t="e">
        <f>INDEX(TDS_codes,MATCH(loaded!AK988,TDS,0))</f>
        <v>#N/A</v>
      </c>
      <c r="Q988" t="e">
        <f>IF(K988=2,"",INDEX(method_codes,MATCH(loaded!AM988,method,0)))</f>
        <v>#N/A</v>
      </c>
      <c r="R988" t="e">
        <f>IF(K988=2,"",INDEX(inj_codes,MATCH(loaded!AO988,inj,0)))</f>
        <v>#N/A</v>
      </c>
      <c r="S988" t="e">
        <f>IF(K988=2,"",INDEX(drug_codes,MATCH(loaded!AQ988,drug,0)))</f>
        <v>#N/A</v>
      </c>
      <c r="T988" t="e">
        <f>IF(K988=2,"",_xlfn.IFNA(INDEX(drug_codes,MATCH(loaded!AS988,drug,0)),""))</f>
        <v>#N/A</v>
      </c>
      <c r="U988" t="e">
        <f>IF(K988=2,"",_xlfn.IFNA(INDEX(drug_codes,MATCH(loaded!AU988,drug,0)),""))</f>
        <v>#N/A</v>
      </c>
      <c r="V988" t="e">
        <f>IF(K988=2,"",_xlfn.IFNA(INDEX(drug_codes,MATCH(loaded!AW988,drug,0)),""))</f>
        <v>#N/A</v>
      </c>
      <c r="W988" t="e">
        <f>IF(K988=2,"",_xlfn.IFNA(INDEX(drug_codes,MATCH(loaded!AY988,drug,0)),""))</f>
        <v>#N/A</v>
      </c>
      <c r="X988" t="e">
        <f>IF(K988=2,"",_xlfn.IFNA(INDEX(drug_codes,MATCH(loaded!BA988,drug,0)),""))</f>
        <v>#N/A</v>
      </c>
      <c r="Y988" t="e">
        <f>INDEX(MTT_codes,MATCH(loaded!BC988,MTT,0))</f>
        <v>#N/A</v>
      </c>
      <c r="Z988" t="str">
        <f>_xlfn.IFNA(INDEX(MTT_codes,MATCH(loaded!BE988,MTT,0)),"")</f>
        <v/>
      </c>
      <c r="AA988" t="str">
        <f>_xlfn.IFNA(INDEX(MTT_codes,MATCH(loaded!BG988,MTT,0)),"")</f>
        <v/>
      </c>
      <c r="AB988" t="str">
        <f>_xlfn.IFNA(INDEX(MTT_codes,MATCH(loaded!BI988,MTT,0)),"")</f>
        <v/>
      </c>
      <c r="AC988" t="str">
        <f>_xlfn.IFNA(INDEX(MTT_codes,MATCH(loaded!BK988,MTT,0)),"")</f>
        <v/>
      </c>
      <c r="AD988" t="str">
        <f>_xlfn.IFNA(INDEX(MTT_codes,MATCH(loaded!BM988,MTT,0)),"")</f>
        <v/>
      </c>
      <c r="AE988" t="e">
        <f>INDEX(liv_ar_codes,MATCH(loaded!BO988,liv_ar,0))</f>
        <v>#N/A</v>
      </c>
      <c r="AF988" t="str">
        <f>_xlfn.IFNA(INDEX(MTT_codes,MATCH(loaded!BQ988,MTT,0)),"")</f>
        <v/>
      </c>
      <c r="AG988">
        <f>_xlfn.IFNA(INDEX(mental_codes,MATCH(loaded!BS988,mental,0)),9)</f>
        <v>9</v>
      </c>
    </row>
    <row r="989" spans="1:33" x14ac:dyDescent="0.25">
      <c r="A989">
        <f>loaded!C989</f>
        <v>0</v>
      </c>
      <c r="B989">
        <f>loaded!I989</f>
        <v>0</v>
      </c>
      <c r="C989">
        <f>IF(loaded!K989="Male",1,IF(loaded!K989="Female",2,9))</f>
        <v>9</v>
      </c>
      <c r="D989" s="8">
        <f>loaded!M989</f>
        <v>0</v>
      </c>
      <c r="E989" t="str">
        <f>LEFT(loaded!O989,3)</f>
        <v/>
      </c>
      <c r="F989" t="e">
        <f>INDEX(cntry_codes,MATCH(loaded!Q989,countries,0))</f>
        <v>#N/A</v>
      </c>
      <c r="G989" t="e">
        <f>INDEX(atsi_codes,MATCH(loaded!S989,atsi,0))</f>
        <v>#N/A</v>
      </c>
      <c r="H989" t="e">
        <f>INDEX(lang_codes,MATCH(loaded!U989,lang,0))</f>
        <v>#N/A</v>
      </c>
      <c r="I989" s="8">
        <f>loaded!W989</f>
        <v>0</v>
      </c>
      <c r="J989" t="e">
        <f>INDEX(us_acc_codes,MATCH(loaded!Y989,us_acc,0))</f>
        <v>#N/A</v>
      </c>
      <c r="K989" t="e">
        <f>INDEX(client_codes,MATCH(loaded!AA989,client,0))</f>
        <v>#N/A</v>
      </c>
      <c r="L989" t="e">
        <f>INDEX(src_ref_codes,MATCH(loaded!AC989,src_ref,0))</f>
        <v>#N/A</v>
      </c>
      <c r="M989" s="8">
        <f>loaded!AE989</f>
        <v>0</v>
      </c>
      <c r="N989" s="8">
        <f>loaded!AG989</f>
        <v>0</v>
      </c>
      <c r="O989" t="e">
        <f>INDEX(reces_codes,MATCH(loaded!AI989,reason,0))</f>
        <v>#N/A</v>
      </c>
      <c r="P989" t="e">
        <f>INDEX(TDS_codes,MATCH(loaded!AK989,TDS,0))</f>
        <v>#N/A</v>
      </c>
      <c r="Q989" t="e">
        <f>IF(K989=2,"",INDEX(method_codes,MATCH(loaded!AM989,method,0)))</f>
        <v>#N/A</v>
      </c>
      <c r="R989" t="e">
        <f>IF(K989=2,"",INDEX(inj_codes,MATCH(loaded!AO989,inj,0)))</f>
        <v>#N/A</v>
      </c>
      <c r="S989" t="e">
        <f>IF(K989=2,"",INDEX(drug_codes,MATCH(loaded!AQ989,drug,0)))</f>
        <v>#N/A</v>
      </c>
      <c r="T989" t="e">
        <f>IF(K989=2,"",_xlfn.IFNA(INDEX(drug_codes,MATCH(loaded!AS989,drug,0)),""))</f>
        <v>#N/A</v>
      </c>
      <c r="U989" t="e">
        <f>IF(K989=2,"",_xlfn.IFNA(INDEX(drug_codes,MATCH(loaded!AU989,drug,0)),""))</f>
        <v>#N/A</v>
      </c>
      <c r="V989" t="e">
        <f>IF(K989=2,"",_xlfn.IFNA(INDEX(drug_codes,MATCH(loaded!AW989,drug,0)),""))</f>
        <v>#N/A</v>
      </c>
      <c r="W989" t="e">
        <f>IF(K989=2,"",_xlfn.IFNA(INDEX(drug_codes,MATCH(loaded!AY989,drug,0)),""))</f>
        <v>#N/A</v>
      </c>
      <c r="X989" t="e">
        <f>IF(K989=2,"",_xlfn.IFNA(INDEX(drug_codes,MATCH(loaded!BA989,drug,0)),""))</f>
        <v>#N/A</v>
      </c>
      <c r="Y989" t="e">
        <f>INDEX(MTT_codes,MATCH(loaded!BC989,MTT,0))</f>
        <v>#N/A</v>
      </c>
      <c r="Z989" t="str">
        <f>_xlfn.IFNA(INDEX(MTT_codes,MATCH(loaded!BE989,MTT,0)),"")</f>
        <v/>
      </c>
      <c r="AA989" t="str">
        <f>_xlfn.IFNA(INDEX(MTT_codes,MATCH(loaded!BG989,MTT,0)),"")</f>
        <v/>
      </c>
      <c r="AB989" t="str">
        <f>_xlfn.IFNA(INDEX(MTT_codes,MATCH(loaded!BI989,MTT,0)),"")</f>
        <v/>
      </c>
      <c r="AC989" t="str">
        <f>_xlfn.IFNA(INDEX(MTT_codes,MATCH(loaded!BK989,MTT,0)),"")</f>
        <v/>
      </c>
      <c r="AD989" t="str">
        <f>_xlfn.IFNA(INDEX(MTT_codes,MATCH(loaded!BM989,MTT,0)),"")</f>
        <v/>
      </c>
      <c r="AE989" t="e">
        <f>INDEX(liv_ar_codes,MATCH(loaded!BO989,liv_ar,0))</f>
        <v>#N/A</v>
      </c>
      <c r="AF989" t="str">
        <f>_xlfn.IFNA(INDEX(MTT_codes,MATCH(loaded!BQ989,MTT,0)),"")</f>
        <v/>
      </c>
      <c r="AG989">
        <f>_xlfn.IFNA(INDEX(mental_codes,MATCH(loaded!BS989,mental,0)),9)</f>
        <v>9</v>
      </c>
    </row>
    <row r="990" spans="1:33" x14ac:dyDescent="0.25">
      <c r="A990">
        <f>loaded!C990</f>
        <v>0</v>
      </c>
      <c r="B990">
        <f>loaded!I990</f>
        <v>0</v>
      </c>
      <c r="C990">
        <f>IF(loaded!K990="Male",1,IF(loaded!K990="Female",2,9))</f>
        <v>9</v>
      </c>
      <c r="D990" s="8">
        <f>loaded!M990</f>
        <v>0</v>
      </c>
      <c r="E990" t="str">
        <f>LEFT(loaded!O990,3)</f>
        <v/>
      </c>
      <c r="F990" t="e">
        <f>INDEX(cntry_codes,MATCH(loaded!Q990,countries,0))</f>
        <v>#N/A</v>
      </c>
      <c r="G990" t="e">
        <f>INDEX(atsi_codes,MATCH(loaded!S990,atsi,0))</f>
        <v>#N/A</v>
      </c>
      <c r="H990" t="e">
        <f>INDEX(lang_codes,MATCH(loaded!U990,lang,0))</f>
        <v>#N/A</v>
      </c>
      <c r="I990" s="8">
        <f>loaded!W990</f>
        <v>0</v>
      </c>
      <c r="J990" t="e">
        <f>INDEX(us_acc_codes,MATCH(loaded!Y990,us_acc,0))</f>
        <v>#N/A</v>
      </c>
      <c r="K990" t="e">
        <f>INDEX(client_codes,MATCH(loaded!AA990,client,0))</f>
        <v>#N/A</v>
      </c>
      <c r="L990" t="e">
        <f>INDEX(src_ref_codes,MATCH(loaded!AC990,src_ref,0))</f>
        <v>#N/A</v>
      </c>
      <c r="M990" s="8">
        <f>loaded!AE990</f>
        <v>0</v>
      </c>
      <c r="N990" s="8">
        <f>loaded!AG990</f>
        <v>0</v>
      </c>
      <c r="O990" t="e">
        <f>INDEX(reces_codes,MATCH(loaded!AI990,reason,0))</f>
        <v>#N/A</v>
      </c>
      <c r="P990" t="e">
        <f>INDEX(TDS_codes,MATCH(loaded!AK990,TDS,0))</f>
        <v>#N/A</v>
      </c>
      <c r="Q990" t="e">
        <f>IF(K990=2,"",INDEX(method_codes,MATCH(loaded!AM990,method,0)))</f>
        <v>#N/A</v>
      </c>
      <c r="R990" t="e">
        <f>IF(K990=2,"",INDEX(inj_codes,MATCH(loaded!AO990,inj,0)))</f>
        <v>#N/A</v>
      </c>
      <c r="S990" t="e">
        <f>IF(K990=2,"",INDEX(drug_codes,MATCH(loaded!AQ990,drug,0)))</f>
        <v>#N/A</v>
      </c>
      <c r="T990" t="e">
        <f>IF(K990=2,"",_xlfn.IFNA(INDEX(drug_codes,MATCH(loaded!AS990,drug,0)),""))</f>
        <v>#N/A</v>
      </c>
      <c r="U990" t="e">
        <f>IF(K990=2,"",_xlfn.IFNA(INDEX(drug_codes,MATCH(loaded!AU990,drug,0)),""))</f>
        <v>#N/A</v>
      </c>
      <c r="V990" t="e">
        <f>IF(K990=2,"",_xlfn.IFNA(INDEX(drug_codes,MATCH(loaded!AW990,drug,0)),""))</f>
        <v>#N/A</v>
      </c>
      <c r="W990" t="e">
        <f>IF(K990=2,"",_xlfn.IFNA(INDEX(drug_codes,MATCH(loaded!AY990,drug,0)),""))</f>
        <v>#N/A</v>
      </c>
      <c r="X990" t="e">
        <f>IF(K990=2,"",_xlfn.IFNA(INDEX(drug_codes,MATCH(loaded!BA990,drug,0)),""))</f>
        <v>#N/A</v>
      </c>
      <c r="Y990" t="e">
        <f>INDEX(MTT_codes,MATCH(loaded!BC990,MTT,0))</f>
        <v>#N/A</v>
      </c>
      <c r="Z990" t="str">
        <f>_xlfn.IFNA(INDEX(MTT_codes,MATCH(loaded!BE990,MTT,0)),"")</f>
        <v/>
      </c>
      <c r="AA990" t="str">
        <f>_xlfn.IFNA(INDEX(MTT_codes,MATCH(loaded!BG990,MTT,0)),"")</f>
        <v/>
      </c>
      <c r="AB990" t="str">
        <f>_xlfn.IFNA(INDEX(MTT_codes,MATCH(loaded!BI990,MTT,0)),"")</f>
        <v/>
      </c>
      <c r="AC990" t="str">
        <f>_xlfn.IFNA(INDEX(MTT_codes,MATCH(loaded!BK990,MTT,0)),"")</f>
        <v/>
      </c>
      <c r="AD990" t="str">
        <f>_xlfn.IFNA(INDEX(MTT_codes,MATCH(loaded!BM990,MTT,0)),"")</f>
        <v/>
      </c>
      <c r="AE990" t="e">
        <f>INDEX(liv_ar_codes,MATCH(loaded!BO990,liv_ar,0))</f>
        <v>#N/A</v>
      </c>
      <c r="AF990" t="str">
        <f>_xlfn.IFNA(INDEX(MTT_codes,MATCH(loaded!BQ990,MTT,0)),"")</f>
        <v/>
      </c>
      <c r="AG990">
        <f>_xlfn.IFNA(INDEX(mental_codes,MATCH(loaded!BS990,mental,0)),9)</f>
        <v>9</v>
      </c>
    </row>
    <row r="991" spans="1:33" x14ac:dyDescent="0.25">
      <c r="A991">
        <f>loaded!C991</f>
        <v>0</v>
      </c>
      <c r="B991">
        <f>loaded!I991</f>
        <v>0</v>
      </c>
      <c r="C991">
        <f>IF(loaded!K991="Male",1,IF(loaded!K991="Female",2,9))</f>
        <v>9</v>
      </c>
      <c r="D991" s="8">
        <f>loaded!M991</f>
        <v>0</v>
      </c>
      <c r="E991" t="str">
        <f>LEFT(loaded!O991,3)</f>
        <v/>
      </c>
      <c r="F991" t="e">
        <f>INDEX(cntry_codes,MATCH(loaded!Q991,countries,0))</f>
        <v>#N/A</v>
      </c>
      <c r="G991" t="e">
        <f>INDEX(atsi_codes,MATCH(loaded!S991,atsi,0))</f>
        <v>#N/A</v>
      </c>
      <c r="H991" t="e">
        <f>INDEX(lang_codes,MATCH(loaded!U991,lang,0))</f>
        <v>#N/A</v>
      </c>
      <c r="I991" s="8">
        <f>loaded!W991</f>
        <v>0</v>
      </c>
      <c r="J991" t="e">
        <f>INDEX(us_acc_codes,MATCH(loaded!Y991,us_acc,0))</f>
        <v>#N/A</v>
      </c>
      <c r="K991" t="e">
        <f>INDEX(client_codes,MATCH(loaded!AA991,client,0))</f>
        <v>#N/A</v>
      </c>
      <c r="L991" t="e">
        <f>INDEX(src_ref_codes,MATCH(loaded!AC991,src_ref,0))</f>
        <v>#N/A</v>
      </c>
      <c r="M991" s="8">
        <f>loaded!AE991</f>
        <v>0</v>
      </c>
      <c r="N991" s="8">
        <f>loaded!AG991</f>
        <v>0</v>
      </c>
      <c r="O991" t="e">
        <f>INDEX(reces_codes,MATCH(loaded!AI991,reason,0))</f>
        <v>#N/A</v>
      </c>
      <c r="P991" t="e">
        <f>INDEX(TDS_codes,MATCH(loaded!AK991,TDS,0))</f>
        <v>#N/A</v>
      </c>
      <c r="Q991" t="e">
        <f>IF(K991=2,"",INDEX(method_codes,MATCH(loaded!AM991,method,0)))</f>
        <v>#N/A</v>
      </c>
      <c r="R991" t="e">
        <f>IF(K991=2,"",INDEX(inj_codes,MATCH(loaded!AO991,inj,0)))</f>
        <v>#N/A</v>
      </c>
      <c r="S991" t="e">
        <f>IF(K991=2,"",INDEX(drug_codes,MATCH(loaded!AQ991,drug,0)))</f>
        <v>#N/A</v>
      </c>
      <c r="T991" t="e">
        <f>IF(K991=2,"",_xlfn.IFNA(INDEX(drug_codes,MATCH(loaded!AS991,drug,0)),""))</f>
        <v>#N/A</v>
      </c>
      <c r="U991" t="e">
        <f>IF(K991=2,"",_xlfn.IFNA(INDEX(drug_codes,MATCH(loaded!AU991,drug,0)),""))</f>
        <v>#N/A</v>
      </c>
      <c r="V991" t="e">
        <f>IF(K991=2,"",_xlfn.IFNA(INDEX(drug_codes,MATCH(loaded!AW991,drug,0)),""))</f>
        <v>#N/A</v>
      </c>
      <c r="W991" t="e">
        <f>IF(K991=2,"",_xlfn.IFNA(INDEX(drug_codes,MATCH(loaded!AY991,drug,0)),""))</f>
        <v>#N/A</v>
      </c>
      <c r="X991" t="e">
        <f>IF(K991=2,"",_xlfn.IFNA(INDEX(drug_codes,MATCH(loaded!BA991,drug,0)),""))</f>
        <v>#N/A</v>
      </c>
      <c r="Y991" t="e">
        <f>INDEX(MTT_codes,MATCH(loaded!BC991,MTT,0))</f>
        <v>#N/A</v>
      </c>
      <c r="Z991" t="str">
        <f>_xlfn.IFNA(INDEX(MTT_codes,MATCH(loaded!BE991,MTT,0)),"")</f>
        <v/>
      </c>
      <c r="AA991" t="str">
        <f>_xlfn.IFNA(INDEX(MTT_codes,MATCH(loaded!BG991,MTT,0)),"")</f>
        <v/>
      </c>
      <c r="AB991" t="str">
        <f>_xlfn.IFNA(INDEX(MTT_codes,MATCH(loaded!BI991,MTT,0)),"")</f>
        <v/>
      </c>
      <c r="AC991" t="str">
        <f>_xlfn.IFNA(INDEX(MTT_codes,MATCH(loaded!BK991,MTT,0)),"")</f>
        <v/>
      </c>
      <c r="AD991" t="str">
        <f>_xlfn.IFNA(INDEX(MTT_codes,MATCH(loaded!BM991,MTT,0)),"")</f>
        <v/>
      </c>
      <c r="AE991" t="e">
        <f>INDEX(liv_ar_codes,MATCH(loaded!BO991,liv_ar,0))</f>
        <v>#N/A</v>
      </c>
      <c r="AF991" t="str">
        <f>_xlfn.IFNA(INDEX(MTT_codes,MATCH(loaded!BQ991,MTT,0)),"")</f>
        <v/>
      </c>
      <c r="AG991">
        <f>_xlfn.IFNA(INDEX(mental_codes,MATCH(loaded!BS991,mental,0)),9)</f>
        <v>9</v>
      </c>
    </row>
    <row r="992" spans="1:33" x14ac:dyDescent="0.25">
      <c r="A992">
        <f>loaded!C992</f>
        <v>0</v>
      </c>
      <c r="B992">
        <f>loaded!I992</f>
        <v>0</v>
      </c>
      <c r="C992">
        <f>IF(loaded!K992="Male",1,IF(loaded!K992="Female",2,9))</f>
        <v>9</v>
      </c>
      <c r="D992" s="8">
        <f>loaded!M992</f>
        <v>0</v>
      </c>
      <c r="E992" t="str">
        <f>LEFT(loaded!O992,3)</f>
        <v/>
      </c>
      <c r="F992" t="e">
        <f>INDEX(cntry_codes,MATCH(loaded!Q992,countries,0))</f>
        <v>#N/A</v>
      </c>
      <c r="G992" t="e">
        <f>INDEX(atsi_codes,MATCH(loaded!S992,atsi,0))</f>
        <v>#N/A</v>
      </c>
      <c r="H992" t="e">
        <f>INDEX(lang_codes,MATCH(loaded!U992,lang,0))</f>
        <v>#N/A</v>
      </c>
      <c r="I992" s="8">
        <f>loaded!W992</f>
        <v>0</v>
      </c>
      <c r="J992" t="e">
        <f>INDEX(us_acc_codes,MATCH(loaded!Y992,us_acc,0))</f>
        <v>#N/A</v>
      </c>
      <c r="K992" t="e">
        <f>INDEX(client_codes,MATCH(loaded!AA992,client,0))</f>
        <v>#N/A</v>
      </c>
      <c r="L992" t="e">
        <f>INDEX(src_ref_codes,MATCH(loaded!AC992,src_ref,0))</f>
        <v>#N/A</v>
      </c>
      <c r="M992" s="8">
        <f>loaded!AE992</f>
        <v>0</v>
      </c>
      <c r="N992" s="8">
        <f>loaded!AG992</f>
        <v>0</v>
      </c>
      <c r="O992" t="e">
        <f>INDEX(reces_codes,MATCH(loaded!AI992,reason,0))</f>
        <v>#N/A</v>
      </c>
      <c r="P992" t="e">
        <f>INDEX(TDS_codes,MATCH(loaded!AK992,TDS,0))</f>
        <v>#N/A</v>
      </c>
      <c r="Q992" t="e">
        <f>IF(K992=2,"",INDEX(method_codes,MATCH(loaded!AM992,method,0)))</f>
        <v>#N/A</v>
      </c>
      <c r="R992" t="e">
        <f>IF(K992=2,"",INDEX(inj_codes,MATCH(loaded!AO992,inj,0)))</f>
        <v>#N/A</v>
      </c>
      <c r="S992" t="e">
        <f>IF(K992=2,"",INDEX(drug_codes,MATCH(loaded!AQ992,drug,0)))</f>
        <v>#N/A</v>
      </c>
      <c r="T992" t="e">
        <f>IF(K992=2,"",_xlfn.IFNA(INDEX(drug_codes,MATCH(loaded!AS992,drug,0)),""))</f>
        <v>#N/A</v>
      </c>
      <c r="U992" t="e">
        <f>IF(K992=2,"",_xlfn.IFNA(INDEX(drug_codes,MATCH(loaded!AU992,drug,0)),""))</f>
        <v>#N/A</v>
      </c>
      <c r="V992" t="e">
        <f>IF(K992=2,"",_xlfn.IFNA(INDEX(drug_codes,MATCH(loaded!AW992,drug,0)),""))</f>
        <v>#N/A</v>
      </c>
      <c r="W992" t="e">
        <f>IF(K992=2,"",_xlfn.IFNA(INDEX(drug_codes,MATCH(loaded!AY992,drug,0)),""))</f>
        <v>#N/A</v>
      </c>
      <c r="X992" t="e">
        <f>IF(K992=2,"",_xlfn.IFNA(INDEX(drug_codes,MATCH(loaded!BA992,drug,0)),""))</f>
        <v>#N/A</v>
      </c>
      <c r="Y992" t="e">
        <f>INDEX(MTT_codes,MATCH(loaded!BC992,MTT,0))</f>
        <v>#N/A</v>
      </c>
      <c r="Z992" t="str">
        <f>_xlfn.IFNA(INDEX(MTT_codes,MATCH(loaded!BE992,MTT,0)),"")</f>
        <v/>
      </c>
      <c r="AA992" t="str">
        <f>_xlfn.IFNA(INDEX(MTT_codes,MATCH(loaded!BG992,MTT,0)),"")</f>
        <v/>
      </c>
      <c r="AB992" t="str">
        <f>_xlfn.IFNA(INDEX(MTT_codes,MATCH(loaded!BI992,MTT,0)),"")</f>
        <v/>
      </c>
      <c r="AC992" t="str">
        <f>_xlfn.IFNA(INDEX(MTT_codes,MATCH(loaded!BK992,MTT,0)),"")</f>
        <v/>
      </c>
      <c r="AD992" t="str">
        <f>_xlfn.IFNA(INDEX(MTT_codes,MATCH(loaded!BM992,MTT,0)),"")</f>
        <v/>
      </c>
      <c r="AE992" t="e">
        <f>INDEX(liv_ar_codes,MATCH(loaded!BO992,liv_ar,0))</f>
        <v>#N/A</v>
      </c>
      <c r="AF992" t="str">
        <f>_xlfn.IFNA(INDEX(MTT_codes,MATCH(loaded!BQ992,MTT,0)),"")</f>
        <v/>
      </c>
      <c r="AG992">
        <f>_xlfn.IFNA(INDEX(mental_codes,MATCH(loaded!BS992,mental,0)),9)</f>
        <v>9</v>
      </c>
    </row>
    <row r="993" spans="1:33" x14ac:dyDescent="0.25">
      <c r="A993">
        <f>loaded!C993</f>
        <v>0</v>
      </c>
      <c r="B993">
        <f>loaded!I993</f>
        <v>0</v>
      </c>
      <c r="C993">
        <f>IF(loaded!K993="Male",1,IF(loaded!K993="Female",2,9))</f>
        <v>9</v>
      </c>
      <c r="D993" s="8">
        <f>loaded!M993</f>
        <v>0</v>
      </c>
      <c r="E993" t="str">
        <f>LEFT(loaded!O993,3)</f>
        <v/>
      </c>
      <c r="F993" t="e">
        <f>INDEX(cntry_codes,MATCH(loaded!Q993,countries,0))</f>
        <v>#N/A</v>
      </c>
      <c r="G993" t="e">
        <f>INDEX(atsi_codes,MATCH(loaded!S993,atsi,0))</f>
        <v>#N/A</v>
      </c>
      <c r="H993" t="e">
        <f>INDEX(lang_codes,MATCH(loaded!U993,lang,0))</f>
        <v>#N/A</v>
      </c>
      <c r="I993" s="8">
        <f>loaded!W993</f>
        <v>0</v>
      </c>
      <c r="J993" t="e">
        <f>INDEX(us_acc_codes,MATCH(loaded!Y993,us_acc,0))</f>
        <v>#N/A</v>
      </c>
      <c r="K993" t="e">
        <f>INDEX(client_codes,MATCH(loaded!AA993,client,0))</f>
        <v>#N/A</v>
      </c>
      <c r="L993" t="e">
        <f>INDEX(src_ref_codes,MATCH(loaded!AC993,src_ref,0))</f>
        <v>#N/A</v>
      </c>
      <c r="M993" s="8">
        <f>loaded!AE993</f>
        <v>0</v>
      </c>
      <c r="N993" s="8">
        <f>loaded!AG993</f>
        <v>0</v>
      </c>
      <c r="O993" t="e">
        <f>INDEX(reces_codes,MATCH(loaded!AI993,reason,0))</f>
        <v>#N/A</v>
      </c>
      <c r="P993" t="e">
        <f>INDEX(TDS_codes,MATCH(loaded!AK993,TDS,0))</f>
        <v>#N/A</v>
      </c>
      <c r="Q993" t="e">
        <f>IF(K993=2,"",INDEX(method_codes,MATCH(loaded!AM993,method,0)))</f>
        <v>#N/A</v>
      </c>
      <c r="R993" t="e">
        <f>IF(K993=2,"",INDEX(inj_codes,MATCH(loaded!AO993,inj,0)))</f>
        <v>#N/A</v>
      </c>
      <c r="S993" t="e">
        <f>IF(K993=2,"",INDEX(drug_codes,MATCH(loaded!AQ993,drug,0)))</f>
        <v>#N/A</v>
      </c>
      <c r="T993" t="e">
        <f>IF(K993=2,"",_xlfn.IFNA(INDEX(drug_codes,MATCH(loaded!AS993,drug,0)),""))</f>
        <v>#N/A</v>
      </c>
      <c r="U993" t="e">
        <f>IF(K993=2,"",_xlfn.IFNA(INDEX(drug_codes,MATCH(loaded!AU993,drug,0)),""))</f>
        <v>#N/A</v>
      </c>
      <c r="V993" t="e">
        <f>IF(K993=2,"",_xlfn.IFNA(INDEX(drug_codes,MATCH(loaded!AW993,drug,0)),""))</f>
        <v>#N/A</v>
      </c>
      <c r="W993" t="e">
        <f>IF(K993=2,"",_xlfn.IFNA(INDEX(drug_codes,MATCH(loaded!AY993,drug,0)),""))</f>
        <v>#N/A</v>
      </c>
      <c r="X993" t="e">
        <f>IF(K993=2,"",_xlfn.IFNA(INDEX(drug_codes,MATCH(loaded!BA993,drug,0)),""))</f>
        <v>#N/A</v>
      </c>
      <c r="Y993" t="e">
        <f>INDEX(MTT_codes,MATCH(loaded!BC993,MTT,0))</f>
        <v>#N/A</v>
      </c>
      <c r="Z993" t="str">
        <f>_xlfn.IFNA(INDEX(MTT_codes,MATCH(loaded!BE993,MTT,0)),"")</f>
        <v/>
      </c>
      <c r="AA993" t="str">
        <f>_xlfn.IFNA(INDEX(MTT_codes,MATCH(loaded!BG993,MTT,0)),"")</f>
        <v/>
      </c>
      <c r="AB993" t="str">
        <f>_xlfn.IFNA(INDEX(MTT_codes,MATCH(loaded!BI993,MTT,0)),"")</f>
        <v/>
      </c>
      <c r="AC993" t="str">
        <f>_xlfn.IFNA(INDEX(MTT_codes,MATCH(loaded!BK993,MTT,0)),"")</f>
        <v/>
      </c>
      <c r="AD993" t="str">
        <f>_xlfn.IFNA(INDEX(MTT_codes,MATCH(loaded!BM993,MTT,0)),"")</f>
        <v/>
      </c>
      <c r="AE993" t="e">
        <f>INDEX(liv_ar_codes,MATCH(loaded!BO993,liv_ar,0))</f>
        <v>#N/A</v>
      </c>
      <c r="AF993" t="str">
        <f>_xlfn.IFNA(INDEX(MTT_codes,MATCH(loaded!BQ993,MTT,0)),"")</f>
        <v/>
      </c>
      <c r="AG993">
        <f>_xlfn.IFNA(INDEX(mental_codes,MATCH(loaded!BS993,mental,0)),9)</f>
        <v>9</v>
      </c>
    </row>
    <row r="994" spans="1:33" x14ac:dyDescent="0.25">
      <c r="A994">
        <f>loaded!C994</f>
        <v>0</v>
      </c>
      <c r="B994">
        <f>loaded!I994</f>
        <v>0</v>
      </c>
      <c r="C994">
        <f>IF(loaded!K994="Male",1,IF(loaded!K994="Female",2,9))</f>
        <v>9</v>
      </c>
      <c r="D994" s="8">
        <f>loaded!M994</f>
        <v>0</v>
      </c>
      <c r="E994" t="str">
        <f>LEFT(loaded!O994,3)</f>
        <v/>
      </c>
      <c r="F994" t="e">
        <f>INDEX(cntry_codes,MATCH(loaded!Q994,countries,0))</f>
        <v>#N/A</v>
      </c>
      <c r="G994" t="e">
        <f>INDEX(atsi_codes,MATCH(loaded!S994,atsi,0))</f>
        <v>#N/A</v>
      </c>
      <c r="H994" t="e">
        <f>INDEX(lang_codes,MATCH(loaded!U994,lang,0))</f>
        <v>#N/A</v>
      </c>
      <c r="I994" s="8">
        <f>loaded!W994</f>
        <v>0</v>
      </c>
      <c r="J994" t="e">
        <f>INDEX(us_acc_codes,MATCH(loaded!Y994,us_acc,0))</f>
        <v>#N/A</v>
      </c>
      <c r="K994" t="e">
        <f>INDEX(client_codes,MATCH(loaded!AA994,client,0))</f>
        <v>#N/A</v>
      </c>
      <c r="L994" t="e">
        <f>INDEX(src_ref_codes,MATCH(loaded!AC994,src_ref,0))</f>
        <v>#N/A</v>
      </c>
      <c r="M994" s="8">
        <f>loaded!AE994</f>
        <v>0</v>
      </c>
      <c r="N994" s="8">
        <f>loaded!AG994</f>
        <v>0</v>
      </c>
      <c r="O994" t="e">
        <f>INDEX(reces_codes,MATCH(loaded!AI994,reason,0))</f>
        <v>#N/A</v>
      </c>
      <c r="P994" t="e">
        <f>INDEX(TDS_codes,MATCH(loaded!AK994,TDS,0))</f>
        <v>#N/A</v>
      </c>
      <c r="Q994" t="e">
        <f>IF(K994=2,"",INDEX(method_codes,MATCH(loaded!AM994,method,0)))</f>
        <v>#N/A</v>
      </c>
      <c r="R994" t="e">
        <f>IF(K994=2,"",INDEX(inj_codes,MATCH(loaded!AO994,inj,0)))</f>
        <v>#N/A</v>
      </c>
      <c r="S994" t="e">
        <f>IF(K994=2,"",INDEX(drug_codes,MATCH(loaded!AQ994,drug,0)))</f>
        <v>#N/A</v>
      </c>
      <c r="T994" t="e">
        <f>IF(K994=2,"",_xlfn.IFNA(INDEX(drug_codes,MATCH(loaded!AS994,drug,0)),""))</f>
        <v>#N/A</v>
      </c>
      <c r="U994" t="e">
        <f>IF(K994=2,"",_xlfn.IFNA(INDEX(drug_codes,MATCH(loaded!AU994,drug,0)),""))</f>
        <v>#N/A</v>
      </c>
      <c r="V994" t="e">
        <f>IF(K994=2,"",_xlfn.IFNA(INDEX(drug_codes,MATCH(loaded!AW994,drug,0)),""))</f>
        <v>#N/A</v>
      </c>
      <c r="W994" t="e">
        <f>IF(K994=2,"",_xlfn.IFNA(INDEX(drug_codes,MATCH(loaded!AY994,drug,0)),""))</f>
        <v>#N/A</v>
      </c>
      <c r="X994" t="e">
        <f>IF(K994=2,"",_xlfn.IFNA(INDEX(drug_codes,MATCH(loaded!BA994,drug,0)),""))</f>
        <v>#N/A</v>
      </c>
      <c r="Y994" t="e">
        <f>INDEX(MTT_codes,MATCH(loaded!BC994,MTT,0))</f>
        <v>#N/A</v>
      </c>
      <c r="Z994" t="str">
        <f>_xlfn.IFNA(INDEX(MTT_codes,MATCH(loaded!BE994,MTT,0)),"")</f>
        <v/>
      </c>
      <c r="AA994" t="str">
        <f>_xlfn.IFNA(INDEX(MTT_codes,MATCH(loaded!BG994,MTT,0)),"")</f>
        <v/>
      </c>
      <c r="AB994" t="str">
        <f>_xlfn.IFNA(INDEX(MTT_codes,MATCH(loaded!BI994,MTT,0)),"")</f>
        <v/>
      </c>
      <c r="AC994" t="str">
        <f>_xlfn.IFNA(INDEX(MTT_codes,MATCH(loaded!BK994,MTT,0)),"")</f>
        <v/>
      </c>
      <c r="AD994" t="str">
        <f>_xlfn.IFNA(INDEX(MTT_codes,MATCH(loaded!BM994,MTT,0)),"")</f>
        <v/>
      </c>
      <c r="AE994" t="e">
        <f>INDEX(liv_ar_codes,MATCH(loaded!BO994,liv_ar,0))</f>
        <v>#N/A</v>
      </c>
      <c r="AF994" t="str">
        <f>_xlfn.IFNA(INDEX(MTT_codes,MATCH(loaded!BQ994,MTT,0)),"")</f>
        <v/>
      </c>
      <c r="AG994">
        <f>_xlfn.IFNA(INDEX(mental_codes,MATCH(loaded!BS994,mental,0)),9)</f>
        <v>9</v>
      </c>
    </row>
    <row r="995" spans="1:33" x14ac:dyDescent="0.25">
      <c r="A995">
        <f>loaded!C995</f>
        <v>0</v>
      </c>
      <c r="B995">
        <f>loaded!I995</f>
        <v>0</v>
      </c>
      <c r="C995">
        <f>IF(loaded!K995="Male",1,IF(loaded!K995="Female",2,9))</f>
        <v>9</v>
      </c>
      <c r="D995" s="8">
        <f>loaded!M995</f>
        <v>0</v>
      </c>
      <c r="E995" t="str">
        <f>LEFT(loaded!O995,3)</f>
        <v/>
      </c>
      <c r="F995" t="e">
        <f>INDEX(cntry_codes,MATCH(loaded!Q995,countries,0))</f>
        <v>#N/A</v>
      </c>
      <c r="G995" t="e">
        <f>INDEX(atsi_codes,MATCH(loaded!S995,atsi,0))</f>
        <v>#N/A</v>
      </c>
      <c r="H995" t="e">
        <f>INDEX(lang_codes,MATCH(loaded!U995,lang,0))</f>
        <v>#N/A</v>
      </c>
      <c r="I995" s="8">
        <f>loaded!W995</f>
        <v>0</v>
      </c>
      <c r="J995" t="e">
        <f>INDEX(us_acc_codes,MATCH(loaded!Y995,us_acc,0))</f>
        <v>#N/A</v>
      </c>
      <c r="K995" t="e">
        <f>INDEX(client_codes,MATCH(loaded!AA995,client,0))</f>
        <v>#N/A</v>
      </c>
      <c r="L995" t="e">
        <f>INDEX(src_ref_codes,MATCH(loaded!AC995,src_ref,0))</f>
        <v>#N/A</v>
      </c>
      <c r="M995" s="8">
        <f>loaded!AE995</f>
        <v>0</v>
      </c>
      <c r="N995" s="8">
        <f>loaded!AG995</f>
        <v>0</v>
      </c>
      <c r="O995" t="e">
        <f>INDEX(reces_codes,MATCH(loaded!AI995,reason,0))</f>
        <v>#N/A</v>
      </c>
      <c r="P995" t="e">
        <f>INDEX(TDS_codes,MATCH(loaded!AK995,TDS,0))</f>
        <v>#N/A</v>
      </c>
      <c r="Q995" t="e">
        <f>IF(K995=2,"",INDEX(method_codes,MATCH(loaded!AM995,method,0)))</f>
        <v>#N/A</v>
      </c>
      <c r="R995" t="e">
        <f>IF(K995=2,"",INDEX(inj_codes,MATCH(loaded!AO995,inj,0)))</f>
        <v>#N/A</v>
      </c>
      <c r="S995" t="e">
        <f>IF(K995=2,"",INDEX(drug_codes,MATCH(loaded!AQ995,drug,0)))</f>
        <v>#N/A</v>
      </c>
      <c r="T995" t="e">
        <f>IF(K995=2,"",_xlfn.IFNA(INDEX(drug_codes,MATCH(loaded!AS995,drug,0)),""))</f>
        <v>#N/A</v>
      </c>
      <c r="U995" t="e">
        <f>IF(K995=2,"",_xlfn.IFNA(INDEX(drug_codes,MATCH(loaded!AU995,drug,0)),""))</f>
        <v>#N/A</v>
      </c>
      <c r="V995" t="e">
        <f>IF(K995=2,"",_xlfn.IFNA(INDEX(drug_codes,MATCH(loaded!AW995,drug,0)),""))</f>
        <v>#N/A</v>
      </c>
      <c r="W995" t="e">
        <f>IF(K995=2,"",_xlfn.IFNA(INDEX(drug_codes,MATCH(loaded!AY995,drug,0)),""))</f>
        <v>#N/A</v>
      </c>
      <c r="X995" t="e">
        <f>IF(K995=2,"",_xlfn.IFNA(INDEX(drug_codes,MATCH(loaded!BA995,drug,0)),""))</f>
        <v>#N/A</v>
      </c>
      <c r="Y995" t="e">
        <f>INDEX(MTT_codes,MATCH(loaded!BC995,MTT,0))</f>
        <v>#N/A</v>
      </c>
      <c r="Z995" t="str">
        <f>_xlfn.IFNA(INDEX(MTT_codes,MATCH(loaded!BE995,MTT,0)),"")</f>
        <v/>
      </c>
      <c r="AA995" t="str">
        <f>_xlfn.IFNA(INDEX(MTT_codes,MATCH(loaded!BG995,MTT,0)),"")</f>
        <v/>
      </c>
      <c r="AB995" t="str">
        <f>_xlfn.IFNA(INDEX(MTT_codes,MATCH(loaded!BI995,MTT,0)),"")</f>
        <v/>
      </c>
      <c r="AC995" t="str">
        <f>_xlfn.IFNA(INDEX(MTT_codes,MATCH(loaded!BK995,MTT,0)),"")</f>
        <v/>
      </c>
      <c r="AD995" t="str">
        <f>_xlfn.IFNA(INDEX(MTT_codes,MATCH(loaded!BM995,MTT,0)),"")</f>
        <v/>
      </c>
      <c r="AE995" t="e">
        <f>INDEX(liv_ar_codes,MATCH(loaded!BO995,liv_ar,0))</f>
        <v>#N/A</v>
      </c>
      <c r="AF995" t="str">
        <f>_xlfn.IFNA(INDEX(MTT_codes,MATCH(loaded!BQ995,MTT,0)),"")</f>
        <v/>
      </c>
      <c r="AG995">
        <f>_xlfn.IFNA(INDEX(mental_codes,MATCH(loaded!BS995,mental,0)),9)</f>
        <v>9</v>
      </c>
    </row>
    <row r="996" spans="1:33" x14ac:dyDescent="0.25">
      <c r="A996">
        <f>loaded!C996</f>
        <v>0</v>
      </c>
      <c r="B996">
        <f>loaded!I996</f>
        <v>0</v>
      </c>
      <c r="C996">
        <f>IF(loaded!K996="Male",1,IF(loaded!K996="Female",2,9))</f>
        <v>9</v>
      </c>
      <c r="D996" s="8">
        <f>loaded!M996</f>
        <v>0</v>
      </c>
      <c r="E996" t="str">
        <f>LEFT(loaded!O996,3)</f>
        <v/>
      </c>
      <c r="F996" t="e">
        <f>INDEX(cntry_codes,MATCH(loaded!Q996,countries,0))</f>
        <v>#N/A</v>
      </c>
      <c r="G996" t="e">
        <f>INDEX(atsi_codes,MATCH(loaded!S996,atsi,0))</f>
        <v>#N/A</v>
      </c>
      <c r="H996" t="e">
        <f>INDEX(lang_codes,MATCH(loaded!U996,lang,0))</f>
        <v>#N/A</v>
      </c>
      <c r="I996" s="8">
        <f>loaded!W996</f>
        <v>0</v>
      </c>
      <c r="J996" t="e">
        <f>INDEX(us_acc_codes,MATCH(loaded!Y996,us_acc,0))</f>
        <v>#N/A</v>
      </c>
      <c r="K996" t="e">
        <f>INDEX(client_codes,MATCH(loaded!AA996,client,0))</f>
        <v>#N/A</v>
      </c>
      <c r="L996" t="e">
        <f>INDEX(src_ref_codes,MATCH(loaded!AC996,src_ref,0))</f>
        <v>#N/A</v>
      </c>
      <c r="M996" s="8">
        <f>loaded!AE996</f>
        <v>0</v>
      </c>
      <c r="N996" s="8">
        <f>loaded!AG996</f>
        <v>0</v>
      </c>
      <c r="O996" t="e">
        <f>INDEX(reces_codes,MATCH(loaded!AI996,reason,0))</f>
        <v>#N/A</v>
      </c>
      <c r="P996" t="e">
        <f>INDEX(TDS_codes,MATCH(loaded!AK996,TDS,0))</f>
        <v>#N/A</v>
      </c>
      <c r="Q996" t="e">
        <f>IF(K996=2,"",INDEX(method_codes,MATCH(loaded!AM996,method,0)))</f>
        <v>#N/A</v>
      </c>
      <c r="R996" t="e">
        <f>IF(K996=2,"",INDEX(inj_codes,MATCH(loaded!AO996,inj,0)))</f>
        <v>#N/A</v>
      </c>
      <c r="S996" t="e">
        <f>IF(K996=2,"",INDEX(drug_codes,MATCH(loaded!AQ996,drug,0)))</f>
        <v>#N/A</v>
      </c>
      <c r="T996" t="e">
        <f>IF(K996=2,"",_xlfn.IFNA(INDEX(drug_codes,MATCH(loaded!AS996,drug,0)),""))</f>
        <v>#N/A</v>
      </c>
      <c r="U996" t="e">
        <f>IF(K996=2,"",_xlfn.IFNA(INDEX(drug_codes,MATCH(loaded!AU996,drug,0)),""))</f>
        <v>#N/A</v>
      </c>
      <c r="V996" t="e">
        <f>IF(K996=2,"",_xlfn.IFNA(INDEX(drug_codes,MATCH(loaded!AW996,drug,0)),""))</f>
        <v>#N/A</v>
      </c>
      <c r="W996" t="e">
        <f>IF(K996=2,"",_xlfn.IFNA(INDEX(drug_codes,MATCH(loaded!AY996,drug,0)),""))</f>
        <v>#N/A</v>
      </c>
      <c r="X996" t="e">
        <f>IF(K996=2,"",_xlfn.IFNA(INDEX(drug_codes,MATCH(loaded!BA996,drug,0)),""))</f>
        <v>#N/A</v>
      </c>
      <c r="Y996" t="e">
        <f>INDEX(MTT_codes,MATCH(loaded!BC996,MTT,0))</f>
        <v>#N/A</v>
      </c>
      <c r="Z996" t="str">
        <f>_xlfn.IFNA(INDEX(MTT_codes,MATCH(loaded!BE996,MTT,0)),"")</f>
        <v/>
      </c>
      <c r="AA996" t="str">
        <f>_xlfn.IFNA(INDEX(MTT_codes,MATCH(loaded!BG996,MTT,0)),"")</f>
        <v/>
      </c>
      <c r="AB996" t="str">
        <f>_xlfn.IFNA(INDEX(MTT_codes,MATCH(loaded!BI996,MTT,0)),"")</f>
        <v/>
      </c>
      <c r="AC996" t="str">
        <f>_xlfn.IFNA(INDEX(MTT_codes,MATCH(loaded!BK996,MTT,0)),"")</f>
        <v/>
      </c>
      <c r="AD996" t="str">
        <f>_xlfn.IFNA(INDEX(MTT_codes,MATCH(loaded!BM996,MTT,0)),"")</f>
        <v/>
      </c>
      <c r="AE996" t="e">
        <f>INDEX(liv_ar_codes,MATCH(loaded!BO996,liv_ar,0))</f>
        <v>#N/A</v>
      </c>
      <c r="AF996" t="str">
        <f>_xlfn.IFNA(INDEX(MTT_codes,MATCH(loaded!BQ996,MTT,0)),"")</f>
        <v/>
      </c>
      <c r="AG996">
        <f>_xlfn.IFNA(INDEX(mental_codes,MATCH(loaded!BS996,mental,0)),9)</f>
        <v>9</v>
      </c>
    </row>
    <row r="997" spans="1:33" x14ac:dyDescent="0.25">
      <c r="A997">
        <f>loaded!C997</f>
        <v>0</v>
      </c>
      <c r="B997">
        <f>loaded!I997</f>
        <v>0</v>
      </c>
      <c r="C997">
        <f>IF(loaded!K997="Male",1,IF(loaded!K997="Female",2,9))</f>
        <v>9</v>
      </c>
      <c r="D997" s="8">
        <f>loaded!M997</f>
        <v>0</v>
      </c>
      <c r="E997" t="str">
        <f>LEFT(loaded!O997,3)</f>
        <v/>
      </c>
      <c r="F997" t="e">
        <f>INDEX(cntry_codes,MATCH(loaded!Q997,countries,0))</f>
        <v>#N/A</v>
      </c>
      <c r="G997" t="e">
        <f>INDEX(atsi_codes,MATCH(loaded!S997,atsi,0))</f>
        <v>#N/A</v>
      </c>
      <c r="H997" t="e">
        <f>INDEX(lang_codes,MATCH(loaded!U997,lang,0))</f>
        <v>#N/A</v>
      </c>
      <c r="I997" s="8">
        <f>loaded!W997</f>
        <v>0</v>
      </c>
      <c r="J997" t="e">
        <f>INDEX(us_acc_codes,MATCH(loaded!Y997,us_acc,0))</f>
        <v>#N/A</v>
      </c>
      <c r="K997" t="e">
        <f>INDEX(client_codes,MATCH(loaded!AA997,client,0))</f>
        <v>#N/A</v>
      </c>
      <c r="L997" t="e">
        <f>INDEX(src_ref_codes,MATCH(loaded!AC997,src_ref,0))</f>
        <v>#N/A</v>
      </c>
      <c r="M997" s="8">
        <f>loaded!AE997</f>
        <v>0</v>
      </c>
      <c r="N997" s="8">
        <f>loaded!AG997</f>
        <v>0</v>
      </c>
      <c r="O997" t="e">
        <f>INDEX(reces_codes,MATCH(loaded!AI997,reason,0))</f>
        <v>#N/A</v>
      </c>
      <c r="P997" t="e">
        <f>INDEX(TDS_codes,MATCH(loaded!AK997,TDS,0))</f>
        <v>#N/A</v>
      </c>
      <c r="Q997" t="e">
        <f>IF(K997=2,"",INDEX(method_codes,MATCH(loaded!AM997,method,0)))</f>
        <v>#N/A</v>
      </c>
      <c r="R997" t="e">
        <f>IF(K997=2,"",INDEX(inj_codes,MATCH(loaded!AO997,inj,0)))</f>
        <v>#N/A</v>
      </c>
      <c r="S997" t="e">
        <f>IF(K997=2,"",INDEX(drug_codes,MATCH(loaded!AQ997,drug,0)))</f>
        <v>#N/A</v>
      </c>
      <c r="T997" t="e">
        <f>IF(K997=2,"",_xlfn.IFNA(INDEX(drug_codes,MATCH(loaded!AS997,drug,0)),""))</f>
        <v>#N/A</v>
      </c>
      <c r="U997" t="e">
        <f>IF(K997=2,"",_xlfn.IFNA(INDEX(drug_codes,MATCH(loaded!AU997,drug,0)),""))</f>
        <v>#N/A</v>
      </c>
      <c r="V997" t="e">
        <f>IF(K997=2,"",_xlfn.IFNA(INDEX(drug_codes,MATCH(loaded!AW997,drug,0)),""))</f>
        <v>#N/A</v>
      </c>
      <c r="W997" t="e">
        <f>IF(K997=2,"",_xlfn.IFNA(INDEX(drug_codes,MATCH(loaded!AY997,drug,0)),""))</f>
        <v>#N/A</v>
      </c>
      <c r="X997" t="e">
        <f>IF(K997=2,"",_xlfn.IFNA(INDEX(drug_codes,MATCH(loaded!BA997,drug,0)),""))</f>
        <v>#N/A</v>
      </c>
      <c r="Y997" t="e">
        <f>INDEX(MTT_codes,MATCH(loaded!BC997,MTT,0))</f>
        <v>#N/A</v>
      </c>
      <c r="Z997" t="str">
        <f>_xlfn.IFNA(INDEX(MTT_codes,MATCH(loaded!BE997,MTT,0)),"")</f>
        <v/>
      </c>
      <c r="AA997" t="str">
        <f>_xlfn.IFNA(INDEX(MTT_codes,MATCH(loaded!BG997,MTT,0)),"")</f>
        <v/>
      </c>
      <c r="AB997" t="str">
        <f>_xlfn.IFNA(INDEX(MTT_codes,MATCH(loaded!BI997,MTT,0)),"")</f>
        <v/>
      </c>
      <c r="AC997" t="str">
        <f>_xlfn.IFNA(INDEX(MTT_codes,MATCH(loaded!BK997,MTT,0)),"")</f>
        <v/>
      </c>
      <c r="AD997" t="str">
        <f>_xlfn.IFNA(INDEX(MTT_codes,MATCH(loaded!BM997,MTT,0)),"")</f>
        <v/>
      </c>
      <c r="AE997" t="e">
        <f>INDEX(liv_ar_codes,MATCH(loaded!BO997,liv_ar,0))</f>
        <v>#N/A</v>
      </c>
      <c r="AF997" t="str">
        <f>_xlfn.IFNA(INDEX(MTT_codes,MATCH(loaded!BQ997,MTT,0)),"")</f>
        <v/>
      </c>
      <c r="AG997">
        <f>_xlfn.IFNA(INDEX(mental_codes,MATCH(loaded!BS997,mental,0)),9)</f>
        <v>9</v>
      </c>
    </row>
    <row r="998" spans="1:33" x14ac:dyDescent="0.25">
      <c r="A998">
        <f>loaded!C998</f>
        <v>0</v>
      </c>
      <c r="B998">
        <f>loaded!I998</f>
        <v>0</v>
      </c>
      <c r="C998">
        <f>IF(loaded!K998="Male",1,IF(loaded!K998="Female",2,9))</f>
        <v>9</v>
      </c>
      <c r="D998" s="8">
        <f>loaded!M998</f>
        <v>0</v>
      </c>
      <c r="E998" t="str">
        <f>LEFT(loaded!O998,3)</f>
        <v/>
      </c>
      <c r="F998" t="e">
        <f>INDEX(cntry_codes,MATCH(loaded!Q998,countries,0))</f>
        <v>#N/A</v>
      </c>
      <c r="G998" t="e">
        <f>INDEX(atsi_codes,MATCH(loaded!S998,atsi,0))</f>
        <v>#N/A</v>
      </c>
      <c r="H998" t="e">
        <f>INDEX(lang_codes,MATCH(loaded!U998,lang,0))</f>
        <v>#N/A</v>
      </c>
      <c r="I998" s="8">
        <f>loaded!W998</f>
        <v>0</v>
      </c>
      <c r="J998" t="e">
        <f>INDEX(us_acc_codes,MATCH(loaded!Y998,us_acc,0))</f>
        <v>#N/A</v>
      </c>
      <c r="K998" t="e">
        <f>INDEX(client_codes,MATCH(loaded!AA998,client,0))</f>
        <v>#N/A</v>
      </c>
      <c r="L998" t="e">
        <f>INDEX(src_ref_codes,MATCH(loaded!AC998,src_ref,0))</f>
        <v>#N/A</v>
      </c>
      <c r="M998" s="8">
        <f>loaded!AE998</f>
        <v>0</v>
      </c>
      <c r="N998" s="8">
        <f>loaded!AG998</f>
        <v>0</v>
      </c>
      <c r="O998" t="e">
        <f>INDEX(reces_codes,MATCH(loaded!AI998,reason,0))</f>
        <v>#N/A</v>
      </c>
      <c r="P998" t="e">
        <f>INDEX(TDS_codes,MATCH(loaded!AK998,TDS,0))</f>
        <v>#N/A</v>
      </c>
      <c r="Q998" t="e">
        <f>IF(K998=2,"",INDEX(method_codes,MATCH(loaded!AM998,method,0)))</f>
        <v>#N/A</v>
      </c>
      <c r="R998" t="e">
        <f>IF(K998=2,"",INDEX(inj_codes,MATCH(loaded!AO998,inj,0)))</f>
        <v>#N/A</v>
      </c>
      <c r="S998" t="e">
        <f>IF(K998=2,"",INDEX(drug_codes,MATCH(loaded!AQ998,drug,0)))</f>
        <v>#N/A</v>
      </c>
      <c r="T998" t="e">
        <f>IF(K998=2,"",_xlfn.IFNA(INDEX(drug_codes,MATCH(loaded!AS998,drug,0)),""))</f>
        <v>#N/A</v>
      </c>
      <c r="U998" t="e">
        <f>IF(K998=2,"",_xlfn.IFNA(INDEX(drug_codes,MATCH(loaded!AU998,drug,0)),""))</f>
        <v>#N/A</v>
      </c>
      <c r="V998" t="e">
        <f>IF(K998=2,"",_xlfn.IFNA(INDEX(drug_codes,MATCH(loaded!AW998,drug,0)),""))</f>
        <v>#N/A</v>
      </c>
      <c r="W998" t="e">
        <f>IF(K998=2,"",_xlfn.IFNA(INDEX(drug_codes,MATCH(loaded!AY998,drug,0)),""))</f>
        <v>#N/A</v>
      </c>
      <c r="X998" t="e">
        <f>IF(K998=2,"",_xlfn.IFNA(INDEX(drug_codes,MATCH(loaded!BA998,drug,0)),""))</f>
        <v>#N/A</v>
      </c>
      <c r="Y998" t="e">
        <f>INDEX(MTT_codes,MATCH(loaded!BC998,MTT,0))</f>
        <v>#N/A</v>
      </c>
      <c r="Z998" t="str">
        <f>_xlfn.IFNA(INDEX(MTT_codes,MATCH(loaded!BE998,MTT,0)),"")</f>
        <v/>
      </c>
      <c r="AA998" t="str">
        <f>_xlfn.IFNA(INDEX(MTT_codes,MATCH(loaded!BG998,MTT,0)),"")</f>
        <v/>
      </c>
      <c r="AB998" t="str">
        <f>_xlfn.IFNA(INDEX(MTT_codes,MATCH(loaded!BI998,MTT,0)),"")</f>
        <v/>
      </c>
      <c r="AC998" t="str">
        <f>_xlfn.IFNA(INDEX(MTT_codes,MATCH(loaded!BK998,MTT,0)),"")</f>
        <v/>
      </c>
      <c r="AD998" t="str">
        <f>_xlfn.IFNA(INDEX(MTT_codes,MATCH(loaded!BM998,MTT,0)),"")</f>
        <v/>
      </c>
      <c r="AE998" t="e">
        <f>INDEX(liv_ar_codes,MATCH(loaded!BO998,liv_ar,0))</f>
        <v>#N/A</v>
      </c>
      <c r="AF998" t="str">
        <f>_xlfn.IFNA(INDEX(MTT_codes,MATCH(loaded!BQ998,MTT,0)),"")</f>
        <v/>
      </c>
      <c r="AG998">
        <f>_xlfn.IFNA(INDEX(mental_codes,MATCH(loaded!BS998,mental,0)),9)</f>
        <v>9</v>
      </c>
    </row>
    <row r="999" spans="1:33" x14ac:dyDescent="0.25">
      <c r="A999">
        <f>loaded!C999</f>
        <v>0</v>
      </c>
      <c r="B999">
        <f>loaded!I999</f>
        <v>0</v>
      </c>
      <c r="C999">
        <f>IF(loaded!K999="Male",1,IF(loaded!K999="Female",2,9))</f>
        <v>9</v>
      </c>
      <c r="D999" s="8">
        <f>loaded!M999</f>
        <v>0</v>
      </c>
      <c r="E999" t="str">
        <f>LEFT(loaded!O999,3)</f>
        <v/>
      </c>
      <c r="F999" t="e">
        <f>INDEX(cntry_codes,MATCH(loaded!Q999,countries,0))</f>
        <v>#N/A</v>
      </c>
      <c r="G999" t="e">
        <f>INDEX(atsi_codes,MATCH(loaded!S999,atsi,0))</f>
        <v>#N/A</v>
      </c>
      <c r="H999" t="e">
        <f>INDEX(lang_codes,MATCH(loaded!U999,lang,0))</f>
        <v>#N/A</v>
      </c>
      <c r="I999" s="8">
        <f>loaded!W999</f>
        <v>0</v>
      </c>
      <c r="J999" t="e">
        <f>INDEX(us_acc_codes,MATCH(loaded!Y999,us_acc,0))</f>
        <v>#N/A</v>
      </c>
      <c r="K999" t="e">
        <f>INDEX(client_codes,MATCH(loaded!AA999,client,0))</f>
        <v>#N/A</v>
      </c>
      <c r="L999" t="e">
        <f>INDEX(src_ref_codes,MATCH(loaded!AC999,src_ref,0))</f>
        <v>#N/A</v>
      </c>
      <c r="M999" s="8">
        <f>loaded!AE999</f>
        <v>0</v>
      </c>
      <c r="N999" s="8">
        <f>loaded!AG999</f>
        <v>0</v>
      </c>
      <c r="O999" t="e">
        <f>INDEX(reces_codes,MATCH(loaded!AI999,reason,0))</f>
        <v>#N/A</v>
      </c>
      <c r="P999" t="e">
        <f>INDEX(TDS_codes,MATCH(loaded!AK999,TDS,0))</f>
        <v>#N/A</v>
      </c>
      <c r="Q999" t="e">
        <f>IF(K999=2,"",INDEX(method_codes,MATCH(loaded!AM999,method,0)))</f>
        <v>#N/A</v>
      </c>
      <c r="R999" t="e">
        <f>IF(K999=2,"",INDEX(inj_codes,MATCH(loaded!AO999,inj,0)))</f>
        <v>#N/A</v>
      </c>
      <c r="S999" t="e">
        <f>IF(K999=2,"",INDEX(drug_codes,MATCH(loaded!AQ999,drug,0)))</f>
        <v>#N/A</v>
      </c>
      <c r="T999" t="e">
        <f>IF(K999=2,"",_xlfn.IFNA(INDEX(drug_codes,MATCH(loaded!AS999,drug,0)),""))</f>
        <v>#N/A</v>
      </c>
      <c r="U999" t="e">
        <f>IF(K999=2,"",_xlfn.IFNA(INDEX(drug_codes,MATCH(loaded!AU999,drug,0)),""))</f>
        <v>#N/A</v>
      </c>
      <c r="V999" t="e">
        <f>IF(K999=2,"",_xlfn.IFNA(INDEX(drug_codes,MATCH(loaded!AW999,drug,0)),""))</f>
        <v>#N/A</v>
      </c>
      <c r="W999" t="e">
        <f>IF(K999=2,"",_xlfn.IFNA(INDEX(drug_codes,MATCH(loaded!AY999,drug,0)),""))</f>
        <v>#N/A</v>
      </c>
      <c r="X999" t="e">
        <f>IF(K999=2,"",_xlfn.IFNA(INDEX(drug_codes,MATCH(loaded!BA999,drug,0)),""))</f>
        <v>#N/A</v>
      </c>
      <c r="Y999" t="e">
        <f>INDEX(MTT_codes,MATCH(loaded!BC999,MTT,0))</f>
        <v>#N/A</v>
      </c>
      <c r="Z999" t="str">
        <f>_xlfn.IFNA(INDEX(MTT_codes,MATCH(loaded!BE999,MTT,0)),"")</f>
        <v/>
      </c>
      <c r="AA999" t="str">
        <f>_xlfn.IFNA(INDEX(MTT_codes,MATCH(loaded!BG999,MTT,0)),"")</f>
        <v/>
      </c>
      <c r="AB999" t="str">
        <f>_xlfn.IFNA(INDEX(MTT_codes,MATCH(loaded!BI999,MTT,0)),"")</f>
        <v/>
      </c>
      <c r="AC999" t="str">
        <f>_xlfn.IFNA(INDEX(MTT_codes,MATCH(loaded!BK999,MTT,0)),"")</f>
        <v/>
      </c>
      <c r="AD999" t="str">
        <f>_xlfn.IFNA(INDEX(MTT_codes,MATCH(loaded!BM999,MTT,0)),"")</f>
        <v/>
      </c>
      <c r="AE999" t="e">
        <f>INDEX(liv_ar_codes,MATCH(loaded!BO999,liv_ar,0))</f>
        <v>#N/A</v>
      </c>
      <c r="AF999" t="str">
        <f>_xlfn.IFNA(INDEX(MTT_codes,MATCH(loaded!BQ999,MTT,0)),"")</f>
        <v/>
      </c>
      <c r="AG999">
        <f>_xlfn.IFNA(INDEX(mental_codes,MATCH(loaded!BS999,mental,0)),9)</f>
        <v>9</v>
      </c>
    </row>
    <row r="1000" spans="1:33" x14ac:dyDescent="0.25">
      <c r="A1000">
        <f>loaded!C1000</f>
        <v>0</v>
      </c>
      <c r="B1000">
        <f>loaded!I1000</f>
        <v>0</v>
      </c>
      <c r="C1000">
        <f>IF(loaded!K1000="Male",1,IF(loaded!K1000="Female",2,9))</f>
        <v>9</v>
      </c>
      <c r="D1000" s="8">
        <f>loaded!M1000</f>
        <v>0</v>
      </c>
      <c r="E1000" t="str">
        <f>LEFT(loaded!O1000,3)</f>
        <v/>
      </c>
      <c r="F1000" t="e">
        <f>INDEX(cntry_codes,MATCH(loaded!Q1000,countries,0))</f>
        <v>#N/A</v>
      </c>
      <c r="G1000" t="e">
        <f>INDEX(atsi_codes,MATCH(loaded!S1000,atsi,0))</f>
        <v>#N/A</v>
      </c>
      <c r="H1000" t="e">
        <f>INDEX(lang_codes,MATCH(loaded!U1000,lang,0))</f>
        <v>#N/A</v>
      </c>
      <c r="I1000" s="8">
        <f>loaded!W1000</f>
        <v>0</v>
      </c>
      <c r="J1000" t="e">
        <f>INDEX(us_acc_codes,MATCH(loaded!Y1000,us_acc,0))</f>
        <v>#N/A</v>
      </c>
      <c r="K1000" t="e">
        <f>INDEX(client_codes,MATCH(loaded!AA1000,client,0))</f>
        <v>#N/A</v>
      </c>
      <c r="L1000" t="e">
        <f>INDEX(src_ref_codes,MATCH(loaded!AC1000,src_ref,0))</f>
        <v>#N/A</v>
      </c>
      <c r="M1000" s="8">
        <f>loaded!AE1000</f>
        <v>0</v>
      </c>
      <c r="N1000" s="8">
        <f>loaded!AG1000</f>
        <v>0</v>
      </c>
      <c r="O1000" t="e">
        <f>INDEX(reces_codes,MATCH(loaded!AI1000,reason,0))</f>
        <v>#N/A</v>
      </c>
      <c r="P1000" t="e">
        <f>INDEX(TDS_codes,MATCH(loaded!AK1000,TDS,0))</f>
        <v>#N/A</v>
      </c>
      <c r="Q1000" t="e">
        <f>IF(K1000=2,"",INDEX(method_codes,MATCH(loaded!AM1000,method,0)))</f>
        <v>#N/A</v>
      </c>
      <c r="R1000" t="e">
        <f>IF(K1000=2,"",INDEX(inj_codes,MATCH(loaded!AO1000,inj,0)))</f>
        <v>#N/A</v>
      </c>
      <c r="S1000" t="e">
        <f>IF(K1000=2,"",INDEX(drug_codes,MATCH(loaded!AQ1000,drug,0)))</f>
        <v>#N/A</v>
      </c>
      <c r="T1000" t="e">
        <f>IF(K1000=2,"",_xlfn.IFNA(INDEX(drug_codes,MATCH(loaded!AS1000,drug,0)),""))</f>
        <v>#N/A</v>
      </c>
      <c r="U1000" t="e">
        <f>IF(K1000=2,"",_xlfn.IFNA(INDEX(drug_codes,MATCH(loaded!AU1000,drug,0)),""))</f>
        <v>#N/A</v>
      </c>
      <c r="V1000" t="e">
        <f>IF(K1000=2,"",_xlfn.IFNA(INDEX(drug_codes,MATCH(loaded!AW1000,drug,0)),""))</f>
        <v>#N/A</v>
      </c>
      <c r="W1000" t="e">
        <f>IF(K1000=2,"",_xlfn.IFNA(INDEX(drug_codes,MATCH(loaded!AY1000,drug,0)),""))</f>
        <v>#N/A</v>
      </c>
      <c r="X1000" t="e">
        <f>IF(K1000=2,"",_xlfn.IFNA(INDEX(drug_codes,MATCH(loaded!BA1000,drug,0)),""))</f>
        <v>#N/A</v>
      </c>
      <c r="Y1000" t="e">
        <f>INDEX(MTT_codes,MATCH(loaded!BC1000,MTT,0))</f>
        <v>#N/A</v>
      </c>
      <c r="Z1000" t="str">
        <f>_xlfn.IFNA(INDEX(MTT_codes,MATCH(loaded!BE1000,MTT,0)),"")</f>
        <v/>
      </c>
      <c r="AA1000" t="str">
        <f>_xlfn.IFNA(INDEX(MTT_codes,MATCH(loaded!BG1000,MTT,0)),"")</f>
        <v/>
      </c>
      <c r="AB1000" t="str">
        <f>_xlfn.IFNA(INDEX(MTT_codes,MATCH(loaded!BI1000,MTT,0)),"")</f>
        <v/>
      </c>
      <c r="AC1000" t="str">
        <f>_xlfn.IFNA(INDEX(MTT_codes,MATCH(loaded!BK1000,MTT,0)),"")</f>
        <v/>
      </c>
      <c r="AD1000" t="str">
        <f>_xlfn.IFNA(INDEX(MTT_codes,MATCH(loaded!BM1000,MTT,0)),"")</f>
        <v/>
      </c>
      <c r="AE1000" t="e">
        <f>INDEX(liv_ar_codes,MATCH(loaded!BO1000,liv_ar,0))</f>
        <v>#N/A</v>
      </c>
      <c r="AF1000" t="str">
        <f>_xlfn.IFNA(INDEX(MTT_codes,MATCH(loaded!BQ1000,MTT,0)),"")</f>
        <v/>
      </c>
      <c r="AG1000">
        <f>_xlfn.IFNA(INDEX(mental_codes,MATCH(loaded!BS1000,mental,0)),9)</f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59"/>
  <sheetViews>
    <sheetView tabSelected="1" topLeftCell="G1" workbookViewId="0">
      <selection activeCell="R28" sqref="R28"/>
    </sheetView>
  </sheetViews>
  <sheetFormatPr defaultRowHeight="15" x14ac:dyDescent="0.25"/>
  <cols>
    <col min="1" max="1" width="6.42578125" style="11" customWidth="1"/>
    <col min="2" max="2" width="15.42578125" style="12" hidden="1" customWidth="1"/>
    <col min="3" max="3" width="3.85546875" hidden="1" customWidth="1"/>
    <col min="4" max="4" width="9.140625" style="11" hidden="1" customWidth="1"/>
    <col min="5" max="5" width="16.42578125" style="12" hidden="1" customWidth="1"/>
    <col min="6" max="6" width="4.5703125" hidden="1" customWidth="1"/>
    <col min="7" max="7" width="9.140625" style="11" customWidth="1"/>
    <col min="8" max="8" width="28.85546875" style="12" customWidth="1"/>
    <col min="9" max="9" width="6" customWidth="1"/>
    <col min="10" max="10" width="5.5703125" bestFit="1" customWidth="1"/>
    <col min="11" max="11" width="55.85546875" bestFit="1" customWidth="1"/>
    <col min="12" max="12" width="4.42578125" customWidth="1"/>
    <col min="14" max="14" width="40.140625" bestFit="1" customWidth="1"/>
    <col min="15" max="15" width="2.7109375" customWidth="1"/>
    <col min="16" max="16" width="3" customWidth="1"/>
    <col min="17" max="17" width="5.5703125" bestFit="1" customWidth="1"/>
    <col min="18" max="18" width="51.5703125" customWidth="1"/>
    <col min="19" max="19" width="4.140625" customWidth="1"/>
    <col min="20" max="20" width="10.28515625" bestFit="1" customWidth="1"/>
    <col min="21" max="21" width="68.28515625" bestFit="1" customWidth="1"/>
  </cols>
  <sheetData>
    <row r="1" spans="1:21" x14ac:dyDescent="0.25">
      <c r="A1" s="31" t="s">
        <v>331</v>
      </c>
      <c r="B1" s="32" t="s">
        <v>332</v>
      </c>
      <c r="C1" s="33"/>
      <c r="D1" s="31" t="s">
        <v>331</v>
      </c>
      <c r="E1" s="32" t="s">
        <v>554</v>
      </c>
      <c r="F1" s="33"/>
      <c r="G1" s="31" t="s">
        <v>726</v>
      </c>
      <c r="H1" s="32" t="s">
        <v>727</v>
      </c>
      <c r="I1" s="33"/>
      <c r="J1" s="36" t="s">
        <v>331</v>
      </c>
      <c r="K1" s="37" t="s">
        <v>754</v>
      </c>
      <c r="M1" s="36" t="s">
        <v>331</v>
      </c>
      <c r="N1" s="37" t="s">
        <v>811</v>
      </c>
      <c r="Q1" s="36" t="s">
        <v>331</v>
      </c>
      <c r="R1" s="37" t="s">
        <v>32</v>
      </c>
      <c r="T1" s="36" t="s">
        <v>331</v>
      </c>
      <c r="U1" s="37" t="s">
        <v>68</v>
      </c>
    </row>
    <row r="2" spans="1:21" ht="25.5" x14ac:dyDescent="0.25">
      <c r="A2" s="13" t="s">
        <v>334</v>
      </c>
      <c r="B2" s="14" t="s">
        <v>328</v>
      </c>
      <c r="D2" s="15" t="s">
        <v>334</v>
      </c>
      <c r="E2" s="14" t="s">
        <v>328</v>
      </c>
      <c r="G2" s="15">
        <v>1101</v>
      </c>
      <c r="H2" s="14" t="s">
        <v>556</v>
      </c>
      <c r="J2" s="49">
        <v>1</v>
      </c>
      <c r="K2" s="50" t="s">
        <v>749</v>
      </c>
      <c r="M2" s="38" t="s">
        <v>800</v>
      </c>
      <c r="N2" s="44" t="s">
        <v>799</v>
      </c>
      <c r="Q2" s="38">
        <v>1</v>
      </c>
      <c r="R2" s="44" t="s">
        <v>839</v>
      </c>
      <c r="T2" s="38">
        <v>1</v>
      </c>
      <c r="U2" s="44" t="s">
        <v>859</v>
      </c>
    </row>
    <row r="3" spans="1:21" ht="25.5" x14ac:dyDescent="0.25">
      <c r="A3" s="13" t="s">
        <v>333</v>
      </c>
      <c r="B3" s="14" t="s">
        <v>329</v>
      </c>
      <c r="D3" s="15" t="s">
        <v>333</v>
      </c>
      <c r="E3" s="14" t="s">
        <v>336</v>
      </c>
      <c r="G3" s="15">
        <v>1102</v>
      </c>
      <c r="H3" s="14" t="s">
        <v>557</v>
      </c>
      <c r="J3" s="38">
        <v>2</v>
      </c>
      <c r="K3" s="51" t="s">
        <v>750</v>
      </c>
      <c r="M3" s="38" t="s">
        <v>802</v>
      </c>
      <c r="N3" s="44" t="s">
        <v>801</v>
      </c>
      <c r="Q3" s="38">
        <v>2</v>
      </c>
      <c r="R3" s="44" t="s">
        <v>840</v>
      </c>
      <c r="T3" s="38">
        <v>2</v>
      </c>
      <c r="U3" s="44" t="s">
        <v>860</v>
      </c>
    </row>
    <row r="4" spans="1:21" x14ac:dyDescent="0.25">
      <c r="A4" s="13" t="s">
        <v>335</v>
      </c>
      <c r="B4" s="14" t="s">
        <v>330</v>
      </c>
      <c r="D4" s="15" t="s">
        <v>555</v>
      </c>
      <c r="E4" s="14" t="s">
        <v>337</v>
      </c>
      <c r="G4" s="15">
        <v>1199</v>
      </c>
      <c r="H4" s="14" t="s">
        <v>558</v>
      </c>
      <c r="J4" s="38">
        <v>3</v>
      </c>
      <c r="K4" s="51" t="s">
        <v>751</v>
      </c>
      <c r="M4" s="38" t="s">
        <v>804</v>
      </c>
      <c r="N4" s="44" t="s">
        <v>803</v>
      </c>
      <c r="Q4" s="38">
        <v>3</v>
      </c>
      <c r="R4" s="44" t="s">
        <v>871</v>
      </c>
      <c r="T4" s="38">
        <v>3</v>
      </c>
      <c r="U4" s="44" t="s">
        <v>861</v>
      </c>
    </row>
    <row r="5" spans="1:21" ht="38.25" x14ac:dyDescent="0.25">
      <c r="A5" s="13">
        <v>1601</v>
      </c>
      <c r="B5" s="14" t="s">
        <v>75</v>
      </c>
      <c r="D5" s="15">
        <v>8000</v>
      </c>
      <c r="E5" s="14" t="s">
        <v>338</v>
      </c>
      <c r="G5" s="15">
        <v>1201</v>
      </c>
      <c r="H5" s="14" t="s">
        <v>559</v>
      </c>
      <c r="J5" s="38">
        <v>4</v>
      </c>
      <c r="K5" s="51" t="s">
        <v>752</v>
      </c>
      <c r="M5" s="38" t="s">
        <v>806</v>
      </c>
      <c r="N5" s="44" t="s">
        <v>805</v>
      </c>
      <c r="Q5" s="38">
        <v>4</v>
      </c>
      <c r="R5" s="44" t="s">
        <v>841</v>
      </c>
      <c r="T5" s="38">
        <v>4</v>
      </c>
      <c r="U5" s="44" t="s">
        <v>862</v>
      </c>
    </row>
    <row r="6" spans="1:21" ht="26.25" thickBot="1" x14ac:dyDescent="0.3">
      <c r="A6" s="13">
        <v>7201</v>
      </c>
      <c r="B6" s="14" t="s">
        <v>76</v>
      </c>
      <c r="D6" s="15">
        <v>9000</v>
      </c>
      <c r="E6" s="14" t="s">
        <v>339</v>
      </c>
      <c r="G6" s="15">
        <v>1202</v>
      </c>
      <c r="H6" s="14" t="s">
        <v>560</v>
      </c>
      <c r="J6" s="42">
        <v>9</v>
      </c>
      <c r="K6" s="52" t="s">
        <v>753</v>
      </c>
      <c r="M6" s="38" t="s">
        <v>808</v>
      </c>
      <c r="N6" s="44" t="s">
        <v>807</v>
      </c>
      <c r="Q6" s="38">
        <v>5</v>
      </c>
      <c r="R6" s="44" t="s">
        <v>842</v>
      </c>
      <c r="T6" s="38"/>
      <c r="U6" s="44"/>
    </row>
    <row r="7" spans="1:21" ht="15.75" thickBot="1" x14ac:dyDescent="0.3">
      <c r="A7" s="13">
        <v>2408</v>
      </c>
      <c r="B7" s="14" t="s">
        <v>77</v>
      </c>
      <c r="D7" s="15">
        <v>6513</v>
      </c>
      <c r="E7" s="14" t="s">
        <v>340</v>
      </c>
      <c r="G7" s="15">
        <v>1203</v>
      </c>
      <c r="H7" s="14" t="s">
        <v>561</v>
      </c>
      <c r="M7" s="38" t="s">
        <v>809</v>
      </c>
      <c r="N7" s="44" t="s">
        <v>763</v>
      </c>
      <c r="Q7" s="38">
        <v>6</v>
      </c>
      <c r="R7" s="44" t="s">
        <v>870</v>
      </c>
      <c r="T7" s="42">
        <v>9</v>
      </c>
      <c r="U7" s="45" t="s">
        <v>753</v>
      </c>
    </row>
    <row r="8" spans="1:21" ht="26.25" thickBot="1" x14ac:dyDescent="0.3">
      <c r="A8" s="13">
        <v>3201</v>
      </c>
      <c r="B8" s="14" t="s">
        <v>78</v>
      </c>
      <c r="D8" s="15">
        <v>9201</v>
      </c>
      <c r="E8" s="14" t="s">
        <v>341</v>
      </c>
      <c r="G8" s="15">
        <v>1299</v>
      </c>
      <c r="H8" s="14" t="s">
        <v>562</v>
      </c>
      <c r="M8" s="42" t="s">
        <v>810</v>
      </c>
      <c r="N8" s="45" t="s">
        <v>753</v>
      </c>
      <c r="Q8" s="38">
        <v>7</v>
      </c>
      <c r="R8" s="44" t="s">
        <v>843</v>
      </c>
    </row>
    <row r="9" spans="1:21" ht="26.25" thickBot="1" x14ac:dyDescent="0.3">
      <c r="A9" s="13">
        <v>4101</v>
      </c>
      <c r="B9" s="14" t="s">
        <v>79</v>
      </c>
      <c r="D9" s="15">
        <v>9299</v>
      </c>
      <c r="E9" s="14" t="s">
        <v>342</v>
      </c>
      <c r="G9" s="15">
        <v>1301</v>
      </c>
      <c r="H9" s="14" t="s">
        <v>563</v>
      </c>
      <c r="J9" s="36" t="s">
        <v>331</v>
      </c>
      <c r="K9" s="46" t="s">
        <v>765</v>
      </c>
      <c r="Q9" s="38">
        <v>8</v>
      </c>
      <c r="R9" s="44" t="s">
        <v>844</v>
      </c>
    </row>
    <row r="10" spans="1:21" x14ac:dyDescent="0.25">
      <c r="A10" s="13">
        <v>3101</v>
      </c>
      <c r="B10" s="14" t="s">
        <v>80</v>
      </c>
      <c r="D10" s="15">
        <v>1403</v>
      </c>
      <c r="E10" s="14" t="s">
        <v>343</v>
      </c>
      <c r="G10" s="15">
        <v>1302</v>
      </c>
      <c r="H10" s="14" t="s">
        <v>564</v>
      </c>
      <c r="J10" s="38">
        <v>1</v>
      </c>
      <c r="K10" s="47" t="s">
        <v>755</v>
      </c>
      <c r="M10" s="36" t="s">
        <v>726</v>
      </c>
      <c r="N10" s="37" t="s">
        <v>26</v>
      </c>
      <c r="Q10" s="38">
        <v>9</v>
      </c>
      <c r="R10" s="44" t="s">
        <v>845</v>
      </c>
      <c r="T10" s="36" t="s">
        <v>331</v>
      </c>
      <c r="U10" s="37" t="s">
        <v>864</v>
      </c>
    </row>
    <row r="11" spans="1:21" ht="25.5" x14ac:dyDescent="0.25">
      <c r="A11" s="13">
        <v>9201</v>
      </c>
      <c r="B11" s="14" t="s">
        <v>81</v>
      </c>
      <c r="D11" s="15">
        <v>9203</v>
      </c>
      <c r="E11" s="14" t="s">
        <v>344</v>
      </c>
      <c r="G11" s="15">
        <v>1303</v>
      </c>
      <c r="H11" s="14" t="s">
        <v>565</v>
      </c>
      <c r="J11" s="38">
        <v>2</v>
      </c>
      <c r="K11" s="47" t="s">
        <v>756</v>
      </c>
      <c r="M11" s="38" t="s">
        <v>813</v>
      </c>
      <c r="N11" s="39" t="s">
        <v>812</v>
      </c>
      <c r="Q11" s="38">
        <v>10</v>
      </c>
      <c r="R11" s="44" t="s">
        <v>846</v>
      </c>
      <c r="T11" s="38">
        <v>1</v>
      </c>
      <c r="U11" s="44" t="s">
        <v>863</v>
      </c>
    </row>
    <row r="12" spans="1:21" ht="15.75" thickBot="1" x14ac:dyDescent="0.3">
      <c r="A12" s="13">
        <v>8401</v>
      </c>
      <c r="B12" s="14" t="s">
        <v>82</v>
      </c>
      <c r="D12" s="15">
        <v>3901</v>
      </c>
      <c r="E12" s="14" t="s">
        <v>345</v>
      </c>
      <c r="G12" s="15">
        <v>1304</v>
      </c>
      <c r="H12" s="14" t="s">
        <v>566</v>
      </c>
      <c r="J12" s="38">
        <v>3</v>
      </c>
      <c r="K12" s="47" t="s">
        <v>757</v>
      </c>
      <c r="M12" s="38" t="s">
        <v>815</v>
      </c>
      <c r="N12" s="39" t="s">
        <v>814</v>
      </c>
      <c r="Q12" s="38">
        <v>11</v>
      </c>
      <c r="R12" s="44" t="s">
        <v>847</v>
      </c>
      <c r="T12" s="42">
        <v>2</v>
      </c>
      <c r="U12" s="45" t="s">
        <v>866</v>
      </c>
    </row>
    <row r="13" spans="1:21" ht="25.5" x14ac:dyDescent="0.25">
      <c r="A13" s="13">
        <v>8402</v>
      </c>
      <c r="B13" s="14" t="s">
        <v>83</v>
      </c>
      <c r="D13" s="15">
        <v>9101</v>
      </c>
      <c r="E13" s="14" t="s">
        <v>346</v>
      </c>
      <c r="G13" s="15">
        <v>1305</v>
      </c>
      <c r="H13" s="14" t="s">
        <v>567</v>
      </c>
      <c r="J13" s="38">
        <v>4</v>
      </c>
      <c r="K13" s="47" t="s">
        <v>758</v>
      </c>
      <c r="M13" s="38" t="s">
        <v>817</v>
      </c>
      <c r="N13" s="39" t="s">
        <v>816</v>
      </c>
      <c r="Q13" s="38">
        <v>12</v>
      </c>
      <c r="R13" s="44" t="s">
        <v>848</v>
      </c>
    </row>
    <row r="14" spans="1:21" x14ac:dyDescent="0.25">
      <c r="A14" s="13">
        <v>8201</v>
      </c>
      <c r="B14" s="14" t="s">
        <v>84</v>
      </c>
      <c r="D14" s="15">
        <v>9214</v>
      </c>
      <c r="E14" s="14" t="s">
        <v>347</v>
      </c>
      <c r="G14" s="15">
        <v>1306</v>
      </c>
      <c r="H14" s="14" t="s">
        <v>568</v>
      </c>
      <c r="J14" s="38">
        <v>5</v>
      </c>
      <c r="K14" s="47" t="s">
        <v>759</v>
      </c>
      <c r="M14" s="38" t="s">
        <v>819</v>
      </c>
      <c r="N14" s="39" t="s">
        <v>818</v>
      </c>
      <c r="Q14" s="38">
        <v>13</v>
      </c>
      <c r="R14" s="44" t="s">
        <v>849</v>
      </c>
    </row>
    <row r="15" spans="1:21" ht="38.25" x14ac:dyDescent="0.25">
      <c r="A15" s="13">
        <v>1602</v>
      </c>
      <c r="B15" s="14" t="s">
        <v>85</v>
      </c>
      <c r="D15" s="15">
        <v>9241</v>
      </c>
      <c r="E15" s="14" t="s">
        <v>348</v>
      </c>
      <c r="G15" s="15">
        <v>1307</v>
      </c>
      <c r="H15" s="14" t="s">
        <v>728</v>
      </c>
      <c r="J15" s="38">
        <v>6</v>
      </c>
      <c r="K15" s="47" t="s">
        <v>760</v>
      </c>
      <c r="M15" s="40" t="s">
        <v>821</v>
      </c>
      <c r="N15" s="41" t="s">
        <v>820</v>
      </c>
      <c r="Q15" s="38">
        <v>98</v>
      </c>
      <c r="R15" s="44" t="s">
        <v>763</v>
      </c>
    </row>
    <row r="16" spans="1:21" ht="15.75" thickBot="1" x14ac:dyDescent="0.3">
      <c r="A16" s="13">
        <v>7202</v>
      </c>
      <c r="B16" s="14" t="s">
        <v>86</v>
      </c>
      <c r="D16" s="15">
        <v>4202</v>
      </c>
      <c r="E16" s="14" t="s">
        <v>349</v>
      </c>
      <c r="G16" s="15">
        <v>1399</v>
      </c>
      <c r="H16" s="14" t="s">
        <v>569</v>
      </c>
      <c r="J16" s="38">
        <v>7</v>
      </c>
      <c r="K16" s="47" t="s">
        <v>761</v>
      </c>
      <c r="M16" s="40" t="s">
        <v>823</v>
      </c>
      <c r="N16" s="41" t="s">
        <v>822</v>
      </c>
      <c r="Q16" s="42">
        <v>99</v>
      </c>
      <c r="R16" s="45" t="s">
        <v>753</v>
      </c>
    </row>
    <row r="17" spans="1:19" ht="15.75" thickBot="1" x14ac:dyDescent="0.3">
      <c r="A17" s="13">
        <v>8403</v>
      </c>
      <c r="B17" s="14" t="s">
        <v>87</v>
      </c>
      <c r="D17" s="15">
        <v>4901</v>
      </c>
      <c r="E17" s="14" t="s">
        <v>350</v>
      </c>
      <c r="G17" s="15">
        <v>1401</v>
      </c>
      <c r="H17" s="14" t="s">
        <v>570</v>
      </c>
      <c r="J17" s="38">
        <v>8</v>
      </c>
      <c r="K17" s="47" t="s">
        <v>762</v>
      </c>
      <c r="M17" s="40" t="s">
        <v>825</v>
      </c>
      <c r="N17" s="41" t="s">
        <v>824</v>
      </c>
    </row>
    <row r="18" spans="1:19" ht="31.5" customHeight="1" x14ac:dyDescent="0.25">
      <c r="A18" s="13">
        <v>1101</v>
      </c>
      <c r="B18" s="14" t="s">
        <v>70</v>
      </c>
      <c r="D18" s="15">
        <v>3903</v>
      </c>
      <c r="E18" s="14" t="s">
        <v>351</v>
      </c>
      <c r="G18" s="15">
        <v>1402</v>
      </c>
      <c r="H18" s="14" t="s">
        <v>571</v>
      </c>
      <c r="J18" s="38">
        <v>98</v>
      </c>
      <c r="K18" s="47" t="s">
        <v>763</v>
      </c>
      <c r="M18" s="40" t="s">
        <v>827</v>
      </c>
      <c r="N18" s="41" t="s">
        <v>826</v>
      </c>
      <c r="Q18" s="36" t="s">
        <v>331</v>
      </c>
      <c r="R18" s="37" t="s">
        <v>34</v>
      </c>
    </row>
    <row r="19" spans="1:19" ht="22.5" customHeight="1" x14ac:dyDescent="0.25">
      <c r="A19" s="13">
        <v>1603</v>
      </c>
      <c r="B19" s="14" t="s">
        <v>88</v>
      </c>
      <c r="D19" s="15">
        <v>5213</v>
      </c>
      <c r="E19" s="14" t="s">
        <v>352</v>
      </c>
      <c r="G19" s="15" t="s">
        <v>747</v>
      </c>
      <c r="H19" s="14" t="s">
        <v>748</v>
      </c>
      <c r="J19" s="38" t="s">
        <v>794</v>
      </c>
      <c r="K19" s="57" t="s">
        <v>753</v>
      </c>
      <c r="M19" s="40" t="s">
        <v>829</v>
      </c>
      <c r="N19" s="41" t="s">
        <v>828</v>
      </c>
      <c r="Q19" s="38" t="s">
        <v>800</v>
      </c>
      <c r="R19" s="44" t="s">
        <v>850</v>
      </c>
    </row>
    <row r="20" spans="1:19" ht="25.5" customHeight="1" thickBot="1" x14ac:dyDescent="0.3">
      <c r="A20" s="13">
        <v>1199</v>
      </c>
      <c r="B20" s="14" t="s">
        <v>89</v>
      </c>
      <c r="D20" s="15">
        <v>4206</v>
      </c>
      <c r="E20" s="14" t="s">
        <v>353</v>
      </c>
      <c r="G20" s="15" t="s">
        <v>867</v>
      </c>
      <c r="H20" s="14" t="s">
        <v>868</v>
      </c>
      <c r="J20" s="42">
        <v>99</v>
      </c>
      <c r="K20" s="48" t="s">
        <v>764</v>
      </c>
      <c r="M20" s="40" t="s">
        <v>831</v>
      </c>
      <c r="N20" s="41" t="s">
        <v>830</v>
      </c>
      <c r="Q20" s="38" t="s">
        <v>802</v>
      </c>
      <c r="R20" s="44" t="s">
        <v>851</v>
      </c>
    </row>
    <row r="21" spans="1:19" ht="15.75" thickBot="1" x14ac:dyDescent="0.3">
      <c r="A21" s="13">
        <v>2301</v>
      </c>
      <c r="B21" s="14" t="s">
        <v>90</v>
      </c>
      <c r="D21" s="15">
        <v>4302</v>
      </c>
      <c r="E21" s="14" t="s">
        <v>354</v>
      </c>
      <c r="G21" s="15" t="s">
        <v>867</v>
      </c>
      <c r="H21" s="14" t="s">
        <v>869</v>
      </c>
      <c r="M21" s="38" t="s">
        <v>797</v>
      </c>
      <c r="N21" s="39" t="s">
        <v>763</v>
      </c>
      <c r="Q21" s="38" t="s">
        <v>804</v>
      </c>
      <c r="R21" s="44" t="s">
        <v>852</v>
      </c>
    </row>
    <row r="22" spans="1:19" ht="15.75" thickBot="1" x14ac:dyDescent="0.3">
      <c r="A22" s="13">
        <v>7203</v>
      </c>
      <c r="B22" s="14" t="s">
        <v>91</v>
      </c>
      <c r="D22" s="15">
        <v>6514</v>
      </c>
      <c r="E22" s="14" t="s">
        <v>355</v>
      </c>
      <c r="G22" s="15">
        <v>2101</v>
      </c>
      <c r="H22" s="14" t="s">
        <v>572</v>
      </c>
      <c r="J22" s="36" t="s">
        <v>331</v>
      </c>
      <c r="K22" s="46" t="s">
        <v>798</v>
      </c>
      <c r="M22" s="42" t="s">
        <v>794</v>
      </c>
      <c r="N22" s="43" t="s">
        <v>753</v>
      </c>
      <c r="Q22" s="38" t="s">
        <v>806</v>
      </c>
      <c r="R22" s="44" t="s">
        <v>853</v>
      </c>
    </row>
    <row r="23" spans="1:19" ht="15.75" thickBot="1" x14ac:dyDescent="0.3">
      <c r="A23" s="13">
        <v>8404</v>
      </c>
      <c r="B23" s="14" t="s">
        <v>92</v>
      </c>
      <c r="D23" s="15">
        <v>4104</v>
      </c>
      <c r="E23" s="14" t="s">
        <v>356</v>
      </c>
      <c r="G23" s="15">
        <v>2102</v>
      </c>
      <c r="H23" s="14" t="s">
        <v>573</v>
      </c>
      <c r="J23" s="38" t="s">
        <v>767</v>
      </c>
      <c r="K23" s="53" t="s">
        <v>766</v>
      </c>
      <c r="Q23" s="42" t="s">
        <v>854</v>
      </c>
      <c r="R23" s="45" t="s">
        <v>763</v>
      </c>
    </row>
    <row r="24" spans="1:19" ht="15.75" thickBot="1" x14ac:dyDescent="0.3">
      <c r="A24" s="13">
        <v>4201</v>
      </c>
      <c r="B24" s="14" t="s">
        <v>93</v>
      </c>
      <c r="D24" s="15">
        <v>9242</v>
      </c>
      <c r="E24" s="14" t="s">
        <v>357</v>
      </c>
      <c r="G24" s="15">
        <v>2199</v>
      </c>
      <c r="H24" s="14" t="s">
        <v>574</v>
      </c>
      <c r="J24" s="38" t="s">
        <v>769</v>
      </c>
      <c r="K24" s="53" t="s">
        <v>768</v>
      </c>
      <c r="M24" s="36" t="s">
        <v>726</v>
      </c>
      <c r="N24" s="37" t="s">
        <v>838</v>
      </c>
    </row>
    <row r="25" spans="1:19" x14ac:dyDescent="0.25">
      <c r="A25" s="13">
        <v>7101</v>
      </c>
      <c r="B25" s="14" t="s">
        <v>94</v>
      </c>
      <c r="D25" s="15">
        <v>2901</v>
      </c>
      <c r="E25" s="14" t="s">
        <v>358</v>
      </c>
      <c r="G25" s="15">
        <v>2202</v>
      </c>
      <c r="H25" s="14" t="s">
        <v>575</v>
      </c>
      <c r="J25" s="38" t="s">
        <v>771</v>
      </c>
      <c r="K25" s="47" t="s">
        <v>770</v>
      </c>
      <c r="M25" s="54">
        <v>1</v>
      </c>
      <c r="N25" s="39" t="s">
        <v>832</v>
      </c>
      <c r="Q25" s="36" t="s">
        <v>331</v>
      </c>
      <c r="R25" s="37" t="s">
        <v>38</v>
      </c>
    </row>
    <row r="26" spans="1:19" x14ac:dyDescent="0.25">
      <c r="A26" s="13">
        <v>8405</v>
      </c>
      <c r="B26" s="14" t="s">
        <v>95</v>
      </c>
      <c r="D26" s="15">
        <v>9243</v>
      </c>
      <c r="E26" s="14" t="s">
        <v>359</v>
      </c>
      <c r="G26" s="15">
        <v>2203</v>
      </c>
      <c r="H26" s="14" t="s">
        <v>576</v>
      </c>
      <c r="J26" s="38" t="s">
        <v>773</v>
      </c>
      <c r="K26" s="47" t="s">
        <v>772</v>
      </c>
      <c r="M26" s="54">
        <v>2</v>
      </c>
      <c r="N26" s="39" t="s">
        <v>833</v>
      </c>
      <c r="Q26" s="38" t="s">
        <v>800</v>
      </c>
      <c r="R26" s="44" t="s">
        <v>856</v>
      </c>
      <c r="S26" s="6"/>
    </row>
    <row r="27" spans="1:19" x14ac:dyDescent="0.25">
      <c r="A27" s="13">
        <v>3301</v>
      </c>
      <c r="B27" s="14" t="s">
        <v>96</v>
      </c>
      <c r="D27" s="15">
        <v>3401</v>
      </c>
      <c r="E27" s="14" t="s">
        <v>360</v>
      </c>
      <c r="G27" s="15">
        <v>2204</v>
      </c>
      <c r="H27" s="14" t="s">
        <v>577</v>
      </c>
      <c r="J27" s="38" t="s">
        <v>775</v>
      </c>
      <c r="K27" s="47" t="s">
        <v>774</v>
      </c>
      <c r="M27" s="54">
        <v>3</v>
      </c>
      <c r="N27" s="39" t="s">
        <v>834</v>
      </c>
      <c r="Q27" s="38" t="s">
        <v>802</v>
      </c>
      <c r="R27" s="44" t="s">
        <v>872</v>
      </c>
      <c r="S27" s="35"/>
    </row>
    <row r="28" spans="1:19" x14ac:dyDescent="0.25">
      <c r="A28" s="13">
        <v>2302</v>
      </c>
      <c r="B28" s="14" t="s">
        <v>97</v>
      </c>
      <c r="D28" s="15">
        <v>9215</v>
      </c>
      <c r="E28" s="14" t="s">
        <v>361</v>
      </c>
      <c r="G28" s="15" t="s">
        <v>745</v>
      </c>
      <c r="H28" s="14" t="s">
        <v>746</v>
      </c>
      <c r="J28" s="38" t="s">
        <v>777</v>
      </c>
      <c r="K28" s="47" t="s">
        <v>776</v>
      </c>
      <c r="M28" s="54">
        <v>4</v>
      </c>
      <c r="N28" s="39" t="s">
        <v>835</v>
      </c>
      <c r="Q28" s="38" t="s">
        <v>804</v>
      </c>
      <c r="R28" s="44" t="s">
        <v>857</v>
      </c>
      <c r="S28" s="35"/>
    </row>
    <row r="29" spans="1:19" x14ac:dyDescent="0.25">
      <c r="A29" s="13">
        <v>8301</v>
      </c>
      <c r="B29" s="14" t="s">
        <v>98</v>
      </c>
      <c r="D29" s="15">
        <v>5201</v>
      </c>
      <c r="E29" s="14" t="s">
        <v>362</v>
      </c>
      <c r="G29" s="15">
        <v>2299</v>
      </c>
      <c r="H29" s="14" t="s">
        <v>578</v>
      </c>
      <c r="J29" s="38" t="s">
        <v>778</v>
      </c>
      <c r="K29" s="47" t="s">
        <v>779</v>
      </c>
      <c r="M29" s="54">
        <v>5</v>
      </c>
      <c r="N29" s="39" t="s">
        <v>836</v>
      </c>
      <c r="Q29" s="38" t="s">
        <v>806</v>
      </c>
      <c r="R29" s="44" t="s">
        <v>858</v>
      </c>
      <c r="S29" s="35"/>
    </row>
    <row r="30" spans="1:19" ht="15.75" thickBot="1" x14ac:dyDescent="0.3">
      <c r="A30" s="13">
        <v>9101</v>
      </c>
      <c r="B30" s="14" t="s">
        <v>99</v>
      </c>
      <c r="D30" s="15">
        <v>6515</v>
      </c>
      <c r="E30" s="14" t="s">
        <v>363</v>
      </c>
      <c r="G30" s="15">
        <v>2301</v>
      </c>
      <c r="H30" s="14" t="s">
        <v>579</v>
      </c>
      <c r="J30" s="38" t="s">
        <v>781</v>
      </c>
      <c r="K30" s="47" t="s">
        <v>780</v>
      </c>
      <c r="M30" s="54">
        <v>6</v>
      </c>
      <c r="N30" s="55" t="s">
        <v>855</v>
      </c>
      <c r="Q30" s="42" t="s">
        <v>810</v>
      </c>
      <c r="R30" s="45" t="s">
        <v>753</v>
      </c>
      <c r="S30" s="35"/>
    </row>
    <row r="31" spans="1:19" x14ac:dyDescent="0.25">
      <c r="A31" s="13">
        <v>8101</v>
      </c>
      <c r="B31" s="14" t="s">
        <v>100</v>
      </c>
      <c r="D31" s="15">
        <v>8516</v>
      </c>
      <c r="E31" s="14" t="s">
        <v>364</v>
      </c>
      <c r="G31" s="15">
        <v>2302</v>
      </c>
      <c r="H31" s="14" t="s">
        <v>580</v>
      </c>
      <c r="J31" s="38" t="s">
        <v>782</v>
      </c>
      <c r="K31" s="47" t="s">
        <v>68</v>
      </c>
      <c r="M31" s="54">
        <v>7</v>
      </c>
      <c r="N31" s="39" t="s">
        <v>837</v>
      </c>
      <c r="S31" s="35"/>
    </row>
    <row r="32" spans="1:19" x14ac:dyDescent="0.25">
      <c r="A32" s="13">
        <v>7102</v>
      </c>
      <c r="B32" s="14" t="s">
        <v>101</v>
      </c>
      <c r="D32" s="15">
        <v>6501</v>
      </c>
      <c r="E32" s="14" t="s">
        <v>365</v>
      </c>
      <c r="G32" s="15">
        <v>2303</v>
      </c>
      <c r="H32" s="14" t="s">
        <v>581</v>
      </c>
      <c r="J32" s="38" t="s">
        <v>784</v>
      </c>
      <c r="K32" s="47" t="s">
        <v>783</v>
      </c>
      <c r="M32" s="54">
        <v>8</v>
      </c>
      <c r="N32" s="39" t="s">
        <v>763</v>
      </c>
      <c r="Q32" s="34"/>
      <c r="R32" s="7"/>
    </row>
    <row r="33" spans="1:14" ht="15.75" thickBot="1" x14ac:dyDescent="0.3">
      <c r="A33" s="13">
        <v>8202</v>
      </c>
      <c r="B33" s="14" t="s">
        <v>102</v>
      </c>
      <c r="D33" s="15">
        <v>9402</v>
      </c>
      <c r="E33" s="14" t="s">
        <v>366</v>
      </c>
      <c r="G33" s="15">
        <v>2399</v>
      </c>
      <c r="H33" s="14" t="s">
        <v>582</v>
      </c>
      <c r="J33" s="38" t="s">
        <v>786</v>
      </c>
      <c r="K33" s="47" t="s">
        <v>785</v>
      </c>
      <c r="M33" s="56">
        <v>99</v>
      </c>
      <c r="N33" s="43" t="s">
        <v>865</v>
      </c>
    </row>
    <row r="34" spans="1:14" ht="38.25" x14ac:dyDescent="0.25">
      <c r="A34" s="13">
        <v>8433</v>
      </c>
      <c r="B34" s="14" t="s">
        <v>103</v>
      </c>
      <c r="D34" s="15">
        <v>3501</v>
      </c>
      <c r="E34" s="14" t="s">
        <v>367</v>
      </c>
      <c r="G34" s="15">
        <v>2401</v>
      </c>
      <c r="H34" s="14" t="s">
        <v>583</v>
      </c>
      <c r="J34" s="38" t="s">
        <v>788</v>
      </c>
      <c r="K34" s="47" t="s">
        <v>787</v>
      </c>
    </row>
    <row r="35" spans="1:14" ht="25.5" x14ac:dyDescent="0.25">
      <c r="A35" s="13">
        <v>3202</v>
      </c>
      <c r="B35" s="14" t="s">
        <v>104</v>
      </c>
      <c r="D35" s="15">
        <v>3502</v>
      </c>
      <c r="E35" s="14" t="s">
        <v>368</v>
      </c>
      <c r="G35" s="15">
        <v>2402</v>
      </c>
      <c r="H35" s="14" t="s">
        <v>584</v>
      </c>
      <c r="J35" s="38" t="s">
        <v>790</v>
      </c>
      <c r="K35" s="47" t="s">
        <v>789</v>
      </c>
    </row>
    <row r="36" spans="1:14" x14ac:dyDescent="0.25">
      <c r="A36" s="13">
        <v>9202</v>
      </c>
      <c r="B36" s="14" t="s">
        <v>105</v>
      </c>
      <c r="D36" s="15">
        <v>6101</v>
      </c>
      <c r="E36" s="14" t="s">
        <v>369</v>
      </c>
      <c r="G36" s="15">
        <v>2403</v>
      </c>
      <c r="H36" s="14" t="s">
        <v>585</v>
      </c>
      <c r="J36" s="38" t="s">
        <v>771</v>
      </c>
      <c r="K36" s="47" t="s">
        <v>791</v>
      </c>
    </row>
    <row r="37" spans="1:14" ht="38.25" x14ac:dyDescent="0.25">
      <c r="A37" s="13">
        <v>8203</v>
      </c>
      <c r="B37" s="14" t="s">
        <v>106</v>
      </c>
      <c r="D37" s="15">
        <v>6199</v>
      </c>
      <c r="E37" s="14" t="s">
        <v>370</v>
      </c>
      <c r="G37" s="15">
        <v>2404</v>
      </c>
      <c r="H37" s="14" t="s">
        <v>586</v>
      </c>
      <c r="J37" s="38" t="s">
        <v>793</v>
      </c>
      <c r="K37" s="47" t="s">
        <v>792</v>
      </c>
    </row>
    <row r="38" spans="1:14" ht="25.5" x14ac:dyDescent="0.25">
      <c r="A38" s="13">
        <v>1604</v>
      </c>
      <c r="B38" s="14" t="s">
        <v>107</v>
      </c>
      <c r="D38" s="15">
        <v>7101</v>
      </c>
      <c r="E38" s="14" t="s">
        <v>371</v>
      </c>
      <c r="G38" s="15">
        <v>2405</v>
      </c>
      <c r="H38" s="14" t="s">
        <v>587</v>
      </c>
      <c r="J38" s="38" t="s">
        <v>794</v>
      </c>
      <c r="K38" s="47" t="s">
        <v>753</v>
      </c>
    </row>
    <row r="39" spans="1:14" ht="25.5" x14ac:dyDescent="0.25">
      <c r="A39" s="13">
        <v>5201</v>
      </c>
      <c r="B39" s="14" t="s">
        <v>108</v>
      </c>
      <c r="D39" s="15">
        <v>2301</v>
      </c>
      <c r="E39" s="14" t="s">
        <v>372</v>
      </c>
      <c r="G39" s="15">
        <v>2406</v>
      </c>
      <c r="H39" s="14" t="s">
        <v>588</v>
      </c>
      <c r="J39" s="38" t="s">
        <v>795</v>
      </c>
      <c r="K39" s="47" t="s">
        <v>763</v>
      </c>
    </row>
    <row r="40" spans="1:14" ht="15.75" thickBot="1" x14ac:dyDescent="0.3">
      <c r="A40" s="13">
        <v>3203</v>
      </c>
      <c r="B40" s="14" t="s">
        <v>109</v>
      </c>
      <c r="D40" s="15">
        <v>6502</v>
      </c>
      <c r="E40" s="14" t="s">
        <v>373</v>
      </c>
      <c r="G40" s="15">
        <v>2407</v>
      </c>
      <c r="H40" s="14" t="s">
        <v>589</v>
      </c>
      <c r="J40" s="42" t="s">
        <v>797</v>
      </c>
      <c r="K40" s="48" t="s">
        <v>796</v>
      </c>
    </row>
    <row r="41" spans="1:14" x14ac:dyDescent="0.25">
      <c r="A41" s="13">
        <v>9102</v>
      </c>
      <c r="B41" s="14" t="s">
        <v>110</v>
      </c>
      <c r="D41" s="15">
        <v>1199</v>
      </c>
      <c r="E41" s="14" t="s">
        <v>374</v>
      </c>
      <c r="G41" s="15">
        <v>2408</v>
      </c>
      <c r="H41" s="14" t="s">
        <v>590</v>
      </c>
    </row>
    <row r="42" spans="1:14" ht="25.5" x14ac:dyDescent="0.25">
      <c r="A42" s="13">
        <v>9203</v>
      </c>
      <c r="B42" s="14" t="s">
        <v>111</v>
      </c>
      <c r="D42" s="15">
        <v>4207</v>
      </c>
      <c r="E42" s="14" t="s">
        <v>375</v>
      </c>
      <c r="G42" s="15">
        <v>2499</v>
      </c>
      <c r="H42" s="14" t="s">
        <v>591</v>
      </c>
    </row>
    <row r="43" spans="1:14" x14ac:dyDescent="0.25">
      <c r="A43" s="13">
        <v>5102</v>
      </c>
      <c r="B43" s="14" t="s">
        <v>112</v>
      </c>
      <c r="D43" s="15">
        <v>6102</v>
      </c>
      <c r="E43" s="14" t="s">
        <v>376</v>
      </c>
      <c r="G43" s="15" t="s">
        <v>737</v>
      </c>
      <c r="H43" s="14" t="s">
        <v>738</v>
      </c>
    </row>
    <row r="44" spans="1:14" x14ac:dyDescent="0.25">
      <c r="A44" s="13">
        <v>9103</v>
      </c>
      <c r="B44" s="14" t="s">
        <v>113</v>
      </c>
      <c r="D44" s="15">
        <v>7199</v>
      </c>
      <c r="E44" s="14" t="s">
        <v>377</v>
      </c>
      <c r="G44" s="15" t="s">
        <v>739</v>
      </c>
      <c r="H44" s="14" t="s">
        <v>740</v>
      </c>
    </row>
    <row r="45" spans="1:14" x14ac:dyDescent="0.25">
      <c r="A45" s="13">
        <v>8102</v>
      </c>
      <c r="B45" s="14" t="s">
        <v>114</v>
      </c>
      <c r="D45" s="15">
        <v>3503</v>
      </c>
      <c r="E45" s="14" t="s">
        <v>378</v>
      </c>
      <c r="G45" s="15" t="s">
        <v>741</v>
      </c>
      <c r="H45" s="14" t="s">
        <v>742</v>
      </c>
    </row>
    <row r="46" spans="1:14" ht="25.5" x14ac:dyDescent="0.25">
      <c r="A46" s="13">
        <v>9104</v>
      </c>
      <c r="B46" s="14" t="s">
        <v>115</v>
      </c>
      <c r="D46" s="15">
        <v>3507</v>
      </c>
      <c r="E46" s="14" t="s">
        <v>379</v>
      </c>
      <c r="G46" s="15" t="s">
        <v>743</v>
      </c>
      <c r="H46" s="14" t="s">
        <v>744</v>
      </c>
    </row>
    <row r="47" spans="1:14" x14ac:dyDescent="0.25">
      <c r="A47" s="13">
        <v>8406</v>
      </c>
      <c r="B47" s="14" t="s">
        <v>116</v>
      </c>
      <c r="D47" s="15">
        <v>3601</v>
      </c>
      <c r="E47" s="14" t="s">
        <v>380</v>
      </c>
      <c r="G47" s="15">
        <v>2901</v>
      </c>
      <c r="H47" s="14" t="s">
        <v>592</v>
      </c>
    </row>
    <row r="48" spans="1:14" ht="25.5" x14ac:dyDescent="0.25">
      <c r="A48" s="13">
        <v>9105</v>
      </c>
      <c r="B48" s="14" t="s">
        <v>117</v>
      </c>
      <c r="D48" s="15">
        <v>3604</v>
      </c>
      <c r="E48" s="14" t="s">
        <v>381</v>
      </c>
      <c r="G48" s="15">
        <v>2902</v>
      </c>
      <c r="H48" s="14" t="s">
        <v>593</v>
      </c>
    </row>
    <row r="49" spans="1:8" x14ac:dyDescent="0.25">
      <c r="A49" s="13">
        <v>9106</v>
      </c>
      <c r="B49" s="14" t="s">
        <v>118</v>
      </c>
      <c r="D49" s="15">
        <v>9244</v>
      </c>
      <c r="E49" s="14" t="s">
        <v>382</v>
      </c>
      <c r="G49" s="15">
        <v>2903</v>
      </c>
      <c r="H49" s="14" t="s">
        <v>594</v>
      </c>
    </row>
    <row r="50" spans="1:8" x14ac:dyDescent="0.25">
      <c r="A50" s="13">
        <v>8204</v>
      </c>
      <c r="B50" s="14" t="s">
        <v>119</v>
      </c>
      <c r="D50" s="15">
        <v>1501</v>
      </c>
      <c r="E50" s="14" t="s">
        <v>383</v>
      </c>
      <c r="G50" s="15" t="s">
        <v>731</v>
      </c>
      <c r="H50" s="14" t="s">
        <v>732</v>
      </c>
    </row>
    <row r="51" spans="1:8" ht="25.5" x14ac:dyDescent="0.25">
      <c r="A51" s="13">
        <v>1605</v>
      </c>
      <c r="B51" s="14" t="s">
        <v>120</v>
      </c>
      <c r="D51" s="15">
        <v>4105</v>
      </c>
      <c r="E51" s="14" t="s">
        <v>384</v>
      </c>
      <c r="G51" s="15" t="s">
        <v>733</v>
      </c>
      <c r="H51" s="14" t="s">
        <v>734</v>
      </c>
    </row>
    <row r="52" spans="1:8" ht="25.5" x14ac:dyDescent="0.25">
      <c r="A52" s="13">
        <v>6101</v>
      </c>
      <c r="B52" s="14" t="s">
        <v>121</v>
      </c>
      <c r="D52" s="15">
        <v>5214</v>
      </c>
      <c r="E52" s="14" t="s">
        <v>385</v>
      </c>
      <c r="G52" s="15" t="s">
        <v>735</v>
      </c>
      <c r="H52" s="14" t="s">
        <v>736</v>
      </c>
    </row>
    <row r="53" spans="1:8" x14ac:dyDescent="0.25">
      <c r="A53" s="13">
        <v>8205</v>
      </c>
      <c r="B53" s="14" t="s">
        <v>122</v>
      </c>
      <c r="D53" s="15">
        <v>9216</v>
      </c>
      <c r="E53" s="14" t="s">
        <v>386</v>
      </c>
      <c r="G53" s="15">
        <v>3101</v>
      </c>
      <c r="H53" s="14" t="s">
        <v>595</v>
      </c>
    </row>
    <row r="54" spans="1:8" x14ac:dyDescent="0.25">
      <c r="A54" s="13">
        <v>9204</v>
      </c>
      <c r="B54" s="14" t="s">
        <v>123</v>
      </c>
      <c r="D54" s="15">
        <v>5199</v>
      </c>
      <c r="E54" s="14" t="s">
        <v>387</v>
      </c>
      <c r="G54" s="15">
        <v>3102</v>
      </c>
      <c r="H54" s="14" t="s">
        <v>596</v>
      </c>
    </row>
    <row r="55" spans="1:8" ht="38.25" x14ac:dyDescent="0.25">
      <c r="A55" s="13">
        <v>9108</v>
      </c>
      <c r="B55" s="14" t="s">
        <v>124</v>
      </c>
      <c r="D55" s="15">
        <v>1401</v>
      </c>
      <c r="E55" s="14" t="s">
        <v>388</v>
      </c>
      <c r="G55" s="15">
        <v>3103</v>
      </c>
      <c r="H55" s="14" t="s">
        <v>597</v>
      </c>
    </row>
    <row r="56" spans="1:8" ht="25.5" x14ac:dyDescent="0.25">
      <c r="A56" s="13">
        <v>9107</v>
      </c>
      <c r="B56" s="14" t="s">
        <v>125</v>
      </c>
      <c r="D56" s="15">
        <v>1201</v>
      </c>
      <c r="E56" s="14" t="s">
        <v>389</v>
      </c>
      <c r="G56" s="15" t="s">
        <v>729</v>
      </c>
      <c r="H56" s="14" t="s">
        <v>730</v>
      </c>
    </row>
    <row r="57" spans="1:8" x14ac:dyDescent="0.25">
      <c r="A57" s="13">
        <v>1501</v>
      </c>
      <c r="B57" s="14" t="s">
        <v>126</v>
      </c>
      <c r="D57" s="15">
        <v>1601</v>
      </c>
      <c r="E57" s="14" t="s">
        <v>390</v>
      </c>
      <c r="G57" s="15">
        <v>3199</v>
      </c>
      <c r="H57" s="14" t="s">
        <v>598</v>
      </c>
    </row>
    <row r="58" spans="1:8" x14ac:dyDescent="0.25">
      <c r="A58" s="13">
        <v>8302</v>
      </c>
      <c r="B58" s="14" t="s">
        <v>127</v>
      </c>
      <c r="D58" s="15">
        <v>9217</v>
      </c>
      <c r="E58" s="14" t="s">
        <v>391</v>
      </c>
      <c r="G58" s="15">
        <v>3301</v>
      </c>
      <c r="H58" s="14" t="s">
        <v>599</v>
      </c>
    </row>
    <row r="59" spans="1:8" x14ac:dyDescent="0.25">
      <c r="A59" s="13">
        <v>9111</v>
      </c>
      <c r="B59" s="14" t="s">
        <v>128</v>
      </c>
      <c r="D59" s="15">
        <v>9301</v>
      </c>
      <c r="E59" s="14" t="s">
        <v>392</v>
      </c>
      <c r="G59" s="15">
        <v>3302</v>
      </c>
      <c r="H59" s="14" t="s">
        <v>600</v>
      </c>
    </row>
    <row r="60" spans="1:8" x14ac:dyDescent="0.25">
      <c r="A60" s="13">
        <v>3204</v>
      </c>
      <c r="B60" s="14" t="s">
        <v>129</v>
      </c>
      <c r="D60" s="15">
        <v>5217</v>
      </c>
      <c r="E60" s="14" t="s">
        <v>393</v>
      </c>
      <c r="G60" s="15">
        <v>3303</v>
      </c>
      <c r="H60" s="14" t="s">
        <v>601</v>
      </c>
    </row>
    <row r="61" spans="1:8" x14ac:dyDescent="0.25">
      <c r="A61" s="13">
        <v>8407</v>
      </c>
      <c r="B61" s="14" t="s">
        <v>130</v>
      </c>
      <c r="D61" s="15">
        <v>6512</v>
      </c>
      <c r="E61" s="14" t="s">
        <v>394</v>
      </c>
      <c r="G61" s="15">
        <v>3399</v>
      </c>
      <c r="H61" s="14" t="s">
        <v>602</v>
      </c>
    </row>
    <row r="62" spans="1:8" x14ac:dyDescent="0.25">
      <c r="A62" s="13">
        <v>8434</v>
      </c>
      <c r="B62" s="14" t="s">
        <v>131</v>
      </c>
      <c r="D62" s="15">
        <v>1602</v>
      </c>
      <c r="E62" s="14" t="s">
        <v>395</v>
      </c>
      <c r="G62" s="15">
        <v>3401</v>
      </c>
      <c r="H62" s="14" t="s">
        <v>10</v>
      </c>
    </row>
    <row r="63" spans="1:8" ht="38.25" x14ac:dyDescent="0.25">
      <c r="A63" s="13">
        <v>3205</v>
      </c>
      <c r="B63" s="14" t="s">
        <v>132</v>
      </c>
      <c r="D63" s="15">
        <v>1699</v>
      </c>
      <c r="E63" s="14" t="s">
        <v>396</v>
      </c>
      <c r="G63" s="15">
        <v>3402</v>
      </c>
      <c r="H63" s="14" t="s">
        <v>603</v>
      </c>
    </row>
    <row r="64" spans="1:8" x14ac:dyDescent="0.25">
      <c r="A64" s="13">
        <v>3302</v>
      </c>
      <c r="B64" s="14" t="s">
        <v>133</v>
      </c>
      <c r="D64" s="15">
        <v>2101</v>
      </c>
      <c r="E64" s="14" t="s">
        <v>397</v>
      </c>
      <c r="G64" s="15">
        <v>3403</v>
      </c>
      <c r="H64" s="14" t="s">
        <v>604</v>
      </c>
    </row>
    <row r="65" spans="1:8" x14ac:dyDescent="0.25">
      <c r="A65" s="13">
        <v>2401</v>
      </c>
      <c r="B65" s="14" t="s">
        <v>134</v>
      </c>
      <c r="D65" s="15">
        <v>1402</v>
      </c>
      <c r="E65" s="14" t="s">
        <v>398</v>
      </c>
      <c r="G65" s="15">
        <v>3404</v>
      </c>
      <c r="H65" s="14" t="s">
        <v>605</v>
      </c>
    </row>
    <row r="66" spans="1:8" x14ac:dyDescent="0.25">
      <c r="A66" s="13">
        <v>9205</v>
      </c>
      <c r="B66" s="14" t="s">
        <v>135</v>
      </c>
      <c r="D66" s="15">
        <v>9245</v>
      </c>
      <c r="E66" s="14" t="s">
        <v>399</v>
      </c>
      <c r="G66" s="15">
        <v>3405</v>
      </c>
      <c r="H66" s="14" t="s">
        <v>606</v>
      </c>
    </row>
    <row r="67" spans="1:8" x14ac:dyDescent="0.25">
      <c r="A67" s="13">
        <v>8408</v>
      </c>
      <c r="B67" s="14" t="s">
        <v>136</v>
      </c>
      <c r="D67" s="15">
        <v>9218</v>
      </c>
      <c r="E67" s="14" t="s">
        <v>400</v>
      </c>
      <c r="G67" s="15">
        <v>3406</v>
      </c>
      <c r="H67" s="14" t="s">
        <v>607</v>
      </c>
    </row>
    <row r="68" spans="1:8" ht="25.5" x14ac:dyDescent="0.25">
      <c r="A68" s="13">
        <v>8411</v>
      </c>
      <c r="B68" s="14" t="s">
        <v>137</v>
      </c>
      <c r="D68" s="15">
        <v>1101</v>
      </c>
      <c r="E68" s="14" t="s">
        <v>401</v>
      </c>
      <c r="G68" s="15">
        <v>3407</v>
      </c>
      <c r="H68" s="14" t="s">
        <v>608</v>
      </c>
    </row>
    <row r="69" spans="1:8" x14ac:dyDescent="0.25">
      <c r="A69" s="13">
        <v>8206</v>
      </c>
      <c r="B69" s="14" t="s">
        <v>138</v>
      </c>
      <c r="D69" s="15">
        <v>4902</v>
      </c>
      <c r="E69" s="14" t="s">
        <v>402</v>
      </c>
      <c r="G69" s="15">
        <v>3408</v>
      </c>
      <c r="H69" s="14" t="s">
        <v>609</v>
      </c>
    </row>
    <row r="70" spans="1:8" x14ac:dyDescent="0.25">
      <c r="A70" s="13">
        <v>4102</v>
      </c>
      <c r="B70" s="14" t="s">
        <v>139</v>
      </c>
      <c r="D70" s="15">
        <v>1301</v>
      </c>
      <c r="E70" s="14" t="s">
        <v>403</v>
      </c>
      <c r="G70" s="15">
        <v>3411</v>
      </c>
      <c r="H70" s="14" t="s">
        <v>610</v>
      </c>
    </row>
    <row r="71" spans="1:8" x14ac:dyDescent="0.25">
      <c r="A71" s="13">
        <v>8303</v>
      </c>
      <c r="B71" s="14" t="s">
        <v>140</v>
      </c>
      <c r="D71" s="15">
        <v>9302</v>
      </c>
      <c r="E71" s="14" t="s">
        <v>404</v>
      </c>
      <c r="G71" s="15">
        <v>3412</v>
      </c>
      <c r="H71" s="14" t="s">
        <v>611</v>
      </c>
    </row>
    <row r="72" spans="1:8" x14ac:dyDescent="0.25">
      <c r="A72" s="13">
        <v>2102</v>
      </c>
      <c r="B72" s="14" t="s">
        <v>71</v>
      </c>
      <c r="D72" s="15">
        <v>2201</v>
      </c>
      <c r="E72" s="14" t="s">
        <v>405</v>
      </c>
      <c r="G72" s="15">
        <v>3413</v>
      </c>
      <c r="H72" s="14" t="s">
        <v>612</v>
      </c>
    </row>
    <row r="73" spans="1:8" x14ac:dyDescent="0.25">
      <c r="A73" s="13">
        <v>9112</v>
      </c>
      <c r="B73" s="14" t="s">
        <v>141</v>
      </c>
      <c r="D73" s="15">
        <v>5202</v>
      </c>
      <c r="E73" s="14" t="s">
        <v>406</v>
      </c>
      <c r="G73" s="15">
        <v>3414</v>
      </c>
      <c r="H73" s="14" t="s">
        <v>613</v>
      </c>
    </row>
    <row r="74" spans="1:8" x14ac:dyDescent="0.25">
      <c r="A74" s="13">
        <v>9206</v>
      </c>
      <c r="B74" s="14" t="s">
        <v>142</v>
      </c>
      <c r="D74" s="15">
        <v>7102</v>
      </c>
      <c r="E74" s="14" t="s">
        <v>407</v>
      </c>
      <c r="G74" s="15">
        <v>3499</v>
      </c>
      <c r="H74" s="14" t="s">
        <v>614</v>
      </c>
    </row>
    <row r="75" spans="1:8" x14ac:dyDescent="0.25">
      <c r="A75" s="13">
        <v>3303</v>
      </c>
      <c r="B75" s="14" t="s">
        <v>143</v>
      </c>
      <c r="D75" s="15">
        <v>9221</v>
      </c>
      <c r="E75" s="14" t="s">
        <v>408</v>
      </c>
      <c r="G75" s="15">
        <v>3501</v>
      </c>
      <c r="H75" s="14" t="s">
        <v>615</v>
      </c>
    </row>
    <row r="76" spans="1:8" x14ac:dyDescent="0.25">
      <c r="A76" s="13">
        <v>9207</v>
      </c>
      <c r="B76" s="14" t="s">
        <v>144</v>
      </c>
      <c r="D76" s="15">
        <v>9222</v>
      </c>
      <c r="E76" s="14" t="s">
        <v>409</v>
      </c>
      <c r="G76" s="15">
        <v>3502</v>
      </c>
      <c r="H76" s="14" t="s">
        <v>616</v>
      </c>
    </row>
    <row r="77" spans="1:8" x14ac:dyDescent="0.25">
      <c r="A77" s="13">
        <v>8207</v>
      </c>
      <c r="B77" s="14" t="s">
        <v>145</v>
      </c>
      <c r="D77" s="15">
        <v>9403</v>
      </c>
      <c r="E77" s="14" t="s">
        <v>410</v>
      </c>
      <c r="G77" s="15">
        <v>3503</v>
      </c>
      <c r="H77" s="14" t="s">
        <v>617</v>
      </c>
    </row>
    <row r="78" spans="1:8" x14ac:dyDescent="0.25">
      <c r="A78" s="13">
        <v>2402</v>
      </c>
      <c r="B78" s="14" t="s">
        <v>146</v>
      </c>
      <c r="D78" s="15">
        <v>4107</v>
      </c>
      <c r="E78" s="14" t="s">
        <v>411</v>
      </c>
      <c r="G78" s="15">
        <v>3504</v>
      </c>
      <c r="H78" s="14" t="s">
        <v>618</v>
      </c>
    </row>
    <row r="79" spans="1:8" x14ac:dyDescent="0.25">
      <c r="A79" s="13">
        <v>1502</v>
      </c>
      <c r="B79" s="14" t="s">
        <v>147</v>
      </c>
      <c r="D79" s="15">
        <v>4204</v>
      </c>
      <c r="E79" s="14" t="s">
        <v>412</v>
      </c>
      <c r="G79" s="15">
        <v>3505</v>
      </c>
      <c r="H79" s="14" t="s">
        <v>619</v>
      </c>
    </row>
    <row r="80" spans="1:8" x14ac:dyDescent="0.25">
      <c r="A80" s="13">
        <v>2403</v>
      </c>
      <c r="B80" s="14" t="s">
        <v>148</v>
      </c>
      <c r="D80" s="15">
        <v>5203</v>
      </c>
      <c r="E80" s="14" t="s">
        <v>413</v>
      </c>
      <c r="G80" s="15">
        <v>3506</v>
      </c>
      <c r="H80" s="14" t="s">
        <v>620</v>
      </c>
    </row>
    <row r="81" spans="1:8" x14ac:dyDescent="0.25">
      <c r="A81" s="13">
        <v>2303</v>
      </c>
      <c r="B81" s="14" t="s">
        <v>149</v>
      </c>
      <c r="D81" s="15">
        <v>6201</v>
      </c>
      <c r="E81" s="14" t="s">
        <v>414</v>
      </c>
      <c r="G81" s="15">
        <v>3599</v>
      </c>
      <c r="H81" s="14" t="s">
        <v>621</v>
      </c>
    </row>
    <row r="82" spans="1:8" x14ac:dyDescent="0.25">
      <c r="A82" s="13">
        <v>8208</v>
      </c>
      <c r="B82" s="14" t="s">
        <v>150</v>
      </c>
      <c r="D82" s="15">
        <v>6299</v>
      </c>
      <c r="E82" s="14" t="s">
        <v>415</v>
      </c>
      <c r="G82" s="15">
        <v>3601</v>
      </c>
      <c r="H82" s="14" t="s">
        <v>622</v>
      </c>
    </row>
    <row r="83" spans="1:8" x14ac:dyDescent="0.25">
      <c r="A83" s="13">
        <v>1503</v>
      </c>
      <c r="B83" s="14" t="s">
        <v>151</v>
      </c>
      <c r="D83" s="15">
        <v>3301</v>
      </c>
      <c r="E83" s="14" t="s">
        <v>416</v>
      </c>
      <c r="G83" s="15">
        <v>3602</v>
      </c>
      <c r="H83" s="14" t="s">
        <v>623</v>
      </c>
    </row>
    <row r="84" spans="1:8" x14ac:dyDescent="0.25">
      <c r="A84" s="13">
        <v>9113</v>
      </c>
      <c r="B84" s="14" t="s">
        <v>152</v>
      </c>
      <c r="D84" s="15">
        <v>6516</v>
      </c>
      <c r="E84" s="14" t="s">
        <v>417</v>
      </c>
      <c r="G84" s="15">
        <v>3699</v>
      </c>
      <c r="H84" s="14" t="s">
        <v>624</v>
      </c>
    </row>
    <row r="85" spans="1:8" ht="25.5" x14ac:dyDescent="0.25">
      <c r="A85" s="13">
        <v>9114</v>
      </c>
      <c r="B85" s="14" t="s">
        <v>153</v>
      </c>
      <c r="D85" s="15">
        <v>2399</v>
      </c>
      <c r="E85" s="14" t="s">
        <v>418</v>
      </c>
      <c r="G85" s="15">
        <v>3701</v>
      </c>
      <c r="H85" s="14" t="s">
        <v>625</v>
      </c>
    </row>
    <row r="86" spans="1:8" ht="25.5" x14ac:dyDescent="0.25">
      <c r="A86" s="13">
        <v>4202</v>
      </c>
      <c r="B86" s="14" t="s">
        <v>154</v>
      </c>
      <c r="D86" s="15">
        <v>1502</v>
      </c>
      <c r="E86" s="14" t="s">
        <v>419</v>
      </c>
      <c r="G86" s="15">
        <v>3702</v>
      </c>
      <c r="H86" s="14" t="s">
        <v>626</v>
      </c>
    </row>
    <row r="87" spans="1:8" x14ac:dyDescent="0.25">
      <c r="A87" s="13">
        <v>7204</v>
      </c>
      <c r="B87" s="14" t="s">
        <v>155</v>
      </c>
      <c r="D87" s="15">
        <v>9223</v>
      </c>
      <c r="E87" s="14" t="s">
        <v>420</v>
      </c>
      <c r="G87" s="15">
        <v>3703</v>
      </c>
      <c r="H87" s="14" t="s">
        <v>627</v>
      </c>
    </row>
    <row r="88" spans="1:8" x14ac:dyDescent="0.25">
      <c r="A88" s="13">
        <v>2304</v>
      </c>
      <c r="B88" s="14" t="s">
        <v>156</v>
      </c>
      <c r="D88" s="15">
        <v>6503</v>
      </c>
      <c r="E88" s="14" t="s">
        <v>421</v>
      </c>
      <c r="G88" s="15">
        <v>3799</v>
      </c>
      <c r="H88" s="14" t="s">
        <v>628</v>
      </c>
    </row>
    <row r="89" spans="1:8" ht="25.5" x14ac:dyDescent="0.25">
      <c r="A89" s="13">
        <v>9115</v>
      </c>
      <c r="B89" s="14" t="s">
        <v>157</v>
      </c>
      <c r="D89" s="15">
        <v>6517</v>
      </c>
      <c r="E89" s="14" t="s">
        <v>422</v>
      </c>
      <c r="G89" s="15">
        <v>3801</v>
      </c>
      <c r="H89" s="14" t="s">
        <v>629</v>
      </c>
    </row>
    <row r="90" spans="1:8" ht="25.5" x14ac:dyDescent="0.25">
      <c r="A90" s="13">
        <v>3102</v>
      </c>
      <c r="B90" s="14" t="s">
        <v>158</v>
      </c>
      <c r="D90" s="15">
        <v>5299</v>
      </c>
      <c r="E90" s="14" t="s">
        <v>423</v>
      </c>
      <c r="G90" s="15">
        <v>3802</v>
      </c>
      <c r="H90" s="14" t="s">
        <v>630</v>
      </c>
    </row>
    <row r="91" spans="1:8" x14ac:dyDescent="0.25">
      <c r="A91" s="13">
        <v>3207</v>
      </c>
      <c r="B91" s="14" t="s">
        <v>159</v>
      </c>
      <c r="D91" s="15">
        <v>6504</v>
      </c>
      <c r="E91" s="14" t="s">
        <v>424</v>
      </c>
      <c r="G91" s="15">
        <v>3803</v>
      </c>
      <c r="H91" s="14" t="s">
        <v>631</v>
      </c>
    </row>
    <row r="92" spans="1:8" x14ac:dyDescent="0.25">
      <c r="A92" s="13">
        <v>2404</v>
      </c>
      <c r="B92" s="14" t="s">
        <v>160</v>
      </c>
      <c r="D92" s="15">
        <v>4199</v>
      </c>
      <c r="E92" s="14" t="s">
        <v>425</v>
      </c>
      <c r="G92" s="15">
        <v>3804</v>
      </c>
      <c r="H92" s="14" t="s">
        <v>632</v>
      </c>
    </row>
    <row r="93" spans="1:8" x14ac:dyDescent="0.25">
      <c r="A93" s="13">
        <v>8412</v>
      </c>
      <c r="B93" s="14" t="s">
        <v>161</v>
      </c>
      <c r="D93" s="15">
        <v>1102</v>
      </c>
      <c r="E93" s="14" t="s">
        <v>426</v>
      </c>
      <c r="G93" s="15">
        <v>3899</v>
      </c>
      <c r="H93" s="14" t="s">
        <v>633</v>
      </c>
    </row>
    <row r="94" spans="1:8" x14ac:dyDescent="0.25">
      <c r="A94" s="13">
        <v>8413</v>
      </c>
      <c r="B94" s="14" t="s">
        <v>162</v>
      </c>
      <c r="D94" s="15">
        <v>2401</v>
      </c>
      <c r="E94" s="14" t="s">
        <v>427</v>
      </c>
      <c r="G94" s="15">
        <v>3901</v>
      </c>
      <c r="H94" s="14" t="s">
        <v>634</v>
      </c>
    </row>
    <row r="95" spans="1:8" x14ac:dyDescent="0.25">
      <c r="A95" s="13">
        <v>1401</v>
      </c>
      <c r="B95" s="14" t="s">
        <v>163</v>
      </c>
      <c r="D95" s="15">
        <v>7201</v>
      </c>
      <c r="E95" s="14" t="s">
        <v>428</v>
      </c>
      <c r="G95" s="15">
        <v>3903</v>
      </c>
      <c r="H95" s="14" t="s">
        <v>635</v>
      </c>
    </row>
    <row r="96" spans="1:8" x14ac:dyDescent="0.25">
      <c r="A96" s="13">
        <v>8304</v>
      </c>
      <c r="B96" s="14" t="s">
        <v>164</v>
      </c>
      <c r="D96" s="15">
        <v>6518</v>
      </c>
      <c r="E96" s="14" t="s">
        <v>429</v>
      </c>
      <c r="G96" s="15">
        <v>3905</v>
      </c>
      <c r="H96" s="14" t="s">
        <v>636</v>
      </c>
    </row>
    <row r="97" spans="1:8" x14ac:dyDescent="0.25">
      <c r="A97" s="13">
        <v>2107</v>
      </c>
      <c r="B97" s="14" t="s">
        <v>165</v>
      </c>
      <c r="D97" s="15">
        <v>5101</v>
      </c>
      <c r="E97" s="14" t="s">
        <v>430</v>
      </c>
      <c r="G97" s="15">
        <v>3906</v>
      </c>
      <c r="H97" s="14" t="s">
        <v>637</v>
      </c>
    </row>
    <row r="98" spans="1:8" ht="25.5" x14ac:dyDescent="0.25">
      <c r="A98" s="13">
        <v>9116</v>
      </c>
      <c r="B98" s="14" t="s">
        <v>166</v>
      </c>
      <c r="D98" s="15">
        <v>6103</v>
      </c>
      <c r="E98" s="14" t="s">
        <v>431</v>
      </c>
      <c r="G98" s="15">
        <v>3999</v>
      </c>
      <c r="H98" s="14" t="s">
        <v>638</v>
      </c>
    </row>
    <row r="99" spans="1:8" x14ac:dyDescent="0.25">
      <c r="A99" s="13">
        <v>9117</v>
      </c>
      <c r="B99" s="14" t="s">
        <v>167</v>
      </c>
      <c r="D99" s="15">
        <v>5215</v>
      </c>
      <c r="E99" s="14" t="s">
        <v>432</v>
      </c>
      <c r="G99" s="15">
        <v>4101</v>
      </c>
      <c r="H99" s="14" t="s">
        <v>639</v>
      </c>
    </row>
    <row r="100" spans="1:8" x14ac:dyDescent="0.25">
      <c r="A100" s="13">
        <v>8211</v>
      </c>
      <c r="B100" s="14" t="s">
        <v>168</v>
      </c>
      <c r="D100" s="15">
        <v>6301</v>
      </c>
      <c r="E100" s="14" t="s">
        <v>433</v>
      </c>
      <c r="G100" s="15">
        <v>4102</v>
      </c>
      <c r="H100" s="14" t="s">
        <v>640</v>
      </c>
    </row>
    <row r="101" spans="1:8" x14ac:dyDescent="0.25">
      <c r="A101" s="13">
        <v>8414</v>
      </c>
      <c r="B101" s="14" t="s">
        <v>169</v>
      </c>
      <c r="D101" s="15">
        <v>9224</v>
      </c>
      <c r="E101" s="14" t="s">
        <v>434</v>
      </c>
      <c r="G101" s="15">
        <v>4103</v>
      </c>
      <c r="H101" s="14" t="s">
        <v>641</v>
      </c>
    </row>
    <row r="102" spans="1:8" ht="25.5" x14ac:dyDescent="0.25">
      <c r="A102" s="13">
        <v>3103</v>
      </c>
      <c r="B102" s="14" t="s">
        <v>170</v>
      </c>
      <c r="D102" s="15">
        <v>9246</v>
      </c>
      <c r="E102" s="14" t="s">
        <v>435</v>
      </c>
      <c r="G102" s="15">
        <v>4104</v>
      </c>
      <c r="H102" s="14" t="s">
        <v>642</v>
      </c>
    </row>
    <row r="103" spans="1:8" x14ac:dyDescent="0.25">
      <c r="A103" s="13">
        <v>8305</v>
      </c>
      <c r="B103" s="14" t="s">
        <v>171</v>
      </c>
      <c r="D103" s="15">
        <v>9247</v>
      </c>
      <c r="E103" s="14" t="s">
        <v>436</v>
      </c>
      <c r="G103" s="15">
        <v>4105</v>
      </c>
      <c r="H103" s="14" t="s">
        <v>643</v>
      </c>
    </row>
    <row r="104" spans="1:8" ht="25.5" x14ac:dyDescent="0.25">
      <c r="A104" s="13">
        <v>6102</v>
      </c>
      <c r="B104" s="14" t="s">
        <v>172</v>
      </c>
      <c r="D104" s="15">
        <v>9502</v>
      </c>
      <c r="E104" s="14" t="s">
        <v>437</v>
      </c>
      <c r="G104" s="15">
        <v>4106</v>
      </c>
      <c r="H104" s="14" t="s">
        <v>644</v>
      </c>
    </row>
    <row r="105" spans="1:8" x14ac:dyDescent="0.25">
      <c r="A105" s="13">
        <v>3304</v>
      </c>
      <c r="B105" s="14" t="s">
        <v>173</v>
      </c>
      <c r="D105" s="15">
        <v>5204</v>
      </c>
      <c r="E105" s="14" t="s">
        <v>438</v>
      </c>
      <c r="G105" s="15">
        <v>4107</v>
      </c>
      <c r="H105" s="14" t="s">
        <v>645</v>
      </c>
    </row>
    <row r="106" spans="1:8" x14ac:dyDescent="0.25">
      <c r="A106" s="13">
        <v>2405</v>
      </c>
      <c r="B106" s="14" t="s">
        <v>174</v>
      </c>
      <c r="D106" s="15">
        <v>7301</v>
      </c>
      <c r="E106" s="14" t="s">
        <v>439</v>
      </c>
      <c r="G106" s="15">
        <v>4108</v>
      </c>
      <c r="H106" s="14" t="s">
        <v>646</v>
      </c>
    </row>
    <row r="107" spans="1:8" x14ac:dyDescent="0.25">
      <c r="A107" s="13">
        <v>7103</v>
      </c>
      <c r="B107" s="14" t="s">
        <v>175</v>
      </c>
      <c r="D107" s="15">
        <v>9248</v>
      </c>
      <c r="E107" s="14" t="s">
        <v>440</v>
      </c>
      <c r="G107" s="15">
        <v>4111</v>
      </c>
      <c r="H107" s="14" t="s">
        <v>647</v>
      </c>
    </row>
    <row r="108" spans="1:8" x14ac:dyDescent="0.25">
      <c r="A108" s="13">
        <v>5202</v>
      </c>
      <c r="B108" s="14" t="s">
        <v>176</v>
      </c>
      <c r="D108" s="15">
        <v>9251</v>
      </c>
      <c r="E108" s="14" t="s">
        <v>441</v>
      </c>
      <c r="G108" s="15">
        <v>4112</v>
      </c>
      <c r="H108" s="14" t="s">
        <v>648</v>
      </c>
    </row>
    <row r="109" spans="1:8" ht="25.5" x14ac:dyDescent="0.25">
      <c r="A109" s="13">
        <v>4203</v>
      </c>
      <c r="B109" s="14" t="s">
        <v>177</v>
      </c>
      <c r="D109" s="15">
        <v>9225</v>
      </c>
      <c r="E109" s="14" t="s">
        <v>442</v>
      </c>
      <c r="G109" s="15">
        <v>4199</v>
      </c>
      <c r="H109" s="14" t="s">
        <v>649</v>
      </c>
    </row>
    <row r="110" spans="1:8" x14ac:dyDescent="0.25">
      <c r="A110" s="13">
        <v>4204</v>
      </c>
      <c r="B110" s="14" t="s">
        <v>178</v>
      </c>
      <c r="D110" s="15">
        <v>4101</v>
      </c>
      <c r="E110" s="14" t="s">
        <v>443</v>
      </c>
      <c r="G110" s="15">
        <v>4201</v>
      </c>
      <c r="H110" s="14" t="s">
        <v>650</v>
      </c>
    </row>
    <row r="111" spans="1:8" x14ac:dyDescent="0.25">
      <c r="A111" s="13">
        <v>2201</v>
      </c>
      <c r="B111" s="14" t="s">
        <v>179</v>
      </c>
      <c r="D111" s="15">
        <v>6401</v>
      </c>
      <c r="E111" s="14" t="s">
        <v>444</v>
      </c>
      <c r="G111" s="15">
        <v>4202</v>
      </c>
      <c r="H111" s="14" t="s">
        <v>651</v>
      </c>
    </row>
    <row r="112" spans="1:8" x14ac:dyDescent="0.25">
      <c r="A112" s="13">
        <v>2103</v>
      </c>
      <c r="B112" s="14" t="s">
        <v>180</v>
      </c>
      <c r="D112" s="15">
        <v>2902</v>
      </c>
      <c r="E112" s="14" t="s">
        <v>445</v>
      </c>
      <c r="G112" s="15">
        <v>4203</v>
      </c>
      <c r="H112" s="14" t="s">
        <v>652</v>
      </c>
    </row>
    <row r="113" spans="1:8" x14ac:dyDescent="0.25">
      <c r="A113" s="13">
        <v>4205</v>
      </c>
      <c r="B113" s="14" t="s">
        <v>181</v>
      </c>
      <c r="D113" s="15">
        <v>3101</v>
      </c>
      <c r="E113" s="14" t="s">
        <v>446</v>
      </c>
      <c r="G113" s="15">
        <v>4299</v>
      </c>
      <c r="H113" s="14" t="s">
        <v>653</v>
      </c>
    </row>
    <row r="114" spans="1:8" x14ac:dyDescent="0.25">
      <c r="A114" s="13">
        <v>3104</v>
      </c>
      <c r="B114" s="14" t="s">
        <v>182</v>
      </c>
      <c r="D114" s="15">
        <v>1302</v>
      </c>
      <c r="E114" s="14" t="s">
        <v>447</v>
      </c>
      <c r="G114" s="15">
        <v>4301</v>
      </c>
      <c r="H114" s="14" t="s">
        <v>654</v>
      </c>
    </row>
    <row r="115" spans="1:8" ht="25.5" x14ac:dyDescent="0.25">
      <c r="A115" s="13">
        <v>8415</v>
      </c>
      <c r="B115" s="14" t="s">
        <v>183</v>
      </c>
      <c r="D115" s="15">
        <v>9252</v>
      </c>
      <c r="E115" s="14" t="s">
        <v>448</v>
      </c>
      <c r="G115" s="15">
        <v>4302</v>
      </c>
      <c r="H115" s="14" t="s">
        <v>655</v>
      </c>
    </row>
    <row r="116" spans="1:8" x14ac:dyDescent="0.25">
      <c r="A116" s="13">
        <v>6201</v>
      </c>
      <c r="B116" s="14" t="s">
        <v>184</v>
      </c>
      <c r="D116" s="15">
        <v>3102</v>
      </c>
      <c r="E116" s="14" t="s">
        <v>449</v>
      </c>
      <c r="G116" s="15">
        <v>4303</v>
      </c>
      <c r="H116" s="14" t="s">
        <v>656</v>
      </c>
    </row>
    <row r="117" spans="1:8" x14ac:dyDescent="0.25">
      <c r="A117" s="13">
        <v>2108</v>
      </c>
      <c r="B117" s="14" t="s">
        <v>185</v>
      </c>
      <c r="D117" s="15">
        <v>9253</v>
      </c>
      <c r="E117" s="14" t="s">
        <v>450</v>
      </c>
      <c r="G117" s="15">
        <v>4304</v>
      </c>
      <c r="H117" s="14" t="s">
        <v>657</v>
      </c>
    </row>
    <row r="118" spans="1:8" x14ac:dyDescent="0.25">
      <c r="A118" s="13">
        <v>4206</v>
      </c>
      <c r="B118" s="14" t="s">
        <v>186</v>
      </c>
      <c r="D118" s="15">
        <v>9226</v>
      </c>
      <c r="E118" s="14" t="s">
        <v>451</v>
      </c>
      <c r="G118" s="15">
        <v>4305</v>
      </c>
      <c r="H118" s="14" t="s">
        <v>658</v>
      </c>
    </row>
    <row r="119" spans="1:8" ht="25.5" x14ac:dyDescent="0.25">
      <c r="A119" s="13">
        <v>7205</v>
      </c>
      <c r="B119" s="14" t="s">
        <v>187</v>
      </c>
      <c r="D119" s="15">
        <v>9254</v>
      </c>
      <c r="E119" s="14" t="s">
        <v>452</v>
      </c>
      <c r="G119" s="15">
        <v>4399</v>
      </c>
      <c r="H119" s="14" t="s">
        <v>659</v>
      </c>
    </row>
    <row r="120" spans="1:8" ht="25.5" x14ac:dyDescent="0.25">
      <c r="A120" s="13">
        <v>9208</v>
      </c>
      <c r="B120" s="14" t="s">
        <v>188</v>
      </c>
      <c r="D120" s="15">
        <v>9227</v>
      </c>
      <c r="E120" s="14" t="s">
        <v>453</v>
      </c>
      <c r="G120" s="15">
        <v>4901</v>
      </c>
      <c r="H120" s="14" t="s">
        <v>660</v>
      </c>
    </row>
    <row r="121" spans="1:8" x14ac:dyDescent="0.25">
      <c r="A121" s="13">
        <v>1402</v>
      </c>
      <c r="B121" s="14" t="s">
        <v>189</v>
      </c>
      <c r="D121" s="15">
        <v>3504</v>
      </c>
      <c r="E121" s="14" t="s">
        <v>454</v>
      </c>
      <c r="G121" s="15">
        <v>4902</v>
      </c>
      <c r="H121" s="14" t="s">
        <v>661</v>
      </c>
    </row>
    <row r="122" spans="1:8" ht="51" x14ac:dyDescent="0.25">
      <c r="A122" s="13">
        <v>6202</v>
      </c>
      <c r="B122" s="14" t="s">
        <v>190</v>
      </c>
      <c r="D122" s="15">
        <v>9255</v>
      </c>
      <c r="E122" s="14" t="s">
        <v>455</v>
      </c>
      <c r="G122" s="15">
        <v>4903</v>
      </c>
      <c r="H122" s="14" t="s">
        <v>662</v>
      </c>
    </row>
    <row r="123" spans="1:8" ht="25.5" x14ac:dyDescent="0.25">
      <c r="A123" s="13">
        <v>6203</v>
      </c>
      <c r="B123" s="14" t="s">
        <v>191</v>
      </c>
      <c r="D123" s="15">
        <v>6505</v>
      </c>
      <c r="E123" s="14" t="s">
        <v>456</v>
      </c>
      <c r="G123" s="15">
        <v>4999</v>
      </c>
      <c r="H123" s="14" t="s">
        <v>663</v>
      </c>
    </row>
    <row r="124" spans="1:8" x14ac:dyDescent="0.25">
      <c r="A124" s="13">
        <v>3216</v>
      </c>
      <c r="B124" s="14" t="s">
        <v>192</v>
      </c>
      <c r="D124" s="15">
        <v>5102</v>
      </c>
      <c r="E124" s="14" t="s">
        <v>457</v>
      </c>
      <c r="G124" s="15">
        <v>5101</v>
      </c>
      <c r="H124" s="14" t="s">
        <v>664</v>
      </c>
    </row>
    <row r="125" spans="1:8" x14ac:dyDescent="0.25">
      <c r="A125" s="13">
        <v>4207</v>
      </c>
      <c r="B125" s="14" t="s">
        <v>193</v>
      </c>
      <c r="D125" s="15">
        <v>2501</v>
      </c>
      <c r="E125" s="14" t="s">
        <v>458</v>
      </c>
      <c r="G125" s="15">
        <v>5102</v>
      </c>
      <c r="H125" s="14" t="s">
        <v>665</v>
      </c>
    </row>
    <row r="126" spans="1:8" ht="25.5" x14ac:dyDescent="0.25">
      <c r="A126" s="13">
        <v>7206</v>
      </c>
      <c r="B126" s="14" t="s">
        <v>194</v>
      </c>
      <c r="D126" s="15">
        <v>4208</v>
      </c>
      <c r="E126" s="14" t="s">
        <v>459</v>
      </c>
      <c r="G126" s="15">
        <v>5103</v>
      </c>
      <c r="H126" s="14" t="s">
        <v>666</v>
      </c>
    </row>
    <row r="127" spans="1:8" ht="25.5" x14ac:dyDescent="0.25">
      <c r="A127" s="13">
        <v>5103</v>
      </c>
      <c r="B127" s="14" t="s">
        <v>195</v>
      </c>
      <c r="D127" s="15">
        <v>7104</v>
      </c>
      <c r="E127" s="14" t="s">
        <v>460</v>
      </c>
      <c r="G127" s="15">
        <v>5199</v>
      </c>
      <c r="H127" s="14" t="s">
        <v>667</v>
      </c>
    </row>
    <row r="128" spans="1:8" x14ac:dyDescent="0.25">
      <c r="A128" s="13">
        <v>3305</v>
      </c>
      <c r="B128" s="14" t="s">
        <v>196</v>
      </c>
      <c r="D128" s="15">
        <v>9256</v>
      </c>
      <c r="E128" s="14" t="s">
        <v>461</v>
      </c>
      <c r="G128" s="15">
        <v>5201</v>
      </c>
      <c r="H128" s="14" t="s">
        <v>668</v>
      </c>
    </row>
    <row r="129" spans="1:8" x14ac:dyDescent="0.25">
      <c r="A129" s="13">
        <v>4208</v>
      </c>
      <c r="B129" s="14" t="s">
        <v>197</v>
      </c>
      <c r="D129" s="15">
        <v>9257</v>
      </c>
      <c r="E129" s="14" t="s">
        <v>462</v>
      </c>
      <c r="G129" s="15">
        <v>5202</v>
      </c>
      <c r="H129" s="14" t="s">
        <v>669</v>
      </c>
    </row>
    <row r="130" spans="1:8" ht="25.5" x14ac:dyDescent="0.25">
      <c r="A130" s="13">
        <v>9211</v>
      </c>
      <c r="B130" s="14" t="s">
        <v>198</v>
      </c>
      <c r="D130" s="15">
        <v>9303</v>
      </c>
      <c r="E130" s="14" t="s">
        <v>463</v>
      </c>
      <c r="G130" s="15">
        <v>5203</v>
      </c>
      <c r="H130" s="14" t="s">
        <v>670</v>
      </c>
    </row>
    <row r="131" spans="1:8" ht="25.5" x14ac:dyDescent="0.25">
      <c r="A131" s="13">
        <v>9118</v>
      </c>
      <c r="B131" s="14" t="s">
        <v>199</v>
      </c>
      <c r="D131" s="15">
        <v>9304</v>
      </c>
      <c r="E131" s="14" t="s">
        <v>464</v>
      </c>
      <c r="G131" s="15">
        <v>5204</v>
      </c>
      <c r="H131" s="14" t="s">
        <v>671</v>
      </c>
    </row>
    <row r="132" spans="1:8" x14ac:dyDescent="0.25">
      <c r="A132" s="13">
        <v>4103</v>
      </c>
      <c r="B132" s="14" t="s">
        <v>200</v>
      </c>
      <c r="D132" s="15">
        <v>5205</v>
      </c>
      <c r="E132" s="14" t="s">
        <v>465</v>
      </c>
      <c r="G132" s="15">
        <v>5205</v>
      </c>
      <c r="H132" s="14" t="s">
        <v>672</v>
      </c>
    </row>
    <row r="133" spans="1:8" x14ac:dyDescent="0.25">
      <c r="A133" s="13">
        <v>2305</v>
      </c>
      <c r="B133" s="14" t="s">
        <v>201</v>
      </c>
      <c r="D133" s="15">
        <v>9205</v>
      </c>
      <c r="E133" s="14" t="s">
        <v>466</v>
      </c>
      <c r="G133" s="15">
        <v>5299</v>
      </c>
      <c r="H133" s="14" t="s">
        <v>673</v>
      </c>
    </row>
    <row r="134" spans="1:8" ht="38.25" x14ac:dyDescent="0.25">
      <c r="A134" s="13">
        <v>3306</v>
      </c>
      <c r="B134" s="14" t="s">
        <v>202</v>
      </c>
      <c r="D134" s="15">
        <v>4299</v>
      </c>
      <c r="E134" s="14" t="s">
        <v>467</v>
      </c>
      <c r="G134" s="15">
        <v>5301</v>
      </c>
      <c r="H134" s="14" t="s">
        <v>674</v>
      </c>
    </row>
    <row r="135" spans="1:8" x14ac:dyDescent="0.25">
      <c r="A135" s="13">
        <v>2306</v>
      </c>
      <c r="B135" s="14" t="s">
        <v>203</v>
      </c>
      <c r="D135" s="15">
        <v>7107</v>
      </c>
      <c r="E135" s="14" t="s">
        <v>468</v>
      </c>
      <c r="G135" s="15">
        <v>5302</v>
      </c>
      <c r="H135" s="14" t="s">
        <v>675</v>
      </c>
    </row>
    <row r="136" spans="1:8" ht="25.5" x14ac:dyDescent="0.25">
      <c r="A136" s="13">
        <v>6103</v>
      </c>
      <c r="B136" s="14" t="s">
        <v>204</v>
      </c>
      <c r="D136" s="15">
        <v>6303</v>
      </c>
      <c r="E136" s="14" t="s">
        <v>469</v>
      </c>
      <c r="G136" s="15">
        <v>5303</v>
      </c>
      <c r="H136" s="14" t="s">
        <v>676</v>
      </c>
    </row>
    <row r="137" spans="1:8" x14ac:dyDescent="0.25">
      <c r="A137" s="13">
        <v>9212</v>
      </c>
      <c r="B137" s="14" t="s">
        <v>205</v>
      </c>
      <c r="D137" s="15">
        <v>7902</v>
      </c>
      <c r="E137" s="14" t="s">
        <v>470</v>
      </c>
      <c r="G137" s="15">
        <v>5304</v>
      </c>
      <c r="H137" s="14" t="s">
        <v>677</v>
      </c>
    </row>
    <row r="138" spans="1:8" ht="25.5" x14ac:dyDescent="0.25">
      <c r="A138" s="13">
        <v>9213</v>
      </c>
      <c r="B138" s="14" t="s">
        <v>206</v>
      </c>
      <c r="D138" s="15">
        <v>6399</v>
      </c>
      <c r="E138" s="14" t="s">
        <v>471</v>
      </c>
      <c r="G138" s="15">
        <v>5399</v>
      </c>
      <c r="H138" s="14" t="s">
        <v>678</v>
      </c>
    </row>
    <row r="139" spans="1:8" x14ac:dyDescent="0.25">
      <c r="A139" s="13">
        <v>5203</v>
      </c>
      <c r="B139" s="14" t="s">
        <v>207</v>
      </c>
      <c r="D139" s="15">
        <v>9258</v>
      </c>
      <c r="E139" s="14" t="s">
        <v>472</v>
      </c>
      <c r="G139" s="15">
        <v>5401</v>
      </c>
      <c r="H139" s="14" t="s">
        <v>679</v>
      </c>
    </row>
    <row r="140" spans="1:8" x14ac:dyDescent="0.25">
      <c r="A140" s="13">
        <v>7104</v>
      </c>
      <c r="B140" s="14" t="s">
        <v>208</v>
      </c>
      <c r="D140" s="15">
        <v>9503</v>
      </c>
      <c r="E140" s="14" t="s">
        <v>473</v>
      </c>
      <c r="G140" s="15">
        <v>5402</v>
      </c>
      <c r="H140" s="14" t="s">
        <v>680</v>
      </c>
    </row>
    <row r="141" spans="1:8" x14ac:dyDescent="0.25">
      <c r="A141" s="13">
        <v>9121</v>
      </c>
      <c r="B141" s="14" t="s">
        <v>209</v>
      </c>
      <c r="D141" s="15">
        <v>9306</v>
      </c>
      <c r="E141" s="14" t="s">
        <v>474</v>
      </c>
      <c r="G141" s="15">
        <v>5499</v>
      </c>
      <c r="H141" s="14" t="s">
        <v>681</v>
      </c>
    </row>
    <row r="142" spans="1:8" x14ac:dyDescent="0.25">
      <c r="A142" s="13">
        <v>3105</v>
      </c>
      <c r="B142" s="14" t="s">
        <v>210</v>
      </c>
      <c r="D142" s="15">
        <v>9228</v>
      </c>
      <c r="E142" s="14" t="s">
        <v>475</v>
      </c>
      <c r="G142" s="15">
        <v>5501</v>
      </c>
      <c r="H142" s="14" t="s">
        <v>682</v>
      </c>
    </row>
    <row r="143" spans="1:8" x14ac:dyDescent="0.25">
      <c r="A143" s="13">
        <v>1403</v>
      </c>
      <c r="B143" s="14" t="s">
        <v>211</v>
      </c>
      <c r="D143" s="15">
        <v>5206</v>
      </c>
      <c r="E143" s="14" t="s">
        <v>476</v>
      </c>
      <c r="G143" s="15">
        <v>5502</v>
      </c>
      <c r="H143" s="14" t="s">
        <v>683</v>
      </c>
    </row>
    <row r="144" spans="1:8" x14ac:dyDescent="0.25">
      <c r="A144" s="13">
        <v>8416</v>
      </c>
      <c r="B144" s="14" t="s">
        <v>212</v>
      </c>
      <c r="D144" s="15">
        <v>9307</v>
      </c>
      <c r="E144" s="14" t="s">
        <v>235</v>
      </c>
      <c r="G144" s="15">
        <v>5503</v>
      </c>
      <c r="H144" s="14" t="s">
        <v>684</v>
      </c>
    </row>
    <row r="145" spans="1:8" x14ac:dyDescent="0.25">
      <c r="A145" s="13">
        <v>9122</v>
      </c>
      <c r="B145" s="14" t="s">
        <v>213</v>
      </c>
      <c r="D145" s="15">
        <v>1503</v>
      </c>
      <c r="E145" s="14" t="s">
        <v>477</v>
      </c>
      <c r="G145" s="15">
        <v>5504</v>
      </c>
      <c r="H145" s="14" t="s">
        <v>685</v>
      </c>
    </row>
    <row r="146" spans="1:8" x14ac:dyDescent="0.25">
      <c r="A146" s="13">
        <v>9214</v>
      </c>
      <c r="B146" s="14" t="s">
        <v>214</v>
      </c>
      <c r="D146" s="15">
        <v>9231</v>
      </c>
      <c r="E146" s="14" t="s">
        <v>478</v>
      </c>
      <c r="G146" s="15">
        <v>5505</v>
      </c>
      <c r="H146" s="14" t="s">
        <v>686</v>
      </c>
    </row>
    <row r="147" spans="1:8" x14ac:dyDescent="0.25">
      <c r="A147" s="13">
        <v>9215</v>
      </c>
      <c r="B147" s="14" t="s">
        <v>215</v>
      </c>
      <c r="D147" s="15">
        <v>9232</v>
      </c>
      <c r="E147" s="14" t="s">
        <v>479</v>
      </c>
      <c r="G147" s="15">
        <v>5599</v>
      </c>
      <c r="H147" s="14" t="s">
        <v>687</v>
      </c>
    </row>
    <row r="148" spans="1:8" ht="25.5" x14ac:dyDescent="0.25">
      <c r="A148" s="13">
        <v>8306</v>
      </c>
      <c r="B148" s="14" t="s">
        <v>216</v>
      </c>
      <c r="D148" s="15">
        <v>9499</v>
      </c>
      <c r="E148" s="14" t="s">
        <v>480</v>
      </c>
      <c r="G148" s="15">
        <v>5601</v>
      </c>
      <c r="H148" s="14" t="s">
        <v>688</v>
      </c>
    </row>
    <row r="149" spans="1:8" ht="38.25" x14ac:dyDescent="0.25">
      <c r="A149" s="13">
        <v>1404</v>
      </c>
      <c r="B149" s="14" t="s">
        <v>217</v>
      </c>
      <c r="D149" s="15">
        <v>5216</v>
      </c>
      <c r="E149" s="14" t="s">
        <v>481</v>
      </c>
      <c r="G149" s="15">
        <v>5602</v>
      </c>
      <c r="H149" s="14" t="s">
        <v>689</v>
      </c>
    </row>
    <row r="150" spans="1:8" x14ac:dyDescent="0.25">
      <c r="A150" s="13">
        <v>3208</v>
      </c>
      <c r="B150" s="14" t="s">
        <v>218</v>
      </c>
      <c r="D150" s="15">
        <v>9206</v>
      </c>
      <c r="E150" s="14" t="s">
        <v>482</v>
      </c>
      <c r="G150" s="15">
        <v>5603</v>
      </c>
      <c r="H150" s="14" t="s">
        <v>690</v>
      </c>
    </row>
    <row r="151" spans="1:8" ht="38.25" x14ac:dyDescent="0.25">
      <c r="A151" s="13">
        <v>2307</v>
      </c>
      <c r="B151" s="14" t="s">
        <v>219</v>
      </c>
      <c r="D151" s="15">
        <v>7999</v>
      </c>
      <c r="E151" s="14" t="s">
        <v>483</v>
      </c>
      <c r="G151" s="15">
        <v>5604</v>
      </c>
      <c r="H151" s="14" t="s">
        <v>691</v>
      </c>
    </row>
    <row r="152" spans="1:8" ht="38.25" x14ac:dyDescent="0.25">
      <c r="A152" s="13">
        <v>6104</v>
      </c>
      <c r="B152" s="14" t="s">
        <v>220</v>
      </c>
      <c r="D152" s="15">
        <v>3999</v>
      </c>
      <c r="E152" s="14" t="s">
        <v>484</v>
      </c>
      <c r="G152" s="15">
        <v>5605</v>
      </c>
      <c r="H152" s="14" t="s">
        <v>692</v>
      </c>
    </row>
    <row r="153" spans="1:8" ht="25.5" x14ac:dyDescent="0.25">
      <c r="A153" s="13">
        <v>3214</v>
      </c>
      <c r="B153" s="14" t="s">
        <v>221</v>
      </c>
      <c r="D153" s="15">
        <v>6999</v>
      </c>
      <c r="E153" s="14" t="s">
        <v>485</v>
      </c>
      <c r="G153" s="15">
        <v>5606</v>
      </c>
      <c r="H153" s="14" t="s">
        <v>693</v>
      </c>
    </row>
    <row r="154" spans="1:8" ht="25.5" x14ac:dyDescent="0.25">
      <c r="A154" s="13">
        <v>8417</v>
      </c>
      <c r="B154" s="14" t="s">
        <v>222</v>
      </c>
      <c r="D154" s="15">
        <v>5999</v>
      </c>
      <c r="E154" s="14" t="s">
        <v>486</v>
      </c>
      <c r="G154" s="15">
        <v>5607</v>
      </c>
      <c r="H154" s="14" t="s">
        <v>694</v>
      </c>
    </row>
    <row r="155" spans="1:8" ht="38.25" x14ac:dyDescent="0.25">
      <c r="A155" s="13">
        <v>4104</v>
      </c>
      <c r="B155" s="14" t="s">
        <v>223</v>
      </c>
      <c r="D155" s="15">
        <v>2999</v>
      </c>
      <c r="E155" s="14" t="s">
        <v>487</v>
      </c>
      <c r="G155" s="15">
        <v>5699</v>
      </c>
      <c r="H155" s="14" t="s">
        <v>695</v>
      </c>
    </row>
    <row r="156" spans="1:8" ht="38.25" x14ac:dyDescent="0.25">
      <c r="A156" s="13">
        <v>5101</v>
      </c>
      <c r="B156" s="14" t="s">
        <v>224</v>
      </c>
      <c r="D156" s="15">
        <v>4999</v>
      </c>
      <c r="E156" s="14" t="s">
        <v>488</v>
      </c>
      <c r="G156" s="15">
        <v>5901</v>
      </c>
      <c r="H156" s="14" t="s">
        <v>696</v>
      </c>
    </row>
    <row r="157" spans="1:8" ht="38.25" x14ac:dyDescent="0.25">
      <c r="A157" s="13">
        <v>9216</v>
      </c>
      <c r="B157" s="14" t="s">
        <v>225</v>
      </c>
      <c r="D157" s="15">
        <v>9399</v>
      </c>
      <c r="E157" s="14" t="s">
        <v>489</v>
      </c>
      <c r="G157" s="15">
        <v>5902</v>
      </c>
      <c r="H157" s="14" t="s">
        <v>697</v>
      </c>
    </row>
    <row r="158" spans="1:8" x14ac:dyDescent="0.25">
      <c r="A158" s="13">
        <v>9217</v>
      </c>
      <c r="B158" s="14" t="s">
        <v>226</v>
      </c>
      <c r="D158" s="15">
        <v>6521</v>
      </c>
      <c r="E158" s="14" t="s">
        <v>490</v>
      </c>
      <c r="G158" s="15">
        <v>5903</v>
      </c>
      <c r="H158" s="14" t="s">
        <v>698</v>
      </c>
    </row>
    <row r="159" spans="1:8" ht="25.5" x14ac:dyDescent="0.25">
      <c r="A159" s="13">
        <v>1405</v>
      </c>
      <c r="B159" s="14" t="s">
        <v>227</v>
      </c>
      <c r="D159" s="15">
        <v>9599</v>
      </c>
      <c r="E159" s="14" t="s">
        <v>491</v>
      </c>
      <c r="G159" s="15">
        <v>5999</v>
      </c>
      <c r="H159" s="14" t="s">
        <v>699</v>
      </c>
    </row>
    <row r="160" spans="1:8" x14ac:dyDescent="0.25">
      <c r="A160" s="13">
        <v>7105</v>
      </c>
      <c r="B160" s="14" t="s">
        <v>228</v>
      </c>
      <c r="D160" s="15">
        <v>4102</v>
      </c>
      <c r="E160" s="14" t="s">
        <v>492</v>
      </c>
      <c r="G160" s="15">
        <v>6101</v>
      </c>
      <c r="H160" s="14" t="s">
        <v>700</v>
      </c>
    </row>
    <row r="161" spans="1:8" ht="25.5" x14ac:dyDescent="0.25">
      <c r="A161" s="13">
        <v>2308</v>
      </c>
      <c r="B161" s="14" t="s">
        <v>229</v>
      </c>
      <c r="D161" s="15">
        <v>4106</v>
      </c>
      <c r="E161" s="14" t="s">
        <v>493</v>
      </c>
      <c r="G161" s="15">
        <v>6102</v>
      </c>
      <c r="H161" s="14" t="s">
        <v>701</v>
      </c>
    </row>
    <row r="162" spans="1:8" x14ac:dyDescent="0.25">
      <c r="A162" s="13">
        <v>1301</v>
      </c>
      <c r="B162" s="14" t="s">
        <v>230</v>
      </c>
      <c r="D162" s="15">
        <v>9404</v>
      </c>
      <c r="E162" s="14" t="s">
        <v>494</v>
      </c>
      <c r="G162" s="15">
        <v>6103</v>
      </c>
      <c r="H162" s="14" t="s">
        <v>702</v>
      </c>
    </row>
    <row r="163" spans="1:8" x14ac:dyDescent="0.25">
      <c r="A163" s="13">
        <v>1201</v>
      </c>
      <c r="B163" s="14" t="s">
        <v>231</v>
      </c>
      <c r="D163" s="15">
        <v>3602</v>
      </c>
      <c r="E163" s="14" t="s">
        <v>495</v>
      </c>
      <c r="G163" s="15">
        <v>6199</v>
      </c>
      <c r="H163" s="14" t="s">
        <v>703</v>
      </c>
    </row>
    <row r="164" spans="1:8" x14ac:dyDescent="0.25">
      <c r="A164" s="13">
        <v>8307</v>
      </c>
      <c r="B164" s="14" t="s">
        <v>232</v>
      </c>
      <c r="D164" s="15">
        <v>2302</v>
      </c>
      <c r="E164" s="14" t="s">
        <v>496</v>
      </c>
      <c r="G164" s="15">
        <v>6201</v>
      </c>
      <c r="H164" s="14" t="s">
        <v>704</v>
      </c>
    </row>
    <row r="165" spans="1:8" x14ac:dyDescent="0.25">
      <c r="A165" s="13">
        <v>9123</v>
      </c>
      <c r="B165" s="14" t="s">
        <v>233</v>
      </c>
      <c r="D165" s="15">
        <v>5207</v>
      </c>
      <c r="E165" s="14" t="s">
        <v>497</v>
      </c>
      <c r="G165" s="15">
        <v>6202</v>
      </c>
      <c r="H165" s="14" t="s">
        <v>705</v>
      </c>
    </row>
    <row r="166" spans="1:8" x14ac:dyDescent="0.25">
      <c r="A166" s="13">
        <v>9124</v>
      </c>
      <c r="B166" s="14" t="s">
        <v>234</v>
      </c>
      <c r="D166" s="15">
        <v>6104</v>
      </c>
      <c r="E166" s="14" t="s">
        <v>498</v>
      </c>
      <c r="G166" s="15">
        <v>6299</v>
      </c>
      <c r="H166" s="14" t="s">
        <v>706</v>
      </c>
    </row>
    <row r="167" spans="1:8" x14ac:dyDescent="0.25">
      <c r="A167" s="13">
        <v>1504</v>
      </c>
      <c r="B167" s="14" t="s">
        <v>235</v>
      </c>
      <c r="D167" s="15">
        <v>3904</v>
      </c>
      <c r="E167" s="14" t="s">
        <v>499</v>
      </c>
      <c r="G167" s="15">
        <v>6301</v>
      </c>
      <c r="H167" s="14" t="s">
        <v>707</v>
      </c>
    </row>
    <row r="168" spans="1:8" x14ac:dyDescent="0.25">
      <c r="A168" s="13">
        <v>1102</v>
      </c>
      <c r="B168" s="14" t="s">
        <v>236</v>
      </c>
      <c r="D168" s="15">
        <v>3905</v>
      </c>
      <c r="E168" s="14" t="s">
        <v>500</v>
      </c>
      <c r="G168" s="15">
        <v>6302</v>
      </c>
      <c r="H168" s="14" t="s">
        <v>708</v>
      </c>
    </row>
    <row r="169" spans="1:8" x14ac:dyDescent="0.25">
      <c r="A169" s="13">
        <v>2104</v>
      </c>
      <c r="B169" s="14" t="s">
        <v>237</v>
      </c>
      <c r="D169" s="15">
        <v>9312</v>
      </c>
      <c r="E169" s="14" t="s">
        <v>501</v>
      </c>
      <c r="G169" s="15">
        <v>6303</v>
      </c>
      <c r="H169" s="14" t="s">
        <v>709</v>
      </c>
    </row>
    <row r="170" spans="1:8" ht="25.5" x14ac:dyDescent="0.25">
      <c r="A170" s="13">
        <v>1406</v>
      </c>
      <c r="B170" s="14" t="s">
        <v>238</v>
      </c>
      <c r="D170" s="15">
        <v>3402</v>
      </c>
      <c r="E170" s="14" t="s">
        <v>502</v>
      </c>
      <c r="G170" s="15">
        <v>6304</v>
      </c>
      <c r="H170" s="14" t="s">
        <v>710</v>
      </c>
    </row>
    <row r="171" spans="1:8" x14ac:dyDescent="0.25">
      <c r="A171" s="13">
        <v>2406</v>
      </c>
      <c r="B171" s="14" t="s">
        <v>239</v>
      </c>
      <c r="D171" s="15">
        <v>9308</v>
      </c>
      <c r="E171" s="14" t="s">
        <v>503</v>
      </c>
      <c r="G171" s="15">
        <v>6305</v>
      </c>
      <c r="H171" s="14" t="s">
        <v>711</v>
      </c>
    </row>
    <row r="172" spans="1:8" x14ac:dyDescent="0.25">
      <c r="A172" s="13">
        <v>4211</v>
      </c>
      <c r="B172" s="14" t="s">
        <v>240</v>
      </c>
      <c r="D172" s="15">
        <v>1599</v>
      </c>
      <c r="E172" s="14" t="s">
        <v>504</v>
      </c>
      <c r="G172" s="15">
        <v>6399</v>
      </c>
      <c r="H172" s="14" t="s">
        <v>712</v>
      </c>
    </row>
    <row r="173" spans="1:8" x14ac:dyDescent="0.25">
      <c r="A173" s="13">
        <v>7106</v>
      </c>
      <c r="B173" s="14" t="s">
        <v>241</v>
      </c>
      <c r="D173" s="15">
        <v>3505</v>
      </c>
      <c r="E173" s="14" t="s">
        <v>505</v>
      </c>
      <c r="G173" s="15">
        <v>6901</v>
      </c>
      <c r="H173" s="14" t="s">
        <v>713</v>
      </c>
    </row>
    <row r="174" spans="1:8" ht="38.25" x14ac:dyDescent="0.25">
      <c r="A174" s="13">
        <v>1407</v>
      </c>
      <c r="B174" s="14" t="s">
        <v>242</v>
      </c>
      <c r="D174" s="15">
        <v>3507</v>
      </c>
      <c r="E174" s="14" t="s">
        <v>506</v>
      </c>
      <c r="G174" s="15">
        <v>6902</v>
      </c>
      <c r="H174" s="14" t="s">
        <v>714</v>
      </c>
    </row>
    <row r="175" spans="1:8" x14ac:dyDescent="0.25">
      <c r="A175" s="13">
        <v>8308</v>
      </c>
      <c r="B175" s="14" t="s">
        <v>243</v>
      </c>
      <c r="D175" s="15">
        <v>9238</v>
      </c>
      <c r="E175" s="14" t="s">
        <v>507</v>
      </c>
      <c r="G175" s="15">
        <v>6999</v>
      </c>
      <c r="H175" s="14" t="s">
        <v>715</v>
      </c>
    </row>
    <row r="176" spans="1:8" ht="25.5" x14ac:dyDescent="0.25">
      <c r="A176" s="13">
        <v>1302</v>
      </c>
      <c r="B176" s="14" t="s">
        <v>244</v>
      </c>
      <c r="D176" s="15">
        <v>9233</v>
      </c>
      <c r="E176" s="14" t="s">
        <v>508</v>
      </c>
      <c r="G176" s="15">
        <v>7101</v>
      </c>
      <c r="H176" s="14" t="s">
        <v>716</v>
      </c>
    </row>
    <row r="177" spans="1:8" x14ac:dyDescent="0.25">
      <c r="A177" s="13">
        <v>8212</v>
      </c>
      <c r="B177" s="14" t="s">
        <v>245</v>
      </c>
      <c r="D177" s="15">
        <v>9207</v>
      </c>
      <c r="E177" s="14" t="s">
        <v>509</v>
      </c>
      <c r="G177" s="15">
        <v>7102</v>
      </c>
      <c r="H177" s="14" t="s">
        <v>717</v>
      </c>
    </row>
    <row r="178" spans="1:8" ht="25.5" x14ac:dyDescent="0.25">
      <c r="A178" s="13">
        <v>8213</v>
      </c>
      <c r="B178" s="14" t="s">
        <v>246</v>
      </c>
      <c r="D178" s="15">
        <v>9799</v>
      </c>
      <c r="E178" s="14" t="s">
        <v>510</v>
      </c>
      <c r="G178" s="15">
        <v>7199</v>
      </c>
      <c r="H178" s="14" t="s">
        <v>718</v>
      </c>
    </row>
    <row r="179" spans="1:8" x14ac:dyDescent="0.25">
      <c r="A179" s="13">
        <v>5204</v>
      </c>
      <c r="B179" s="14" t="s">
        <v>247</v>
      </c>
      <c r="D179" s="15">
        <v>5208</v>
      </c>
      <c r="E179" s="14" t="s">
        <v>511</v>
      </c>
      <c r="G179" s="15">
        <v>9101</v>
      </c>
      <c r="H179" s="14" t="s">
        <v>719</v>
      </c>
    </row>
    <row r="180" spans="1:8" x14ac:dyDescent="0.25">
      <c r="A180" s="13">
        <v>1513</v>
      </c>
      <c r="B180" s="14" t="s">
        <v>248</v>
      </c>
      <c r="D180" s="15">
        <v>5211</v>
      </c>
      <c r="E180" s="14" t="s">
        <v>512</v>
      </c>
      <c r="G180" s="15">
        <v>9102</v>
      </c>
      <c r="H180" s="14" t="s">
        <v>720</v>
      </c>
    </row>
    <row r="181" spans="1:8" x14ac:dyDescent="0.25">
      <c r="A181" s="13">
        <v>3307</v>
      </c>
      <c r="B181" s="14" t="s">
        <v>249</v>
      </c>
      <c r="D181" s="15">
        <v>3603</v>
      </c>
      <c r="E181" s="14" t="s">
        <v>513</v>
      </c>
      <c r="G181" s="15">
        <v>9103</v>
      </c>
      <c r="H181" s="14" t="s">
        <v>721</v>
      </c>
    </row>
    <row r="182" spans="1:8" ht="38.25" x14ac:dyDescent="0.25">
      <c r="A182" s="13">
        <v>1599</v>
      </c>
      <c r="B182" s="14" t="s">
        <v>250</v>
      </c>
      <c r="D182" s="15">
        <v>3506</v>
      </c>
      <c r="E182" s="14" t="s">
        <v>514</v>
      </c>
      <c r="G182" s="15">
        <v>9199</v>
      </c>
      <c r="H182" s="14" t="s">
        <v>722</v>
      </c>
    </row>
    <row r="183" spans="1:8" ht="25.5" x14ac:dyDescent="0.25">
      <c r="A183" s="13">
        <v>3106</v>
      </c>
      <c r="B183" s="14" t="s">
        <v>251</v>
      </c>
      <c r="D183" s="15">
        <v>9405</v>
      </c>
      <c r="E183" s="14" t="s">
        <v>515</v>
      </c>
      <c r="G183" s="15">
        <v>9201</v>
      </c>
      <c r="H183" s="14" t="s">
        <v>723</v>
      </c>
    </row>
    <row r="184" spans="1:8" x14ac:dyDescent="0.25">
      <c r="A184" s="13">
        <v>8421</v>
      </c>
      <c r="B184" s="14" t="s">
        <v>252</v>
      </c>
      <c r="D184" s="15">
        <v>9208</v>
      </c>
      <c r="E184" s="14" t="s">
        <v>516</v>
      </c>
      <c r="G184" s="15">
        <v>9202</v>
      </c>
      <c r="H184" s="14" t="s">
        <v>724</v>
      </c>
    </row>
    <row r="185" spans="1:8" ht="38.25" x14ac:dyDescent="0.25">
      <c r="A185" s="13">
        <v>4212</v>
      </c>
      <c r="B185" s="14" t="s">
        <v>253</v>
      </c>
      <c r="D185" s="15">
        <v>6599</v>
      </c>
      <c r="E185" s="14" t="s">
        <v>517</v>
      </c>
      <c r="G185" s="15">
        <v>9299</v>
      </c>
      <c r="H185" s="14" t="s">
        <v>725</v>
      </c>
    </row>
    <row r="186" spans="1:8" ht="25.5" x14ac:dyDescent="0.25">
      <c r="A186" s="13">
        <v>1606</v>
      </c>
      <c r="B186" s="14" t="s">
        <v>254</v>
      </c>
      <c r="D186" s="15">
        <v>2303</v>
      </c>
      <c r="E186" s="14" t="s">
        <v>518</v>
      </c>
      <c r="G186" s="15"/>
      <c r="H186" s="14"/>
    </row>
    <row r="187" spans="1:8" x14ac:dyDescent="0.25">
      <c r="A187" s="13">
        <v>9218</v>
      </c>
      <c r="B187" s="14" t="s">
        <v>255</v>
      </c>
      <c r="D187" s="15">
        <v>9211</v>
      </c>
      <c r="E187" s="14" t="s">
        <v>519</v>
      </c>
      <c r="G187" s="15"/>
      <c r="H187" s="14"/>
    </row>
    <row r="188" spans="1:8" x14ac:dyDescent="0.25">
      <c r="A188" s="13">
        <v>3211</v>
      </c>
      <c r="B188" s="14" t="s">
        <v>256</v>
      </c>
      <c r="D188" s="15">
        <v>1504</v>
      </c>
      <c r="E188" s="14" t="s">
        <v>520</v>
      </c>
      <c r="G188" s="15"/>
      <c r="H188" s="14"/>
    </row>
    <row r="189" spans="1:8" ht="25.5" x14ac:dyDescent="0.25">
      <c r="A189" s="13">
        <v>1607</v>
      </c>
      <c r="B189" s="14" t="s">
        <v>257</v>
      </c>
      <c r="D189" s="15">
        <v>6511</v>
      </c>
      <c r="E189" s="14" t="s">
        <v>521</v>
      </c>
      <c r="G189" s="15"/>
      <c r="H189" s="14"/>
    </row>
    <row r="190" spans="1:8" ht="25.5" x14ac:dyDescent="0.25">
      <c r="A190" s="13">
        <v>3308</v>
      </c>
      <c r="B190" s="14" t="s">
        <v>258</v>
      </c>
      <c r="D190" s="15">
        <v>6499</v>
      </c>
      <c r="E190" s="14" t="s">
        <v>522</v>
      </c>
      <c r="G190" s="15"/>
      <c r="H190" s="14"/>
    </row>
    <row r="191" spans="1:8" x14ac:dyDescent="0.25">
      <c r="A191" s="13">
        <v>9221</v>
      </c>
      <c r="B191" s="14" t="s">
        <v>259</v>
      </c>
      <c r="D191" s="15">
        <v>5103</v>
      </c>
      <c r="E191" s="14" t="s">
        <v>523</v>
      </c>
      <c r="G191" s="15"/>
      <c r="H191" s="14"/>
    </row>
    <row r="192" spans="1:8" x14ac:dyDescent="0.25">
      <c r="A192" s="13">
        <v>1505</v>
      </c>
      <c r="B192" s="14" t="s">
        <v>260</v>
      </c>
      <c r="D192" s="15">
        <v>4303</v>
      </c>
      <c r="E192" s="14" t="s">
        <v>524</v>
      </c>
      <c r="G192" s="15"/>
      <c r="H192" s="14"/>
    </row>
    <row r="193" spans="1:8" x14ac:dyDescent="0.25">
      <c r="A193" s="13">
        <v>1506</v>
      </c>
      <c r="B193" s="14" t="s">
        <v>261</v>
      </c>
      <c r="D193" s="15">
        <v>5104</v>
      </c>
      <c r="E193" s="14" t="s">
        <v>525</v>
      </c>
      <c r="G193" s="15"/>
      <c r="H193" s="14"/>
    </row>
    <row r="194" spans="1:8" x14ac:dyDescent="0.25">
      <c r="A194" s="13">
        <v>3107</v>
      </c>
      <c r="B194" s="14" t="s">
        <v>262</v>
      </c>
      <c r="D194" s="15">
        <v>6507</v>
      </c>
      <c r="E194" s="14" t="s">
        <v>526</v>
      </c>
      <c r="G194" s="15"/>
      <c r="H194" s="14"/>
    </row>
    <row r="195" spans="1:8" ht="25.5" x14ac:dyDescent="0.25">
      <c r="A195" s="13">
        <v>9125</v>
      </c>
      <c r="B195" s="14" t="s">
        <v>263</v>
      </c>
      <c r="D195" s="15">
        <v>6402</v>
      </c>
      <c r="E195" s="14" t="s">
        <v>527</v>
      </c>
      <c r="G195" s="15"/>
      <c r="H195" s="14"/>
    </row>
    <row r="196" spans="1:8" x14ac:dyDescent="0.25">
      <c r="A196" s="13">
        <v>4213</v>
      </c>
      <c r="B196" s="14" t="s">
        <v>264</v>
      </c>
      <c r="D196" s="15">
        <v>9261</v>
      </c>
      <c r="E196" s="14" t="s">
        <v>528</v>
      </c>
      <c r="G196" s="15"/>
      <c r="H196" s="14"/>
    </row>
    <row r="197" spans="1:8" x14ac:dyDescent="0.25">
      <c r="A197" s="13">
        <v>2105</v>
      </c>
      <c r="B197" s="14" t="s">
        <v>265</v>
      </c>
      <c r="D197" s="15">
        <v>7901</v>
      </c>
      <c r="E197" s="14" t="s">
        <v>529</v>
      </c>
      <c r="G197" s="15"/>
      <c r="H197" s="14"/>
    </row>
    <row r="198" spans="1:8" x14ac:dyDescent="0.25">
      <c r="A198" s="13">
        <v>9126</v>
      </c>
      <c r="B198" s="14" t="s">
        <v>266</v>
      </c>
      <c r="D198" s="15">
        <v>9234</v>
      </c>
      <c r="E198" s="14" t="s">
        <v>530</v>
      </c>
      <c r="G198" s="15"/>
      <c r="H198" s="14"/>
    </row>
    <row r="199" spans="1:8" x14ac:dyDescent="0.25">
      <c r="A199" s="13">
        <v>3215</v>
      </c>
      <c r="B199" s="14" t="s">
        <v>267</v>
      </c>
      <c r="D199" s="15">
        <v>9235</v>
      </c>
      <c r="E199" s="14" t="s">
        <v>531</v>
      </c>
      <c r="G199" s="15"/>
      <c r="H199" s="14"/>
    </row>
    <row r="200" spans="1:8" x14ac:dyDescent="0.25">
      <c r="A200" s="13">
        <v>9223</v>
      </c>
      <c r="B200" s="14" t="s">
        <v>268</v>
      </c>
      <c r="D200" s="15">
        <v>6508</v>
      </c>
      <c r="E200" s="14" t="s">
        <v>532</v>
      </c>
      <c r="G200" s="15"/>
      <c r="H200" s="14"/>
    </row>
    <row r="201" spans="1:8" ht="25.5" x14ac:dyDescent="0.25">
      <c r="A201" s="13">
        <v>9127</v>
      </c>
      <c r="B201" s="14" t="s">
        <v>269</v>
      </c>
      <c r="D201" s="15">
        <v>9504</v>
      </c>
      <c r="E201" s="14" t="s">
        <v>533</v>
      </c>
      <c r="G201" s="15"/>
      <c r="H201" s="14"/>
    </row>
    <row r="202" spans="1:8" x14ac:dyDescent="0.25">
      <c r="A202" s="13">
        <v>5205</v>
      </c>
      <c r="B202" s="14" t="s">
        <v>270</v>
      </c>
      <c r="D202" s="15">
        <v>9313</v>
      </c>
      <c r="E202" s="14" t="s">
        <v>534</v>
      </c>
      <c r="G202" s="15"/>
      <c r="H202" s="14"/>
    </row>
    <row r="203" spans="1:8" ht="25.5" x14ac:dyDescent="0.25">
      <c r="A203" s="13">
        <v>8435</v>
      </c>
      <c r="B203" s="14" t="s">
        <v>271</v>
      </c>
      <c r="D203" s="15">
        <v>9311</v>
      </c>
      <c r="E203" s="14" t="s">
        <v>535</v>
      </c>
      <c r="G203" s="15"/>
      <c r="H203" s="14"/>
    </row>
    <row r="204" spans="1:8" x14ac:dyDescent="0.25">
      <c r="A204" s="13">
        <v>3311</v>
      </c>
      <c r="B204" s="14" t="s">
        <v>272</v>
      </c>
      <c r="D204" s="15">
        <v>9236</v>
      </c>
      <c r="E204" s="14" t="s">
        <v>536</v>
      </c>
      <c r="G204" s="15"/>
      <c r="H204" s="14"/>
    </row>
    <row r="205" spans="1:8" x14ac:dyDescent="0.25">
      <c r="A205" s="13">
        <v>3212</v>
      </c>
      <c r="B205" s="14" t="s">
        <v>273</v>
      </c>
      <c r="D205" s="15">
        <v>5105</v>
      </c>
      <c r="E205" s="14" t="s">
        <v>537</v>
      </c>
      <c r="G205" s="15"/>
      <c r="H205" s="14"/>
    </row>
    <row r="206" spans="1:8" x14ac:dyDescent="0.25">
      <c r="A206" s="13">
        <v>1303</v>
      </c>
      <c r="B206" s="14" t="s">
        <v>274</v>
      </c>
      <c r="D206" s="15">
        <v>4399</v>
      </c>
      <c r="E206" s="14" t="s">
        <v>538</v>
      </c>
      <c r="G206" s="15"/>
      <c r="H206" s="14"/>
    </row>
    <row r="207" spans="1:8" x14ac:dyDescent="0.25">
      <c r="A207" s="13">
        <v>9224</v>
      </c>
      <c r="B207" s="14" t="s">
        <v>275</v>
      </c>
      <c r="D207" s="15">
        <v>4301</v>
      </c>
      <c r="E207" s="14" t="s">
        <v>539</v>
      </c>
      <c r="G207" s="15"/>
      <c r="H207" s="14"/>
    </row>
    <row r="208" spans="1:8" x14ac:dyDescent="0.25">
      <c r="A208" s="13">
        <v>9225</v>
      </c>
      <c r="B208" s="14" t="s">
        <v>276</v>
      </c>
      <c r="D208" s="15">
        <v>4304</v>
      </c>
      <c r="E208" s="14" t="s">
        <v>540</v>
      </c>
      <c r="G208" s="15"/>
      <c r="H208" s="14"/>
    </row>
    <row r="209" spans="1:8" ht="25.5" x14ac:dyDescent="0.25">
      <c r="A209" s="13">
        <v>8299</v>
      </c>
      <c r="B209" s="14" t="s">
        <v>277</v>
      </c>
      <c r="D209" s="15">
        <v>9314</v>
      </c>
      <c r="E209" s="14" t="s">
        <v>541</v>
      </c>
      <c r="G209" s="15"/>
      <c r="H209" s="14"/>
    </row>
    <row r="210" spans="1:8" x14ac:dyDescent="0.25">
      <c r="A210" s="13">
        <v>4111</v>
      </c>
      <c r="B210" s="14" t="s">
        <v>278</v>
      </c>
      <c r="D210" s="15">
        <v>3403</v>
      </c>
      <c r="E210" s="14" t="s">
        <v>542</v>
      </c>
      <c r="G210" s="15"/>
      <c r="H210" s="14"/>
    </row>
    <row r="211" spans="1:8" ht="25.5" x14ac:dyDescent="0.25">
      <c r="A211" s="13">
        <v>9299</v>
      </c>
      <c r="B211" s="14" t="s">
        <v>279</v>
      </c>
      <c r="D211" s="15">
        <v>5212</v>
      </c>
      <c r="E211" s="14" t="s">
        <v>543</v>
      </c>
      <c r="G211" s="15"/>
      <c r="H211" s="14"/>
    </row>
    <row r="212" spans="1:8" x14ac:dyDescent="0.25">
      <c r="A212" s="13">
        <v>3108</v>
      </c>
      <c r="B212" s="14" t="s">
        <v>280</v>
      </c>
      <c r="D212" s="15">
        <v>4305</v>
      </c>
      <c r="E212" s="14" t="s">
        <v>544</v>
      </c>
      <c r="G212" s="15"/>
      <c r="H212" s="14"/>
    </row>
    <row r="213" spans="1:8" ht="25.5" x14ac:dyDescent="0.25">
      <c r="A213" s="13">
        <v>4108</v>
      </c>
      <c r="B213" s="14" t="s">
        <v>281</v>
      </c>
      <c r="D213" s="15">
        <v>4306</v>
      </c>
      <c r="E213" s="14" t="s">
        <v>545</v>
      </c>
      <c r="G213" s="15"/>
      <c r="H213" s="14"/>
    </row>
    <row r="214" spans="1:8" x14ac:dyDescent="0.25">
      <c r="A214" s="13">
        <v>7107</v>
      </c>
      <c r="B214" s="14" t="s">
        <v>282</v>
      </c>
      <c r="D214" s="15">
        <v>6302</v>
      </c>
      <c r="E214" s="14" t="s">
        <v>546</v>
      </c>
      <c r="G214" s="15"/>
      <c r="H214" s="14"/>
    </row>
    <row r="215" spans="1:8" x14ac:dyDescent="0.25">
      <c r="A215" s="13">
        <v>8431</v>
      </c>
      <c r="B215" s="14" t="s">
        <v>283</v>
      </c>
      <c r="D215" s="15">
        <v>1103</v>
      </c>
      <c r="E215" s="14" t="s">
        <v>547</v>
      </c>
      <c r="G215" s="15"/>
      <c r="H215" s="14"/>
    </row>
    <row r="216" spans="1:8" x14ac:dyDescent="0.25">
      <c r="A216" s="13">
        <v>9222</v>
      </c>
      <c r="B216" s="14" t="s">
        <v>284</v>
      </c>
      <c r="D216" s="15">
        <v>7106</v>
      </c>
      <c r="E216" s="14" t="s">
        <v>548</v>
      </c>
      <c r="G216" s="15"/>
      <c r="H216" s="14"/>
    </row>
    <row r="217" spans="1:8" x14ac:dyDescent="0.25">
      <c r="A217" s="13">
        <v>8422</v>
      </c>
      <c r="B217" s="14" t="s">
        <v>285</v>
      </c>
      <c r="D217" s="15">
        <v>9237</v>
      </c>
      <c r="E217" s="14" t="s">
        <v>549</v>
      </c>
      <c r="G217" s="15"/>
      <c r="H217" s="14"/>
    </row>
    <row r="218" spans="1:8" x14ac:dyDescent="0.25">
      <c r="A218" s="13">
        <v>8423</v>
      </c>
      <c r="B218" s="14" t="s">
        <v>286</v>
      </c>
      <c r="D218" s="15">
        <v>9315</v>
      </c>
      <c r="E218" s="14" t="s">
        <v>550</v>
      </c>
      <c r="G218" s="15"/>
      <c r="H218" s="14"/>
    </row>
    <row r="219" spans="1:8" ht="25.5" x14ac:dyDescent="0.25">
      <c r="A219" s="13">
        <v>8432</v>
      </c>
      <c r="B219" s="14" t="s">
        <v>287</v>
      </c>
      <c r="D219" s="15">
        <v>1303</v>
      </c>
      <c r="E219" s="14" t="s">
        <v>551</v>
      </c>
      <c r="G219" s="15"/>
      <c r="H219" s="14"/>
    </row>
    <row r="220" spans="1:8" ht="25.5" x14ac:dyDescent="0.25">
      <c r="A220" s="13">
        <v>8103</v>
      </c>
      <c r="B220" s="14" t="s">
        <v>288</v>
      </c>
      <c r="D220" s="15">
        <v>9212</v>
      </c>
      <c r="E220" s="14" t="s">
        <v>552</v>
      </c>
      <c r="G220" s="15"/>
      <c r="H220" s="14"/>
    </row>
    <row r="221" spans="1:8" ht="25.5" x14ac:dyDescent="0.25">
      <c r="A221" s="13">
        <v>8424</v>
      </c>
      <c r="B221" s="14" t="s">
        <v>289</v>
      </c>
      <c r="D221" s="15">
        <v>9213</v>
      </c>
      <c r="E221" s="14" t="s">
        <v>553</v>
      </c>
      <c r="G221" s="15"/>
      <c r="H221" s="14"/>
    </row>
    <row r="222" spans="1:8" x14ac:dyDescent="0.25">
      <c r="A222" s="13">
        <v>4105</v>
      </c>
      <c r="B222" s="14" t="s">
        <v>290</v>
      </c>
      <c r="G222" s="15"/>
      <c r="H222" s="14"/>
    </row>
    <row r="223" spans="1:8" x14ac:dyDescent="0.25">
      <c r="A223" s="13">
        <v>8214</v>
      </c>
      <c r="B223" s="14" t="s">
        <v>291</v>
      </c>
      <c r="G223" s="15"/>
      <c r="H223" s="14"/>
    </row>
    <row r="224" spans="1:8" x14ac:dyDescent="0.25">
      <c r="A224" s="13">
        <v>9226</v>
      </c>
      <c r="B224" s="14" t="s">
        <v>292</v>
      </c>
    </row>
    <row r="225" spans="1:2" x14ac:dyDescent="0.25">
      <c r="A225" s="13">
        <v>2407</v>
      </c>
      <c r="B225" s="14" t="s">
        <v>293</v>
      </c>
    </row>
    <row r="226" spans="1:2" x14ac:dyDescent="0.25">
      <c r="A226" s="13">
        <v>2311</v>
      </c>
      <c r="B226" s="14" t="s">
        <v>294</v>
      </c>
    </row>
    <row r="227" spans="1:2" x14ac:dyDescent="0.25">
      <c r="A227" s="13">
        <v>4214</v>
      </c>
      <c r="B227" s="14" t="s">
        <v>295</v>
      </c>
    </row>
    <row r="228" spans="1:2" x14ac:dyDescent="0.25">
      <c r="A228" s="13">
        <v>6105</v>
      </c>
      <c r="B228" s="14" t="s">
        <v>296</v>
      </c>
    </row>
    <row r="229" spans="1:2" x14ac:dyDescent="0.25">
      <c r="A229" s="13">
        <v>7207</v>
      </c>
      <c r="B229" s="14" t="s">
        <v>297</v>
      </c>
    </row>
    <row r="230" spans="1:2" x14ac:dyDescent="0.25">
      <c r="A230" s="13">
        <v>9227</v>
      </c>
      <c r="B230" s="14" t="s">
        <v>298</v>
      </c>
    </row>
    <row r="231" spans="1:2" ht="38.25" x14ac:dyDescent="0.25">
      <c r="A231" s="13">
        <v>3206</v>
      </c>
      <c r="B231" s="14" t="s">
        <v>299</v>
      </c>
    </row>
    <row r="232" spans="1:2" x14ac:dyDescent="0.25">
      <c r="A232" s="13">
        <v>5104</v>
      </c>
      <c r="B232" s="14" t="s">
        <v>300</v>
      </c>
    </row>
    <row r="233" spans="1:2" x14ac:dyDescent="0.25">
      <c r="A233" s="13">
        <v>5206</v>
      </c>
      <c r="B233" s="14" t="s">
        <v>301</v>
      </c>
    </row>
    <row r="234" spans="1:2" x14ac:dyDescent="0.25">
      <c r="A234" s="13">
        <v>9128</v>
      </c>
      <c r="B234" s="14" t="s">
        <v>302</v>
      </c>
    </row>
    <row r="235" spans="1:2" x14ac:dyDescent="0.25">
      <c r="A235" s="13">
        <v>1507</v>
      </c>
      <c r="B235" s="14" t="s">
        <v>303</v>
      </c>
    </row>
    <row r="236" spans="1:2" x14ac:dyDescent="0.25">
      <c r="A236" s="13">
        <v>1508</v>
      </c>
      <c r="B236" s="14" t="s">
        <v>304</v>
      </c>
    </row>
    <row r="237" spans="1:2" ht="25.5" x14ac:dyDescent="0.25">
      <c r="A237" s="13">
        <v>8425</v>
      </c>
      <c r="B237" s="14" t="s">
        <v>305</v>
      </c>
    </row>
    <row r="238" spans="1:2" x14ac:dyDescent="0.25">
      <c r="A238" s="13">
        <v>4106</v>
      </c>
      <c r="B238" s="14" t="s">
        <v>306</v>
      </c>
    </row>
    <row r="239" spans="1:2" x14ac:dyDescent="0.25">
      <c r="A239" s="13">
        <v>4215</v>
      </c>
      <c r="B239" s="14" t="s">
        <v>307</v>
      </c>
    </row>
    <row r="240" spans="1:2" x14ac:dyDescent="0.25">
      <c r="A240" s="13">
        <v>7208</v>
      </c>
      <c r="B240" s="14" t="s">
        <v>308</v>
      </c>
    </row>
    <row r="241" spans="1:2" ht="25.5" x14ac:dyDescent="0.25">
      <c r="A241" s="13">
        <v>8426</v>
      </c>
      <c r="B241" s="14" t="s">
        <v>309</v>
      </c>
    </row>
    <row r="242" spans="1:2" x14ac:dyDescent="0.25">
      <c r="A242" s="13">
        <v>1511</v>
      </c>
      <c r="B242" s="14" t="s">
        <v>310</v>
      </c>
    </row>
    <row r="243" spans="1:2" x14ac:dyDescent="0.25">
      <c r="A243" s="13">
        <v>9228</v>
      </c>
      <c r="B243" s="14" t="s">
        <v>311</v>
      </c>
    </row>
    <row r="244" spans="1:2" x14ac:dyDescent="0.25">
      <c r="A244" s="13">
        <v>3312</v>
      </c>
      <c r="B244" s="14" t="s">
        <v>312</v>
      </c>
    </row>
    <row r="245" spans="1:2" ht="25.5" x14ac:dyDescent="0.25">
      <c r="A245" s="13">
        <v>4216</v>
      </c>
      <c r="B245" s="14" t="s">
        <v>313</v>
      </c>
    </row>
    <row r="246" spans="1:2" ht="25.5" x14ac:dyDescent="0.25">
      <c r="A246" s="13">
        <v>8104</v>
      </c>
      <c r="B246" s="14" t="s">
        <v>314</v>
      </c>
    </row>
    <row r="247" spans="1:2" x14ac:dyDescent="0.25">
      <c r="A247" s="13">
        <v>8215</v>
      </c>
      <c r="B247" s="14" t="s">
        <v>315</v>
      </c>
    </row>
    <row r="248" spans="1:2" x14ac:dyDescent="0.25">
      <c r="A248" s="13">
        <v>7211</v>
      </c>
      <c r="B248" s="14" t="s">
        <v>316</v>
      </c>
    </row>
    <row r="249" spans="1:2" x14ac:dyDescent="0.25">
      <c r="A249" s="13">
        <v>1304</v>
      </c>
      <c r="B249" s="14" t="s">
        <v>317</v>
      </c>
    </row>
    <row r="250" spans="1:2" x14ac:dyDescent="0.25">
      <c r="A250" s="13">
        <v>8216</v>
      </c>
      <c r="B250" s="14" t="s">
        <v>318</v>
      </c>
    </row>
    <row r="251" spans="1:2" x14ac:dyDescent="0.25">
      <c r="A251" s="13">
        <v>5105</v>
      </c>
      <c r="B251" s="14" t="s">
        <v>319</v>
      </c>
    </row>
    <row r="252" spans="1:2" ht="25.5" x14ac:dyDescent="0.25">
      <c r="A252" s="13">
        <v>8427</v>
      </c>
      <c r="B252" s="14" t="s">
        <v>320</v>
      </c>
    </row>
    <row r="253" spans="1:2" ht="25.5" x14ac:dyDescent="0.25">
      <c r="A253" s="13">
        <v>8428</v>
      </c>
      <c r="B253" s="14" t="s">
        <v>321</v>
      </c>
    </row>
    <row r="254" spans="1:2" x14ac:dyDescent="0.25">
      <c r="A254" s="13">
        <v>2106</v>
      </c>
      <c r="B254" s="14" t="s">
        <v>322</v>
      </c>
    </row>
    <row r="255" spans="1:2" ht="25.5" x14ac:dyDescent="0.25">
      <c r="A255" s="13">
        <v>1512</v>
      </c>
      <c r="B255" s="14" t="s">
        <v>323</v>
      </c>
    </row>
    <row r="256" spans="1:2" x14ac:dyDescent="0.25">
      <c r="A256" s="13">
        <v>4107</v>
      </c>
      <c r="B256" s="14" t="s">
        <v>324</v>
      </c>
    </row>
    <row r="257" spans="1:2" x14ac:dyDescent="0.25">
      <c r="A257" s="13">
        <v>4217</v>
      </c>
      <c r="B257" s="14" t="s">
        <v>325</v>
      </c>
    </row>
    <row r="258" spans="1:2" x14ac:dyDescent="0.25">
      <c r="A258" s="13">
        <v>9231</v>
      </c>
      <c r="B258" s="14" t="s">
        <v>326</v>
      </c>
    </row>
    <row r="259" spans="1:2" x14ac:dyDescent="0.25">
      <c r="A259" s="13">
        <v>9232</v>
      </c>
      <c r="B259" s="14" t="s">
        <v>327</v>
      </c>
    </row>
  </sheetData>
  <autoFilter ref="B1:B259"/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BB98A6-08AE-4ED2-9E6C-594C51982B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28</vt:i4>
      </vt:variant>
    </vt:vector>
  </HeadingPairs>
  <TitlesOfParts>
    <vt:vector size="32" baseType="lpstr">
      <vt:lpstr>loaded</vt:lpstr>
      <vt:lpstr>Sheet1</vt:lpstr>
      <vt:lpstr>coded</vt:lpstr>
      <vt:lpstr>code_mappings</vt:lpstr>
      <vt:lpstr>atsi</vt:lpstr>
      <vt:lpstr>atsi_codes</vt:lpstr>
      <vt:lpstr>client</vt:lpstr>
      <vt:lpstr>client_codes</vt:lpstr>
      <vt:lpstr>cntry_codes</vt:lpstr>
      <vt:lpstr>countries</vt:lpstr>
      <vt:lpstr>drug</vt:lpstr>
      <vt:lpstr>drug_codes</vt:lpstr>
      <vt:lpstr>inj</vt:lpstr>
      <vt:lpstr>inj_codes</vt:lpstr>
      <vt:lpstr>lang</vt:lpstr>
      <vt:lpstr>lang_codes</vt:lpstr>
      <vt:lpstr>liv_ar</vt:lpstr>
      <vt:lpstr>liv_ar_codes</vt:lpstr>
      <vt:lpstr>mental</vt:lpstr>
      <vt:lpstr>mental_codes</vt:lpstr>
      <vt:lpstr>method</vt:lpstr>
      <vt:lpstr>method_codes</vt:lpstr>
      <vt:lpstr>MTT</vt:lpstr>
      <vt:lpstr>MTT_codes</vt:lpstr>
      <vt:lpstr>reason</vt:lpstr>
      <vt:lpstr>reces_codes</vt:lpstr>
      <vt:lpstr>src_ref</vt:lpstr>
      <vt:lpstr>src_ref_codes</vt:lpstr>
      <vt:lpstr>TDS</vt:lpstr>
      <vt:lpstr>TDS_codes</vt:lpstr>
      <vt:lpstr>us_acc</vt:lpstr>
      <vt:lpstr>us_acc_codes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aftabmj</dc:creator>
  <cp:lastModifiedBy>Aftab MJ</cp:lastModifiedBy>
  <dcterms:created xsi:type="dcterms:W3CDTF">2019-07-19T10:22:58Z</dcterms:created>
  <dcterms:modified xsi:type="dcterms:W3CDTF">2019-08-23T03:59:48Z</dcterms:modified>
</cp:coreProperties>
</file>